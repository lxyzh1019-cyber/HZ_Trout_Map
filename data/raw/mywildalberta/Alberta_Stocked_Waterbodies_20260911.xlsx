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1c088b8727c45ad" /></Relationships>
</file>

<file path=xl/workbook.xml><?xml version="1.0" encoding="utf-8"?>
<x:workbook xmlns:x="http://schemas.openxmlformats.org/spreadsheetml/2006/main">
  <x:sheets>
    <x:sheet xmlns:r="http://schemas.openxmlformats.org/officeDocument/2006/relationships" name="Waterbodies" sheetId="1" r:id="R723e616592c84833"/>
    <x:sheet xmlns:r="http://schemas.openxmlformats.org/officeDocument/2006/relationships" name="Annual stocking" sheetId="2" r:id="Rca41a0596d024db1"/>
    <x:sheet xmlns:r="http://schemas.openxmlformats.org/officeDocument/2006/relationships" name="Stocking details" sheetId="3" r:id="R656caa762f704197"/>
    <x:sheet xmlns:r="http://schemas.openxmlformats.org/officeDocument/2006/relationships" name="Pictures" sheetId="4" r:id="R320b86e4fbc84d7f"/>
    <x:sheet xmlns:r="http://schemas.openxmlformats.org/officeDocument/2006/relationships" name="Read me" sheetId="5" r:id="R7e31bd75acc94d08"/>
    <x:sheet xmlns:r="http://schemas.openxmlformats.org/officeDocument/2006/relationships" name="Species overview" sheetId="6" r:id="R0195202d94ac4c6b"/>
    <x:sheet xmlns:r="http://schemas.openxmlformats.org/officeDocument/2006/relationships" name="Species evidence" sheetId="7" r:id="Re95e78379df145e8"/>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000"/>
    <x:numFmt numFmtId="202" formatCode="yyyy-mm-dd"/>
    <x:numFmt numFmtId="203" formatCode="#,##0"/>
    <x:numFmt numFmtId="204" formatCode="0.000"/>
    <x:numFmt numFmtId="205" formatCode="0"/>
  </x:numFmts>
  <x:fonts count="9">
    <x:font>
      <x:sz val="11"/>
      <x:name val="Carlito"/>
    </x:font>
    <x:font>
      <x:sz val="10"/>
      <x:color rgb="FF233345"/>
      <x:name val="Arial"/>
    </x:font>
    <x:font>
      <x:b/>
      <x:sz val="15"/>
      <x:color rgb="FF244C69"/>
      <x:name val="Arial"/>
    </x:font>
    <x:font>
      <x:b/>
      <x:sz val="10"/>
      <x:color rgb="FFFFFFFF"/>
      <x:name val="Arial"/>
    </x:font>
    <x:font>
      <x:sz val="10"/>
      <x:color rgb="FF0563C1"/>
      <x:name val="Arial"/>
    </x:font>
    <x:font>
      <x:b/>
      <x:sz val="10"/>
      <x:color rgb="FF233345"/>
      <x:name val="Arial"/>
    </x:font>
    <x:font>
      <x:sz val="10"/>
      <x:color rgb="FF243746"/>
      <x:name val="Arial"/>
    </x:font>
    <x:font>
      <x:sz val="10"/>
      <x:color rgb="FF475569"/>
      <x:name val="Arial"/>
    </x:font>
    <x:font>
      <x:b/>
      <x:sz val="10"/>
      <x:color rgb="FF244C69"/>
      <x:name val="Arial"/>
    </x:font>
  </x:fonts>
  <x:fills count="4">
    <x:fill>
      <x:patternFill patternType="none"/>
    </x:fill>
    <x:fill>
      <x:patternFill patternType="gray125"/>
    </x:fill>
    <x:fill>
      <x:patternFill patternType="solid">
        <x:fgColor rgb="FF244C69"/>
      </x:patternFill>
    </x:fill>
    <x:fill>
      <x:patternFill patternType="solid">
        <x:fgColor rgb="FF244C69"/>
      </x:patternFill>
    </x:fill>
  </x:fills>
  <x:borders count="1">
    <x:border/>
  </x:borders>
  <x:cellStyleXfs count="1">
    <x:xf numFmtId="0" fontId="0" fillId="0" borderId="0"/>
  </x:cellStyleXfs>
  <x:cellXfs count="37">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x:xf>
    <x:xf numFmtId="0" fontId="1" fillId="0" borderId="0" xfId="0" applyNumberFormat="1" applyFont="1" applyFill="1" applyBorder="1" applyAlignment="1">
      <x:alignment horizontal="center" vertical="center"/>
    </x:xf>
    <x:xf numFmtId="202" fontId="1" fillId="0" borderId="0" xfId="0" applyNumberFormat="1" applyFont="1" applyFill="1" applyBorder="1" applyAlignment="1">
      <x:alignment horizontal="center" vertical="center"/>
    </x:xf>
    <x:xf numFmtId="0" fontId="5" fillId="0" borderId="0" xfId="0" applyNumberFormat="1" applyFont="1" applyFill="1" applyBorder="1"/>
    <x:xf numFmtId="0" fontId="1" fillId="0" borderId="0" xfId="0" applyNumberFormat="1" applyFont="1" applyFill="1" applyBorder="1" applyAlignment="1">
      <x:alignment wrapText="1"/>
    </x:xf>
    <x:xf numFmtId="0" fontId="5" fillId="0" borderId="0" xfId="0" applyNumberFormat="1" applyFont="1" applyFill="1" applyBorder="1" applyAlignment="1">
      <x:alignment vertical="center"/>
    </x:xf>
    <x:xf numFmtId="0" fontId="6" fillId="0" borderId="0" xfId="0" applyNumberFormat="1" applyFont="1" applyFill="1" applyBorder="1"/>
    <x:xf numFmtId="0" fontId="6"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6"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3" fillId="3" borderId="0" xfId="0" applyNumberFormat="1" applyFont="1" applyFill="1" applyBorder="1" applyAlignment="1">
      <x:alignment vertical="center" wrapText="1"/>
    </x:xf>
    <x:xf numFmtId="0" fontId="3" fillId="3" borderId="0" xfId="0" applyNumberFormat="1" applyFont="1" applyFill="1" applyBorder="1" applyAlignment="1">
      <x:alignment horizontal="center" vertical="center" wrapText="1"/>
    </x:xf>
    <x:xf numFmtId="0" fontId="6" fillId="0" borderId="0" xfId="0" applyNumberFormat="1" applyFont="1" applyFill="1" applyBorder="1" applyAlignment="1">
      <x:alignment vertical="center" wrapText="1"/>
    </x:xf>
    <x:xf numFmtId="204" fontId="6" fillId="0" borderId="0" xfId="0" applyNumberFormat="1" applyFont="1" applyFill="1" applyBorder="1" applyAlignment="1">
      <x:alignment vertical="center" wrapText="1"/>
    </x:xf>
    <x:xf numFmtId="205" fontId="6" fillId="0" borderId="0" xfId="0" applyNumberFormat="1" applyFont="1" applyFill="1" applyBorder="1" applyAlignment="1">
      <x:alignment vertical="center" wrapText="1"/>
    </x:xf>
    <x:xf numFmtId="202" fontId="6" fillId="0" borderId="0" xfId="0" applyNumberFormat="1" applyFont="1" applyFill="1" applyBorder="1" applyAlignment="1">
      <x:alignment vertical="center" wrapText="1"/>
    </x:xf>
    <x:xf numFmtId="0" fontId="6" fillId="0"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8"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48e1bf734314bb4" /><Relationship Type="http://schemas.openxmlformats.org/officeDocument/2006/relationships/theme" Target="/xl/theme/theme1.xml" Id="R67bdc282f1114d57" /><Relationship Type="http://schemas.openxmlformats.org/officeDocument/2006/relationships/sharedStrings" Target="/xl/sharedStrings.xml" Id="R6277b2ab31174cb4" /><Relationship Type="http://schemas.openxmlformats.org/officeDocument/2006/relationships/worksheet" Target="/xl/worksheets/sheet1.xml" Id="R723e616592c84833" /><Relationship Type="http://schemas.openxmlformats.org/officeDocument/2006/relationships/worksheet" Target="/xl/worksheets/sheet2.xml" Id="Rca41a0596d024db1" /><Relationship Type="http://schemas.openxmlformats.org/officeDocument/2006/relationships/worksheet" Target="/xl/worksheets/sheet3.xml" Id="R656caa762f704197" /><Relationship Type="http://schemas.openxmlformats.org/officeDocument/2006/relationships/worksheet" Target="/xl/worksheets/sheet4.xml" Id="R320b86e4fbc84d7f" /><Relationship Type="http://schemas.openxmlformats.org/officeDocument/2006/relationships/worksheet" Target="/xl/worksheets/sheet5.xml" Id="R7e31bd75acc94d08" /><Relationship Type="http://schemas.openxmlformats.org/officeDocument/2006/relationships/worksheet" Target="/xl/worksheets/sheet6.xml" Id="R0195202d94ac4c6b" /><Relationship Type="http://schemas.openxmlformats.org/officeDocument/2006/relationships/worksheet" Target="/xl/worksheets/sheet7.xml" Id="Re95e78379df145e8" /></Relationships>
</file>

<file path=xl/tables/table1.xml><?xml version="1.0" encoding="utf-8"?>
<x:table xmlns:x="http://schemas.openxmlformats.org/spreadsheetml/2006/main" id="1" name="WaterbodiesTable" displayName="WaterbodiesTable" ref="A5:R351" headerRowCount="1" totalsRowCount="0" totalsRowShown="0">
  <x:autoFilter ref="A5:R351"/>
  <x:tableColumns count="18">
    <x:tableColumn id="1" name="Waterbody name"/>
    <x:tableColumn id="2" name="Lake ID"/>
    <x:tableColumn id="3" name="District"/>
    <x:tableColumn id="4" name="Zone"/>
    <x:tableColumn id="5" name="Surface area (ha)"/>
    <x:tableColumn id="6" name="Max depth (m)"/>
    <x:tableColumn id="7" name="Mean depth (m)"/>
    <x:tableColumn id="8" name="Aerated"/>
    <x:tableColumn id="9" name="Aeration evidence / notes"/>
    <x:tableColumn id="10" name="Latitude"/>
    <x:tableColumn id="11" name="Longitude"/>
    <x:tableColumn id="12" name="ATS"/>
    <x:tableColumn id="13" name="Amenities"/>
    <x:tableColumn id="14" name="Description"/>
    <x:tableColumn id="15" name="Photo count"/>
    <x:tableColumn id="16" name="Stocking records"/>
    <x:tableColumn id="17" name="Directions URL"/>
    <x:tableColumn id="18" name="Zone regulations URL"/>
  </x:tableColumns>
  <x:tableStyleInfo name="TableStyleMedium2" showFirstColumn="0" showLastColumn="0" showRowStripes="1" showColumnStripes="0"/>
</x:table>
</file>

<file path=xl/tables/table2.xml><?xml version="1.0" encoding="utf-8"?>
<x:table xmlns:x="http://schemas.openxmlformats.org/spreadsheetml/2006/main" id="3" name="AnnualstockingTable" displayName="AnnualstockingTable" ref="A5:G2169" headerRowCount="1" totalsRowCount="0" totalsRowShown="0">
  <x:autoFilter ref="A5:G2169"/>
  <x:tableColumns count="7">
    <x:tableColumn id="1" name="Waterbody name"/>
    <x:tableColumn id="2" name="Lake ID"/>
    <x:tableColumn id="3" name="Year"/>
    <x:tableColumn id="4" name="Species"/>
    <x:tableColumn id="5" name="Total fish stocked"/>
    <x:tableColumn id="6" name="Stocking events"/>
    <x:tableColumn id="7" name="Lake-year-species"/>
  </x:tableColumns>
  <x:tableStyleInfo name="TableStyleMedium2" showFirstColumn="0" showLastColumn="0" showRowStripes="1" showColumnStripes="0"/>
</x:table>
</file>

<file path=xl/tables/table3.xml><?xml version="1.0" encoding="utf-8"?>
<x:table xmlns:x="http://schemas.openxmlformats.org/spreadsheetml/2006/main" id="2" name="StockingdetailsTable" displayName="StockingdetailsTable" ref="A5:I3307" headerRowCount="1" totalsRowCount="0" totalsRowShown="0">
  <x:autoFilter ref="A5:I3307"/>
  <x:tableColumns count="9">
    <x:tableColumn id="1" name="Waterbody name"/>
    <x:tableColumn id="2" name="Lake ID"/>
    <x:tableColumn id="3" name="Year"/>
    <x:tableColumn id="4" name="Stocking date"/>
    <x:tableColumn id="5" name="Species"/>
    <x:tableColumn id="6" name="Fish stocked"/>
    <x:tableColumn id="7" name="Avg length (cm)"/>
    <x:tableColumn id="8" name="Avg weight (g)"/>
    <x:tableColumn id="9" name="Lake-year-species"/>
  </x:tableColumns>
  <x:tableStyleInfo name="TableStyleMedium2" showFirstColumn="0" showLastColumn="0" showRowStripes="1" showColumnStripes="0"/>
</x:table>
</file>

<file path=xl/tables/table4.xml><?xml version="1.0" encoding="utf-8"?>
<x:table xmlns:x="http://schemas.openxmlformats.org/spreadsheetml/2006/main" id="4" name="PicturesTable" displayName="PicturesTable" ref="A5:D674" headerRowCount="1" totalsRowCount="0" totalsRowShown="0">
  <x:autoFilter ref="A5:D674"/>
  <x:tableColumns count="4">
    <x:tableColumn id="1" name="Waterbody name"/>
    <x:tableColumn id="2" name="Lake ID"/>
    <x:tableColumn id="3" name="Photo caption"/>
    <x:tableColumn id="4" name="Original photo URL"/>
  </x:tableColumns>
  <x:tableStyleInfo name="TableStyleMedium2" showFirstColumn="0" showLastColumn="0" showRowStripes="1" showColumnStripes="0"/>
</x:table>
</file>

<file path=xl/tables/table5.xml><?xml version="1.0" encoding="utf-8"?>
<x:table xmlns:x="http://schemas.openxmlformats.org/spreadsheetml/2006/main" id="5" name="SpeciesoverviewTable" displayName="SpeciesoverviewTable" ref="A5:L351" headerRowCount="1" totalsRowCount="0" totalsRowShown="0">
  <x:autoFilter ref="A5:L351"/>
  <x:tableColumns count="12">
    <x:tableColumn id="1" name="Waterbody name"/>
    <x:tableColumn id="2" name="Lake ID"/>
    <x:tableColumn id="3" name="Stocked species (2021–2026)"/>
    <x:tableColumn id="4" name="Atlas community-listed species"/>
    <x:tableColumn id="5" name="Additional Atlas listings"/>
    <x:tableColumn id="6" name="Match status"/>
    <x:tableColumn id="7" name="Site-disputed species"/>
    <x:tableColumn id="8" name="Atlas waterbody name"/>
    <x:tableColumn id="9" name="Map-point distance (km)"/>
    <x:tableColumn id="10" name="Angler’s Atlas page / candidate"/>
    <x:tableColumn id="11" name="Match notes"/>
    <x:tableColumn id="12" name="Search names used"/>
  </x:tableColumns>
  <x:tableStyleInfo name="TableStyleMedium2" showFirstColumn="0" showLastColumn="0" showRowStripes="1" showColumnStripes="0"/>
</x:table>
</file>

<file path=xl/tables/table6.xml><?xml version="1.0" encoding="utf-8"?>
<x:table xmlns:x="http://schemas.openxmlformats.org/spreadsheetml/2006/main" id="6" name="SpeciesevidenceTable" displayName="SpeciesevidenceTable" ref="A5:J295" headerRowCount="1" totalsRowCount="0" totalsRowShown="0">
  <x:autoFilter ref="A5:J295"/>
  <x:tableColumns count="10">
    <x:tableColumn id="1" name="Waterbody name"/>
    <x:tableColumn id="2" name="Lake ID"/>
    <x:tableColumn id="3" name="Species"/>
    <x:tableColumn id="4" name="Listing status"/>
    <x:tableColumn id="5" name="Agree votes"/>
    <x:tableColumn id="6" name="Disagree votes"/>
    <x:tableColumn id="7" name="Visible confirmation date"/>
    <x:tableColumn id="8" name="Additional to stocking history"/>
    <x:tableColumn id="9" name="Source lake page"/>
    <x:tableColumn id="10" name="Evidence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91df273f8564815" /></Relationships>
</file>

<file path=xl/worksheets/_rels/sheet2.xml.rels>&#65279;<?xml version="1.0" encoding="utf-8"?><Relationships xmlns="http://schemas.openxmlformats.org/package/2006/relationships"><Relationship Type="http://schemas.openxmlformats.org/officeDocument/2006/relationships/table" Target="/xl/tables/table2.xml" Id="R7b2ec965c37043a2" /></Relationships>
</file>

<file path=xl/worksheets/_rels/sheet3.xml.rels>&#65279;<?xml version="1.0" encoding="utf-8"?><Relationships xmlns="http://schemas.openxmlformats.org/package/2006/relationships"><Relationship Type="http://schemas.openxmlformats.org/officeDocument/2006/relationships/table" Target="/xl/tables/table3.xml" Id="Rbeae107b7f31467a" /></Relationships>
</file>

<file path=xl/worksheets/_rels/sheet4.xml.rels>&#65279;<?xml version="1.0" encoding="utf-8"?><Relationships xmlns="http://schemas.openxmlformats.org/package/2006/relationships"><Relationship Type="http://schemas.openxmlformats.org/officeDocument/2006/relationships/table" Target="/xl/tables/table4.xml" Id="R949bbef3e2ca439f" /></Relationships>
</file>

<file path=xl/worksheets/_rels/sheet6.xml.rels>&#65279;<?xml version="1.0" encoding="utf-8"?><Relationships xmlns="http://schemas.openxmlformats.org/package/2006/relationships"><Relationship Type="http://schemas.openxmlformats.org/officeDocument/2006/relationships/table" Target="/xl/tables/table5.xml" Id="Rc730f350ecb2460e" /></Relationships>
</file>

<file path=xl/worksheets/_rels/sheet7.xml.rels>&#65279;<?xml version="1.0" encoding="utf-8"?><Relationships xmlns="http://schemas.openxmlformats.org/package/2006/relationships"><Relationship Type="http://schemas.openxmlformats.org/officeDocument/2006/relationships/table" Target="/xl/tables/table6.xml" Id="R9e45e147fec8404a" /></Relationships>
</file>

<file path=xl/worksheets/sheet1.xml><?xml version="1.0" encoding="utf-8"?>
<x:worksheet xmlns:x="http://schemas.openxmlformats.org/spreadsheetml/2006/main">
  <x:sheetPr>
    <x:tabColor rgb="FF244C69"/>
  </x:sheetPr>
  <x:sheetViews>
    <x:sheetView showGridLines="0" workbookViewId="0">
      <x:pane ySplit="5" topLeftCell="A6" activePane="bottomLeft" state="frozen"/>
    </x:sheetView>
  </x:sheetViews>
  <x:sheetFormatPr defaultRowHeight="15"/>
  <x:cols>
    <x:col min="1" max="1" width="35" hidden="0" customWidth="1"/>
    <x:col min="2" max="2" width="12" hidden="0" customWidth="1"/>
    <x:col min="3" max="3" width="24" hidden="0" customWidth="1"/>
    <x:col min="4" max="4" width="9" hidden="0" customWidth="1"/>
    <x:col min="5" max="5" width="15" hidden="0" customWidth="1"/>
    <x:col min="6" max="6" width="14" hidden="0" customWidth="1"/>
    <x:col min="7" max="7" width="14" hidden="0" customWidth="1"/>
    <x:col min="8" max="8" width="15" hidden="0" customWidth="1"/>
    <x:col min="9" max="9" width="65" hidden="0" customWidth="1"/>
    <x:col min="10" max="10" width="14" hidden="0" customWidth="1"/>
    <x:col min="11" max="11" width="14" hidden="0" customWidth="1"/>
    <x:col min="12" max="12" width="20" hidden="0" customWidth="1"/>
    <x:col min="13" max="13" width="50" hidden="0" customWidth="1"/>
    <x:col min="14" max="14" width="90" hidden="0" customWidth="1"/>
    <x:col min="15" max="15" width="13" hidden="0" customWidth="1"/>
    <x:col min="16" max="16" width="16" hidden="0" customWidth="1"/>
    <x:col min="17" max="17" width="50" hidden="0" customWidth="1"/>
    <x:col min="18" max="18" width="45" hidden="0" customWidth="1"/>
  </x:cols>
  <x:sheetData>
    <x:row r="1">
      <x:c r="A1" s="1"/>
      <x:c r="B1" s="1"/>
      <x:c r="C1" s="1"/>
      <x:c r="D1" s="1"/>
      <x:c r="E1" s="1"/>
      <x:c r="F1" s="1"/>
      <x:c r="G1" s="1"/>
      <x:c r="H1" s="1"/>
      <x:c r="I1" s="1"/>
      <x:c r="J1" s="1"/>
      <x:c r="K1" s="1"/>
      <x:c r="L1" s="1"/>
      <x:c r="M1" s="1"/>
      <x:c r="N1" s="1"/>
      <x:c r="O1" s="1"/>
      <x:c r="P1" s="1"/>
      <x:c r="Q1" s="1"/>
      <x:c r="R1" s="1"/>
    </x:row>
    <x:row r="2">
      <x:c r="A2" s="2" t="str">
        <x:v>Alberta stocked waterbodies</x:v>
      </x:c>
      <x:c r="B2" s="1"/>
      <x:c r="C2" s="1"/>
      <x:c r="D2" s="1"/>
      <x:c r="E2" s="1"/>
      <x:c r="F2" s="1"/>
      <x:c r="G2" s="1"/>
      <x:c r="H2" s="1"/>
      <x:c r="I2" s="1"/>
      <x:c r="J2" s="1"/>
      <x:c r="K2" s="1"/>
      <x:c r="L2" s="1"/>
      <x:c r="M2" s="1"/>
      <x:c r="N2" s="1"/>
      <x:c r="O2" s="1"/>
      <x:c r="P2" s="1"/>
      <x:c r="Q2" s="1"/>
      <x:c r="R2" s="1"/>
    </x:row>
    <x:row r="3">
      <x:c r="A3" s="1" t="str">
        <x:v>346 waterbodies | Retrieved September 11, 2026 | Unknown values are preserved.</x:v>
      </x:c>
      <x:c r="B3" s="1"/>
      <x:c r="C3" s="1"/>
      <x:c r="D3" s="1"/>
      <x:c r="E3" s="1"/>
      <x:c r="F3" s="1"/>
      <x:c r="G3" s="1"/>
      <x:c r="H3" s="1"/>
      <x:c r="I3" s="1"/>
      <x:c r="J3" s="1"/>
      <x:c r="K3" s="1"/>
      <x:c r="L3" s="1"/>
      <x:c r="M3" s="1"/>
      <x:c r="N3" s="1"/>
      <x:c r="O3" s="1"/>
      <x:c r="P3" s="1"/>
      <x:c r="Q3" s="1"/>
      <x:c r="R3" s="1"/>
    </x:row>
    <x:row r="4">
      <x:c r="A4" s="1"/>
      <x:c r="B4" s="1"/>
      <x:c r="C4" s="1"/>
      <x:c r="D4" s="1"/>
      <x:c r="E4" s="1"/>
      <x:c r="F4" s="1"/>
      <x:c r="G4" s="1"/>
      <x:c r="H4" s="1"/>
      <x:c r="I4" s="1"/>
      <x:c r="J4" s="1"/>
      <x:c r="K4" s="1"/>
      <x:c r="L4" s="1"/>
      <x:c r="M4" s="1"/>
      <x:c r="N4" s="1"/>
      <x:c r="O4" s="1"/>
      <x:c r="P4" s="1"/>
      <x:c r="Q4" s="1"/>
      <x:c r="R4" s="1"/>
    </x:row>
    <x:row r="5" ht="32" customHeight="1">
      <x:c r="A5" s="7" t="str">
        <x:v>Waterbody name</x:v>
      </x:c>
      <x:c r="B5" s="7" t="str">
        <x:v>Lake ID</x:v>
      </x:c>
      <x:c r="C5" s="7" t="str">
        <x:v>District</x:v>
      </x:c>
      <x:c r="D5" s="7" t="str">
        <x:v>Zone</x:v>
      </x:c>
      <x:c r="E5" s="7" t="str">
        <x:v>Surface area (ha)</x:v>
      </x:c>
      <x:c r="F5" s="7" t="str">
        <x:v>Max depth (m)</x:v>
      </x:c>
      <x:c r="G5" s="7" t="str">
        <x:v>Mean depth (m)</x:v>
      </x:c>
      <x:c r="H5" s="7" t="str">
        <x:v>Aerated</x:v>
      </x:c>
      <x:c r="I5" s="7" t="str">
        <x:v>Aeration evidence / notes</x:v>
      </x:c>
      <x:c r="J5" s="7" t="str">
        <x:v>Latitude</x:v>
      </x:c>
      <x:c r="K5" s="7" t="str">
        <x:v>Longitude</x:v>
      </x:c>
      <x:c r="L5" s="7" t="str">
        <x:v>ATS</x:v>
      </x:c>
      <x:c r="M5" s="7" t="str">
        <x:v>Amenities</x:v>
      </x:c>
      <x:c r="N5" s="7" t="str">
        <x:v>Description</x:v>
      </x:c>
      <x:c r="O5" s="7" t="str">
        <x:v>Photo count</x:v>
      </x:c>
      <x:c r="P5" s="7" t="str">
        <x:v>Stocking records</x:v>
      </x:c>
      <x:c r="Q5" s="7" t="str">
        <x:v>Directions URL</x:v>
      </x:c>
      <x:c r="R5" s="7" t="str">
        <x:v>Zone regulations URL</x:v>
      </x:c>
    </x:row>
    <x:row r="6" ht="72" customHeight="1">
      <x:c r="A6" s="8" t="str">
        <x:v>Acadia Valley Reservoir</x:v>
      </x:c>
      <x:c r="B6" s="8" t="str">
        <x:v>6900</x:v>
      </x:c>
      <x:c r="C6" s="8" t="str">
        <x:v>Oyen</x:v>
      </x:c>
      <x:c r="D6" s="8" t="str">
        <x:v>PP2</x:v>
      </x:c>
      <x:c r="E6" s="16" t="n">
        <x:v>13.2</x:v>
      </x:c>
      <x:c r="F6" s="16" t="str">
        <x:v>Unknown</x:v>
      </x:c>
      <x:c r="G6" s="16" t="str">
        <x:v>Unknown</x:v>
      </x:c>
      <x:c r="H6" s="17" t="str">
        <x:v>Not stated</x:v>
      </x:c>
      <x:c r="I6" s="11" t="str">
        <x:v>Not stated on map.</x:v>
      </x:c>
      <x:c r="J6" s="10" t="n">
        <x:v>51.0993</x:v>
      </x:c>
      <x:c r="K6" s="10" t="n">
        <x:v>-110.2552</x:v>
      </x:c>
      <x:c r="L6" s="8" t="str">
        <x:v>SW5-25-2-W4</x:v>
      </x:c>
      <x:c r="M6" s="11" t="str">
        <x:v>Camping; Picnic; Playground; Boat Launch; Toilets</x:v>
      </x:c>
      <x:c r="N6" s="11" t="str">
        <x:v>Acadia Valley offers a family-friendly summer camping experience, featuring a group cooking shelter, vault toilets, and recreational fishing opportunities. Please note that gas-powered motors are prohibited on the waterbody to preserve the area's natural environment and ensure a peaceful setting for all visitors.</x:v>
      </x:c>
      <x:c r="O6" s="8" t="n">
        <x:v>5</x:v>
      </x:c>
      <x:c r="P6" s="8" t="n">
        <x:v>15</x:v>
      </x:c>
      <x:c r="Q6" s="8" t="str">
        <x:v>https://www.google.com/maps/dir/?api=1&amp;destination=51.09931599999999,-110.25524</x:v>
      </x:c>
      <x:c r="R6" s="8" t="str">
        <x:v>https://albertaregulations.ca/fishingregs/pp2.html</x:v>
      </x:c>
    </x:row>
    <x:row r="7" ht="72" customHeight="1">
      <x:c r="A7" s="8" t="str">
        <x:v>Alexander Hamilton Pond</x:v>
      </x:c>
      <x:c r="B7" s="8" t="str">
        <x:v>19760</x:v>
      </x:c>
      <x:c r="C7" s="8" t="str">
        <x:v>Lac La Biche</x:v>
      </x:c>
      <x:c r="D7" s="8" t="str">
        <x:v>NB1</x:v>
      </x:c>
      <x:c r="E7" s="16" t="n">
        <x:v>1.9</x:v>
      </x:c>
      <x:c r="F7" s="16" t="str">
        <x:v>Unknown</x:v>
      </x:c>
      <x:c r="G7" s="16" t="str">
        <x:v>Unknown</x:v>
      </x:c>
      <x:c r="H7" s="17" t="str">
        <x:v>Not stated</x:v>
      </x:c>
      <x:c r="I7" s="11" t="str">
        <x:v>Not stated on map.</x:v>
      </x:c>
      <x:c r="J7" s="10" t="n">
        <x:v>54.7755</x:v>
      </x:c>
      <x:c r="K7" s="10" t="n">
        <x:v>-111.9533</x:v>
      </x:c>
      <x:c r="L7" s="8" t="str">
        <x:v>NW5-67-13-W4</x:v>
      </x:c>
      <x:c r="M7" s="11" t="str">
        <x:v>Retail/Services</x:v>
      </x:c>
      <x:c r="N7" s="11" t="str">
        <x:v>The park contains a picnic shelter and a pond stocked with trout for fishing . The park has also been designated as an off-leash area for dogs, so park users and their four-legged companions can have fun for the day. | Amenities notes: This waterbody is located in Lac La Biche</x:v>
      </x:c>
      <x:c r="O7" s="8" t="n">
        <x:v>16</x:v>
      </x:c>
      <x:c r="P7" s="8" t="n">
        <x:v>11</x:v>
      </x:c>
      <x:c r="Q7" s="8" t="str">
        <x:v>https://www.google.com/maps/dir/?api=1&amp;destination=54.775532,-111.953265</x:v>
      </x:c>
      <x:c r="R7" s="8" t="str">
        <x:v>https://albertaregulations.ca/fishingregs/nb1.html</x:v>
      </x:c>
    </x:row>
    <x:row r="8" ht="102" customHeight="1">
      <x:c r="A8" s="8" t="str">
        <x:v>Alford Lake</x:v>
      </x:c>
      <x:c r="B8" s="8" t="str">
        <x:v>3899</x:v>
      </x:c>
      <x:c r="C8" s="8" t="str">
        <x:v>Rocky Mountain House</x:v>
      </x:c>
      <x:c r="D8" s="8" t="str">
        <x:v>ES2</x:v>
      </x:c>
      <x:c r="E8" s="16" t="n">
        <x:v>4.9</x:v>
      </x:c>
      <x:c r="F8" s="16" t="str">
        <x:v>Unknown</x:v>
      </x:c>
      <x:c r="G8" s="16" t="str">
        <x:v>Unknown</x:v>
      </x:c>
      <x:c r="H8" s="17" t="str">
        <x:v>Not stated</x:v>
      </x:c>
      <x:c r="I8" s="11" t="str">
        <x:v>Not stated on map.</x:v>
      </x:c>
      <x:c r="J8" s="10" t="n">
        <x:v>52.0635</x:v>
      </x:c>
      <x:c r="K8" s="10" t="n">
        <x:v>-115.0922</x:v>
      </x:c>
      <x:c r="L8" s="8" t="str">
        <x:v>SW4-36-8-W5</x:v>
      </x:c>
      <x:c r="M8" s="11" t="str"/>
      <x:c r="N8" s="11" t="str">
        <x:v>Alford Lake borders the Conservation Education Centre for Excellence, established in 1974 to provide youth-focused wildlife conservation education. The centre offers hands-on programs that immerse students in outdoor experiences, helping them develop essential survival skills and environmental awareness. On the opposite side of the lake, a designated public fishing area is available, complete with a small picnic site—ideal for enjoying a relaxing day by the water.</x:v>
      </x:c>
      <x:c r="O8" s="8" t="n">
        <x:v>2</x:v>
      </x:c>
      <x:c r="P8" s="8" t="n">
        <x:v>9</x:v>
      </x:c>
      <x:c r="Q8" s="8" t="str">
        <x:v>https://www.google.com/maps/dir/?api=1&amp;destination=52.063523,-115.092202</x:v>
      </x:c>
      <x:c r="R8" s="8" t="str">
        <x:v>https://albertaregulations.ca/fishingregs/es2.html</x:v>
      </x:c>
    </x:row>
    <x:row r="9" ht="87" customHeight="1">
      <x:c r="A9" s="8" t="str">
        <x:v>Allison Lake</x:v>
      </x:c>
      <x:c r="B9" s="8" t="str">
        <x:v>6902</x:v>
      </x:c>
      <x:c r="C9" s="8" t="str">
        <x:v>Blairmore</x:v>
      </x:c>
      <x:c r="D9" s="8" t="str">
        <x:v>ES1</x:v>
      </x:c>
      <x:c r="E9" s="16" t="n">
        <x:v>2.7</x:v>
      </x:c>
      <x:c r="F9" s="16" t="n">
        <x:v>4</x:v>
      </x:c>
      <x:c r="G9" s="16" t="str">
        <x:v>Unknown</x:v>
      </x:c>
      <x:c r="H9" s="17" t="str">
        <x:v>Not stated</x:v>
      </x:c>
      <x:c r="I9" s="11" t="str">
        <x:v>Not stated on map.</x:v>
      </x:c>
      <x:c r="J9" s="10" t="n">
        <x:v>49.6723</x:v>
      </x:c>
      <x:c r="K9" s="10" t="n">
        <x:v>-114.6041</x:v>
      </x:c>
      <x:c r="L9" s="8" t="str">
        <x:v>SW27-8-5-W5</x:v>
      </x:c>
      <x:c r="M9" s="11" t="str">
        <x:v>Camping; Beach; Boat Launch; Water; Firewood; Picnic; Shelter; Day Use</x:v>
      </x:c>
      <x:c r="N9" s="11" t="str">
        <x:v>Allison Lake is one of the most popular camping destinations in the Crowsnest Pass region. The area features an extensive network of trails and a spacious day-use area, making it ideal for both recreation and relaxation. Campers have the option to set up near the lakeshore or choose secluded sites nestled within the forest for a more immersive natural experience.</x:v>
      </x:c>
      <x:c r="O9" s="8" t="n">
        <x:v>3</x:v>
      </x:c>
      <x:c r="P9" s="8" t="n">
        <x:v>10</x:v>
      </x:c>
      <x:c r="Q9" s="8" t="str">
        <x:v>https://www.google.com/maps/dir/?api=1&amp;destination=49.672284,-114.604063</x:v>
      </x:c>
      <x:c r="R9" s="8" t="str">
        <x:v>https://albertaregulations.ca/fishingregs/es1.html</x:v>
      </x:c>
    </x:row>
    <x:row r="10" ht="72" customHeight="1">
      <x:c r="A10" s="8" t="str">
        <x:v>Allstones Lake</x:v>
      </x:c>
      <x:c r="B10" s="8" t="str">
        <x:v>3909</x:v>
      </x:c>
      <x:c r="C10" s="8" t="str">
        <x:v>Nordegg</x:v>
      </x:c>
      <x:c r="D10" s="8" t="str">
        <x:v>ES2</x:v>
      </x:c>
      <x:c r="E10" s="16" t="n">
        <x:v>3.5</x:v>
      </x:c>
      <x:c r="F10" s="16" t="str">
        <x:v>Unknown</x:v>
      </x:c>
      <x:c r="G10" s="16" t="str">
        <x:v>Unknown</x:v>
      </x:c>
      <x:c r="H10" s="17" t="str">
        <x:v>Not stated</x:v>
      </x:c>
      <x:c r="I10" s="11" t="str">
        <x:v>Not stated on map.</x:v>
      </x:c>
      <x:c r="J10" s="10" t="n">
        <x:v>52.3031</x:v>
      </x:c>
      <x:c r="K10" s="10" t="n">
        <x:v>-116.4186</x:v>
      </x:c>
      <x:c r="L10" s="8" t="str">
        <x:v>NW30-38-17-W5</x:v>
      </x:c>
      <x:c r="M10" s="11" t="str">
        <x:v>Toilets; Camping</x:v>
      </x:c>
      <x:c r="N10" s="11" t="str">
        <x:v>Allstones Lake Trail is a moderately trafficked 62-mile backcountry route located near Nordegg. The trail is best accessed between April and October, offering scenic views and a rewarding hike to the lake. Dogs are permitted on the trail but must be kept on a leash at all times to ensure safety and environmental protection.</x:v>
      </x:c>
      <x:c r="O10" s="8" t="n">
        <x:v>0</x:v>
      </x:c>
      <x:c r="P10" s="8" t="n">
        <x:v>3</x:v>
      </x:c>
      <x:c r="Q10" s="8" t="str">
        <x:v>https://www.google.com/maps/dir/?api=1&amp;destination=52.303119,-116.418572</x:v>
      </x:c>
      <x:c r="R10" s="8" t="str">
        <x:v>https://albertaregulations.ca/fishingregs/es2.html</x:v>
      </x:c>
    </x:row>
    <x:row r="11" ht="87" customHeight="1">
      <x:c r="A11" s="8" t="str">
        <x:v>Anderson Dam</x:v>
      </x:c>
      <x:c r="B11" s="8" t="str">
        <x:v>17894</x:v>
      </x:c>
      <x:c r="C11" s="8" t="str">
        <x:v>Drumheller</x:v>
      </x:c>
      <x:c r="D11" s="8" t="str">
        <x:v>PP2</x:v>
      </x:c>
      <x:c r="E11" s="16" t="n">
        <x:v>2</x:v>
      </x:c>
      <x:c r="F11" s="16" t="str">
        <x:v>Unknown</x:v>
      </x:c>
      <x:c r="G11" s="16" t="str">
        <x:v>Unknown</x:v>
      </x:c>
      <x:c r="H11" s="17" t="str">
        <x:v>Not stated</x:v>
      </x:c>
      <x:c r="I11" s="11" t="str">
        <x:v>Not stated on map.</x:v>
      </x:c>
      <x:c r="J11" s="10" t="n">
        <x:v>51.4199</x:v>
      </x:c>
      <x:c r="K11" s="10" t="n">
        <x:v>-112.8384</x:v>
      </x:c>
      <x:c r="L11" s="8" t="str">
        <x:v>SW25-28-21-W4</x:v>
      </x:c>
      <x:c r="M11" s="11" t="str">
        <x:v>Day Use</x:v>
      </x:c>
      <x:c r="N11" s="11" t="str">
        <x:v>Anderson Dam is a popular destination for a relaxing afternoon of fishing and nature enjoyment. The pond is annually stocked with trout by the Alberta Conservation Association (ACA), enhancing angling opportunities for visitors. The shoreline is lined with willows and Saskatoon shrubs, which offer seasonal berry picking for those exploring the area. | Amenities notes: no open fires; foot access only.</x:v>
      </x:c>
      <x:c r="O11" s="8" t="n">
        <x:v>0</x:v>
      </x:c>
      <x:c r="P11" s="8" t="n">
        <x:v>4</x:v>
      </x:c>
      <x:c r="Q11" s="8" t="str">
        <x:v>https://www.google.com/maps/dir/?api=1&amp;destination=51.419906,-112.838356</x:v>
      </x:c>
      <x:c r="R11" s="8" t="str">
        <x:v>https://albertaregulations.ca/fishingregs/pp2.html</x:v>
      </x:c>
    </x:row>
    <x:row r="12" ht="42" customHeight="1">
      <x:c r="A12" s="8" t="str">
        <x:v>Ardmore Community Pond</x:v>
      </x:c>
      <x:c r="B12" s="8" t="str">
        <x:v>21353</x:v>
      </x:c>
      <x:c r="C12" s="8" t="str">
        <x:v>Cold Lake</x:v>
      </x:c>
      <x:c r="D12" s="8" t="str">
        <x:v>NB1</x:v>
      </x:c>
      <x:c r="E12" s="16" t="n">
        <x:v>4</x:v>
      </x:c>
      <x:c r="F12" s="16" t="str">
        <x:v>Unknown</x:v>
      </x:c>
      <x:c r="G12" s="16" t="str">
        <x:v>Unknown</x:v>
      </x:c>
      <x:c r="H12" s="17" t="str">
        <x:v>Not stated</x:v>
      </x:c>
      <x:c r="I12" s="11" t="str">
        <x:v>Not stated on map.</x:v>
      </x:c>
      <x:c r="J12" s="10" t="n">
        <x:v>54.34</x:v>
      </x:c>
      <x:c r="K12" s="10" t="n">
        <x:v>-110.4792</x:v>
      </x:c>
      <x:c r="L12" s="8" t="str">
        <x:v>NW1-62-4-W4</x:v>
      </x:c>
      <x:c r="M12" s="11" t="str"/>
      <x:c r="N12" s="11" t="str">
        <x:v>Ardmore Pond is a quiet small pond on the north side of the community of Ardmore, this small, but peaceful pond is perfect for a lazy day of shore fishing.</x:v>
      </x:c>
      <x:c r="O12" s="8" t="n">
        <x:v>1</x:v>
      </x:c>
      <x:c r="P12" s="8" t="n">
        <x:v>8</x:v>
      </x:c>
      <x:c r="Q12" s="8" t="str">
        <x:v>https://www.google.com/maps/dir/?api=1&amp;destination=54.339952,-110.479159</x:v>
      </x:c>
      <x:c r="R12" s="8" t="str">
        <x:v>https://albertaregulations.ca/fishingregs/nb1.html</x:v>
      </x:c>
    </x:row>
    <x:row r="13" ht="57" customHeight="1">
      <x:c r="A13" s="8" t="str">
        <x:v>Ashland Reservoir</x:v>
      </x:c>
      <x:c r="B13" s="8" t="str">
        <x:v>6903</x:v>
      </x:c>
      <x:c r="C13" s="8" t="str">
        <x:v>Wetaskiwin</x:v>
      </x:c>
      <x:c r="D13" s="8" t="str">
        <x:v>PP2</x:v>
      </x:c>
      <x:c r="E13" s="16" t="n">
        <x:v>11.2</x:v>
      </x:c>
      <x:c r="F13" s="16" t="n">
        <x:v>6</x:v>
      </x:c>
      <x:c r="G13" s="16" t="str">
        <x:v>Unknown</x:v>
      </x:c>
      <x:c r="H13" s="17" t="str">
        <x:v>Not stated</x:v>
      </x:c>
      <x:c r="I13" s="11" t="str">
        <x:v>Not stated on map.</x:v>
      </x:c>
      <x:c r="J13" s="10" t="n">
        <x:v>53.1474</x:v>
      </x:c>
      <x:c r="K13" s="10" t="n">
        <x:v>-114.41</x:v>
      </x:c>
      <x:c r="L13" s="8" t="str">
        <x:v>NW17-48-3-W5</x:v>
      </x:c>
      <x:c r="M13" s="11" t="str">
        <x:v>Camping; Fire Pits; Firewood; Picnic; Playground</x:v>
      </x:c>
      <x:c r="N13" s="11" t="str">
        <x:v>Ashland features 21 campsites, all of which are suitable for RVs. Visitors are encouraged to explore the nearby waterbody, which offers excellent opportunities for trout fishing and a peaceful outdoor experience.</x:v>
      </x:c>
      <x:c r="O13" s="8" t="n">
        <x:v>3</x:v>
      </x:c>
      <x:c r="P13" s="8" t="n">
        <x:v>9</x:v>
      </x:c>
      <x:c r="Q13" s="8" t="str">
        <x:v>https://www.google.com/maps/dir/?api=1&amp;destination=53.147371,-114.409999</x:v>
      </x:c>
      <x:c r="R13" s="8" t="str">
        <x:v>https://albertaregulations.ca/fishingregs/pp2.html</x:v>
      </x:c>
    </x:row>
    <x:row r="14" ht="72" customHeight="1">
      <x:c r="A14" s="8" t="str">
        <x:v>Aster Lake</x:v>
      </x:c>
      <x:c r="B14" s="8" t="str">
        <x:v>3948</x:v>
      </x:c>
      <x:c r="C14" s="8" t="str">
        <x:v>Canmore</x:v>
      </x:c>
      <x:c r="D14" s="8" t="str">
        <x:v>ES1</x:v>
      </x:c>
      <x:c r="E14" s="16" t="n">
        <x:v>1.8</x:v>
      </x:c>
      <x:c r="F14" s="16" t="str">
        <x:v>Unknown</x:v>
      </x:c>
      <x:c r="G14" s="16" t="str">
        <x:v>Unknown</x:v>
      </x:c>
      <x:c r="H14" s="17" t="str">
        <x:v>Not stated</x:v>
      </x:c>
      <x:c r="I14" s="11" t="str">
        <x:v>Not stated on map.</x:v>
      </x:c>
      <x:c r="J14" s="10" t="n">
        <x:v>50.5776</x:v>
      </x:c>
      <x:c r="K14" s="10" t="n">
        <x:v>-115.2105</x:v>
      </x:c>
      <x:c r="L14" s="8" t="str">
        <x:v>SE5-19-9-W5</x:v>
      </x:c>
      <x:c r="M14" s="11" t="str">
        <x:v>Toilets</x:v>
      </x:c>
      <x:c r="N14" s="11" t="str">
        <x:v>This trail is considered challenging and is recommended for experienced hikers only due to its steep and rugged terrain. Those making the climb to the campground are encouraged to bring a fishing rod and take advantage of the opportunity to fish in the nearby waterbody. | Amenities notes: bear boxes for security.</x:v>
      </x:c>
      <x:c r="O14" s="8" t="n">
        <x:v>2</x:v>
      </x:c>
      <x:c r="P14" s="8" t="n">
        <x:v>2</x:v>
      </x:c>
      <x:c r="Q14" s="8" t="str">
        <x:v>https://www.google.com/maps/dir/?api=1&amp;destination=50.577603,-115.210545</x:v>
      </x:c>
      <x:c r="R14" s="8" t="str">
        <x:v>https://albertaregulations.ca/fishingregs/es1.html</x:v>
      </x:c>
    </x:row>
    <x:row r="15" ht="57" customHeight="1">
      <x:c r="A15" s="8" t="str">
        <x:v>Atlantic Richfield Reservoir</x:v>
      </x:c>
      <x:c r="B15" s="8" t="str">
        <x:v>6904</x:v>
      </x:c>
      <x:c r="C15" s="8" t="str">
        <x:v>High Prairie</x:v>
      </x:c>
      <x:c r="D15" s="8" t="str">
        <x:v>NB2</x:v>
      </x:c>
      <x:c r="E15" s="16" t="n">
        <x:v>5.3</x:v>
      </x:c>
      <x:c r="F15" s="16" t="str">
        <x:v>Unknown</x:v>
      </x:c>
      <x:c r="G15" s="16" t="str">
        <x:v>Unknown</x:v>
      </x:c>
      <x:c r="H15" s="17" t="str">
        <x:v>Not stated</x:v>
      </x:c>
      <x:c r="I15" s="11" t="str">
        <x:v>Not stated on map.</x:v>
      </x:c>
      <x:c r="J15" s="10" t="n">
        <x:v>54.8324</x:v>
      </x:c>
      <x:c r="K15" s="10" t="n">
        <x:v>-115.3267</x:v>
      </x:c>
      <x:c r="L15" s="8" t="str">
        <x:v>NE29-67-9-W5</x:v>
      </x:c>
      <x:c r="M15" s="11" t="str"/>
      <x:c r="N15" s="11" t="str">
        <x:v>The reservoir offers a peaceful setting for a day of fishing or relaxation. Anglers can try their luck fishing for stocked trout, while visitors looking to unwind can enjoy the surrounding natural beauty with a picnic by the water.</x:v>
      </x:c>
      <x:c r="O15" s="8" t="n">
        <x:v>1</x:v>
      </x:c>
      <x:c r="P15" s="8" t="n">
        <x:v>7</x:v>
      </x:c>
      <x:c r="Q15" s="8" t="str">
        <x:v>https://www.google.com/maps/dir/?api=1&amp;destination=54.83238799999999,-115.326749</x:v>
      </x:c>
      <x:c r="R15" s="8" t="str">
        <x:v>https://albertaregulations.ca/fishingregs/nb2.html</x:v>
      </x:c>
    </x:row>
    <x:row r="16" ht="32" customHeight="1">
      <x:c r="A16" s="8" t="str">
        <x:v>Badger Lake Reservoir</x:v>
      </x:c>
      <x:c r="B16" s="8" t="str">
        <x:v>3959</x:v>
      </x:c>
      <x:c r="C16" s="8" t="str">
        <x:v>Vulcan</x:v>
      </x:c>
      <x:c r="D16" s="8" t="str">
        <x:v>Not stated</x:v>
      </x:c>
      <x:c r="E16" s="16" t="str">
        <x:v>Unknown</x:v>
      </x:c>
      <x:c r="F16" s="16" t="str">
        <x:v>Unknown</x:v>
      </x:c>
      <x:c r="G16" s="16" t="str">
        <x:v>Unknown</x:v>
      </x:c>
      <x:c r="H16" s="17" t="str">
        <x:v>Not stated</x:v>
      </x:c>
      <x:c r="I16" s="11" t="str">
        <x:v>Not stated on map.</x:v>
      </x:c>
      <x:c r="J16" s="10" t="n">
        <x:v>50.3887</x:v>
      </x:c>
      <x:c r="K16" s="10" t="n">
        <x:v>-112.4591</x:v>
      </x:c>
      <x:c r="L16" s="8" t="str">
        <x:v>SE31-16-18-W4</x:v>
      </x:c>
      <x:c r="M16" s="11" t="str"/>
      <x:c r="N16" s="11" t="str">
        <x:v>No description available.</x:v>
      </x:c>
      <x:c r="O16" s="8" t="n">
        <x:v>0</x:v>
      </x:c>
      <x:c r="P16" s="8" t="n">
        <x:v>1</x:v>
      </x:c>
      <x:c r="Q16" s="8" t="str">
        <x:v>https://www.google.com/maps/dir/?api=1&amp;destination=50.388698,-112.459145</x:v>
      </x:c>
      <x:c r="R16" s="8" t="str"/>
    </x:row>
    <x:row r="17" ht="57" customHeight="1">
      <x:c r="A17" s="8" t="str">
        <x:v>Bashaw Pond</x:v>
      </x:c>
      <x:c r="B17" s="8" t="str">
        <x:v>6905</x:v>
      </x:c>
      <x:c r="C17" s="8" t="str">
        <x:v>Ponoka</x:v>
      </x:c>
      <x:c r="D17" s="8" t="str">
        <x:v>PP2</x:v>
      </x:c>
      <x:c r="E17" s="16" t="n">
        <x:v>12</x:v>
      </x:c>
      <x:c r="F17" s="16" t="str">
        <x:v>Unknown</x:v>
      </x:c>
      <x:c r="G17" s="16" t="str">
        <x:v>Unknown</x:v>
      </x:c>
      <x:c r="H17" s="17" t="str">
        <x:v>Not stated</x:v>
      </x:c>
      <x:c r="I17" s="11" t="str">
        <x:v>Not stated on map.</x:v>
      </x:c>
      <x:c r="J17" s="10" t="n">
        <x:v>52.5811</x:v>
      </x:c>
      <x:c r="K17" s="10" t="n">
        <x:v>-112.9665</x:v>
      </x:c>
      <x:c r="L17" s="8" t="str">
        <x:v>SE4-42-21-W4</x:v>
      </x:c>
      <x:c r="M17" s="11" t="str">
        <x:v>Day Use</x:v>
      </x:c>
      <x:c r="N17" s="11" t="str">
        <x:v>The pond is stocked with rainbow trout every spring. This particular pond is included under the Enhanced Fish Stocking Program which is run and coordinated by the Alberta Conservation Association. | Amenities notes: no open fires; foot access only.</x:v>
      </x:c>
      <x:c r="O17" s="8" t="n">
        <x:v>0</x:v>
      </x:c>
      <x:c r="P17" s="8" t="n">
        <x:v>12</x:v>
      </x:c>
      <x:c r="Q17" s="8" t="str">
        <x:v>https://www.google.com/maps/dir/?api=1&amp;destination=52.581079,-112.96650700000001</x:v>
      </x:c>
      <x:c r="R17" s="8" t="str">
        <x:v>https://albertaregulations.ca/fishingregs/pp2.html</x:v>
      </x:c>
    </x:row>
    <x:row r="18" ht="72" customHeight="1">
      <x:c r="A18" s="8" t="str">
        <x:v>Bathing Lake</x:v>
      </x:c>
      <x:c r="B18" s="8" t="str">
        <x:v>6892</x:v>
      </x:c>
      <x:c r="C18" s="8" t="str">
        <x:v>Pincher Creek</x:v>
      </x:c>
      <x:c r="D18" s="8" t="str">
        <x:v>ES1</x:v>
      </x:c>
      <x:c r="E18" s="16" t="n">
        <x:v>5.6</x:v>
      </x:c>
      <x:c r="F18" s="16" t="n">
        <x:v>21</x:v>
      </x:c>
      <x:c r="G18" s="16" t="n">
        <x:v>6</x:v>
      </x:c>
      <x:c r="H18" s="17" t="str">
        <x:v>Not stated</x:v>
      </x:c>
      <x:c r="I18" s="11" t="str">
        <x:v>Not stated on map.</x:v>
      </x:c>
      <x:c r="J18" s="10" t="n">
        <x:v>49.2788</x:v>
      </x:c>
      <x:c r="K18" s="10" t="n">
        <x:v>-114.0247</x:v>
      </x:c>
      <x:c r="L18" s="8" t="str">
        <x:v>SE11-4-1-W5</x:v>
      </x:c>
      <x:c r="M18" s="11" t="str">
        <x:v>Parking; Toilets</x:v>
      </x:c>
      <x:c r="N18" s="11" t="str">
        <x:v>Bathing Lake is located within Castle Provincial Park and Castle Wildland Provincial Park, nestled in the foothills of the Rocky Mountains. Its remote and scenic setting offers visitors a peaceful retreat surrounded by natural beauty, making it an ideal destination for outdoor recreation and relaxation.</x:v>
      </x:c>
      <x:c r="O18" s="8" t="n">
        <x:v>1</x:v>
      </x:c>
      <x:c r="P18" s="8" t="n">
        <x:v>7</x:v>
      </x:c>
      <x:c r="Q18" s="8" t="str">
        <x:v>https://www.google.com/maps/dir/?api=1&amp;destination=49.278825,-114.024744</x:v>
      </x:c>
      <x:c r="R18" s="8" t="str">
        <x:v>https://albertaregulations.ca/fishingregs/es1.html</x:v>
      </x:c>
    </x:row>
    <x:row r="19" ht="72" customHeight="1">
      <x:c r="A19" s="8" t="str">
        <x:v>Bear Pond</x:v>
      </x:c>
      <x:c r="B19" s="8" t="str">
        <x:v>4005</x:v>
      </x:c>
      <x:c r="C19" s="8" t="str">
        <x:v>Canmore</x:v>
      </x:c>
      <x:c r="D19" s="8" t="str">
        <x:v>ES1</x:v>
      </x:c>
      <x:c r="E19" s="16" t="n">
        <x:v>3.3</x:v>
      </x:c>
      <x:c r="F19" s="16" t="n">
        <x:v>10.3</x:v>
      </x:c>
      <x:c r="G19" s="16" t="str">
        <x:v>Unknown</x:v>
      </x:c>
      <x:c r="H19" s="17" t="str">
        <x:v>Not stated</x:v>
      </x:c>
      <x:c r="I19" s="11" t="str">
        <x:v>Not stated on map.</x:v>
      </x:c>
      <x:c r="J19" s="10" t="n">
        <x:v>50.2185</x:v>
      </x:c>
      <x:c r="K19" s="10" t="n">
        <x:v>-114.43</x:v>
      </x:c>
      <x:c r="L19" s="8" t="str">
        <x:v>NW36-14-4-W5</x:v>
      </x:c>
      <x:c r="M19" s="11" t="str"/>
      <x:c r="N19" s="11" t="str">
        <x:v>Bear Pond Trail is an 18-kilometre out-and-back route accessible via the Iron Creek Mountain Trail, located near Longview. Suitable for hikers of all skill levels, the trail is best used from May through November. Dogs are permitted but must be kept on a leash at all times to ensure safety and environmental protection.</x:v>
      </x:c>
      <x:c r="O19" s="8" t="n">
        <x:v>0</x:v>
      </x:c>
      <x:c r="P19" s="8" t="n">
        <x:v>6</x:v>
      </x:c>
      <x:c r="Q19" s="8" t="str">
        <x:v>https://www.google.com/maps/dir/?api=1&amp;destination=50.218457,-114.430019</x:v>
      </x:c>
      <x:c r="R19" s="8" t="str">
        <x:v>https://albertaregulations.ca/fishingregs/es1.html</x:v>
      </x:c>
    </x:row>
    <x:row r="20" ht="57" customHeight="1">
      <x:c r="A20" s="8" t="str">
        <x:v>Beaumont Pond</x:v>
      </x:c>
      <x:c r="B20" s="8" t="str">
        <x:v>6893</x:v>
      </x:c>
      <x:c r="C20" s="8" t="str">
        <x:v>Wetaskiwin</x:v>
      </x:c>
      <x:c r="D20" s="8" t="str">
        <x:v>PP2</x:v>
      </x:c>
      <x:c r="E20" s="16" t="n">
        <x:v>5.8</x:v>
      </x:c>
      <x:c r="F20" s="16" t="str">
        <x:v>Unknown</x:v>
      </x:c>
      <x:c r="G20" s="16" t="str">
        <x:v>Unknown</x:v>
      </x:c>
      <x:c r="H20" s="17" t="str">
        <x:v>Not stated</x:v>
      </x:c>
      <x:c r="I20" s="11" t="str">
        <x:v>Not stated on map.</x:v>
      </x:c>
      <x:c r="J20" s="10" t="n">
        <x:v>53.3465</x:v>
      </x:c>
      <x:c r="K20" s="10" t="n">
        <x:v>-113.4305</x:v>
      </x:c>
      <x:c r="L20" s="8" t="str">
        <x:v>NW27-50-24-W4</x:v>
      </x:c>
      <x:c r="M20" s="11" t="str"/>
      <x:c r="N20" s="11" t="str">
        <x:v>This small, local pond offers a quiet setting for recreational fishing, with the possibility of catching perch and stocked trout. Its accessible location and peaceful atmosphere make it a great spot for anglers of all experience levels.</x:v>
      </x:c>
      <x:c r="O20" s="8" t="n">
        <x:v>0</x:v>
      </x:c>
      <x:c r="P20" s="8" t="n">
        <x:v>18</x:v>
      </x:c>
      <x:c r="Q20" s="8" t="str">
        <x:v>https://www.google.com/maps/dir/?api=1&amp;destination=53.34648199999999,-113.430512</x:v>
      </x:c>
      <x:c r="R20" s="8" t="str">
        <x:v>https://albertaregulations.ca/fishingregs/pp2.html</x:v>
      </x:c>
    </x:row>
    <x:row r="21" ht="72" customHeight="1">
      <x:c r="A21" s="8" t="str">
        <x:v>Beauvais Lake</x:v>
      </x:c>
      <x:c r="B21" s="8" t="str">
        <x:v>4011</x:v>
      </x:c>
      <x:c r="C21" s="8" t="str">
        <x:v>Pincher Creek</x:v>
      </x:c>
      <x:c r="D21" s="8" t="str">
        <x:v>ES1</x:v>
      </x:c>
      <x:c r="E21" s="16" t="n">
        <x:v>82.8</x:v>
      </x:c>
      <x:c r="F21" s="16" t="n">
        <x:v>10.7</x:v>
      </x:c>
      <x:c r="G21" s="16" t="str">
        <x:v>Unknown</x:v>
      </x:c>
      <x:c r="H21" s="17" t="str">
        <x:v>Not stated</x:v>
      </x:c>
      <x:c r="I21" s="11" t="str">
        <x:v>Not stated on map.</x:v>
      </x:c>
      <x:c r="J21" s="10" t="n">
        <x:v>49.4114</x:v>
      </x:c>
      <x:c r="K21" s="10" t="n">
        <x:v>-114.105</x:v>
      </x:c>
      <x:c r="L21" s="8" t="str">
        <x:v>SW29-5-1-W5</x:v>
      </x:c>
      <x:c r="M21" s="11" t="str">
        <x:v>Camping; Fire Pits; Firewood; Picnic; Playground; Boat Launch; Fish Cleaning; Day Use; Sports; Sewage Disposal; Trails; Trails Hiking</x:v>
      </x:c>
      <x:c r="N21" s="11" t="str">
        <x:v>Beauvais Lake borders the Beauvais Main Campground, offering convenient access to the water for campers. Powered sites 1 through 15 are open year-round, from October 1 to April 30. These quiet, well-treed sites provide a peaceful setting and are located close to the lake, making them ideal for both relaxation and recreation.</x:v>
      </x:c>
      <x:c r="O21" s="8" t="n">
        <x:v>1</x:v>
      </x:c>
      <x:c r="P21" s="8" t="n">
        <x:v>10</x:v>
      </x:c>
      <x:c r="Q21" s="8" t="str">
        <x:v>https://www.google.com/maps/dir/?api=1&amp;destination=49.411416,-114.105019</x:v>
      </x:c>
      <x:c r="R21" s="8" t="str">
        <x:v>https://albertaregulations.ca/fishingregs/es1.html</x:v>
      </x:c>
    </x:row>
    <x:row r="22" ht="87" customHeight="1">
      <x:c r="A22" s="8" t="str">
        <x:v>Beaver Lake</x:v>
      </x:c>
      <x:c r="B22" s="8" t="str">
        <x:v>4014</x:v>
      </x:c>
      <x:c r="C22" s="8" t="str">
        <x:v>Sundre</x:v>
      </x:c>
      <x:c r="D22" s="8" t="str">
        <x:v>ES2</x:v>
      </x:c>
      <x:c r="E22" s="16" t="n">
        <x:v>31.1</x:v>
      </x:c>
      <x:c r="F22" s="16" t="n">
        <x:v>9</x:v>
      </x:c>
      <x:c r="G22" s="16" t="str">
        <x:v>Unknown</x:v>
      </x:c>
      <x:c r="H22" s="17" t="str">
        <x:v>Yes</x:v>
      </x:c>
      <x:c r="I22" s="11" t="str">
        <x:v>The lake is stocked annually with trout by the Alberta Environment and Protected Areas (EPA) and is aerated from October through April as part of the Alberta Conservation Association’s (ACA) Lake Aeration Program.</x:v>
      </x:c>
      <x:c r="J22" s="10" t="n">
        <x:v>52.0067</x:v>
      </x:c>
      <x:c r="K22" s="10" t="n">
        <x:v>-114.7884</x:v>
      </x:c>
      <x:c r="L22" s="8" t="str">
        <x:v>NE16-35-6-W5</x:v>
      </x:c>
      <x:c r="M22" s="11" t="str">
        <x:v>Parking; Day Use; Picnic; Day Use Picnic; Toilets; Camping</x:v>
      </x:c>
      <x:c r="N22" s="11" t="str">
        <x:v>The lake is stocked annually with trout by the Alberta Environment and Protected Areas (EPA) and is aerated from October through April as part of the Alberta Conservation Association’s (ACA) Lake Aeration Program. Access to the lake is available by foot, and only electric-powered motors are permitted to help maintain the tranquility and ecological integrity of the area.</x:v>
      </x:c>
      <x:c r="O22" s="8" t="n">
        <x:v>2</x:v>
      </x:c>
      <x:c r="P22" s="8" t="n">
        <x:v>13</x:v>
      </x:c>
      <x:c r="Q22" s="8" t="str">
        <x:v>https://www.google.com/maps/dir/?api=1&amp;destination=52.006721,-114.788387</x:v>
      </x:c>
      <x:c r="R22" s="8" t="str">
        <x:v>https://albertaregulations.ca/fishingregs/es2.html</x:v>
      </x:c>
    </x:row>
    <x:row r="23" ht="87" customHeight="1">
      <x:c r="A23" s="8" t="str">
        <x:v>Beaver Mines Lake</x:v>
      </x:c>
      <x:c r="B23" s="8" t="str">
        <x:v>4018</x:v>
      </x:c>
      <x:c r="C23" s="8" t="str">
        <x:v>Pincher Creek</x:v>
      </x:c>
      <x:c r="D23" s="8" t="str">
        <x:v>ES1</x:v>
      </x:c>
      <x:c r="E23" s="16" t="n">
        <x:v>67.9</x:v>
      </x:c>
      <x:c r="F23" s="16" t="n">
        <x:v>5.5</x:v>
      </x:c>
      <x:c r="G23" s="16" t="str">
        <x:v>Unknown</x:v>
      </x:c>
      <x:c r="H23" s="17" t="str">
        <x:v>Not stated</x:v>
      </x:c>
      <x:c r="I23" s="11" t="str">
        <x:v>Not stated on map.</x:v>
      </x:c>
      <x:c r="J23" s="10" t="n">
        <x:v>49.3729</x:v>
      </x:c>
      <x:c r="K23" s="10" t="n">
        <x:v>-114.2963</x:v>
      </x:c>
      <x:c r="L23" s="8" t="str">
        <x:v>NE11-5-3-W5</x:v>
      </x:c>
      <x:c r="M23" s="11" t="str">
        <x:v>Boat Launch; Water; Fishing Access; Winter Recreation; Paddling; Paddling Canoe; Paddling Kayak; Swimming; Trails; Trails Hiking</x:v>
      </x:c>
      <x:c r="N23" s="11" t="str">
        <x:v>Located within Castle Provincial Park, Beaver Mines Campground offers a scenic and well-equipped setting for both RV and tent camping. Most campsites are nestled among mature trees, providing privacy and shade, while select sites offer picturesque views of the nearby lake. This peaceful location is ideal for nature enthusiasts seeking a relaxing outdoor experience.</x:v>
      </x:c>
      <x:c r="O23" s="8" t="n">
        <x:v>1</x:v>
      </x:c>
      <x:c r="P23" s="8" t="n">
        <x:v>12</x:v>
      </x:c>
      <x:c r="Q23" s="8" t="str">
        <x:v>https://www.google.com/maps/dir/?api=1&amp;destination=49.372895,-114.296284</x:v>
      </x:c>
      <x:c r="R23" s="8" t="str">
        <x:v>https://albertaregulations.ca/fishingregs/es1.html</x:v>
      </x:c>
    </x:row>
    <x:row r="24" ht="72" customHeight="1">
      <x:c r="A24" s="8" t="str">
        <x:v>Bellis Beach Lake</x:v>
      </x:c>
      <x:c r="B24" s="8" t="str">
        <x:v>6894</x:v>
      </x:c>
      <x:c r="C24" s="8" t="str">
        <x:v>Smoky Lake</x:v>
      </x:c>
      <x:c r="D24" s="8" t="str">
        <x:v>NB1</x:v>
      </x:c>
      <x:c r="E24" s="16" t="n">
        <x:v>19.6</x:v>
      </x:c>
      <x:c r="F24" s="16" t="n">
        <x:v>6</x:v>
      </x:c>
      <x:c r="G24" s="16" t="str">
        <x:v>Unknown</x:v>
      </x:c>
      <x:c r="H24" s="17" t="str">
        <x:v>Not stated</x:v>
      </x:c>
      <x:c r="I24" s="11" t="str">
        <x:v>Not stated on map.</x:v>
      </x:c>
      <x:c r="J24" s="10" t="n">
        <x:v>54.1006</x:v>
      </x:c>
      <x:c r="K24" s="10" t="n">
        <x:v>-112.1525</x:v>
      </x:c>
      <x:c r="L24" s="8" t="str">
        <x:v>SE15-59-15-W4</x:v>
      </x:c>
      <x:c r="M24" s="11" t="str">
        <x:v>Picnic; Firewood; Water; Toilets</x:v>
      </x:c>
      <x:c r="N24" s="11" t="str">
        <x:v>Bellis Beach Lake offers a serene and inviting atmosphere, making it an excellent destination for a relaxing day outdoors. The site features a small sandy beach and a modern playground, providing an ideal setting for families with children to enjoy both leisure and recreation.</x:v>
      </x:c>
      <x:c r="O24" s="8" t="n">
        <x:v>0</x:v>
      </x:c>
      <x:c r="P24" s="8" t="n">
        <x:v>8</x:v>
      </x:c>
      <x:c r="Q24" s="8" t="str">
        <x:v>https://www.google.com/maps/dir/?api=1&amp;destination=54.100613,-112.15247</x:v>
      </x:c>
      <x:c r="R24" s="8" t="str">
        <x:v>https://albertaregulations.ca/fishingregs/nb1.html</x:v>
      </x:c>
    </x:row>
    <x:row r="25" ht="72" customHeight="1">
      <x:c r="A25" s="8" t="str">
        <x:v>Big Iron Lake</x:v>
      </x:c>
      <x:c r="B25" s="8" t="str">
        <x:v>6897</x:v>
      </x:c>
      <x:c r="C25" s="8" t="str">
        <x:v>High River</x:v>
      </x:c>
      <x:c r="D25" s="8" t="str">
        <x:v>ES1</x:v>
      </x:c>
      <x:c r="E25" s="16" t="n">
        <x:v>1.8</x:v>
      </x:c>
      <x:c r="F25" s="16" t="str">
        <x:v>Unknown</x:v>
      </x:c>
      <x:c r="G25" s="16" t="str">
        <x:v>Unknown</x:v>
      </x:c>
      <x:c r="H25" s="17" t="str">
        <x:v>Not stated</x:v>
      </x:c>
      <x:c r="I25" s="11" t="str">
        <x:v>Not stated on map.</x:v>
      </x:c>
      <x:c r="J25" s="10" t="n">
        <x:v>50.2335</x:v>
      </x:c>
      <x:c r="K25" s="10" t="n">
        <x:v>-114.4303</x:v>
      </x:c>
      <x:c r="L25" s="8" t="str">
        <x:v>NW1-15-4-W5</x:v>
      </x:c>
      <x:c r="M25" s="11" t="str">
        <x:v>Day Use</x:v>
      </x:c>
      <x:c r="N25" s="11" t="str">
        <x:v>This picturesque lake provides an ideal setting for a fishing adventure. Surrounded by natural beauty, it offers a peaceful and scenic environment for anglers of all skill levels to enjoy a relaxing day on the water. | Amenities notes: no open fires; foot access only.</x:v>
      </x:c>
      <x:c r="O25" s="8" t="n">
        <x:v>0</x:v>
      </x:c>
      <x:c r="P25" s="8" t="n">
        <x:v>6</x:v>
      </x:c>
      <x:c r="Q25" s="8" t="str">
        <x:v>https://www.google.com/maps/dir/?api=1&amp;destination=50.233539,-114.430313</x:v>
      </x:c>
      <x:c r="R25" s="8" t="str">
        <x:v>https://albertaregulations.ca/fishingregs/es1.html</x:v>
      </x:c>
    </x:row>
    <x:row r="26" ht="72" customHeight="1">
      <x:c r="A26" s="8" t="str">
        <x:v>Birch Lake</x:v>
      </x:c>
      <x:c r="B26" s="8" t="str">
        <x:v>4061</x:v>
      </x:c>
      <x:c r="C26" s="8" t="str">
        <x:v>Sundre</x:v>
      </x:c>
      <x:c r="D26" s="8" t="str">
        <x:v>ES2</x:v>
      </x:c>
      <x:c r="E26" s="16" t="n">
        <x:v>28.8</x:v>
      </x:c>
      <x:c r="F26" s="16" t="n">
        <x:v>10.3</x:v>
      </x:c>
      <x:c r="G26" s="16" t="str">
        <x:v>Unknown</x:v>
      </x:c>
      <x:c r="H26" s="17" t="str">
        <x:v>Not stated</x:v>
      </x:c>
      <x:c r="I26" s="11" t="str">
        <x:v>Not stated on map.</x:v>
      </x:c>
      <x:c r="J26" s="10" t="n">
        <x:v>52.0117</x:v>
      </x:c>
      <x:c r="K26" s="10" t="n">
        <x:v>-114.8542</x:v>
      </x:c>
      <x:c r="L26" s="8" t="str">
        <x:v>SE18-35-6-W5</x:v>
      </x:c>
      <x:c r="M26" s="11" t="str">
        <x:v>Toilets; Parking; Boat Launch</x:v>
      </x:c>
      <x:c r="N26" s="11" t="str">
        <x:v>Birch lake lacks a formal boat launch. Recreational users must carry their watercraft to the shoreline and hand-launch directly from the shore. To preserve the natural environment and ensure a quiet experience for all visitors, gas-powered motors are prohibited. Additionally, overnight camping is not permitted at this location.</x:v>
      </x:c>
      <x:c r="O26" s="8" t="n">
        <x:v>1</x:v>
      </x:c>
      <x:c r="P26" s="8" t="n">
        <x:v>20</x:v>
      </x:c>
      <x:c r="Q26" s="8" t="str">
        <x:v>https://www.google.com/maps/dir/?api=1&amp;destination=52.011667,-114.854167</x:v>
      </x:c>
      <x:c r="R26" s="8" t="str">
        <x:v>https://albertaregulations.ca/fishingregs/es2.html</x:v>
      </x:c>
    </x:row>
    <x:row r="27" ht="57" customHeight="1">
      <x:c r="A27" s="8" t="str">
        <x:v>Birdwood Lake</x:v>
      </x:c>
      <x:c r="B27" s="8" t="str">
        <x:v>4318</x:v>
      </x:c>
      <x:c r="C27" s="8" t="str">
        <x:v>Canmore</x:v>
      </x:c>
      <x:c r="D27" s="8" t="str">
        <x:v>ES1</x:v>
      </x:c>
      <x:c r="E27" s="16" t="n">
        <x:v>1.8</x:v>
      </x:c>
      <x:c r="F27" s="16" t="str">
        <x:v>Unknown</x:v>
      </x:c>
      <x:c r="G27" s="16" t="str">
        <x:v>Unknown</x:v>
      </x:c>
      <x:c r="H27" s="17" t="str">
        <x:v>Not stated</x:v>
      </x:c>
      <x:c r="I27" s="11" t="str">
        <x:v>Not stated on map.</x:v>
      </x:c>
      <x:c r="J27" s="10" t="n">
        <x:v>50.8069</x:v>
      </x:c>
      <x:c r="K27" s="10" t="n">
        <x:v>-115.3456</x:v>
      </x:c>
      <x:c r="L27" s="8" t="str">
        <x:v>SE29-21-10-W5</x:v>
      </x:c>
      <x:c r="M27" s="11" t="str"/>
      <x:c r="N27" s="11" t="str">
        <x:v>Formerly called Jeanette, then Lost and now, officially, Commonwealth. Trail Start: Hwy 742 (Smith-Dorrien/Spray Trail) Turn west onto Mt Shark Road In 1 km turn left onto a side road and park a little way in.</x:v>
      </x:c>
      <x:c r="O27" s="8" t="n">
        <x:v>1</x:v>
      </x:c>
      <x:c r="P27" s="8" t="n">
        <x:v>2</x:v>
      </x:c>
      <x:c r="Q27" s="8" t="str">
        <x:v>https://www.google.com/maps/dir/?api=1&amp;destination=50.80694399999999,-115.345556</x:v>
      </x:c>
      <x:c r="R27" s="8" t="str">
        <x:v>https://albertaregulations.ca/fishingregs/es1.html</x:v>
      </x:c>
    </x:row>
    <x:row r="28" ht="102" customHeight="1">
      <x:c r="A28" s="8" t="str">
        <x:v>Black Nugget Mine Pit</x:v>
      </x:c>
      <x:c r="B28" s="8" t="str">
        <x:v>6923</x:v>
      </x:c>
      <x:c r="C28" s="8" t="str">
        <x:v>Vegreville</x:v>
      </x:c>
      <x:c r="D28" s="8" t="str">
        <x:v>PP2</x:v>
      </x:c>
      <x:c r="E28" s="16" t="n">
        <x:v>2.1</x:v>
      </x:c>
      <x:c r="F28" s="16" t="n">
        <x:v>6</x:v>
      </x:c>
      <x:c r="G28" s="16" t="n">
        <x:v>4</x:v>
      </x:c>
      <x:c r="H28" s="17" t="str">
        <x:v>Not stated</x:v>
      </x:c>
      <x:c r="I28" s="11" t="str">
        <x:v>Not stated on map.</x:v>
      </x:c>
      <x:c r="J28" s="10" t="n">
        <x:v>53.2177</x:v>
      </x:c>
      <x:c r="K28" s="10" t="n">
        <x:v>-112.5327</x:v>
      </x:c>
      <x:c r="L28" s="8" t="str">
        <x:v>NW11-49-18-W4</x:v>
      </x:c>
      <x:c r="M28" s="11" t="str">
        <x:v>Camping; Firewood; Water; Sewage Disposal; Playground; Picnic; Shelter; Day Use; Camping Group; Boat Launch</x:v>
      </x:c>
      <x:c r="N28" s="11" t="str">
        <x:v>This well-appointed campground offers 21 sites suitable for both RVs and tents, with the option to gather with friends at one of the designated group sites. Most campsites are well-treed, providing privacy and shade, while several are located along a long, winding lake, offering scenic waterfront views. At the campground entrance, visitors will find a concession building equipped with flush toilets, showers, and firewood. A variety of concession items are also available for purchase, adding convenience to your stay.</x:v>
      </x:c>
      <x:c r="O28" s="8" t="n">
        <x:v>3</x:v>
      </x:c>
      <x:c r="P28" s="8" t="n">
        <x:v>20</x:v>
      </x:c>
      <x:c r="Q28" s="8" t="str">
        <x:v>https://www.google.com/maps/dir/?api=1&amp;destination=53.217685,-112.532662</x:v>
      </x:c>
      <x:c r="R28" s="8" t="str">
        <x:v>https://albertaregulations.ca/fishingregs/pp2.html</x:v>
      </x:c>
    </x:row>
    <x:row r="29" ht="132" customHeight="1">
      <x:c r="A29" s="8" t="str">
        <x:v>Blood Indian Creek Reservoir</x:v>
      </x:c>
      <x:c r="B29" s="8" t="str">
        <x:v>3494</x:v>
      </x:c>
      <x:c r="C29" s="8" t="str">
        <x:v>Hanna</x:v>
      </x:c>
      <x:c r="D29" s="8" t="str">
        <x:v>PP2</x:v>
      </x:c>
      <x:c r="E29" s="16" t="n">
        <x:v>90.1</x:v>
      </x:c>
      <x:c r="F29" s="16" t="n">
        <x:v>13.3</x:v>
      </x:c>
      <x:c r="G29" s="16" t="n">
        <x:v>6</x:v>
      </x:c>
      <x:c r="H29" s="17" t="str">
        <x:v>Not stated</x:v>
      </x:c>
      <x:c r="I29" s="11" t="str">
        <x:v>Not stated on map.</x:v>
      </x:c>
      <x:c r="J29" s="10" t="n">
        <x:v>51.2485</x:v>
      </x:c>
      <x:c r="K29" s="10" t="n">
        <x:v>-111.2103</x:v>
      </x:c>
      <x:c r="L29" s="8" t="str">
        <x:v>SW28-26-9-W4</x:v>
      </x:c>
      <x:c r="M29" s="11" t="str">
        <x:v>Camping; Fish Cleaning; Toilets; Boat Launch; Dock/Pier; Day Use; Picnic; Day Use Picnic; Showers; Laundry; Retail/Services</x:v>
      </x:c>
      <x:c r="N29" s="11" t="str">
        <x:v>Blood Indian Park Campground operates on a first-come, first-served basis and is open seasonally from April 1 to November 1, with winter camping available outside of these dates. The campground features 300 campsites, including 29 serviced sites, making it suitable for a wide range of camping preferences. During the summer months, guests have access to coin-operated showers and a laundromat. Wi-Fi is available in the main camping area for added convenience. Families can also enjoy the Splash Park, which is open daily from 12:00 PM to 5:00 PM throughout the summer season. | Amenities notes: rave sewer drainage</x:v>
      </x:c>
      <x:c r="O29" s="8" t="n">
        <x:v>13</x:v>
      </x:c>
      <x:c r="P29" s="8" t="n">
        <x:v>69</x:v>
      </x:c>
      <x:c r="Q29" s="8" t="str">
        <x:v>https://www.google.com/maps/dir/?api=1&amp;destination=51.24853,-111.210333</x:v>
      </x:c>
      <x:c r="R29" s="8" t="str">
        <x:v>https://albertaregulations.ca/fishingregs/pp2.html</x:v>
      </x:c>
    </x:row>
    <x:row r="30" ht="42" customHeight="1">
      <x:c r="A30" s="8" t="str">
        <x:v>Blueridge Pit</x:v>
      </x:c>
      <x:c r="B30" s="8" t="str">
        <x:v>26033</x:v>
      </x:c>
      <x:c r="C30" s="8" t="str">
        <x:v>Whitecourt</x:v>
      </x:c>
      <x:c r="D30" s="8" t="str">
        <x:v>ES3</x:v>
      </x:c>
      <x:c r="E30" s="16" t="n">
        <x:v>5.8</x:v>
      </x:c>
      <x:c r="F30" s="16" t="str">
        <x:v>Unknown</x:v>
      </x:c>
      <x:c r="G30" s="16" t="str">
        <x:v>Unknown</x:v>
      </x:c>
      <x:c r="H30" s="17" t="str">
        <x:v>Not stated</x:v>
      </x:c>
      <x:c r="I30" s="11" t="str">
        <x:v>Not stated on map.</x:v>
      </x:c>
      <x:c r="J30" s="10" t="n">
        <x:v>54.1561</x:v>
      </x:c>
      <x:c r="K30" s="10" t="n">
        <x:v>-115.3643</x:v>
      </x:c>
      <x:c r="L30" s="8" t="str">
        <x:v>SW1-60-10-W5</x:v>
      </x:c>
      <x:c r="M30" s="11" t="str">
        <x:v>Water; Trails; Picnic; Fire Pits; Dock/Pier; Toilets</x:v>
      </x:c>
      <x:c r="N30" s="11" t="str">
        <x:v>Fishing enthusiasts will be intrigued to know that the south lake was stocked with trout and is now managed as a quality stocked trout fishery. | Amenities notes: bench</x:v>
      </x:c>
      <x:c r="O30" s="8" t="n">
        <x:v>19</x:v>
      </x:c>
      <x:c r="P30" s="8" t="n">
        <x:v>6</x:v>
      </x:c>
      <x:c r="Q30" s="8" t="str">
        <x:v>https://www.google.com/maps/dir/?api=1&amp;destination=54.15613,-115.364319</x:v>
      </x:c>
      <x:c r="R30" s="8" t="str">
        <x:v>https://albertaregulations.ca/fishingregs/es3.html</x:v>
      </x:c>
    </x:row>
    <x:row r="31" ht="87" customHeight="1">
      <x:c r="A31" s="8" t="str">
        <x:v>Boulder Lake</x:v>
      </x:c>
      <x:c r="B31" s="8" t="str">
        <x:v>417506</x:v>
      </x:c>
      <x:c r="C31" s="8" t="str">
        <x:v>Red Deer</x:v>
      </x:c>
      <x:c r="D31" s="8" t="str">
        <x:v>PP2</x:v>
      </x:c>
      <x:c r="E31" s="16" t="n">
        <x:v>2.2</x:v>
      </x:c>
      <x:c r="F31" s="16" t="str">
        <x:v>Unknown</x:v>
      </x:c>
      <x:c r="G31" s="16" t="str">
        <x:v>Unknown</x:v>
      </x:c>
      <x:c r="H31" s="17" t="str">
        <x:v>Not stated</x:v>
      </x:c>
      <x:c r="I31" s="11" t="str">
        <x:v>Not stated on map.</x:v>
      </x:c>
      <x:c r="J31" s="10" t="n">
        <x:v>52.3559</x:v>
      </x:c>
      <x:c r="K31" s="10" t="n">
        <x:v>-113.8715</x:v>
      </x:c>
      <x:c r="L31" s="8" t="str">
        <x:v>NE18-39-27-W4</x:v>
      </x:c>
      <x:c r="M31" s="11" t="str"/>
      <x:c r="N31" s="11" t="str">
        <x:v>This newly stocked pond near Red Deer is managed by the Alberta Conservation Association (ACA) and offers convenient access for recreational users. While amenities are currently limited, site development is ongoing and improvements will be added over time. The pond provides a great opportunity for anglers to enjoy trout fishing in a peaceful setting.</x:v>
      </x:c>
      <x:c r="O31" s="8" t="n">
        <x:v>4</x:v>
      </x:c>
      <x:c r="P31" s="8" t="n">
        <x:v>24</x:v>
      </x:c>
      <x:c r="Q31" s="8" t="str">
        <x:v>https://www.google.com/maps/dir/?api=1&amp;destination=52.35592399999999,-113.871506</x:v>
      </x:c>
      <x:c r="R31" s="8" t="str">
        <x:v>https://albertaregulations.ca/fishingregs/pp2.html</x:v>
      </x:c>
    </x:row>
    <x:row r="32" ht="42" customHeight="1">
      <x:c r="A32" s="8" t="str">
        <x:v>Bow City East Ponds</x:v>
      </x:c>
      <x:c r="B32" s="8" t="str">
        <x:v>6882</x:v>
      </x:c>
      <x:c r="C32" s="8" t="str">
        <x:v>Brooks</x:v>
      </x:c>
      <x:c r="D32" s="8" t="str">
        <x:v>PP2</x:v>
      </x:c>
      <x:c r="E32" s="16" t="n">
        <x:v>4</x:v>
      </x:c>
      <x:c r="F32" s="16" t="str">
        <x:v>Unknown</x:v>
      </x:c>
      <x:c r="G32" s="16" t="str">
        <x:v>Unknown</x:v>
      </x:c>
      <x:c r="H32" s="17" t="str">
        <x:v>Not stated</x:v>
      </x:c>
      <x:c r="I32" s="11" t="str">
        <x:v>Not stated on map.</x:v>
      </x:c>
      <x:c r="J32" s="10" t="n">
        <x:v>50.4347</x:v>
      </x:c>
      <x:c r="K32" s="10" t="n">
        <x:v>-112.2599</x:v>
      </x:c>
      <x:c r="L32" s="8" t="str">
        <x:v>NE15-17-17-W4</x:v>
      </x:c>
      <x:c r="M32" s="11" t="str"/>
      <x:c r="N32" s="11" t="str">
        <x:v>Bow City East pond is annually stocked with trout by the Alberta Conservation Association (ACA), typically prior to the May long weekend.</x:v>
      </x:c>
      <x:c r="O32" s="8" t="n">
        <x:v>3</x:v>
      </x:c>
      <x:c r="P32" s="8" t="n">
        <x:v>6</x:v>
      </x:c>
      <x:c r="Q32" s="8" t="str">
        <x:v>https://www.google.com/maps/dir/?api=1&amp;destination=50.434749,-112.259866</x:v>
      </x:c>
      <x:c r="R32" s="8" t="str">
        <x:v>https://albertaregulations.ca/fishingregs/pp1.html</x:v>
      </x:c>
    </x:row>
    <x:row r="33" ht="57" customHeight="1">
      <x:c r="A33" s="8" t="str">
        <x:v>Boyle Pond</x:v>
      </x:c>
      <x:c r="B33" s="8" t="str">
        <x:v>6884</x:v>
      </x:c>
      <x:c r="C33" s="8" t="str">
        <x:v>Athabasca</x:v>
      </x:c>
      <x:c r="D33" s="8" t="str">
        <x:v>NB2</x:v>
      </x:c>
      <x:c r="E33" s="16" t="n">
        <x:v>2.8</x:v>
      </x:c>
      <x:c r="F33" s="16" t="n">
        <x:v>5.2</x:v>
      </x:c>
      <x:c r="G33" s="16" t="str">
        <x:v>Unknown</x:v>
      </x:c>
      <x:c r="H33" s="17" t="str">
        <x:v>Not stated</x:v>
      </x:c>
      <x:c r="I33" s="11" t="str">
        <x:v>Not stated on map.</x:v>
      </x:c>
      <x:c r="J33" s="10" t="n">
        <x:v>54.5374</x:v>
      </x:c>
      <x:c r="K33" s="10" t="n">
        <x:v>-112.8052</x:v>
      </x:c>
      <x:c r="L33" s="8" t="str">
        <x:v>NE16-64-19-W4</x:v>
      </x:c>
      <x:c r="M33" s="11" t="str">
        <x:v>Day Use</x:v>
      </x:c>
      <x:c r="N33" s="11" t="str">
        <x:v>This 10-acre pond with a camp kitchen, picnic area and ample parking. It is stocked annually by ACA with trout, typically before the May long weekend. | Amenities notes: fires in designated pits only.</x:v>
      </x:c>
      <x:c r="O33" s="8" t="n">
        <x:v>7</x:v>
      </x:c>
      <x:c r="P33" s="8" t="n">
        <x:v>6</x:v>
      </x:c>
      <x:c r="Q33" s="8" t="str">
        <x:v>https://www.google.com/maps/dir/?api=1&amp;destination=54.537414,-112.80524</x:v>
      </x:c>
      <x:c r="R33" s="8" t="str">
        <x:v>https://albertaregulations.ca/fishingregs/nb2.html</x:v>
      </x:c>
    </x:row>
    <x:row r="34" ht="117" customHeight="1">
      <x:c r="A34" s="8" t="str">
        <x:v>Brazeau Borrow Pit #1</x:v>
      </x:c>
      <x:c r="B34" s="8" t="str">
        <x:v>6921</x:v>
      </x:c>
      <x:c r="C34" s="8" t="str">
        <x:v>Rocky Mountain House</x:v>
      </x:c>
      <x:c r="D34" s="8" t="str">
        <x:v>ES2</x:v>
      </x:c>
      <x:c r="E34" s="16" t="n">
        <x:v>3.1</x:v>
      </x:c>
      <x:c r="F34" s="16" t="n">
        <x:v>5.7</x:v>
      </x:c>
      <x:c r="G34" s="16" t="n">
        <x:v>5.7</x:v>
      </x:c>
      <x:c r="H34" s="17" t="str">
        <x:v>Not stated</x:v>
      </x:c>
      <x:c r="I34" s="11" t="str">
        <x:v>Not stated on map.</x:v>
      </x:c>
      <x:c r="J34" s="10" t="n">
        <x:v>52.9162</x:v>
      </x:c>
      <x:c r="K34" s="10" t="n">
        <x:v>-115.4143</x:v>
      </x:c>
      <x:c r="L34" s="8" t="str">
        <x:v>SE32-45-10-W5</x:v>
      </x:c>
      <x:c r="M34" s="11" t="str"/>
      <x:c r="N34" s="11" t="str">
        <x:v>Visitors to Brazeau Reservoir can enjoy a wide range of recreational activities, including fishing, powerboating, canoeing, and birdwatching. While Off-Highway Vehicle (OHV) trails are available nearby, OHV use is strictly prohibited within the campground to ensure a safe and peaceful environment. The reservoir is located approximately 50 minutes west of Drayton Valley, adjacent to Brazeau Reservoir Provincial Recreation Area. Fishing access is available at the West Canal Campground, providing convenient opportunities for anglers to enjoy this scenic destination.</x:v>
      </x:c>
      <x:c r="O34" s="8" t="n">
        <x:v>0</x:v>
      </x:c>
      <x:c r="P34" s="8" t="n">
        <x:v>3</x:v>
      </x:c>
      <x:c r="Q34" s="8" t="str">
        <x:v>https://www.google.com/maps/dir/?api=1&amp;destination=52.916194,-115.414317</x:v>
      </x:c>
      <x:c r="R34" s="8" t="str">
        <x:v>https://albertaregulations.ca/fishingregs/es2.html</x:v>
      </x:c>
    </x:row>
    <x:row r="35" ht="87" customHeight="1">
      <x:c r="A35" s="8" t="str">
        <x:v>Brazeau Borrow Pit #2</x:v>
      </x:c>
      <x:c r="B35" s="8" t="str">
        <x:v>6922</x:v>
      </x:c>
      <x:c r="C35" s="8" t="str">
        <x:v>Rocky Mountain House</x:v>
      </x:c>
      <x:c r="D35" s="8" t="str">
        <x:v>ES2</x:v>
      </x:c>
      <x:c r="E35" s="16" t="str">
        <x:v>Unknown</x:v>
      </x:c>
      <x:c r="F35" s="16" t="n">
        <x:v>2.5</x:v>
      </x:c>
      <x:c r="G35" s="16" t="n">
        <x:v>2.5</x:v>
      </x:c>
      <x:c r="H35" s="17" t="str">
        <x:v>Not stated</x:v>
      </x:c>
      <x:c r="I35" s="11" t="str">
        <x:v>Not stated on map.</x:v>
      </x:c>
      <x:c r="J35" s="10" t="n">
        <x:v>52.9341</x:v>
      </x:c>
      <x:c r="K35" s="10" t="n">
        <x:v>-115.4923</x:v>
      </x:c>
      <x:c r="L35" s="8" t="str">
        <x:v>SW2-46-11-W5</x:v>
      </x:c>
      <x:c r="M35" s="11" t="str"/>
      <x:c r="N35" s="11" t="str">
        <x:v>Visitors to Brazeau Reservoir can enjoy a wide range of recreational activities, including fishing, powerboating, canoeing, and birdwatching. While Off-Highway Vehicle (OHV) trails are available nearby, OHV use is strictly prohibited within the campground to ensure a safe and peaceful environment. The reservoir is located approximately 50 minutes west of Drayton Valley, adjacent to Brazeau Reservoir Provincial Recreation Area.</x:v>
      </x:c>
      <x:c r="O35" s="8" t="n">
        <x:v>0</x:v>
      </x:c>
      <x:c r="P35" s="8" t="n">
        <x:v>3</x:v>
      </x:c>
      <x:c r="Q35" s="8" t="str">
        <x:v>https://www.google.com/maps/dir/?api=1&amp;destination=52.934075,-115.492258</x:v>
      </x:c>
      <x:c r="R35" s="8" t="str">
        <x:v>https://albertaregulations.ca/fishingregs/es2.html</x:v>
      </x:c>
    </x:row>
    <x:row r="36" ht="147" customHeight="1">
      <x:c r="A36" s="8" t="str">
        <x:v>Brazeau Canal</x:v>
      </x:c>
      <x:c r="B36" s="8" t="str">
        <x:v>24236</x:v>
      </x:c>
      <x:c r="C36" s="8" t="str">
        <x:v>Rocky Mountain House</x:v>
      </x:c>
      <x:c r="D36" s="8" t="str">
        <x:v>ES2</x:v>
      </x:c>
      <x:c r="E36" s="16" t="str">
        <x:v>Unknown</x:v>
      </x:c>
      <x:c r="F36" s="16" t="str">
        <x:v>Unknown</x:v>
      </x:c>
      <x:c r="G36" s="16" t="str">
        <x:v>Unknown</x:v>
      </x:c>
      <x:c r="H36" s="17" t="str">
        <x:v>Not stated</x:v>
      </x:c>
      <x:c r="I36" s="11" t="str">
        <x:v>Not stated on map.</x:v>
      </x:c>
      <x:c r="J36" s="10" t="n">
        <x:v>52.93</x:v>
      </x:c>
      <x:c r="K36" s="10" t="n">
        <x:v>-115.51</x:v>
      </x:c>
      <x:c r="L36" s="8" t="str">
        <x:v>SE3-46-11-W5</x:v>
      </x:c>
      <x:c r="M36" s="11" t="str"/>
      <x:c r="N36" s="11" t="str">
        <x:v>Brazeau Canal is a small pond located along the Brazeau Canal, approximately 50 minutes west of Drayton Valley. The pond has been stocked with walleye fry, offering anglers a unique fishing opportunity in a scenic setting. Fishing access is available at the West Canal Campground, which also provides convenient amenities for visitors. In addition to fishing, the area offers a variety of recreational activities, including powerboating, canoeing, and birdwatching. While Off-Highway Vehicle (OHV) trails are available nearby, OHV use is strictly prohibited within the campground to maintain a safe and peaceful environment. The site is adjacent to Brazeau Reservoir Provincial Recreation Area, making it an excellent destination for outdoor enthusiasts.</x:v>
      </x:c>
      <x:c r="O36" s="8" t="n">
        <x:v>0</x:v>
      </x:c>
      <x:c r="P36" s="8" t="n">
        <x:v>2</x:v>
      </x:c>
      <x:c r="Q36" s="8" t="str">
        <x:v>https://www.google.com/maps/dir/?api=1&amp;destination=52.93,-115.51</x:v>
      </x:c>
      <x:c r="R36" s="8" t="str">
        <x:v>https://albertaregulations.ca/fishingregs/es2.html</x:v>
      </x:c>
    </x:row>
    <x:row r="37" ht="102" customHeight="1">
      <x:c r="A37" s="8" t="str">
        <x:v>Brooks Aqueduct Pond</x:v>
      </x:c>
      <x:c r="B37" s="8" t="str">
        <x:v>6873</x:v>
      </x:c>
      <x:c r="C37" s="8" t="str">
        <x:v>Brooks</x:v>
      </x:c>
      <x:c r="D37" s="8" t="str">
        <x:v>ES2</x:v>
      </x:c>
      <x:c r="E37" s="16" t="n">
        <x:v>13.9</x:v>
      </x:c>
      <x:c r="F37" s="16" t="str">
        <x:v>Unknown</x:v>
      </x:c>
      <x:c r="G37" s="16" t="str">
        <x:v>Unknown</x:v>
      </x:c>
      <x:c r="H37" s="17" t="str">
        <x:v>Not stated</x:v>
      </x:c>
      <x:c r="I37" s="11" t="str">
        <x:v>Not stated on map.</x:v>
      </x:c>
      <x:c r="J37" s="10" t="n">
        <x:v>50.5248</x:v>
      </x:c>
      <x:c r="K37" s="10" t="n">
        <x:v>-111.8437</x:v>
      </x:c>
      <x:c r="L37" s="8" t="str">
        <x:v>NE15-18-14-W4</x:v>
      </x:c>
      <x:c r="M37" s="11" t="str"/>
      <x:c r="N37" s="11" t="str">
        <x:v>Brooks Aqueduct, also known as Aqueduct Marshes, offers trout fishing in its pond and includes a boat launch for easy water access. While the site lacks additional amenities, it features a mowed walking path that leads east of the pond, providing excellent opportunities for birdwatching and viewing numerous species. The pond itself is shallow and weedy but remains accessible by boat, making it a suitable destination for anglers and nature enthusiasts seeking a quiet, scenic experience.</x:v>
      </x:c>
      <x:c r="O37" s="8" t="n">
        <x:v>1</x:v>
      </x:c>
      <x:c r="P37" s="8" t="n">
        <x:v>14</x:v>
      </x:c>
      <x:c r="Q37" s="8" t="str">
        <x:v>https://www.google.com/maps/dir/?api=1&amp;destination=50.524756,-111.843722</x:v>
      </x:c>
      <x:c r="R37" s="8" t="str">
        <x:v>https://albertaregulations.ca/fishingregs/es2.html</x:v>
      </x:c>
    </x:row>
    <x:row r="38" ht="102" customHeight="1">
      <x:c r="A38" s="8" t="str">
        <x:v>Bud Miller Park Pond</x:v>
      </x:c>
      <x:c r="B38" s="8" t="str">
        <x:v>6876</x:v>
      </x:c>
      <x:c r="C38" s="8" t="str">
        <x:v>Lloydminster</x:v>
      </x:c>
      <x:c r="D38" s="8" t="str">
        <x:v>PP2</x:v>
      </x:c>
      <x:c r="E38" s="16" t="n">
        <x:v>3.7</x:v>
      </x:c>
      <x:c r="F38" s="16" t="n">
        <x:v>5</x:v>
      </x:c>
      <x:c r="G38" s="16" t="n">
        <x:v>5</x:v>
      </x:c>
      <x:c r="H38" s="17" t="str">
        <x:v>Not stated</x:v>
      </x:c>
      <x:c r="I38" s="11" t="str">
        <x:v>Not stated on map.</x:v>
      </x:c>
      <x:c r="J38" s="10" t="n">
        <x:v>53.2592</x:v>
      </x:c>
      <x:c r="K38" s="10" t="n">
        <x:v>-110.0407</x:v>
      </x:c>
      <x:c r="L38" s="8" t="str">
        <x:v>NE26-49-1-W4</x:v>
      </x:c>
      <x:c r="M38" s="11" t="str">
        <x:v>Picnic; Sports; Sports Baseball; Playground; Sports Tennis; Sports Disc Golf; Sports Mini Golf</x:v>
      </x:c>
      <x:c r="N38" s="11" t="str">
        <x:v>The fishing pond is located within Bud Miller All Seasons Park and is accessible via 59 Avenue. Both locals and visitors enjoy trout fishing at this popular spot. The Alberta Conservation Association (ACA) typically stocks the pond before the May long weekend, ensuring great fishing opportunities throughout the season. The park is designed to be highly accessible, featuring paved paths and facilities that cater to visitors of all mobility levels. | Amenities notes: lawn bowling</x:v>
      </x:c>
      <x:c r="O38" s="8" t="n">
        <x:v>0</x:v>
      </x:c>
      <x:c r="P38" s="8" t="n">
        <x:v>6</x:v>
      </x:c>
      <x:c r="Q38" s="8" t="str">
        <x:v>https://www.google.com/maps/dir/?api=1&amp;destination=53.259224,-110.040698</x:v>
      </x:c>
      <x:c r="R38" s="8" t="str">
        <x:v>https://albertaregulations.ca/fishingregs/pp2.html</x:v>
      </x:c>
    </x:row>
    <x:row r="39" ht="32" customHeight="1">
      <x:c r="A39" s="8" t="str">
        <x:v>Bullshead Creek Reservoir</x:v>
      </x:c>
      <x:c r="B39" s="8" t="str">
        <x:v>6878</x:v>
      </x:c>
      <x:c r="C39" s="8" t="str">
        <x:v>-</x:v>
      </x:c>
      <x:c r="D39" s="8" t="str">
        <x:v>Not stated</x:v>
      </x:c>
      <x:c r="E39" s="16" t="str">
        <x:v>Unknown</x:v>
      </x:c>
      <x:c r="F39" s="16" t="str">
        <x:v>Unknown</x:v>
      </x:c>
      <x:c r="G39" s="16" t="str">
        <x:v>Unknown</x:v>
      </x:c>
      <x:c r="H39" s="17" t="str">
        <x:v>Not stated</x:v>
      </x:c>
      <x:c r="I39" s="11" t="str">
        <x:v>Not stated on map.</x:v>
      </x:c>
      <x:c r="J39" s="10" t="n">
        <x:v>49.6771</x:v>
      </x:c>
      <x:c r="K39" s="10" t="n">
        <x:v>-110.5069</x:v>
      </x:c>
      <x:c r="L39" s="8" t="str">
        <x:v>NE29-8-4-W4</x:v>
      </x:c>
      <x:c r="M39" s="11" t="str"/>
      <x:c r="N39" s="11" t="str">
        <x:v>No description available.</x:v>
      </x:c>
      <x:c r="O39" s="8" t="n">
        <x:v>0</x:v>
      </x:c>
      <x:c r="P39" s="8" t="n">
        <x:v>1</x:v>
      </x:c>
      <x:c r="Q39" s="8" t="str">
        <x:v>https://www.google.com/maps/dir/?api=1&amp;destination=49.677137,-110.506929</x:v>
      </x:c>
      <x:c r="R39" s="8" t="str"/>
    </x:row>
    <x:row r="40" ht="57" customHeight="1">
      <x:c r="A40" s="8" t="str">
        <x:v>Burmis Lake</x:v>
      </x:c>
      <x:c r="B40" s="8" t="str">
        <x:v>6879</x:v>
      </x:c>
      <x:c r="C40" s="8" t="str">
        <x:v>Pincher Creek</x:v>
      </x:c>
      <x:c r="D40" s="8" t="str">
        <x:v>ES1</x:v>
      </x:c>
      <x:c r="E40" s="16" t="n">
        <x:v>7</x:v>
      </x:c>
      <x:c r="F40" s="16" t="str">
        <x:v>Unknown</x:v>
      </x:c>
      <x:c r="G40" s="16" t="str">
        <x:v>Unknown</x:v>
      </x:c>
      <x:c r="H40" s="17" t="str">
        <x:v>Not stated</x:v>
      </x:c>
      <x:c r="I40" s="11" t="str">
        <x:v>Not stated on map.</x:v>
      </x:c>
      <x:c r="J40" s="10" t="n">
        <x:v>49.5538</x:v>
      </x:c>
      <x:c r="K40" s="10" t="n">
        <x:v>-114.2996</x:v>
      </x:c>
      <x:c r="L40" s="8" t="str">
        <x:v>SE14-7-3-W5</x:v>
      </x:c>
      <x:c r="M40" s="11" t="str">
        <x:v>Toilets</x:v>
      </x:c>
      <x:c r="N40" s="11" t="str">
        <x:v>There is no boat launch but canoes can be carried easily from the parking area. This little lake might be just right for young families. | Amenities notes: garbage receptacles.</x:v>
      </x:c>
      <x:c r="O40" s="8" t="n">
        <x:v>1</x:v>
      </x:c>
      <x:c r="P40" s="8" t="n">
        <x:v>6</x:v>
      </x:c>
      <x:c r="Q40" s="8" t="str">
        <x:v>https://www.google.com/maps/dir/?api=1&amp;destination=49.553784,-114.299609</x:v>
      </x:c>
      <x:c r="R40" s="8" t="str">
        <x:v>https://albertaregulations.ca/fishingregs/es1.html</x:v>
      </x:c>
    </x:row>
    <x:row r="41" ht="42" customHeight="1">
      <x:c r="A41" s="8" t="str">
        <x:v>Burn's Reservoir</x:v>
      </x:c>
      <x:c r="B41" s="8" t="str">
        <x:v>6880</x:v>
      </x:c>
      <x:c r="C41" s="8" t="str">
        <x:v>Pincher Creek</x:v>
      </x:c>
      <x:c r="D41" s="8" t="str">
        <x:v>ES1</x:v>
      </x:c>
      <x:c r="E41" s="16" t="n">
        <x:v>3.9</x:v>
      </x:c>
      <x:c r="F41" s="16" t="str">
        <x:v>Unknown</x:v>
      </x:c>
      <x:c r="G41" s="16" t="str">
        <x:v>Unknown</x:v>
      </x:c>
      <x:c r="H41" s="17" t="str">
        <x:v>Not stated</x:v>
      </x:c>
      <x:c r="I41" s="11" t="str">
        <x:v>Not stated on map.</x:v>
      </x:c>
      <x:c r="J41" s="10" t="n">
        <x:v>49.4928</x:v>
      </x:c>
      <x:c r="K41" s="10" t="n">
        <x:v>-113.9304</x:v>
      </x:c>
      <x:c r="L41" s="8" t="str">
        <x:v>NE23-6-30-W4</x:v>
      </x:c>
      <x:c r="M41" s="11" t="str">
        <x:v>Picnic; Toilets; Camping; Shelter</x:v>
      </x:c>
      <x:c r="N41" s="11" t="str">
        <x:v>This lake is operated and maintained by the Royal Canadian Legion Branch #43. Fishing is restricted to senior citizens 65+ and the handicapped. | Amenities notes: benches</x:v>
      </x:c>
      <x:c r="O41" s="8" t="n">
        <x:v>6</x:v>
      </x:c>
      <x:c r="P41" s="8" t="n">
        <x:v>6</x:v>
      </x:c>
      <x:c r="Q41" s="8" t="str">
        <x:v>https://www.google.com/maps/dir/?api=1&amp;destination=49.492841,-113.93045</x:v>
      </x:c>
      <x:c r="R41" s="8" t="str">
        <x:v>https://albertaregulations.ca/fishingregs/es1.html</x:v>
      </x:c>
    </x:row>
    <x:row r="42" ht="32" customHeight="1">
      <x:c r="A42" s="8" t="str">
        <x:v>Burns Lake</x:v>
      </x:c>
      <x:c r="B42" s="8" t="str">
        <x:v>4159</x:v>
      </x:c>
      <x:c r="C42" s="8" t="str">
        <x:v>High River</x:v>
      </x:c>
      <x:c r="D42" s="8" t="str">
        <x:v>ES1</x:v>
      </x:c>
      <x:c r="E42" s="16" t="n">
        <x:v>1.7</x:v>
      </x:c>
      <x:c r="F42" s="16" t="str">
        <x:v>Unknown</x:v>
      </x:c>
      <x:c r="G42" s="16" t="str">
        <x:v>Unknown</x:v>
      </x:c>
      <x:c r="H42" s="17" t="str">
        <x:v>Not stated</x:v>
      </x:c>
      <x:c r="I42" s="11" t="str">
        <x:v>Not stated on map.</x:v>
      </x:c>
      <x:c r="J42" s="10" t="n">
        <x:v>50.6041</x:v>
      </x:c>
      <x:c r="K42" s="10" t="n">
        <x:v>-114.9432</x:v>
      </x:c>
      <x:c r="L42" s="8" t="str">
        <x:v>SW17-19-7-W5</x:v>
      </x:c>
      <x:c r="M42" s="11" t="str"/>
      <x:c r="N42" s="11" t="str">
        <x:v>Access to this lake is either via a very long trail via the Sheep River Trail.</x:v>
      </x:c>
      <x:c r="O42" s="8" t="n">
        <x:v>2</x:v>
      </x:c>
      <x:c r="P42" s="8" t="n">
        <x:v>1</x:v>
      </x:c>
      <x:c r="Q42" s="8" t="str">
        <x:v>https://www.google.com/maps/dir/?api=1&amp;destination=50.604055,-114.943209</x:v>
      </x:c>
      <x:c r="R42" s="8" t="str">
        <x:v>https://albertaregulations.ca/fishingregs/es1.html</x:v>
      </x:c>
    </x:row>
    <x:row r="43" ht="57" customHeight="1">
      <x:c r="A43" s="8" t="str">
        <x:v>Burnstick Lake</x:v>
      </x:c>
      <x:c r="B43" s="8" t="str">
        <x:v>4161</x:v>
      </x:c>
      <x:c r="C43" s="8" t="str">
        <x:v>Sundre</x:v>
      </x:c>
      <x:c r="D43" s="8" t="str">
        <x:v>ES2</x:v>
      </x:c>
      <x:c r="E43" s="16" t="n">
        <x:v>366.5</x:v>
      </x:c>
      <x:c r="F43" s="16" t="str">
        <x:v>Unknown</x:v>
      </x:c>
      <x:c r="G43" s="16" t="str">
        <x:v>Unknown</x:v>
      </x:c>
      <x:c r="H43" s="17" t="str">
        <x:v>Not stated</x:v>
      </x:c>
      <x:c r="I43" s="11" t="str">
        <x:v>Not stated on map.</x:v>
      </x:c>
      <x:c r="J43" s="10" t="n">
        <x:v>51.98</x:v>
      </x:c>
      <x:c r="K43" s="10" t="n">
        <x:v>-114.902</x:v>
      </x:c>
      <x:c r="L43" s="8" t="str">
        <x:v>SE11-35-7-W5</x:v>
      </x:c>
      <x:c r="M43" s="11" t="str">
        <x:v>Boating; Water; Camping; Picnic; Playground; Sports</x:v>
      </x:c>
      <x:c r="N43" s="11" t="str">
        <x:v>The lake is about 3 km long and has an abundance of pike, perch and walleye Burnstick Lake offers something for everyone, including boating, fishing, water skiing, camping and a picnic area. A small store is available for your convenience.</x:v>
      </x:c>
      <x:c r="O43" s="8" t="n">
        <x:v>0</x:v>
      </x:c>
      <x:c r="P43" s="8" t="n">
        <x:v>5</x:v>
      </x:c>
      <x:c r="Q43" s="8" t="str">
        <x:v>https://www.google.com/maps/dir/?api=1&amp;destination=51.98,-114.902</x:v>
      </x:c>
      <x:c r="R43" s="8" t="str">
        <x:v>https://albertaregulations.ca/fishingregs/es2.html</x:v>
      </x:c>
    </x:row>
    <x:row r="44" ht="102" customHeight="1">
      <x:c r="A44" s="8" t="str">
        <x:v>Butcher's Lake</x:v>
      </x:c>
      <x:c r="B44" s="8" t="str">
        <x:v>4171</x:v>
      </x:c>
      <x:c r="C44" s="8" t="str">
        <x:v>Pincher Creek</x:v>
      </x:c>
      <x:c r="D44" s="8" t="str">
        <x:v>ES1</x:v>
      </x:c>
      <x:c r="E44" s="16" t="n">
        <x:v>3.4</x:v>
      </x:c>
      <x:c r="F44" s="16" t="str">
        <x:v>Unknown</x:v>
      </x:c>
      <x:c r="G44" s="16" t="str">
        <x:v>Unknown</x:v>
      </x:c>
      <x:c r="H44" s="17" t="str">
        <x:v>Not stated</x:v>
      </x:c>
      <x:c r="I44" s="11" t="str">
        <x:v>Not stated on map.</x:v>
      </x:c>
      <x:c r="J44" s="10" t="n">
        <x:v>49.304</x:v>
      </x:c>
      <x:c r="K44" s="10" t="n">
        <x:v>-114.0611</x:v>
      </x:c>
      <x:c r="L44" s="8" t="str">
        <x:v>NW15-4-1-W5</x:v>
      </x:c>
      <x:c r="M44" s="11" t="str">
        <x:v>Toilets; Accessibility</x:v>
      </x:c>
      <x:c r="N44" s="11" t="str">
        <x:v>Butcher’s Lake is nestled in the Castle Region, approximately 21 kilometers south of Pincher Creek. Known for its crystal-clear waters and stunning natural backdrop, this lake is a popular fishing destination throughout the year. Butcher’s Lake is particularly renowned for its excellent brook trout fishing, with regular stocking programs ensuring healthy fish populations and consistent angling opportunities for visitors. | Amenities notes: The lake features a designated day-use area with basic amenities</x:v>
      </x:c>
      <x:c r="O44" s="8" t="n">
        <x:v>5</x:v>
      </x:c>
      <x:c r="P44" s="8" t="n">
        <x:v>7</x:v>
      </x:c>
      <x:c r="Q44" s="8" t="str">
        <x:v>https://www.google.com/maps/dir/?api=1&amp;destination=49.303994,-114.061148</x:v>
      </x:c>
      <x:c r="R44" s="8" t="str">
        <x:v>https://albertaregulations.ca/fishingregs/es1.html</x:v>
      </x:c>
    </x:row>
    <x:row r="45" ht="57" customHeight="1">
      <x:c r="A45" s="8" t="str">
        <x:v>By the Lake Park</x:v>
      </x:c>
      <x:c r="B45" s="8" t="str">
        <x:v>6614</x:v>
      </x:c>
      <x:c r="C45" s="8" t="str">
        <x:v>Wetaskiwin</x:v>
      </x:c>
      <x:c r="D45" s="8" t="str">
        <x:v>PP2</x:v>
      </x:c>
      <x:c r="E45" s="16" t="n">
        <x:v>11.2</x:v>
      </x:c>
      <x:c r="F45" s="16" t="str">
        <x:v>Unknown</x:v>
      </x:c>
      <x:c r="G45" s="16" t="str">
        <x:v>Unknown</x:v>
      </x:c>
      <x:c r="H45" s="17" t="str">
        <x:v>Not stated</x:v>
      </x:c>
      <x:c r="I45" s="11" t="str">
        <x:v>Not stated on map.</x:v>
      </x:c>
      <x:c r="J45" s="10" t="n">
        <x:v>52.9768</x:v>
      </x:c>
      <x:c r="K45" s="10" t="n">
        <x:v>-113.4082</x:v>
      </x:c>
      <x:c r="L45" s="8" t="str">
        <x:v>SW22-46-24-W4</x:v>
      </x:c>
      <x:c r="M45" s="11" t="str">
        <x:v>Picnic; Day Use; Winter Recreation; Trails; Trails Cross-Country Ski; Fishing Access</x:v>
      </x:c>
      <x:c r="N45" s="11" t="str">
        <x:v>By-the-Lake Park is a 17-acre constructed lake surrounded by a 25 kilometre paved trail. A large picnic area, playground, and public washrooms make this an ideal spot to spend some time and fish.</x:v>
      </x:c>
      <x:c r="O45" s="8" t="n">
        <x:v>0</x:v>
      </x:c>
      <x:c r="P45" s="8" t="n">
        <x:v>7</x:v>
      </x:c>
      <x:c r="Q45" s="8" t="str">
        <x:v>https://www.google.com/maps/dir/?api=1&amp;destination=52.97684599999999,-113.408198</x:v>
      </x:c>
      <x:c r="R45" s="8" t="str">
        <x:v>https://albertaregulations.ca/fishingregs/pp2.html</x:v>
      </x:c>
    </x:row>
    <x:row r="46" ht="87" customHeight="1">
      <x:c r="A46" s="8" t="str">
        <x:v>Camp 9 Trout Pond</x:v>
      </x:c>
      <x:c r="B46" s="8" t="str">
        <x:v>21332</x:v>
      </x:c>
      <x:c r="C46" s="8" t="str">
        <x:v>Rocky Mountain House</x:v>
      </x:c>
      <x:c r="D46" s="8" t="str">
        <x:v>ES2</x:v>
      </x:c>
      <x:c r="E46" s="16" t="n">
        <x:v>7</x:v>
      </x:c>
      <x:c r="F46" s="16" t="str">
        <x:v>Unknown</x:v>
      </x:c>
      <x:c r="G46" s="16" t="str">
        <x:v>Unknown</x:v>
      </x:c>
      <x:c r="H46" s="17" t="str">
        <x:v>Yes</x:v>
      </x:c>
      <x:c r="I46" s="11" t="str">
        <x:v>Fish are stocked in the upper section of the pond, and aeration is provided by a windmill system to maintain water quality.</x:v>
      </x:c>
      <x:c r="J46" s="10" t="n">
        <x:v>52.8421</x:v>
      </x:c>
      <x:c r="K46" s="10" t="n">
        <x:v>-115.1251</x:v>
      </x:c>
      <x:c r="L46" s="8" t="str">
        <x:v>NE32-44-8-W5</x:v>
      </x:c>
      <x:c r="M46" s="11" t="str">
        <x:v>Camping; Shelter; Toilets; Picnic; Fire Pits</x:v>
      </x:c>
      <x:c r="N46" s="11" t="str">
        <x:v>The pond is located in a remote area and can be difficult to access due to a rough road. Fish are stocked in the upper section of the pond, and aeration is provided by a windmill system to maintain water quality. Nearby campsites are available on a first-come, first-served basis, offering a convenient option for visitors who wish to stay close to the pond.</x:v>
      </x:c>
      <x:c r="O46" s="8" t="n">
        <x:v>0</x:v>
      </x:c>
      <x:c r="P46" s="8" t="n">
        <x:v>4</x:v>
      </x:c>
      <x:c r="Q46" s="8" t="str">
        <x:v>https://www.google.com/maps/dir/?api=1&amp;destination=52.84209,-115.125149</x:v>
      </x:c>
      <x:c r="R46" s="8" t="str">
        <x:v>https://albertaregulations.ca/fishingregs/es2.html</x:v>
      </x:c>
    </x:row>
    <x:row r="47" ht="102" customHeight="1">
      <x:c r="A47" s="8" t="str">
        <x:v>Capt Ayre</x:v>
      </x:c>
      <x:c r="B47" s="8" t="str">
        <x:v>4208</x:v>
      </x:c>
      <x:c r="C47" s="8" t="str">
        <x:v>Provost</x:v>
      </x:c>
      <x:c r="D47" s="8" t="str">
        <x:v>PP2</x:v>
      </x:c>
      <x:c r="E47" s="16" t="n">
        <x:v>20.2</x:v>
      </x:c>
      <x:c r="F47" s="16" t="n">
        <x:v>7.2</x:v>
      </x:c>
      <x:c r="G47" s="16" t="n">
        <x:v>3</x:v>
      </x:c>
      <x:c r="H47" s="17" t="str">
        <x:v>Not stated</x:v>
      </x:c>
      <x:c r="I47" s="11" t="str">
        <x:v>Not stated on map.</x:v>
      </x:c>
      <x:c r="J47" s="10" t="n">
        <x:v>52.2995</x:v>
      </x:c>
      <x:c r="K47" s="10" t="n">
        <x:v>-110.7148</x:v>
      </x:c>
      <x:c r="L47" s="8" t="str">
        <x:v>NW30-38-5-W4</x:v>
      </x:c>
      <x:c r="M47" s="11" t="str">
        <x:v>Laundry; Playground; Picnic; Shelter; Day Use; Sports; Camping; Camping Group; Boat Launch; Sports Baseball</x:v>
      </x:c>
      <x:c r="N47" s="11" t="str">
        <x:v>Visitors to the park can enjoy a variety of activities, including swimming, canoeing, and trout fishing. The park offers full-service campsites along with convenient amenities such as a laundromat, concession, showers, and washrooms. For recreation, guests can take advantage of ball diamonds, a sand volleyball court, a rugged nine-hole golf course, and multiple playgrounds, making it an ideal destination for families and outdoor enthusiasts. | Amenities notes: golf course nearby</x:v>
      </x:c>
      <x:c r="O47" s="8" t="n">
        <x:v>1</x:v>
      </x:c>
      <x:c r="P47" s="8" t="n">
        <x:v>12</x:v>
      </x:c>
      <x:c r="Q47" s="8" t="str">
        <x:v>https://www.google.com/maps/dir/?api=1&amp;destination=52.29945,-110.714832</x:v>
      </x:c>
      <x:c r="R47" s="8" t="str">
        <x:v>https://albertaregulations.ca/fishingregs/pp2.html</x:v>
      </x:c>
    </x:row>
    <x:row r="48" ht="57" customHeight="1">
      <x:c r="A48" s="8" t="str">
        <x:v>Cardiff Park Pond</x:v>
      </x:c>
      <x:c r="B48" s="8" t="str">
        <x:v>6868</x:v>
      </x:c>
      <x:c r="C48" s="8" t="str">
        <x:v>Stony Plain</x:v>
      </x:c>
      <x:c r="D48" s="8" t="str">
        <x:v>PP2</x:v>
      </x:c>
      <x:c r="E48" s="16" t="n">
        <x:v>11.3</x:v>
      </x:c>
      <x:c r="F48" s="16" t="n">
        <x:v>11</x:v>
      </x:c>
      <x:c r="G48" s="16" t="str">
        <x:v>Unknown</x:v>
      </x:c>
      <x:c r="H48" s="17" t="str">
        <x:v>Not stated</x:v>
      </x:c>
      <x:c r="I48" s="11" t="str">
        <x:v>Not stated on map.</x:v>
      </x:c>
      <x:c r="J48" s="10" t="n">
        <x:v>53.7633</x:v>
      </x:c>
      <x:c r="K48" s="10" t="n">
        <x:v>-113.5841</x:v>
      </x:c>
      <x:c r="L48" s="8" t="str">
        <x:v>SW24-55-25-W4</x:v>
      </x:c>
      <x:c r="M48" s="11" t="str">
        <x:v>Day Use; Picnic; Shelter; Fire Pits; Playground; Sports; Sports Volleyball; Trails; Trails Hiking; Trails Biking; Trails Cross-Country Ski</x:v>
      </x:c>
      <x:c r="N48" s="11" t="str">
        <x:v>Cardiff Park is a day-use park with single-family and group picnic sites, picnic shelters, stand-up BBQs and fire pits. Cardiff Lake is situated within the park, and is a local fishing hole for trout.</x:v>
      </x:c>
      <x:c r="O48" s="8" t="n">
        <x:v>5</x:v>
      </x:c>
      <x:c r="P48" s="8" t="n">
        <x:v>30</x:v>
      </x:c>
      <x:c r="Q48" s="8" t="str">
        <x:v>https://www.google.com/maps/dir/?api=1&amp;destination=53.76326599999999,-113.584073</x:v>
      </x:c>
      <x:c r="R48" s="8" t="str">
        <x:v>https://albertaregulations.ca/fishingregs/pp2.html</x:v>
      </x:c>
    </x:row>
    <x:row r="49" ht="32" customHeight="1">
      <x:c r="A49" s="8" t="str">
        <x:v>Carnarvon Lake</x:v>
      </x:c>
      <x:c r="B49" s="8" t="str">
        <x:v>4221</x:v>
      </x:c>
      <x:c r="C49" s="8" t="str">
        <x:v>High River</x:v>
      </x:c>
      <x:c r="D49" s="8" t="str">
        <x:v>Not stated</x:v>
      </x:c>
      <x:c r="E49" s="16" t="str">
        <x:v>Unknown</x:v>
      </x:c>
      <x:c r="F49" s="16" t="str">
        <x:v>Unknown</x:v>
      </x:c>
      <x:c r="G49" s="16" t="str">
        <x:v>Unknown</x:v>
      </x:c>
      <x:c r="H49" s="17" t="str">
        <x:v>Not stated</x:v>
      </x:c>
      <x:c r="I49" s="11" t="str">
        <x:v>Not stated on map.</x:v>
      </x:c>
      <x:c r="J49" s="10" t="n">
        <x:v>50.3726</x:v>
      </x:c>
      <x:c r="K49" s="10" t="n">
        <x:v>-114.814</x:v>
      </x:c>
      <x:c r="L49" s="8" t="str">
        <x:v>SE30-16-6-W5</x:v>
      </x:c>
      <x:c r="M49" s="11" t="str"/>
      <x:c r="N49" s="11" t="str">
        <x:v>No description available.</x:v>
      </x:c>
      <x:c r="O49" s="8" t="n">
        <x:v>0</x:v>
      </x:c>
      <x:c r="P49" s="8" t="n">
        <x:v>1</x:v>
      </x:c>
      <x:c r="Q49" s="8" t="str">
        <x:v>https://www.google.com/maps/dir/?api=1&amp;destination=50.372611,-114.814015</x:v>
      </x:c>
      <x:c r="R49" s="8" t="str"/>
    </x:row>
    <x:row r="50" ht="87" customHeight="1">
      <x:c r="A50" s="8" t="str">
        <x:v>Carson Lake</x:v>
      </x:c>
      <x:c r="B50" s="8" t="str">
        <x:v>5286</x:v>
      </x:c>
      <x:c r="C50" s="8" t="str">
        <x:v>Whitecourt</x:v>
      </x:c>
      <x:c r="D50" s="8" t="str">
        <x:v>ES3</x:v>
      </x:c>
      <x:c r="E50" s="16" t="str">
        <x:v>Unknown</x:v>
      </x:c>
      <x:c r="F50" s="16" t="str">
        <x:v>Unknown</x:v>
      </x:c>
      <x:c r="G50" s="16" t="str">
        <x:v>Unknown</x:v>
      </x:c>
      <x:c r="H50" s="17" t="str">
        <x:v>Not stated</x:v>
      </x:c>
      <x:c r="I50" s="11" t="str">
        <x:v>Not stated on map.</x:v>
      </x:c>
      <x:c r="J50" s="10" t="n">
        <x:v>54.2986</x:v>
      </x:c>
      <x:c r="K50" s="10" t="n">
        <x:v>-115.6528</x:v>
      </x:c>
      <x:c r="L50" s="8" t="str">
        <x:v>SE25-61-12-W5</x:v>
      </x:c>
      <x:c r="M50" s="11" t="str">
        <x:v>Boat Launch; Boating; Fish Cleaning; Retail/Services; Dock/Pier; Laundry; Playground; Water</x:v>
      </x:c>
      <x:c r="N50" s="11" t="str">
        <x:v>Carson-Pegasus Provincial Park at McLeod Lake includes a campground featuring 182 campsites, day use sites, and a group use site, and offers winter camping. Other recreational activities at the provincial park and lake include bird-watching, canoeing/kayaking, cross-country skiing, fishing, hiking, horseshoes, ice fishing, power boating, swimming. | Amenities notes: life jacket loaner station; horse shoe pits</x:v>
      </x:c>
      <x:c r="O50" s="8" t="n">
        <x:v>4</x:v>
      </x:c>
      <x:c r="P50" s="8" t="n">
        <x:v>63</x:v>
      </x:c>
      <x:c r="Q50" s="8" t="str">
        <x:v>https://www.google.com/maps/dir/?api=1&amp;destination=54.298603,-115.652786</x:v>
      </x:c>
      <x:c r="R50" s="8" t="str">
        <x:v>https://albertaregulations.ca/fishingregs/es3.html</x:v>
      </x:c>
    </x:row>
    <x:row r="51" ht="72" customHeight="1">
      <x:c r="A51" s="8" t="str">
        <x:v>Castaway Trout Pond</x:v>
      </x:c>
      <x:c r="B51" s="8" t="str">
        <x:v>20258</x:v>
      </x:c>
      <x:c r="C51" s="8" t="str">
        <x:v>Vegreville</x:v>
      </x:c>
      <x:c r="D51" s="8" t="str">
        <x:v>PP2</x:v>
      </x:c>
      <x:c r="E51" s="16" t="n">
        <x:v>1.4</x:v>
      </x:c>
      <x:c r="F51" s="16" t="str">
        <x:v>Unknown</x:v>
      </x:c>
      <x:c r="G51" s="16" t="str">
        <x:v>Unknown</x:v>
      </x:c>
      <x:c r="H51" s="17" t="str">
        <x:v>Not stated</x:v>
      </x:c>
      <x:c r="I51" s="11" t="str">
        <x:v>Photo caption mentions equipment: Castaway Pond picnic area and windmill aerator. Current operation not confirmed.</x:v>
      </x:c>
      <x:c r="J51" s="10" t="n">
        <x:v>53.0976</x:v>
      </x:c>
      <x:c r="K51" s="10" t="n">
        <x:v>-111.7909</x:v>
      </x:c>
      <x:c r="L51" s="8" t="str">
        <x:v>NE35-47-13-W4</x:v>
      </x:c>
      <x:c r="M51" s="11" t="str">
        <x:v>Picnic; Day Use; Toilets</x:v>
      </x:c>
      <x:c r="N51" s="11" t="str">
        <x:v>Castaway Trout Pond, located near Viking southeast of Edmonton, is an excellent destination for both beginners and experienced anglers to enjoy fishing. The Alberta Conservation Association (ACA) typically stocks this water body before the May long weekend, ensuring great opportunities for anglers throughout the season.</x:v>
      </x:c>
      <x:c r="O51" s="8" t="n">
        <x:v>2</x:v>
      </x:c>
      <x:c r="P51" s="8" t="n">
        <x:v>9</x:v>
      </x:c>
      <x:c r="Q51" s="8" t="str">
        <x:v>https://www.google.com/maps/dir/?api=1&amp;destination=53.097592,-111.79091</x:v>
      </x:c>
      <x:c r="R51" s="8" t="str">
        <x:v>https://albertaregulations.ca/fishingregs/pp2.html</x:v>
      </x:c>
    </x:row>
    <x:row r="52" ht="57" customHeight="1">
      <x:c r="A52" s="8" t="str">
        <x:v>Castor Eastside Trout Pond</x:v>
      </x:c>
      <x:c r="B52" s="8" t="str">
        <x:v>18022</x:v>
      </x:c>
      <x:c r="C52" s="8" t="str">
        <x:v>Stettler</x:v>
      </x:c>
      <x:c r="D52" s="8" t="str">
        <x:v>PP2</x:v>
      </x:c>
      <x:c r="E52" s="16" t="n">
        <x:v>1</x:v>
      </x:c>
      <x:c r="F52" s="16" t="n">
        <x:v>7</x:v>
      </x:c>
      <x:c r="G52" s="16" t="n">
        <x:v>22</x:v>
      </x:c>
      <x:c r="H52" s="17" t="str">
        <x:v>Not stated</x:v>
      </x:c>
      <x:c r="I52" s="11" t="str">
        <x:v>Not stated on map.</x:v>
      </x:c>
      <x:c r="J52" s="10" t="n">
        <x:v>52.2182</x:v>
      </x:c>
      <x:c r="K52" s="10" t="n">
        <x:v>-111.9111</x:v>
      </x:c>
      <x:c r="L52" s="8" t="str">
        <x:v>SE34-37-14-W4</x:v>
      </x:c>
      <x:c r="M52" s="11" t="str">
        <x:v>Day Use; Picnic</x:v>
      </x:c>
      <x:c r="N52" s="11" t="str">
        <x:v>The fish pond is located on the south side of Highway 12, just before entering the Town of Castor. It is stocked annually with trout, providing anglers with a reliable fishing opportunity throughout the season.</x:v>
      </x:c>
      <x:c r="O52" s="8" t="n">
        <x:v>0</x:v>
      </x:c>
      <x:c r="P52" s="8" t="n">
        <x:v>9</x:v>
      </x:c>
      <x:c r="Q52" s="8" t="str">
        <x:v>https://www.google.com/maps/dir/?api=1&amp;destination=52.218207,-111.91105</x:v>
      </x:c>
      <x:c r="R52" s="8" t="str">
        <x:v>https://albertaregulations.ca/fishingregs/pp2.html</x:v>
      </x:c>
    </x:row>
    <x:row r="53" ht="87" customHeight="1">
      <x:c r="A53" s="8" t="str">
        <x:v>Cavan Lake</x:v>
      </x:c>
      <x:c r="B53" s="8" t="str">
        <x:v>4231</x:v>
      </x:c>
      <x:c r="C53" s="8" t="str">
        <x:v>Medicine Hat</x:v>
      </x:c>
      <x:c r="D53" s="8" t="str">
        <x:v>PP1</x:v>
      </x:c>
      <x:c r="E53" s="16" t="n">
        <x:v>31.6</x:v>
      </x:c>
      <x:c r="F53" s="16" t="str">
        <x:v>Unknown</x:v>
      </x:c>
      <x:c r="G53" s="16" t="str">
        <x:v>Unknown</x:v>
      </x:c>
      <x:c r="H53" s="17" t="str">
        <x:v>Not stated</x:v>
      </x:c>
      <x:c r="I53" s="11" t="str">
        <x:v>Not stated on map.</x:v>
      </x:c>
      <x:c r="J53" s="10" t="n">
        <x:v>49.9359</x:v>
      </x:c>
      <x:c r="K53" s="10" t="n">
        <x:v>-110.4071</x:v>
      </x:c>
      <x:c r="L53" s="8" t="str">
        <x:v>SW30-11-3-W4</x:v>
      </x:c>
      <x:c r="M53" s="11" t="str">
        <x:v>Camping; Camping Group; Fire Pits; Firewood; Playground; Sports; Toilets; Sewage Disposal; Water; Day Use; Picnic; Shelter</x:v>
      </x:c>
      <x:c r="N53" s="11" t="str">
        <x:v>Cavan Lake Recreational Campground offers 78 campsites, including 60 sites equipped with 30-amp power. Each site features a fire pit, and complimentary firewood is provided for campers. The campground includes amenities such as a playground and horseshoe pits, making it suitable for family recreation. Both campers and anglers can take advantage of the day-use area or reserve group campsites for larger gatherings.</x:v>
      </x:c>
      <x:c r="O53" s="8" t="n">
        <x:v>3</x:v>
      </x:c>
      <x:c r="P53" s="8" t="n">
        <x:v>2</x:v>
      </x:c>
      <x:c r="Q53" s="8" t="str">
        <x:v>https://www.google.com/maps/dir/?api=1&amp;destination=49.935915,-110.407082</x:v>
      </x:c>
      <x:c r="R53" s="8" t="str">
        <x:v>https://albertaregulations.ca/fishingregs/pp1.html</x:v>
      </x:c>
    </x:row>
    <x:row r="54" ht="72" customHeight="1">
      <x:c r="A54" s="8" t="str">
        <x:v>Cecil Thompson Pond</x:v>
      </x:c>
      <x:c r="B54" s="8" t="str">
        <x:v>6778</x:v>
      </x:c>
      <x:c r="C54" s="8" t="str">
        <x:v>Peace River</x:v>
      </x:c>
      <x:c r="D54" s="8" t="str">
        <x:v>NB3</x:v>
      </x:c>
      <x:c r="E54" s="16" t="n">
        <x:v>1.1</x:v>
      </x:c>
      <x:c r="F54" s="16" t="str">
        <x:v>Unknown</x:v>
      </x:c>
      <x:c r="G54" s="16" t="str">
        <x:v>Unknown</x:v>
      </x:c>
      <x:c r="H54" s="17" t="str">
        <x:v>Not stated</x:v>
      </x:c>
      <x:c r="I54" s="11" t="str">
        <x:v>Not stated on map.</x:v>
      </x:c>
      <x:c r="J54" s="10" t="n">
        <x:v>56.2091</x:v>
      </x:c>
      <x:c r="K54" s="10" t="n">
        <x:v>-117.203</x:v>
      </x:c>
      <x:c r="L54" s="8" t="str">
        <x:v>SW23-83-21-W5</x:v>
      </x:c>
      <x:c r="M54" s="11" t="str">
        <x:v>Camping; Picnic; Firewood; Water; Toilets; Playground; Day Use</x:v>
      </x:c>
      <x:c r="N54" s="11" t="str">
        <x:v>Cecil Thompson Park that features outdoor exercise equipment, an excellent fishing pond, a beautiful gazebo and a walking bridge. It is a perfect location to spend the day or spend the night at one of the 5 un-serviced lots, available first come, first serve basis at no charge.</x:v>
      </x:c>
      <x:c r="O54" s="8" t="n">
        <x:v>3</x:v>
      </x:c>
      <x:c r="P54" s="8" t="n">
        <x:v>6</x:v>
      </x:c>
      <x:c r="Q54" s="8" t="str">
        <x:v>https://www.google.com/maps/dir/?api=1&amp;destination=56.209063,-117.20295</x:v>
      </x:c>
      <x:c r="R54" s="8" t="str">
        <x:v>https://albertaregulations.ca/fishingregs/nb3.html</x:v>
      </x:c>
    </x:row>
    <x:row r="55" ht="87" customHeight="1">
      <x:c r="A55" s="8" t="str">
        <x:v>Chain Lakes Reservoir</x:v>
      </x:c>
      <x:c r="B55" s="8" t="str">
        <x:v>3499</x:v>
      </x:c>
      <x:c r="C55" s="8" t="str">
        <x:v>Claresholm</x:v>
      </x:c>
      <x:c r="D55" s="8" t="str">
        <x:v>ES1</x:v>
      </x:c>
      <x:c r="E55" s="16" t="n">
        <x:v>643.4</x:v>
      </x:c>
      <x:c r="F55" s="16" t="n">
        <x:v>9.1</x:v>
      </x:c>
      <x:c r="G55" s="16" t="n">
        <x:v>9.1</x:v>
      </x:c>
      <x:c r="H55" s="17" t="str">
        <x:v>Not stated</x:v>
      </x:c>
      <x:c r="I55" s="11" t="str">
        <x:v>Not stated on map.</x:v>
      </x:c>
      <x:c r="J55" s="10" t="n">
        <x:v>50.2369</x:v>
      </x:c>
      <x:c r="K55" s="10" t="n">
        <x:v>-114.208</x:v>
      </x:c>
      <x:c r="L55" s="8" t="str">
        <x:v>NE4-15-2-W5</x:v>
      </x:c>
      <x:c r="M55" s="11" t="str">
        <x:v>Water; Washrooms; Camping; Camping Power; Firewood; Shelter; Playground; Boat Launch; Beach; Retail/Services; Sewage Disposal</x:v>
      </x:c>
      <x:c r="N55" s="11" t="str">
        <x:v>Chain Lakes Reservoir Campground offers more than 90 serviced and unserviced campsites, providing a comfortable and scenic setting for outdoor enthusiasts. Visitors can enjoy a variety of recreational activities, including swimming, beach relaxation, canoeing, fishing, windsurfing, and sailing, making this lakeside destination ideal for both adventure and leisure.</x:v>
      </x:c>
      <x:c r="O55" s="8" t="n">
        <x:v>4</x:v>
      </x:c>
      <x:c r="P55" s="8" t="n">
        <x:v>54</x:v>
      </x:c>
      <x:c r="Q55" s="8" t="str">
        <x:v>https://www.google.com/maps/dir/?api=1&amp;destination=50.236864,-114.20802</x:v>
      </x:c>
      <x:c r="R55" s="8" t="str">
        <x:v>https://albertaregulations.ca/fishingregs/es1.html</x:v>
      </x:c>
    </x:row>
    <x:row r="56" ht="57" customHeight="1">
      <x:c r="A56" s="8" t="str">
        <x:v>Chatwin Lake</x:v>
      </x:c>
      <x:c r="B56" s="8" t="str">
        <x:v>4252</x:v>
      </x:c>
      <x:c r="C56" s="8" t="str">
        <x:v>Bonnyville</x:v>
      </x:c>
      <x:c r="D56" s="8" t="str">
        <x:v>NB1</x:v>
      </x:c>
      <x:c r="E56" s="16" t="n">
        <x:v>78.9</x:v>
      </x:c>
      <x:c r="F56" s="16" t="n">
        <x:v>5</x:v>
      </x:c>
      <x:c r="G56" s="16" t="n">
        <x:v>4</x:v>
      </x:c>
      <x:c r="H56" s="17" t="str">
        <x:v>Not stated</x:v>
      </x:c>
      <x:c r="I56" s="11" t="str">
        <x:v>Not stated on map.</x:v>
      </x:c>
      <x:c r="J56" s="10" t="n">
        <x:v>54.2478</x:v>
      </x:c>
      <x:c r="K56" s="10" t="n">
        <x:v>-110.8417</x:v>
      </x:c>
      <x:c r="L56" s="8" t="str">
        <x:v>NE4-61-6-W4</x:v>
      </x:c>
      <x:c r="M56" s="11" t="str">
        <x:v>Boat Launch; Parking</x:v>
      </x:c>
      <x:c r="N56" s="11" t="str">
        <x:v>Chatwin Lake was stocked with trout in the spring of 2020 after many years without fish. The lake boarders the Bonnyville golf course and private residences. The staging area is gravel, with a crude boat launch and smaller boats are recommended.</x:v>
      </x:c>
      <x:c r="O56" s="8" t="n">
        <x:v>5</x:v>
      </x:c>
      <x:c r="P56" s="8" t="n">
        <x:v>16</x:v>
      </x:c>
      <x:c r="Q56" s="8" t="str">
        <x:v>https://www.google.com/maps/dir/?api=1&amp;destination=54.24778999999999,-110.841712</x:v>
      </x:c>
      <x:c r="R56" s="8" t="str">
        <x:v>https://albertaregulations.ca/fishingregs/nb1.html</x:v>
      </x:c>
    </x:row>
    <x:row r="57" ht="72" customHeight="1">
      <x:c r="A57" s="8" t="str">
        <x:v>Chickako Lake</x:v>
      </x:c>
      <x:c r="B57" s="8" t="str">
        <x:v>4261</x:v>
      </x:c>
      <x:c r="C57" s="8" t="str">
        <x:v>Stony Plain</x:v>
      </x:c>
      <x:c r="D57" s="8" t="str">
        <x:v>PP2</x:v>
      </x:c>
      <x:c r="E57" s="16" t="n">
        <x:v>18.4</x:v>
      </x:c>
      <x:c r="F57" s="16" t="n">
        <x:v>5</x:v>
      </x:c>
      <x:c r="G57" s="16" t="n">
        <x:v>4</x:v>
      </x:c>
      <x:c r="H57" s="17" t="str">
        <x:v>Not stated</x:v>
      </x:c>
      <x:c r="I57" s="11" t="str">
        <x:v>Not stated on map.</x:v>
      </x:c>
      <x:c r="J57" s="10" t="n">
        <x:v>53.6186</x:v>
      </x:c>
      <x:c r="K57" s="10" t="n">
        <x:v>-114.0743</x:v>
      </x:c>
      <x:c r="L57" s="8" t="str">
        <x:v>SW34-53-1-W5</x:v>
      </x:c>
      <x:c r="M57" s="11" t="str">
        <x:v>Paddling; Paddling Canoe; Trails; Trails Biking; Trails Hiking; Trails Cross-Country Ski; Trails Equestrian; Picnic; Washrooms; Boat Launch</x:v>
      </x:c>
      <x:c r="N57" s="11" t="str">
        <x:v>Chickakoo Lake Recreation Area is a scenic mix of woods and lakes that attracts a diversity of birds and other wildlife such as moose, dear, beavers and more. The 480 acres of woodland and over 14 km of trails are a popular destination for hikers, cyclists and horseback riders in summer and are groomed for cross country skiers in winter.</x:v>
      </x:c>
      <x:c r="O57" s="8" t="n">
        <x:v>0</x:v>
      </x:c>
      <x:c r="P57" s="8" t="n">
        <x:v>3</x:v>
      </x:c>
      <x:c r="Q57" s="8" t="str">
        <x:v>https://www.google.com/maps/dir/?api=1&amp;destination=53.618628,-114.074339</x:v>
      </x:c>
      <x:c r="R57" s="8" t="str">
        <x:v>https://albertaregulations.ca/fishingregs/pp2.html</x:v>
      </x:c>
    </x:row>
    <x:row r="58" ht="57" customHeight="1">
      <x:c r="A58" s="8" t="str">
        <x:v>Chin Reservoir</x:v>
      </x:c>
      <x:c r="B58" s="8" t="str">
        <x:v>4265</x:v>
      </x:c>
      <x:c r="C58" s="8" t="str">
        <x:v>Lethbridge</x:v>
      </x:c>
      <x:c r="D58" s="8" t="str">
        <x:v>PP1</x:v>
      </x:c>
      <x:c r="E58" s="16" t="n">
        <x:v>164.4</x:v>
      </x:c>
      <x:c r="F58" s="16" t="str">
        <x:v>Unknown</x:v>
      </x:c>
      <x:c r="G58" s="16" t="str">
        <x:v>Unknown</x:v>
      </x:c>
      <x:c r="H58" s="17" t="str">
        <x:v>Not stated</x:v>
      </x:c>
      <x:c r="I58" s="11" t="str">
        <x:v>Not stated on map.</x:v>
      </x:c>
      <x:c r="J58" s="10" t="n">
        <x:v>49.6364</x:v>
      </x:c>
      <x:c r="K58" s="10" t="n">
        <x:v>-112.2523</x:v>
      </x:c>
      <x:c r="L58" s="8" t="str">
        <x:v>NW9-8-17-W4</x:v>
      </x:c>
      <x:c r="M58" s="11" t="str">
        <x:v>Boat Launch; Swimming; Toilets</x:v>
      </x:c>
      <x:c r="N58" s="11" t="str">
        <x:v>Chin Reservoir is a large, long reservoir where boating, water skiing and fishing are popular. There are only amenities at the camping area which include a boat launch, swimming area and outhouses.</x:v>
      </x:c>
      <x:c r="O58" s="8" t="n">
        <x:v>0</x:v>
      </x:c>
      <x:c r="P58" s="8" t="n">
        <x:v>3</x:v>
      </x:c>
      <x:c r="Q58" s="8" t="str">
        <x:v>https://www.google.com/maps/dir/?api=1&amp;destination=49.636404,-112.252288</x:v>
      </x:c>
      <x:c r="R58" s="8" t="str">
        <x:v>https://albertaregulations.ca/fishingregs/pp1.html</x:v>
      </x:c>
    </x:row>
    <x:row r="59" ht="57" customHeight="1">
      <x:c r="A59" s="8" t="str">
        <x:v>Chrystina Lake</x:v>
      </x:c>
      <x:c r="B59" s="8" t="str">
        <x:v>6860</x:v>
      </x:c>
      <x:c r="C59" s="8" t="str">
        <x:v>Slave Lake</x:v>
      </x:c>
      <x:c r="D59" s="8" t="str">
        <x:v>NB2</x:v>
      </x:c>
      <x:c r="E59" s="16" t="n">
        <x:v>41.7</x:v>
      </x:c>
      <x:c r="F59" s="16" t="str">
        <x:v>Unknown</x:v>
      </x:c>
      <x:c r="G59" s="16" t="str">
        <x:v>Unknown</x:v>
      </x:c>
      <x:c r="H59" s="17" t="str">
        <x:v>Not stated</x:v>
      </x:c>
      <x:c r="I59" s="11" t="str">
        <x:v>Not stated on map.</x:v>
      </x:c>
      <x:c r="J59" s="10" t="n">
        <x:v>54.7861</x:v>
      </x:c>
      <x:c r="K59" s="10" t="n">
        <x:v>-115.1946</x:v>
      </x:c>
      <x:c r="L59" s="8" t="str">
        <x:v>NW8-67-8-W5</x:v>
      </x:c>
      <x:c r="M59" s="11" t="str">
        <x:v>Firewood; Picnic; Toilets; Boat Launch; Water; Paddling; Paddling Canoe; Paddling Kayak</x:v>
      </x:c>
      <x:c r="N59" s="11" t="str">
        <x:v>Chrystina (Windy) Lake Campground is found in Chrystina Lake Provincial Recreation Area. Explore the shoreline in your canoe, fish for trout, or access the OHV/snowmobile trail system in the winter months.</x:v>
      </x:c>
      <x:c r="O59" s="8" t="n">
        <x:v>0</x:v>
      </x:c>
      <x:c r="P59" s="8" t="n">
        <x:v>6</x:v>
      </x:c>
      <x:c r="Q59" s="8" t="str">
        <x:v>https://www.google.com/maps/dir/?api=1&amp;destination=54.786102,-115.194645</x:v>
      </x:c>
      <x:c r="R59" s="8" t="str">
        <x:v>https://albertaregulations.ca/fishingregs/nb2.html</x:v>
      </x:c>
    </x:row>
    <x:row r="60" ht="87" customHeight="1">
      <x:c r="A60" s="8" t="str">
        <x:v>Cipperley's Reservoir</x:v>
      </x:c>
      <x:c r="B60" s="8" t="str">
        <x:v>6861</x:v>
      </x:c>
      <x:c r="C60" s="8" t="str">
        <x:v>Olds</x:v>
      </x:c>
      <x:c r="D60" s="8" t="str">
        <x:v>PP2</x:v>
      </x:c>
      <x:c r="E60" s="16" t="n">
        <x:v>6</x:v>
      </x:c>
      <x:c r="F60" s="16" t="str">
        <x:v>Unknown</x:v>
      </x:c>
      <x:c r="G60" s="16" t="str">
        <x:v>Unknown</x:v>
      </x:c>
      <x:c r="H60" s="17" t="str">
        <x:v>Not stated</x:v>
      </x:c>
      <x:c r="I60" s="11" t="str">
        <x:v>Not stated on map.</x:v>
      </x:c>
      <x:c r="J60" s="10" t="n">
        <x:v>51.7253</x:v>
      </x:c>
      <x:c r="K60" s="10" t="n">
        <x:v>-114.1114</x:v>
      </x:c>
      <x:c r="L60" s="8" t="str">
        <x:v>SW8-32-1-W5</x:v>
      </x:c>
      <x:c r="M60" s="11" t="str">
        <x:v>Camping; Day Use; Toilets</x:v>
      </x:c>
      <x:c r="N60" s="11" t="str">
        <x:v>Cipperley’s Reservoir is a popular fishing destination in Alberta, offering anglers a variety of opportunities. The Alberta Conservation Association (ACA) stocks the reservoir annually with trout, typically before the May long weekend. To reach the reservoir, travel south on Highway 2A, then west on Range Road 322, and finally south on Range Road 15. Access to the lake is available on the east side of the reservoir.</x:v>
      </x:c>
      <x:c r="O60" s="8" t="n">
        <x:v>0</x:v>
      </x:c>
      <x:c r="P60" s="8" t="n">
        <x:v>8</x:v>
      </x:c>
      <x:c r="Q60" s="8" t="str">
        <x:v>https://www.google.com/maps/dir/?api=1&amp;destination=51.7253,-114.111399</x:v>
      </x:c>
      <x:c r="R60" s="8" t="str">
        <x:v>https://albertaregulations.ca/fishingregs/pp2.html</x:v>
      </x:c>
    </x:row>
    <x:row r="61" ht="42" customHeight="1">
      <x:c r="A61" s="8" t="str">
        <x:v>Coleman Fish and Game Pond</x:v>
      </x:c>
      <x:c r="B61" s="8" t="str">
        <x:v>6858</x:v>
      </x:c>
      <x:c r="C61" s="8" t="str">
        <x:v>Blairmore</x:v>
      </x:c>
      <x:c r="D61" s="8" t="str">
        <x:v>ES1</x:v>
      </x:c>
      <x:c r="E61" s="16" t="n">
        <x:v>3.2</x:v>
      </x:c>
      <x:c r="F61" s="16" t="n">
        <x:v>5.2</x:v>
      </x:c>
      <x:c r="G61" s="16" t="str">
        <x:v>Unknown</x:v>
      </x:c>
      <x:c r="H61" s="17" t="str">
        <x:v>Yes</x:v>
      </x:c>
      <x:c r="I61" s="11" t="str">
        <x:v>EPA stocks this pond annually with trout and it is aerated in winter through ACA’s Lake Aeration Program.</x:v>
      </x:c>
      <x:c r="J61" s="10" t="n">
        <x:v>49.6556</x:v>
      </x:c>
      <x:c r="K61" s="10" t="n">
        <x:v>-114.5598</x:v>
      </x:c>
      <x:c r="L61" s="8" t="str">
        <x:v>SW24-8-5-W5</x:v>
      </x:c>
      <x:c r="M61" s="11" t="str"/>
      <x:c r="N61" s="11" t="str">
        <x:v>EPA stocks this pond annually with trout and it is aerated in winter through ACA’s Lake Aeration Program.</x:v>
      </x:c>
      <x:c r="O61" s="8" t="n">
        <x:v>2</x:v>
      </x:c>
      <x:c r="P61" s="8" t="n">
        <x:v>4</x:v>
      </x:c>
      <x:c r="Q61" s="8" t="str">
        <x:v>https://www.google.com/maps/dir/?api=1&amp;destination=49.655563,-114.559795</x:v>
      </x:c>
      <x:c r="R61" s="8" t="str">
        <x:v>https://albertaregulations.ca/fishingregs/es1.html</x:v>
      </x:c>
    </x:row>
    <x:row r="62" ht="87" customHeight="1">
      <x:c r="A62" s="8" t="str">
        <x:v>Corner Lake</x:v>
      </x:c>
      <x:c r="B62" s="8" t="str">
        <x:v>6859</x:v>
      </x:c>
      <x:c r="C62" s="8" t="str">
        <x:v>Lethbridge</x:v>
      </x:c>
      <x:c r="D62" s="8" t="str">
        <x:v>PP1</x:v>
      </x:c>
      <x:c r="E62" s="16" t="n">
        <x:v>6.7</x:v>
      </x:c>
      <x:c r="F62" s="16" t="str">
        <x:v>Unknown</x:v>
      </x:c>
      <x:c r="G62" s="16" t="str">
        <x:v>Unknown</x:v>
      </x:c>
      <x:c r="H62" s="17" t="str">
        <x:v>Not stated</x:v>
      </x:c>
      <x:c r="I62" s="11" t="str">
        <x:v>Not stated on map.</x:v>
      </x:c>
      <x:c r="J62" s="10" t="n">
        <x:v>49.4468</x:v>
      </x:c>
      <x:c r="K62" s="10" t="n">
        <x:v>-112.6485</x:v>
      </x:c>
      <x:c r="L62" s="8" t="str">
        <x:v>NW4-6-20-W4</x:v>
      </x:c>
      <x:c r="M62" s="11" t="str">
        <x:v>Camping; Toilets</x:v>
      </x:c>
      <x:c r="N62" s="11" t="str">
        <x:v>Corner Lake, located on the southeast corner of Raymond beside Perrett Park Campground, is a newly stocked fishing site featuring rainbow trout. Anglers are encouraged to report any catches of large pike (greater than 20 cm) to the town for record-keeping purposes. This initiative supports local fisheries management and monitoring efforts, ensuring sustainable recreational fishing opportunities for residents and visitors.</x:v>
      </x:c>
      <x:c r="O62" s="8" t="n">
        <x:v>0</x:v>
      </x:c>
      <x:c r="P62" s="8" t="n">
        <x:v>15</x:v>
      </x:c>
      <x:c r="Q62" s="8" t="str">
        <x:v>https://www.google.com/maps/dir/?api=1&amp;destination=49.446821,-112.648546</x:v>
      </x:c>
      <x:c r="R62" s="8" t="str">
        <x:v>https://albertaregulations.ca/fishingregs/pp1.html</x:v>
      </x:c>
    </x:row>
    <x:row r="63" ht="57" customHeight="1">
      <x:c r="A63" s="8" t="str">
        <x:v>Coronation Reservoir</x:v>
      </x:c>
      <x:c r="B63" s="8" t="str">
        <x:v>6845</x:v>
      </x:c>
      <x:c r="C63" s="8" t="str">
        <x:v>Coronation</x:v>
      </x:c>
      <x:c r="D63" s="8" t="str">
        <x:v>PP2</x:v>
      </x:c>
      <x:c r="E63" s="16" t="n">
        <x:v>10.4</x:v>
      </x:c>
      <x:c r="F63" s="16" t="n">
        <x:v>4.5</x:v>
      </x:c>
      <x:c r="G63" s="16" t="str">
        <x:v>Unknown</x:v>
      </x:c>
      <x:c r="H63" s="17" t="str">
        <x:v>Not stated</x:v>
      </x:c>
      <x:c r="I63" s="11" t="str">
        <x:v>Not stated on map.</x:v>
      </x:c>
      <x:c r="J63" s="10" t="n">
        <x:v>52.1058</x:v>
      </x:c>
      <x:c r="K63" s="10" t="n">
        <x:v>-111.4496</x:v>
      </x:c>
      <x:c r="L63" s="8" t="str">
        <x:v>SW24-36-11-W4</x:v>
      </x:c>
      <x:c r="M63" s="11" t="str">
        <x:v>Washrooms; Showers; Sewage Disposal; Camping; Camping Group; Shelter; Playground; Boat Launch</x:v>
      </x:c>
      <x:c r="N63" s="11" t="str">
        <x:v>The campground is located along the Coronation Dam with 50 fully and partially serviced sites, five with power and water. The Coronation Dam is home year-round fishing There is a boat launch for small fishing boats.</x:v>
      </x:c>
      <x:c r="O63" s="8" t="n">
        <x:v>1</x:v>
      </x:c>
      <x:c r="P63" s="8" t="n">
        <x:v>14</x:v>
      </x:c>
      <x:c r="Q63" s="8" t="str">
        <x:v>https://www.google.com/maps/dir/?api=1&amp;destination=52.105809,-111.44958</x:v>
      </x:c>
      <x:c r="R63" s="8" t="str">
        <x:v>https://albertaregulations.ca/fishingregs/pp2.html</x:v>
      </x:c>
    </x:row>
    <x:row r="64" ht="32" customHeight="1">
      <x:c r="A64" s="8" t="str">
        <x:v>Cottage</x:v>
      </x:c>
      <x:c r="B64" s="8" t="str">
        <x:v>5874</x:v>
      </x:c>
      <x:c r="C64" s="8" t="str">
        <x:v>Stony Plain</x:v>
      </x:c>
      <x:c r="D64" s="8" t="str">
        <x:v>PP2</x:v>
      </x:c>
      <x:c r="E64" s="16" t="n">
        <x:v>69.2</x:v>
      </x:c>
      <x:c r="F64" s="16" t="n">
        <x:v>9.1</x:v>
      </x:c>
      <x:c r="G64" s="16" t="n">
        <x:v>1.9</x:v>
      </x:c>
      <x:c r="H64" s="17" t="str">
        <x:v>Not stated</x:v>
      </x:c>
      <x:c r="I64" s="11" t="str">
        <x:v>Not stated on map.</x:v>
      </x:c>
      <x:c r="J64" s="10" t="n">
        <x:v>53.5179</x:v>
      </x:c>
      <x:c r="K64" s="10" t="n">
        <x:v>-114.1388</x:v>
      </x:c>
      <x:c r="L64" s="8" t="str">
        <x:v>SW30-52-1-W5</x:v>
      </x:c>
      <x:c r="M64" s="11" t="str">
        <x:v>Camping; Water; Boat Launch; Swimming; Day Use</x:v>
      </x:c>
      <x:c r="N64" s="11" t="str">
        <x:v>Public access is available for fishing. | Amenities notes: cottages for rent</x:v>
      </x:c>
      <x:c r="O64" s="8" t="n">
        <x:v>6</x:v>
      </x:c>
      <x:c r="P64" s="8" t="n">
        <x:v>32</x:v>
      </x:c>
      <x:c r="Q64" s="8" t="str">
        <x:v>https://www.google.com/maps/dir/?api=1&amp;destination=53.517861,-114.138808</x:v>
      </x:c>
      <x:c r="R64" s="8" t="str">
        <x:v>https://albertaregulations.ca/fishingregs/pp2.html</x:v>
      </x:c>
    </x:row>
    <x:row r="65" ht="57" customHeight="1">
      <x:c r="A65" s="8" t="str">
        <x:v>Cottonwood Lake</x:v>
      </x:c>
      <x:c r="B65" s="8" t="str">
        <x:v>6846</x:v>
      </x:c>
      <x:c r="C65" s="8" t="str">
        <x:v>Pincher Creek</x:v>
      </x:c>
      <x:c r="D65" s="8" t="str">
        <x:v>ES1</x:v>
      </x:c>
      <x:c r="E65" s="16" t="n">
        <x:v>8</x:v>
      </x:c>
      <x:c r="F65" s="16" t="str">
        <x:v>Unknown</x:v>
      </x:c>
      <x:c r="G65" s="16" t="str">
        <x:v>Unknown</x:v>
      </x:c>
      <x:c r="H65" s="17" t="str">
        <x:v>Not stated</x:v>
      </x:c>
      <x:c r="I65" s="11" t="str">
        <x:v>Not stated on map.</x:v>
      </x:c>
      <x:c r="J65" s="10" t="n">
        <x:v>49.5588</x:v>
      </x:c>
      <x:c r="K65" s="10" t="n">
        <x:v>-113.8722</x:v>
      </x:c>
      <x:c r="L65" s="8" t="str">
        <x:v>SE16-7-29-W4</x:v>
      </x:c>
      <x:c r="M65" s="11" t="str">
        <x:v>Camping; Toilets; Water; Playground; Boat Launch</x:v>
      </x:c>
      <x:c r="N65" s="11" t="str">
        <x:v>Cottonwood Campground is in Oldman Dam Provincial Recreation Area. Sites are suitable for RVs and tents, with un-serviced and powered options. Water is quite low in the winter months, and is not suitable for winter ice fishing. | Amenities notes: firepits</x:v>
      </x:c>
      <x:c r="O65" s="8" t="n">
        <x:v>0</x:v>
      </x:c>
      <x:c r="P65" s="8" t="n">
        <x:v>0</x:v>
      </x:c>
      <x:c r="Q65" s="8" t="str">
        <x:v>https://www.google.com/maps/dir/?api=1&amp;destination=49.5588,-113.8722</x:v>
      </x:c>
      <x:c r="R65" s="8" t="str">
        <x:v>https://albertaregulations.ca/fishingregs/es1.html</x:v>
      </x:c>
    </x:row>
    <x:row r="66" ht="57" customHeight="1">
      <x:c r="A66" s="8" t="str">
        <x:v>County Sportplex Pond</x:v>
      </x:c>
      <x:c r="B66" s="8" t="str">
        <x:v>417477</x:v>
      </x:c>
      <x:c r="C66" s="8" t="str">
        <x:v>Grande Prairie</x:v>
      </x:c>
      <x:c r="D66" s="8" t="str">
        <x:v>ES4</x:v>
      </x:c>
      <x:c r="E66" s="16" t="n">
        <x:v>2.7</x:v>
      </x:c>
      <x:c r="F66" s="16" t="str">
        <x:v>Unknown</x:v>
      </x:c>
      <x:c r="G66" s="16" t="str">
        <x:v>Unknown</x:v>
      </x:c>
      <x:c r="H66" s="17" t="str">
        <x:v>Not stated</x:v>
      </x:c>
      <x:c r="I66" s="11" t="str">
        <x:v>Not stated on map.</x:v>
      </x:c>
      <x:c r="J66" s="10" t="n">
        <x:v>55.2371</x:v>
      </x:c>
      <x:c r="K66" s="10" t="n">
        <x:v>-118.8128</x:v>
      </x:c>
      <x:c r="L66" s="8" t="str">
        <x:v>NW14-72-6-W6</x:v>
      </x:c>
      <x:c r="M66" s="11" t="str">
        <x:v>Day Use</x:v>
      </x:c>
      <x:c r="N66" s="11" t="str">
        <x:v>There is currently paved vehicle access to within 100 m of the pond and a paved walking path around the pond's perimeter ACA annually stocks this pond with trout, typically before the May long weekend. | Amenities notes: no open fires; foot access only.</x:v>
      </x:c>
      <x:c r="O66" s="8" t="n">
        <x:v>5</x:v>
      </x:c>
      <x:c r="P66" s="8" t="n">
        <x:v>8</x:v>
      </x:c>
      <x:c r="Q66" s="8" t="str">
        <x:v>https://www.google.com/maps/dir/?api=1&amp;destination=55.237091,-118.812752</x:v>
      </x:c>
      <x:c r="R66" s="8" t="str">
        <x:v>https://albertaregulations.ca/fishingregs/es4.html</x:v>
      </x:c>
    </x:row>
    <x:row r="67" ht="57" customHeight="1">
      <x:c r="A67" s="8" t="str">
        <x:v>Cow Lake</x:v>
      </x:c>
      <x:c r="B67" s="8" t="str">
        <x:v>4340</x:v>
      </x:c>
      <x:c r="C67" s="8" t="str">
        <x:v>Rocky Mountain House</x:v>
      </x:c>
      <x:c r="D67" s="8" t="str">
        <x:v>ES2</x:v>
      </x:c>
      <x:c r="E67" s="16" t="n">
        <x:v>844.7</x:v>
      </x:c>
      <x:c r="F67" s="16" t="n">
        <x:v>3</x:v>
      </x:c>
      <x:c r="G67" s="16" t="n">
        <x:v>2</x:v>
      </x:c>
      <x:c r="H67" s="17" t="str">
        <x:v>Not stated</x:v>
      </x:c>
      <x:c r="I67" s="11" t="str">
        <x:v>Not stated on map.</x:v>
      </x:c>
      <x:c r="J67" s="10" t="n">
        <x:v>52.2602</x:v>
      </x:c>
      <x:c r="K67" s="10" t="n">
        <x:v>-115.0059</x:v>
      </x:c>
      <x:c r="L67" s="8" t="str">
        <x:v>NE12-38-8-W5</x:v>
      </x:c>
      <x:c r="M67" s="11" t="str">
        <x:v>Camping; Camping Group; Shelter; Beach; Playground; Boat Launch; Fishing Access; Boating; Showers; Laundry; Water</x:v>
      </x:c>
      <x:c r="N67" s="11" t="str">
        <x:v>This a popular winter fishing destination. There is a public boat launch available, with a day use area. | Amenities notes: Serviced and un-serviced sites</x:v>
      </x:c>
      <x:c r="O67" s="8" t="n">
        <x:v>10</x:v>
      </x:c>
      <x:c r="P67" s="8" t="n">
        <x:v>52</x:v>
      </x:c>
      <x:c r="Q67" s="8" t="str">
        <x:v>https://www.google.com/maps/dir/?api=1&amp;destination=52.260185,-115.005926</x:v>
      </x:c>
      <x:c r="R67" s="8" t="str">
        <x:v>https://albertaregulations.ca/fishingregs/es2.html</x:v>
      </x:c>
    </x:row>
    <x:row r="68" ht="32" customHeight="1">
      <x:c r="A68" s="8" t="str">
        <x:v>Crossfield Trout Pond</x:v>
      </x:c>
      <x:c r="B68" s="8" t="str">
        <x:v>23293</x:v>
      </x:c>
      <x:c r="C68" s="8" t="str">
        <x:v>Cochrane</x:v>
      </x:c>
      <x:c r="D68" s="8" t="str">
        <x:v>ES1</x:v>
      </x:c>
      <x:c r="E68" s="16" t="n">
        <x:v>1.3</x:v>
      </x:c>
      <x:c r="F68" s="16" t="str">
        <x:v>Unknown</x:v>
      </x:c>
      <x:c r="G68" s="16" t="str">
        <x:v>Unknown</x:v>
      </x:c>
      <x:c r="H68" s="17" t="str">
        <x:v>Not stated</x:v>
      </x:c>
      <x:c r="I68" s="11" t="str">
        <x:v>Not stated on map.</x:v>
      </x:c>
      <x:c r="J68" s="10" t="n">
        <x:v>51.4223</x:v>
      </x:c>
      <x:c r="K68" s="10" t="n">
        <x:v>-114.0498</x:v>
      </x:c>
      <x:c r="L68" s="8" t="str">
        <x:v>SE27-28-1-W5</x:v>
      </x:c>
      <x:c r="M68" s="11" t="str"/>
      <x:c r="N68" s="11" t="str">
        <x:v>This pond is located in the town. Both ponds are stocked with fish.</x:v>
      </x:c>
      <x:c r="O68" s="8" t="n">
        <x:v>1</x:v>
      </x:c>
      <x:c r="P68" s="8" t="n">
        <x:v>6</x:v>
      </x:c>
      <x:c r="Q68" s="8" t="str">
        <x:v>https://www.google.com/maps/dir/?api=1&amp;destination=51.422275,-114.049779</x:v>
      </x:c>
      <x:c r="R68" s="8" t="str">
        <x:v>https://albertaregulations.ca/fishingregs/es1.html</x:v>
      </x:c>
    </x:row>
    <x:row r="69" ht="72" customHeight="1">
      <x:c r="A69" s="8" t="str">
        <x:v>Crowsnest Lake</x:v>
      </x:c>
      <x:c r="B69" s="8" t="str">
        <x:v>4374</x:v>
      </x:c>
      <x:c r="C69" s="8" t="str">
        <x:v>Blairmore</x:v>
      </x:c>
      <x:c r="D69" s="8" t="str">
        <x:v>ES1</x:v>
      </x:c>
      <x:c r="E69" s="16" t="n">
        <x:v>126.6</x:v>
      </x:c>
      <x:c r="F69" s="16" t="str">
        <x:v>Unknown</x:v>
      </x:c>
      <x:c r="G69" s="16" t="str">
        <x:v>Unknown</x:v>
      </x:c>
      <x:c r="H69" s="17" t="str">
        <x:v>Not stated</x:v>
      </x:c>
      <x:c r="I69" s="11" t="str">
        <x:v>Not stated on map.</x:v>
      </x:c>
      <x:c r="J69" s="10" t="n">
        <x:v>49.6341</x:v>
      </x:c>
      <x:c r="K69" s="10" t="n">
        <x:v>-114.638</x:v>
      </x:c>
      <x:c r="L69" s="8" t="str">
        <x:v>NE8-8-5-W5</x:v>
      </x:c>
      <x:c r="M69" s="11" t="str">
        <x:v>Parking</x:v>
      </x:c>
      <x:c r="N69" s="11" t="str">
        <x:v>This large, deep, natural lake lies just east of the Continental Divide along Alberta Highway 3 There is a vast parking area at the west end of the lake, a necessary amenity when winter blizzards close the mountain pass. The parking area includes a boat launch where ice fishermen skid their huts onto the ice</x:v>
      </x:c>
      <x:c r="O69" s="8" t="n">
        <x:v>2</x:v>
      </x:c>
      <x:c r="P69" s="8" t="n">
        <x:v>11</x:v>
      </x:c>
      <x:c r="Q69" s="8" t="str">
        <x:v>https://www.google.com/maps/dir/?api=1&amp;destination=49.634111,-114.637963</x:v>
      </x:c>
      <x:c r="R69" s="8" t="str">
        <x:v>https://albertaregulations.ca/fishingregs/es1.html</x:v>
      </x:c>
    </x:row>
    <x:row r="70" ht="57" customHeight="1">
      <x:c r="A70" s="8" t="str">
        <x:v>Cummings Lake</x:v>
      </x:c>
      <x:c r="B70" s="8" t="str">
        <x:v>6850</x:v>
      </x:c>
      <x:c r="C70" s="8" t="str">
        <x:v>Fairview</x:v>
      </x:c>
      <x:c r="D70" s="8" t="str">
        <x:v>NB3</x:v>
      </x:c>
      <x:c r="E70" s="16" t="n">
        <x:v>2</x:v>
      </x:c>
      <x:c r="F70" s="16" t="str">
        <x:v>Unknown</x:v>
      </x:c>
      <x:c r="G70" s="16" t="str">
        <x:v>Unknown</x:v>
      </x:c>
      <x:c r="H70" s="17" t="str">
        <x:v>Not stated</x:v>
      </x:c>
      <x:c r="I70" s="11" t="str">
        <x:v>Not stated on map.</x:v>
      </x:c>
      <x:c r="J70" s="10" t="n">
        <x:v>56.0937</x:v>
      </x:c>
      <x:c r="K70" s="10" t="n">
        <x:v>-118.3768</x:v>
      </x:c>
      <x:c r="L70" s="8" t="str">
        <x:v>SE10-82-3-W6</x:v>
      </x:c>
      <x:c r="M70" s="11" t="str">
        <x:v>Camping; Showers; Toilets; Firewood; Water; Boat Launch; Fish Cleaning; Day Use; Picnic; Trails; Trails Hiking; Trails Interpretive; Playground</x:v>
      </x:c>
      <x:c r="N70" s="11" t="str">
        <x:v>There is 1 km of paved walk trails that connect to the gold course, there are lots of amenities at this pond. Enjoy the day of fishing for trout and hanging out at the day use group area. | Amenities notes: electrical hookups</x:v>
      </x:c>
      <x:c r="O70" s="8" t="n">
        <x:v>0</x:v>
      </x:c>
      <x:c r="P70" s="8" t="n">
        <x:v>3</x:v>
      </x:c>
      <x:c r="Q70" s="8" t="str">
        <x:v>https://www.google.com/maps/dir/?api=1&amp;destination=56.093732,-118.376801</x:v>
      </x:c>
      <x:c r="R70" s="8" t="str">
        <x:v>https://albertaregulations.ca/fishingregs/nb3.html</x:v>
      </x:c>
    </x:row>
    <x:row r="71" ht="57" customHeight="1">
      <x:c r="A71" s="8" t="str">
        <x:v>Dandurand Lake</x:v>
      </x:c>
      <x:c r="B71" s="8" t="str">
        <x:v>6659</x:v>
      </x:c>
      <x:c r="C71" s="8" t="str">
        <x:v>Edson</x:v>
      </x:c>
      <x:c r="D71" s="8" t="str">
        <x:v>ES3</x:v>
      </x:c>
      <x:c r="E71" s="16" t="n">
        <x:v>2.1</x:v>
      </x:c>
      <x:c r="F71" s="16" t="str">
        <x:v>Unknown</x:v>
      </x:c>
      <x:c r="G71" s="16" t="str">
        <x:v>Unknown</x:v>
      </x:c>
      <x:c r="H71" s="17" t="str">
        <x:v>Not stated</x:v>
      </x:c>
      <x:c r="I71" s="11" t="str">
        <x:v>Not stated on map.</x:v>
      </x:c>
      <x:c r="J71" s="10" t="n">
        <x:v>53.5658</x:v>
      </x:c>
      <x:c r="K71" s="10" t="n">
        <x:v>-116.7365</x:v>
      </x:c>
      <x:c r="L71" s="8" t="str">
        <x:v>NE9-53-19-W5</x:v>
      </x:c>
      <x:c r="M71" s="11" t="str">
        <x:v>Day Use</x:v>
      </x:c>
      <x:c r="N71" s="11" t="str">
        <x:v>Dandurand Lake is located north of Hwy #16 and just southeast of the boundary of Sundance Provincial Park. It is stocked annually and is a popular fishing hole. | Amenities notes: no open fires; foot access only.</x:v>
      </x:c>
      <x:c r="O71" s="8" t="n">
        <x:v>2</x:v>
      </x:c>
      <x:c r="P71" s="8" t="n">
        <x:v>6</x:v>
      </x:c>
      <x:c r="Q71" s="8" t="str">
        <x:v>https://www.google.com/maps/dir/?api=1&amp;destination=53.565803,-116.736533</x:v>
      </x:c>
      <x:c r="R71" s="8" t="str">
        <x:v>https://albertaregulations.ca/fishingregs/es3.html</x:v>
      </x:c>
    </x:row>
    <x:row r="72" ht="57" customHeight="1">
      <x:c r="A72" s="8" t="str">
        <x:v>Daysland Pond</x:v>
      </x:c>
      <x:c r="B72" s="8" t="str">
        <x:v>6852</x:v>
      </x:c>
      <x:c r="C72" s="8" t="str">
        <x:v>Camrose</x:v>
      </x:c>
      <x:c r="D72" s="8" t="str">
        <x:v>PP2</x:v>
      </x:c>
      <x:c r="E72" s="16" t="n">
        <x:v>1.6</x:v>
      </x:c>
      <x:c r="F72" s="16" t="str">
        <x:v>Unknown</x:v>
      </x:c>
      <x:c r="G72" s="16" t="str">
        <x:v>Unknown</x:v>
      </x:c>
      <x:c r="H72" s="17" t="str">
        <x:v>Not stated</x:v>
      </x:c>
      <x:c r="I72" s="11" t="str">
        <x:v>Not stated on map.</x:v>
      </x:c>
      <x:c r="J72" s="10" t="n">
        <x:v>52.8688</x:v>
      </x:c>
      <x:c r="K72" s="10" t="n">
        <x:v>-112.2636</x:v>
      </x:c>
      <x:c r="L72" s="8" t="str">
        <x:v>NE9-45-16-W4</x:v>
      </x:c>
      <x:c r="M72" s="11" t="str">
        <x:v>Day Use</x:v>
      </x:c>
      <x:c r="N72" s="11" t="str">
        <x:v>This pond is in Daysland and borders the golf course. The pond ACA annually stocks this pond with trout, typically before the May long weekend. | Amenities notes: no open fire; foot access only.</x:v>
      </x:c>
      <x:c r="O72" s="8" t="n">
        <x:v>0</x:v>
      </x:c>
      <x:c r="P72" s="8" t="n">
        <x:v>6</x:v>
      </x:c>
      <x:c r="Q72" s="8" t="str">
        <x:v>https://www.google.com/maps/dir/?api=1&amp;destination=52.86884,-112.263607</x:v>
      </x:c>
      <x:c r="R72" s="8" t="str">
        <x:v>https://albertaregulations.ca/fishingregs/pp2.html</x:v>
      </x:c>
    </x:row>
    <x:row r="73" ht="57" customHeight="1">
      <x:c r="A73" s="8" t="str">
        <x:v>Dewitt's Pond</x:v>
      </x:c>
      <x:c r="B73" s="8" t="str">
        <x:v>6853</x:v>
      </x:c>
      <x:c r="C73" s="8" t="str">
        <x:v>Cochrane</x:v>
      </x:c>
      <x:c r="D73" s="8" t="str">
        <x:v>ES1</x:v>
      </x:c>
      <x:c r="E73" s="16" t="n">
        <x:v>3</x:v>
      </x:c>
      <x:c r="F73" s="16" t="str">
        <x:v>Unknown</x:v>
      </x:c>
      <x:c r="G73" s="16" t="str">
        <x:v>Unknown</x:v>
      </x:c>
      <x:c r="H73" s="17" t="str">
        <x:v>Not stated</x:v>
      </x:c>
      <x:c r="I73" s="11" t="str">
        <x:v>Not stated on map.</x:v>
      </x:c>
      <x:c r="J73" s="10" t="n">
        <x:v>51.2625</x:v>
      </x:c>
      <x:c r="K73" s="10" t="n">
        <x:v>-114.1215</x:v>
      </x:c>
      <x:c r="L73" s="8" t="str">
        <x:v>SE31-26-1-W5</x:v>
      </x:c>
      <x:c r="M73" s="11" t="str">
        <x:v>Day Use</x:v>
      </x:c>
      <x:c r="N73" s="11" t="str">
        <x:v>ACA annually stocks this pond with trout, typically before the May long weekend. There are invasive Prussian Carp at this waterbody, if you catch one please do not return it to the waterbody. | Amenities notes: Foot access only; no open fires</x:v>
      </x:c>
      <x:c r="O73" s="8" t="n">
        <x:v>0</x:v>
      </x:c>
      <x:c r="P73" s="8" t="n">
        <x:v>13</x:v>
      </x:c>
      <x:c r="Q73" s="8" t="str">
        <x:v>https://www.google.com/maps/dir/?api=1&amp;destination=51.262527,-114.121485</x:v>
      </x:c>
      <x:c r="R73" s="8" t="str">
        <x:v>https://albertaregulations.ca/fishingregs/es1.html</x:v>
      </x:c>
    </x:row>
    <x:row r="74" ht="57" customHeight="1">
      <x:c r="A74" s="8" t="str">
        <x:v>Dickson Trout Pond</x:v>
      </x:c>
      <x:c r="B74" s="8" t="str">
        <x:v>6844</x:v>
      </x:c>
      <x:c r="C74" s="8" t="str">
        <x:v>Red Deer</x:v>
      </x:c>
      <x:c r="D74" s="8" t="str">
        <x:v>ES2</x:v>
      </x:c>
      <x:c r="E74" s="16" t="n">
        <x:v>64.8</x:v>
      </x:c>
      <x:c r="F74" s="16" t="n">
        <x:v>6</x:v>
      </x:c>
      <x:c r="G74" s="16" t="n">
        <x:v>4</x:v>
      </x:c>
      <x:c r="H74" s="17" t="str">
        <x:v>Not stated</x:v>
      </x:c>
      <x:c r="I74" s="11" t="str">
        <x:v>Not stated on map.</x:v>
      </x:c>
      <x:c r="J74" s="10" t="n">
        <x:v>52.011</x:v>
      </x:c>
      <x:c r="K74" s="10" t="n">
        <x:v>-114.3093</x:v>
      </x:c>
      <x:c r="L74" s="8" t="str">
        <x:v>NW13-35-3-W5</x:v>
      </x:c>
      <x:c r="M74" s="11" t="str">
        <x:v>Trails; Trails Hiking; Dock/Pier; Day Use; Toilets</x:v>
      </x:c>
      <x:c r="N74" s="11" t="str">
        <x:v>There are 18 campsites at Dickson Camping area, adjacent to the trout pond. Please note that amenities in the campsites are very limited. These are un-serviced sites with no potable water.</x:v>
      </x:c>
      <x:c r="O74" s="8" t="n">
        <x:v>2</x:v>
      </x:c>
      <x:c r="P74" s="8" t="n">
        <x:v>48</x:v>
      </x:c>
      <x:c r="Q74" s="8" t="str">
        <x:v>https://www.google.com/maps/dir/?api=1&amp;destination=52.011001,-114.309334</x:v>
      </x:c>
      <x:c r="R74" s="8" t="str">
        <x:v>https://albertaregulations.ca/fishingregs/es2.html</x:v>
      </x:c>
    </x:row>
    <x:row r="75" ht="72" customHeight="1">
      <x:c r="A75" s="8" t="str">
        <x:v>Dillberry Lake</x:v>
      </x:c>
      <x:c r="B75" s="8" t="str">
        <x:v>4446</x:v>
      </x:c>
      <x:c r="C75" s="8" t="str">
        <x:v>Lloydminster</x:v>
      </x:c>
      <x:c r="D75" s="8" t="str">
        <x:v>PP2</x:v>
      </x:c>
      <x:c r="E75" s="16" t="n">
        <x:v>70.1</x:v>
      </x:c>
      <x:c r="F75" s="16" t="n">
        <x:v>10.7</x:v>
      </x:c>
      <x:c r="G75" s="16" t="str">
        <x:v>Unknown</x:v>
      </x:c>
      <x:c r="H75" s="17" t="str">
        <x:v>Not stated</x:v>
      </x:c>
      <x:c r="I75" s="11" t="str">
        <x:v>Not stated on map.</x:v>
      </x:c>
      <x:c r="J75" s="10" t="n">
        <x:v>52.5763</x:v>
      </x:c>
      <x:c r="K75" s="10" t="n">
        <x:v>-110.0044</x:v>
      </x:c>
      <x:c r="L75" s="8" t="str">
        <x:v>NE36-41-1-W4</x:v>
      </x:c>
      <x:c r="M75" s="11" t="str">
        <x:v>Boat Launch; Shelter; Firewood; Fish Cleaning; Dock/Pier; Toilets; Playground; Sewage Disposal; Showers; Water; Beach</x:v>
      </x:c>
      <x:c r="N75" s="11" t="str">
        <x:v>Sites in this prairie campground are suitable for RVs and tents and most have power. There are many amenities here including a playground, small campground store, toilets, and showers. This park is a great getaway for families who want to devote time to spending time together and fishing for trout. | Amenities notes: life jacket loaner station</x:v>
      </x:c>
      <x:c r="O75" s="8" t="n">
        <x:v>1</x:v>
      </x:c>
      <x:c r="P75" s="8" t="n">
        <x:v>27</x:v>
      </x:c>
      <x:c r="Q75" s="8" t="str">
        <x:v>https://www.google.com/maps/dir/?api=1&amp;destination=52.576348,-110.004391</x:v>
      </x:c>
      <x:c r="R75" s="8" t="str">
        <x:v>https://albertaregulations.ca/fishingregs/pp2.html</x:v>
      </x:c>
    </x:row>
    <x:row r="76" ht="42" customHeight="1">
      <x:c r="A76" s="8" t="str">
        <x:v>Diplomat Mine Pond</x:v>
      </x:c>
      <x:c r="B76" s="8" t="str">
        <x:v>6833</x:v>
      </x:c>
      <x:c r="C76" s="8" t="str">
        <x:v>Camrose</x:v>
      </x:c>
      <x:c r="D76" s="8" t="str">
        <x:v>PP2</x:v>
      </x:c>
      <x:c r="E76" s="16" t="n">
        <x:v>5</x:v>
      </x:c>
      <x:c r="F76" s="16" t="n">
        <x:v>6.3</x:v>
      </x:c>
      <x:c r="G76" s="16" t="n">
        <x:v>5.5</x:v>
      </x:c>
      <x:c r="H76" s="17" t="str">
        <x:v>Not stated</x:v>
      </x:c>
      <x:c r="I76" s="11" t="str">
        <x:v>Not stated on map.</x:v>
      </x:c>
      <x:c r="J76" s="10" t="n">
        <x:v>52.5058</x:v>
      </x:c>
      <x:c r="K76" s="10" t="n">
        <x:v>-112.1801</x:v>
      </x:c>
      <x:c r="L76" s="8" t="str">
        <x:v>NW1-41-16-W4</x:v>
      </x:c>
      <x:c r="M76" s="11" t="str">
        <x:v>Fish Cleaning; Toilets; Picnic</x:v>
      </x:c>
      <x:c r="N76" s="11" t="str">
        <x:v>The trout pond is home to many wildlife and plant species and can be seen from the nature trail or lakeside gazebo.</x:v>
      </x:c>
      <x:c r="O76" s="8" t="n">
        <x:v>3</x:v>
      </x:c>
      <x:c r="P76" s="8" t="n">
        <x:v>22</x:v>
      </x:c>
      <x:c r="Q76" s="8" t="str">
        <x:v>https://www.google.com/maps/dir/?api=1&amp;destination=52.50583,-112.180118</x:v>
      </x:c>
      <x:c r="R76" s="8" t="str">
        <x:v>https://albertaregulations.ca/fishingregs/pp2.html</x:v>
      </x:c>
    </x:row>
    <x:row r="77" ht="57" customHeight="1">
      <x:c r="A77" s="8" t="str">
        <x:v>Dolberg Lake</x:v>
      </x:c>
      <x:c r="B77" s="8" t="str">
        <x:v>4458</x:v>
      </x:c>
      <x:c r="C77" s="8" t="str">
        <x:v>Barrhead</x:v>
      </x:c>
      <x:c r="D77" s="8" t="str">
        <x:v>NB2</x:v>
      </x:c>
      <x:c r="E77" s="16" t="n">
        <x:v>34.7</x:v>
      </x:c>
      <x:c r="F77" s="16" t="n">
        <x:v>9</x:v>
      </x:c>
      <x:c r="G77" s="16" t="n">
        <x:v>9</x:v>
      </x:c>
      <x:c r="H77" s="17" t="str">
        <x:v>Not stated</x:v>
      </x:c>
      <x:c r="I77" s="11" t="str">
        <x:v>Not stated on map.</x:v>
      </x:c>
      <x:c r="J77" s="10" t="n">
        <x:v>54.1577</x:v>
      </x:c>
      <x:c r="K77" s="10" t="n">
        <x:v>-115.0532</x:v>
      </x:c>
      <x:c r="L77" s="8" t="str">
        <x:v>SE1-60-8-W5</x:v>
      </x:c>
      <x:c r="M77" s="11" t="str">
        <x:v>Water; Fish Cleaning; Boat Launch; Dock/Pier; Trails; Trails Hiking; Paddling; Paddling Canoe</x:v>
      </x:c>
      <x:c r="N77" s="11" t="str">
        <x:v>Doleberg Lake campground borders the lake. This campground is a self-registration campground with twelve sites with lots of natural trees. This is a great place to relax a fish for stocked trout.</x:v>
      </x:c>
      <x:c r="O77" s="8" t="n">
        <x:v>7</x:v>
      </x:c>
      <x:c r="P77" s="8" t="n">
        <x:v>16</x:v>
      </x:c>
      <x:c r="Q77" s="8" t="str">
        <x:v>https://www.google.com/maps/dir/?api=1&amp;destination=54.157685,-115.053191</x:v>
      </x:c>
      <x:c r="R77" s="8" t="str">
        <x:v>https://albertaregulations.ca/fishingregs/nb2.html</x:v>
      </x:c>
    </x:row>
    <x:row r="78" ht="57" customHeight="1">
      <x:c r="A78" s="8" t="str">
        <x:v>Dormer Lake</x:v>
      </x:c>
      <x:c r="B78" s="8" t="str">
        <x:v>6836</x:v>
      </x:c>
      <x:c r="C78" s="8" t="str">
        <x:v>Canmore</x:v>
      </x:c>
      <x:c r="D78" s="8" t="str">
        <x:v>ES1</x:v>
      </x:c>
      <x:c r="E78" s="16" t="n">
        <x:v>6.5</x:v>
      </x:c>
      <x:c r="F78" s="16" t="str">
        <x:v>Unknown</x:v>
      </x:c>
      <x:c r="G78" s="16" t="str">
        <x:v>Unknown</x:v>
      </x:c>
      <x:c r="H78" s="17" t="str">
        <x:v>Not stated</x:v>
      </x:c>
      <x:c r="I78" s="11" t="str">
        <x:v>Not stated on map.</x:v>
      </x:c>
      <x:c r="J78" s="10" t="n">
        <x:v>51.5909</x:v>
      </x:c>
      <x:c r="K78" s="10" t="n">
        <x:v>-115.499</x:v>
      </x:c>
      <x:c r="L78" s="8" t="str">
        <x:v>Unknown</x:v>
      </x:c>
      <x:c r="M78" s="11" t="str"/>
      <x:c r="N78" s="11" t="str">
        <x:v>The trail includes multiple river crossings and is well-marked with directional signage. The round trip from the staging area to the lake typically requires 6–7 hours. Dormer Lake was not stocked in 2025.</x:v>
      </x:c>
      <x:c r="O78" s="8" t="n">
        <x:v>2</x:v>
      </x:c>
      <x:c r="P78" s="8" t="n">
        <x:v>1</x:v>
      </x:c>
      <x:c r="Q78" s="8" t="str">
        <x:v>https://www.google.com/maps/dir/?api=1&amp;destination=51.590937,-115.498976</x:v>
      </x:c>
      <x:c r="R78" s="8" t="str">
        <x:v>https://albertaregulations.ca/fishingregs/es1.html</x:v>
      </x:c>
    </x:row>
    <x:row r="79" ht="32" customHeight="1">
      <x:c r="A79" s="8" t="str">
        <x:v>Dunn Lake</x:v>
      </x:c>
      <x:c r="B79" s="8" t="str">
        <x:v>4488</x:v>
      </x:c>
      <x:c r="C79" s="8" t="str">
        <x:v>Edson</x:v>
      </x:c>
      <x:c r="D79" s="8" t="str">
        <x:v>ES3</x:v>
      </x:c>
      <x:c r="E79" s="16" t="n">
        <x:v>13.8</x:v>
      </x:c>
      <x:c r="F79" s="16" t="str">
        <x:v>Unknown</x:v>
      </x:c>
      <x:c r="G79" s="16" t="str">
        <x:v>Unknown</x:v>
      </x:c>
      <x:c r="H79" s="17" t="str">
        <x:v>Not stated</x:v>
      </x:c>
      <x:c r="I79" s="11" t="str">
        <x:v>Not stated on map.</x:v>
      </x:c>
      <x:c r="J79" s="10" t="n">
        <x:v>53.6549</x:v>
      </x:c>
      <x:c r="K79" s="10" t="n">
        <x:v>-117.6858</x:v>
      </x:c>
      <x:c r="L79" s="8" t="str">
        <x:v>NW7-54-25-W5</x:v>
      </x:c>
      <x:c r="M79" s="11" t="str"/>
      <x:c r="N79" s="11" t="str">
        <x:v>Dunn Lake is situated east of Petite Lake, and northeast of Jarvis Creek.</x:v>
      </x:c>
      <x:c r="O79" s="8" t="n">
        <x:v>0</x:v>
      </x:c>
      <x:c r="P79" s="8" t="n">
        <x:v>6</x:v>
      </x:c>
      <x:c r="Q79" s="8" t="str">
        <x:v>https://www.google.com/maps/dir/?api=1&amp;destination=53.654925,-117.685762</x:v>
      </x:c>
      <x:c r="R79" s="8" t="str">
        <x:v>https://albertaregulations.ca/fishingregs/es3.html</x:v>
      </x:c>
    </x:row>
    <x:row r="80" ht="72" customHeight="1">
      <x:c r="A80" s="8" t="str">
        <x:v>Eagle Lake</x:v>
      </x:c>
      <x:c r="B80" s="8" t="str">
        <x:v>4495</x:v>
      </x:c>
      <x:c r="C80" s="8" t="str">
        <x:v>Sundre</x:v>
      </x:c>
      <x:c r="D80" s="8" t="str">
        <x:v>ES2</x:v>
      </x:c>
      <x:c r="E80" s="16" t="n">
        <x:v>15.2</x:v>
      </x:c>
      <x:c r="F80" s="16" t="str">
        <x:v>Unknown</x:v>
      </x:c>
      <x:c r="G80" s="16" t="str">
        <x:v>Unknown</x:v>
      </x:c>
      <x:c r="H80" s="17" t="str">
        <x:v>Not stated</x:v>
      </x:c>
      <x:c r="I80" s="11" t="str">
        <x:v>Not stated on map.</x:v>
      </x:c>
      <x:c r="J80" s="10" t="n">
        <x:v>51.7263</x:v>
      </x:c>
      <x:c r="K80" s="10" t="n">
        <x:v>-115.4627</x:v>
      </x:c>
      <x:c r="L80" s="8" t="str">
        <x:v>SW11-32-11-W5</x:v>
      </x:c>
      <x:c r="M80" s="11" t="str"/>
      <x:c r="N80" s="11" t="str">
        <x:v>Access found on the Ya Ha Tinda Road or the forestry trunk road through James Pass. Both routes provide direct access to the lake and accommodate horseback and foot travel, with limited ATV/UTV access permitted. Seasonal timing restrictions apply to ATV and UTV use on certain trail segments.</x:v>
      </x:c>
      <x:c r="O80" s="8" t="n">
        <x:v>6</x:v>
      </x:c>
      <x:c r="P80" s="8" t="n">
        <x:v>3</x:v>
      </x:c>
      <x:c r="Q80" s="8" t="str">
        <x:v>https://www.google.com/maps/dir/?api=1&amp;destination=51.726322,-115.462742</x:v>
      </x:c>
      <x:c r="R80" s="8" t="str">
        <x:v>https://albertaregulations.ca/fishingregs/es2.html</x:v>
      </x:c>
    </x:row>
    <x:row r="81" ht="42" customHeight="1">
      <x:c r="A81" s="8" t="str">
        <x:v>East Dollar Lake</x:v>
      </x:c>
      <x:c r="B81" s="8" t="str">
        <x:v>4460</x:v>
      </x:c>
      <x:c r="C81" s="8" t="str">
        <x:v>Valleyview</x:v>
      </x:c>
      <x:c r="D81" s="8" t="str">
        <x:v>ES4</x:v>
      </x:c>
      <x:c r="E81" s="16" t="n">
        <x:v>5.9</x:v>
      </x:c>
      <x:c r="F81" s="16" t="str">
        <x:v>Unknown</x:v>
      </x:c>
      <x:c r="G81" s="16" t="str">
        <x:v>Unknown</x:v>
      </x:c>
      <x:c r="H81" s="17" t="str">
        <x:v>Yes</x:v>
      </x:c>
      <x:c r="I81" s="11" t="str">
        <x:v>This waterbody is stocked by EPA with trout and is aerated during the winter months.</x:v>
      </x:c>
      <x:c r="J81" s="10" t="n">
        <x:v>55.3149</x:v>
      </x:c>
      <x:c r="K81" s="10" t="n">
        <x:v>-117.2046</x:v>
      </x:c>
      <x:c r="L81" s="8" t="str">
        <x:v>NW8-73-21-W5</x:v>
      </x:c>
      <x:c r="M81" s="11" t="str">
        <x:v>Day Use</x:v>
      </x:c>
      <x:c r="N81" s="11" t="str">
        <x:v>This waterbody is stocked by EPA with trout and is aerated during the winter months.</x:v>
      </x:c>
      <x:c r="O81" s="8" t="n">
        <x:v>3</x:v>
      </x:c>
      <x:c r="P81" s="8" t="n">
        <x:v>18</x:v>
      </x:c>
      <x:c r="Q81" s="8" t="str">
        <x:v>https://www.google.com/maps/dir/?api=1&amp;destination=55.314926,-117.204628</x:v>
      </x:c>
      <x:c r="R81" s="8" t="str">
        <x:v>https://albertaregulations.ca/fishingregs/es4.html</x:v>
      </x:c>
    </x:row>
    <x:row r="82" ht="57" customHeight="1">
      <x:c r="A82" s="8" t="str">
        <x:v>East Pit Lake</x:v>
      </x:c>
      <x:c r="B82" s="8" t="str">
        <x:v>6840</x:v>
      </x:c>
      <x:c r="C82" s="8" t="str">
        <x:v>Stony Plain</x:v>
      </x:c>
      <x:c r="D82" s="8" t="str">
        <x:v>PP2</x:v>
      </x:c>
      <x:c r="E82" s="16" t="n">
        <x:v>18.8</x:v>
      </x:c>
      <x:c r="F82" s="16" t="n">
        <x:v>8.3</x:v>
      </x:c>
      <x:c r="G82" s="16" t="n">
        <x:v>7</x:v>
      </x:c>
      <x:c r="H82" s="17" t="str">
        <x:v>Not stated</x:v>
      </x:c>
      <x:c r="I82" s="11" t="str">
        <x:v>Not stated on map.</x:v>
      </x:c>
      <x:c r="J82" s="10" t="n">
        <x:v>53.585</x:v>
      </x:c>
      <x:c r="K82" s="10" t="n">
        <x:v>-114.4738</x:v>
      </x:c>
      <x:c r="L82" s="8" t="str">
        <x:v>SE23-53-4-W5</x:v>
      </x:c>
      <x:c r="M82" s="11" t="str">
        <x:v>Trails; Trails Hiking</x:v>
      </x:c>
      <x:c r="N82" s="11" t="str">
        <x:v>Designated a day-use area. There is a small 20 car parking lot is the entrance to a footpath that leads to the lake. No power boats are allowed; canoes and inflatables must be carried and hand-launched.</x:v>
      </x:c>
      <x:c r="O82" s="8" t="n">
        <x:v>4</x:v>
      </x:c>
      <x:c r="P82" s="8" t="n">
        <x:v>12</x:v>
      </x:c>
      <x:c r="Q82" s="8" t="str">
        <x:v>https://www.google.com/maps/dir/?api=1&amp;destination=53.584969,-114.473822</x:v>
      </x:c>
      <x:c r="R82" s="8" t="str">
        <x:v>https://albertaregulations.ca/fishingregs/pp2.html</x:v>
      </x:c>
    </x:row>
    <x:row r="83" ht="42" customHeight="1">
      <x:c r="A83" s="8" t="str">
        <x:v>East Stormwater Pond</x:v>
      </x:c>
      <x:c r="B83" s="8" t="str">
        <x:v>22993</x:v>
      </x:c>
      <x:c r="C83" s="8" t="str">
        <x:v>Ponoka</x:v>
      </x:c>
      <x:c r="D83" s="8" t="str">
        <x:v>PP2</x:v>
      </x:c>
      <x:c r="E83" s="16" t="n">
        <x:v>1.3</x:v>
      </x:c>
      <x:c r="F83" s="16" t="str">
        <x:v>Unknown</x:v>
      </x:c>
      <x:c r="G83" s="16" t="str">
        <x:v>Unknown</x:v>
      </x:c>
      <x:c r="H83" s="17" t="str">
        <x:v>Not stated</x:v>
      </x:c>
      <x:c r="I83" s="11" t="str">
        <x:v>Not stated on map.</x:v>
      </x:c>
      <x:c r="J83" s="10" t="n">
        <x:v>52.4695</x:v>
      </x:c>
      <x:c r="K83" s="10" t="n">
        <x:v>-113.7099</x:v>
      </x:c>
      <x:c r="L83" s="8" t="str">
        <x:v>SE29-40-26-W4</x:v>
      </x:c>
      <x:c r="M83" s="11" t="str">
        <x:v>Day Use</x:v>
      </x:c>
      <x:c r="N83" s="11" t="str">
        <x:v>ACA stocks this pond annually with trout, typically before the May long weekend. | Amenities notes: no open fires; foot access only.</x:v>
      </x:c>
      <x:c r="O83" s="8" t="n">
        <x:v>0</x:v>
      </x:c>
      <x:c r="P83" s="8" t="n">
        <x:v>12</x:v>
      </x:c>
      <x:c r="Q83" s="8" t="str">
        <x:v>https://www.google.com/maps/dir/?api=1&amp;destination=52.469538,-113.709921</x:v>
      </x:c>
      <x:c r="R83" s="8" t="str">
        <x:v>https://albertaregulations.ca/fishingregs/pp2.html</x:v>
      </x:c>
    </x:row>
    <x:row r="84" ht="57" customHeight="1">
      <x:c r="A84" s="8" t="str">
        <x:v>East Twin Lake</x:v>
      </x:c>
      <x:c r="B84" s="8" t="str">
        <x:v>6044</x:v>
      </x:c>
      <x:c r="C84" s="8" t="str">
        <x:v>Manning</x:v>
      </x:c>
      <x:c r="D84" s="8" t="str">
        <x:v>NB3</x:v>
      </x:c>
      <x:c r="E84" s="16" t="n">
        <x:v>23.2</x:v>
      </x:c>
      <x:c r="F84" s="16" t="n">
        <x:v>9.9</x:v>
      </x:c>
      <x:c r="G84" s="16" t="str">
        <x:v>Unknown</x:v>
      </x:c>
      <x:c r="H84" s="17" t="str">
        <x:v>Not stated</x:v>
      </x:c>
      <x:c r="I84" s="11" t="str">
        <x:v>Not stated on map.</x:v>
      </x:c>
      <x:c r="J84" s="10" t="n">
        <x:v>57.45</x:v>
      </x:c>
      <x:c r="K84" s="10" t="n">
        <x:v>-117.5333</x:v>
      </x:c>
      <x:c r="L84" s="8" t="str">
        <x:v>NE29-97-22-W5</x:v>
      </x:c>
      <x:c r="M84" s="11" t="str">
        <x:v>Camping; Water; Toilets; Firewood; Playground; Boat Launch; Fish Cleaning; Paddling; Paddling Canoe; Paddling Kayak; Dock/Pier; Wildlife Viewing</x:v>
      </x:c>
      <x:c r="N84" s="11" t="str">
        <x:v>The lake is excellent for canoeing and non-motorized boats with lots of wildlife viewing opportunities. Fish for trout, hike the loop trail to the second lake or take a dip in the cool deep waters.</x:v>
      </x:c>
      <x:c r="O84" s="8" t="n">
        <x:v>2</x:v>
      </x:c>
      <x:c r="P84" s="8" t="n">
        <x:v>15</x:v>
      </x:c>
      <x:c r="Q84" s="8" t="str">
        <x:v>https://www.google.com/maps/dir/?api=1&amp;destination=57.45,-117.533333</x:v>
      </x:c>
      <x:c r="R84" s="8" t="str">
        <x:v>https://albertaregulations.ca/fishingregs/nb3.html</x:v>
      </x:c>
    </x:row>
    <x:row r="85" ht="42" customHeight="1">
      <x:c r="A85" s="8" t="str">
        <x:v>Echo Dale Regional Park Pond</x:v>
      </x:c>
      <x:c r="B85" s="8" t="str">
        <x:v>6842</x:v>
      </x:c>
      <x:c r="C85" s="8" t="str">
        <x:v>Medicine Hat</x:v>
      </x:c>
      <x:c r="D85" s="8" t="str">
        <x:v>PP1</x:v>
      </x:c>
      <x:c r="E85" s="16" t="n">
        <x:v>2.5</x:v>
      </x:c>
      <x:c r="F85" s="16" t="str">
        <x:v>Unknown</x:v>
      </x:c>
      <x:c r="G85" s="16" t="str">
        <x:v>Unknown</x:v>
      </x:c>
      <x:c r="H85" s="17" t="str">
        <x:v>Not stated</x:v>
      </x:c>
      <x:c r="I85" s="11" t="str">
        <x:v>Not stated on map.</x:v>
      </x:c>
      <x:c r="J85" s="10" t="n">
        <x:v>50.05</x:v>
      </x:c>
      <x:c r="K85" s="10" t="n">
        <x:v>-110.7805</x:v>
      </x:c>
      <x:c r="L85" s="8" t="str">
        <x:v>SE5-13-6-W4</x:v>
      </x:c>
      <x:c r="M85" s="11" t="str">
        <x:v>Swimming; Picnic; Day Use</x:v>
      </x:c>
      <x:c r="N85" s="11" t="str">
        <x:v>Claim your favorite fishing spot around the lake or set up for a family picnic. | Amenities notes: walk paths</x:v>
      </x:c>
      <x:c r="O85" s="8" t="n">
        <x:v>0</x:v>
      </x:c>
      <x:c r="P85" s="8" t="n">
        <x:v>3</x:v>
      </x:c>
      <x:c r="Q85" s="8" t="str">
        <x:v>https://www.google.com/maps/dir/?api=1&amp;destination=50.049958,-110.780527</x:v>
      </x:c>
      <x:c r="R85" s="8" t="str">
        <x:v>https://albertaregulations.ca/fishingregs/pp1.html</x:v>
      </x:c>
    </x:row>
    <x:row r="86" ht="42" customHeight="1">
      <x:c r="A86" s="8" t="str">
        <x:v>Edith Lake</x:v>
      </x:c>
      <x:c r="B86" s="8" t="str">
        <x:v>4505</x:v>
      </x:c>
      <x:c r="C86" s="8" t="str">
        <x:v>High Prairie</x:v>
      </x:c>
      <x:c r="D86" s="8" t="str">
        <x:v>NB2</x:v>
      </x:c>
      <x:c r="E86" s="16" t="n">
        <x:v>22.8</x:v>
      </x:c>
      <x:c r="F86" s="16" t="n">
        <x:v>5.6</x:v>
      </x:c>
      <x:c r="G86" s="16" t="str">
        <x:v>Unknown</x:v>
      </x:c>
      <x:c r="H86" s="17" t="str">
        <x:v>Not stated</x:v>
      </x:c>
      <x:c r="I86" s="11" t="str">
        <x:v>Not stated on map.</x:v>
      </x:c>
      <x:c r="J86" s="10" t="n">
        <x:v>54.8019</x:v>
      </x:c>
      <x:c r="K86" s="10" t="n">
        <x:v>-115.3823</x:v>
      </x:c>
      <x:c r="L86" s="8" t="str">
        <x:v>NE13-67-10-W5</x:v>
      </x:c>
      <x:c r="M86" s="11" t="str">
        <x:v>Dock/Pier; Day Use; Picnic; Shelter</x:v>
      </x:c>
      <x:c r="N86" s="11" t="str">
        <x:v>Electric motors only. There are rocks around the shore making it easy to access the reservoir, fly fishing is preferable.</x:v>
      </x:c>
      <x:c r="O86" s="8" t="n">
        <x:v>5</x:v>
      </x:c>
      <x:c r="P86" s="8" t="n">
        <x:v>6</x:v>
      </x:c>
      <x:c r="Q86" s="8" t="str">
        <x:v>https://www.google.com/maps/dir/?api=1&amp;destination=54.801854,-115.382263</x:v>
      </x:c>
      <x:c r="R86" s="8" t="str">
        <x:v>https://albertaregulations.ca/fishingregs/nb2.html</x:v>
      </x:c>
    </x:row>
    <x:row r="87" ht="42" customHeight="1">
      <x:c r="A87" s="8" t="str">
        <x:v>Elk Creek Pond</x:v>
      </x:c>
      <x:c r="B87" s="8" t="str">
        <x:v>6820</x:v>
      </x:c>
      <x:c r="C87" s="8" t="str">
        <x:v>Rocky Mountain House</x:v>
      </x:c>
      <x:c r="D87" s="8" t="str">
        <x:v>ES2</x:v>
      </x:c>
      <x:c r="E87" s="16" t="n">
        <x:v>5</x:v>
      </x:c>
      <x:c r="F87" s="16" t="str">
        <x:v>Unknown</x:v>
      </x:c>
      <x:c r="G87" s="16" t="str">
        <x:v>Unknown</x:v>
      </x:c>
      <x:c r="H87" s="17" t="str">
        <x:v>Not stated</x:v>
      </x:c>
      <x:c r="I87" s="11" t="str">
        <x:v>Not stated on map.</x:v>
      </x:c>
      <x:c r="J87" s="10" t="n">
        <x:v>52.0568</x:v>
      </x:c>
      <x:c r="K87" s="10" t="n">
        <x:v>-115.6572</x:v>
      </x:c>
      <x:c r="L87" s="8" t="str">
        <x:v>NW33-35-12-W5</x:v>
      </x:c>
      <x:c r="M87" s="11" t="str">
        <x:v>Fire Pits; Toilets</x:v>
      </x:c>
      <x:c r="N87" s="11" t="str">
        <x:v>Elk Creek Pond is a day use and picnic area. It is well manicured and is an ideal place for an adventure.</x:v>
      </x:c>
      <x:c r="O87" s="8" t="n">
        <x:v>1</x:v>
      </x:c>
      <x:c r="P87" s="8" t="n">
        <x:v>6</x:v>
      </x:c>
      <x:c r="Q87" s="8" t="str">
        <x:v>https://www.google.com/maps/dir/?api=1&amp;destination=52.056822,-115.657217</x:v>
      </x:c>
      <x:c r="R87" s="8" t="str">
        <x:v>https://albertaregulations.ca/fishingregs/es2.html</x:v>
      </x:c>
    </x:row>
    <x:row r="88" ht="32" customHeight="1">
      <x:c r="A88" s="8" t="str">
        <x:v>Elk Point Pond</x:v>
      </x:c>
      <x:c r="B88" s="8" t="str">
        <x:v>417505</x:v>
      </x:c>
      <x:c r="C88" s="8" t="str">
        <x:v>Elk Point</x:v>
      </x:c>
      <x:c r="D88" s="8" t="str">
        <x:v>NB1</x:v>
      </x:c>
      <x:c r="E88" s="16" t="str">
        <x:v>Unknown</x:v>
      </x:c>
      <x:c r="F88" s="16" t="str">
        <x:v>Unknown</x:v>
      </x:c>
      <x:c r="G88" s="16" t="str">
        <x:v>Unknown</x:v>
      </x:c>
      <x:c r="H88" s="17" t="str">
        <x:v>Not stated</x:v>
      </x:c>
      <x:c r="I88" s="11" t="str">
        <x:v>Not stated on map.</x:v>
      </x:c>
      <x:c r="J88" s="10" t="n">
        <x:v>53.8879</x:v>
      </x:c>
      <x:c r="K88" s="10" t="n">
        <x:v>-110.9106</x:v>
      </x:c>
      <x:c r="L88" s="8" t="str">
        <x:v>NW36-56-7-W4</x:v>
      </x:c>
      <x:c r="M88" s="11" t="str"/>
      <x:c r="N88" s="11" t="str">
        <x:v>Day use area. Come and try your luck catching one of the stocked trout.</x:v>
      </x:c>
      <x:c r="O88" s="8" t="n">
        <x:v>0</x:v>
      </x:c>
      <x:c r="P88" s="8" t="n">
        <x:v>16</x:v>
      </x:c>
      <x:c r="Q88" s="8" t="str">
        <x:v>https://www.google.com/maps/dir/?api=1&amp;destination=53.88794,-110.910635</x:v>
      </x:c>
      <x:c r="R88" s="8" t="str">
        <x:v>https://albertaregulations.ca/fishingregs/nb1.html</x:v>
      </x:c>
    </x:row>
    <x:row r="89" ht="32" customHeight="1">
      <x:c r="A89" s="8" t="str">
        <x:v>Emerald Lake</x:v>
      </x:c>
      <x:c r="B89" s="8" t="str">
        <x:v>4532</x:v>
      </x:c>
      <x:c r="C89" s="8" t="str">
        <x:v>Whitecourt</x:v>
      </x:c>
      <x:c r="D89" s="8" t="str">
        <x:v>ES3</x:v>
      </x:c>
      <x:c r="E89" s="16" t="n">
        <x:v>3.5</x:v>
      </x:c>
      <x:c r="F89" s="16" t="str">
        <x:v>Unknown</x:v>
      </x:c>
      <x:c r="G89" s="16" t="str">
        <x:v>Unknown</x:v>
      </x:c>
      <x:c r="H89" s="17" t="str">
        <x:v>Not stated</x:v>
      </x:c>
      <x:c r="I89" s="11" t="str">
        <x:v>Not stated on map.</x:v>
      </x:c>
      <x:c r="J89" s="10" t="n">
        <x:v>54.3334</x:v>
      </x:c>
      <x:c r="K89" s="10" t="n">
        <x:v>-115.6183</x:v>
      </x:c>
      <x:c r="L89" s="8" t="str">
        <x:v>Unknown</x:v>
      </x:c>
      <x:c r="M89" s="11" t="str"/>
      <x:c r="N89" s="11" t="str">
        <x:v>A great brook trout destination located 32km north of McLeod Lake.</x:v>
      </x:c>
      <x:c r="O89" s="8" t="n">
        <x:v>6</x:v>
      </x:c>
      <x:c r="P89" s="8" t="n">
        <x:v>0</x:v>
      </x:c>
      <x:c r="Q89" s="8" t="str">
        <x:v>https://www.google.com/maps/dir/?api=1&amp;destination=54.333426,-115.61828</x:v>
      </x:c>
      <x:c r="R89" s="8" t="str">
        <x:v>https://albertaregulations.ca/fishingregs/es3.html</x:v>
      </x:c>
    </x:row>
    <x:row r="90" ht="32" customHeight="1">
      <x:c r="A90" s="8" t="str">
        <x:v>Emerald Lake</x:v>
      </x:c>
      <x:c r="B90" s="8" t="str">
        <x:v>6821</x:v>
      </x:c>
      <x:c r="C90" s="8" t="str">
        <x:v>Whitecourt</x:v>
      </x:c>
      <x:c r="D90" s="8" t="str">
        <x:v>Not stated</x:v>
      </x:c>
      <x:c r="E90" s="16" t="str">
        <x:v>Unknown</x:v>
      </x:c>
      <x:c r="F90" s="16" t="str">
        <x:v>Unknown</x:v>
      </x:c>
      <x:c r="G90" s="16" t="str">
        <x:v>Unknown</x:v>
      </x:c>
      <x:c r="H90" s="17" t="str">
        <x:v>Not stated</x:v>
      </x:c>
      <x:c r="I90" s="11" t="str">
        <x:v>Not stated on map.</x:v>
      </x:c>
      <x:c r="J90" s="10" t="n">
        <x:v>54.3334</x:v>
      </x:c>
      <x:c r="K90" s="10" t="n">
        <x:v>-115.6183</x:v>
      </x:c>
      <x:c r="L90" s="8" t="str">
        <x:v>SW5-62-11-W5</x:v>
      </x:c>
      <x:c r="M90" s="11" t="str"/>
      <x:c r="N90" s="11" t="str">
        <x:v>No description available.</x:v>
      </x:c>
      <x:c r="O90" s="8" t="n">
        <x:v>0</x:v>
      </x:c>
      <x:c r="P90" s="8" t="n">
        <x:v>6</x:v>
      </x:c>
      <x:c r="Q90" s="8" t="str">
        <x:v>https://www.google.com/maps/dir/?api=1&amp;destination=54.333426,-115.61828</x:v>
      </x:c>
      <x:c r="R90" s="8" t="str"/>
    </x:row>
    <x:row r="91" ht="32" customHeight="1">
      <x:c r="A91" s="8" t="str">
        <x:v>Emerson Lake</x:v>
      </x:c>
      <x:c r="B91" s="8" t="str">
        <x:v>6822</x:v>
      </x:c>
      <x:c r="C91" s="8" t="str">
        <x:v>High River</x:v>
      </x:c>
      <x:c r="D91" s="8" t="str">
        <x:v>Not stated</x:v>
      </x:c>
      <x:c r="E91" s="16" t="str">
        <x:v>Unknown</x:v>
      </x:c>
      <x:c r="F91" s="16" t="str">
        <x:v>Unknown</x:v>
      </x:c>
      <x:c r="G91" s="16" t="str">
        <x:v>Unknown</x:v>
      </x:c>
      <x:c r="H91" s="17" t="str">
        <x:v>Not stated</x:v>
      </x:c>
      <x:c r="I91" s="11" t="str">
        <x:v>Not stated on map.</x:v>
      </x:c>
      <x:c r="J91" s="10" t="n">
        <x:v>50.5769</x:v>
      </x:c>
      <x:c r="K91" s="10" t="n">
        <x:v>-113.8512</x:v>
      </x:c>
      <x:c r="L91" s="8" t="str">
        <x:v>SW5-19-28-W4</x:v>
      </x:c>
      <x:c r="M91" s="11" t="str"/>
      <x:c r="N91" s="11" t="str">
        <x:v>No description available.</x:v>
      </x:c>
      <x:c r="O91" s="8" t="n">
        <x:v>2</x:v>
      </x:c>
      <x:c r="P91" s="8" t="n">
        <x:v>20</x:v>
      </x:c>
      <x:c r="Q91" s="8" t="str">
        <x:v>https://www.google.com/maps/dir/?api=1&amp;destination=50.576929,-113.85125</x:v>
      </x:c>
      <x:c r="R91" s="8" t="str"/>
    </x:row>
    <x:row r="92" ht="72" customHeight="1">
      <x:c r="A92" s="8" t="str">
        <x:v>Emerson Lakes</x:v>
      </x:c>
      <x:c r="B92" s="8" t="str">
        <x:v>4535</x:v>
      </x:c>
      <x:c r="C92" s="8" t="str">
        <x:v>Edson</x:v>
      </x:c>
      <x:c r="D92" s="8" t="str">
        <x:v>ES3</x:v>
      </x:c>
      <x:c r="E92" s="16" t="n">
        <x:v>17</x:v>
      </x:c>
      <x:c r="F92" s="16" t="str">
        <x:v>Unknown</x:v>
      </x:c>
      <x:c r="G92" s="16" t="str">
        <x:v>Unknown</x:v>
      </x:c>
      <x:c r="H92" s="17" t="str">
        <x:v>Not stated</x:v>
      </x:c>
      <x:c r="I92" s="11" t="str">
        <x:v>Not stated on map.</x:v>
      </x:c>
      <x:c r="J92" s="10" t="n">
        <x:v>53.7239</x:v>
      </x:c>
      <x:c r="K92" s="10" t="n">
        <x:v>-117.1228</x:v>
      </x:c>
      <x:c r="L92" s="8" t="str">
        <x:v>NW6-55-21-W5</x:v>
      </x:c>
      <x:c r="M92" s="11" t="str">
        <x:v>Camping; Trails; Trails Hiking; Trails Interpretive; Picnic; Fire Pits; Day Use</x:v>
      </x:c>
      <x:c r="N92" s="11" t="str">
        <x:v>The park is off the beaten path, but once you find it, you'll be rewarded with a chain of 5 small lakes and about 7 km of trails to explore. You can fish for stocked trout, canoe, or take an electric powered boat on the lakes and view the hoodoos on the Wild Sculpture Trail.</x:v>
      </x:c>
      <x:c r="O92" s="8" t="n">
        <x:v>4</x:v>
      </x:c>
      <x:c r="P92" s="8" t="n">
        <x:v>5</x:v>
      </x:c>
      <x:c r="Q92" s="8" t="str">
        <x:v>https://www.google.com/maps/dir/?api=1&amp;destination=53.723859,-117.12285</x:v>
      </x:c>
      <x:c r="R92" s="8" t="str">
        <x:v>https://albertaregulations.ca/fishingregs/es3.html</x:v>
      </x:c>
    </x:row>
    <x:row r="93" ht="42" customHeight="1">
      <x:c r="A93" s="8" t="str">
        <x:v>Enchant Pond</x:v>
      </x:c>
      <x:c r="B93" s="8" t="str">
        <x:v>6823</x:v>
      </x:c>
      <x:c r="C93" s="8" t="str">
        <x:v>Lethbridge</x:v>
      </x:c>
      <x:c r="D93" s="8" t="str">
        <x:v>PP1</x:v>
      </x:c>
      <x:c r="E93" s="16" t="n">
        <x:v>2.8</x:v>
      </x:c>
      <x:c r="F93" s="16" t="str">
        <x:v>Unknown</x:v>
      </x:c>
      <x:c r="G93" s="16" t="str">
        <x:v>Unknown</x:v>
      </x:c>
      <x:c r="H93" s="17" t="str">
        <x:v>Not stated</x:v>
      </x:c>
      <x:c r="I93" s="11" t="str">
        <x:v>Not stated on map.</x:v>
      </x:c>
      <x:c r="J93" s="10" t="n">
        <x:v>50.1611</x:v>
      </x:c>
      <x:c r="K93" s="10" t="n">
        <x:v>-112.4323</x:v>
      </x:c>
      <x:c r="L93" s="8" t="str">
        <x:v>NW8-14-18-W4</x:v>
      </x:c>
      <x:c r="M93" s="11" t="str">
        <x:v>Sports; Sports Baseball; Swimming; Beach; Day Use; Camping</x:v>
      </x:c>
      <x:c r="N93" s="11" t="str">
        <x:v>This site is directly south of Enchant in Enchant Park. ACA annually stocks this pond with trout, typically before the May long weekend.</x:v>
      </x:c>
      <x:c r="O93" s="8" t="n">
        <x:v>1</x:v>
      </x:c>
      <x:c r="P93" s="8" t="n">
        <x:v>13</x:v>
      </x:c>
      <x:c r="Q93" s="8" t="str">
        <x:v>https://www.google.com/maps/dir/?api=1&amp;destination=50.161135,-112.432267</x:v>
      </x:c>
      <x:c r="R93" s="8" t="str">
        <x:v>https://albertaregulations.ca/fishingregs/pp1.html</x:v>
      </x:c>
    </x:row>
    <x:row r="94" ht="57" customHeight="1">
      <x:c r="A94" s="8" t="str">
        <x:v>Engstrom Lake</x:v>
      </x:c>
      <x:c r="B94" s="8" t="str">
        <x:v>4539</x:v>
      </x:c>
      <x:c r="C94" s="8" t="str">
        <x:v>Fort McMurray</x:v>
      </x:c>
      <x:c r="D94" s="8" t="str">
        <x:v>NB4</x:v>
      </x:c>
      <x:c r="E94" s="16" t="n">
        <x:v>79.3</x:v>
      </x:c>
      <x:c r="F94" s="16" t="n">
        <x:v>6.8</x:v>
      </x:c>
      <x:c r="G94" s="16" t="str">
        <x:v>Unknown</x:v>
      </x:c>
      <x:c r="H94" s="17" t="str">
        <x:v>Not stated</x:v>
      </x:c>
      <x:c r="I94" s="11" t="str">
        <x:v>Not stated on map.</x:v>
      </x:c>
      <x:c r="J94" s="10" t="n">
        <x:v>56.1889</x:v>
      </x:c>
      <x:c r="K94" s="10" t="n">
        <x:v>-110.9064</x:v>
      </x:c>
      <x:c r="L94" s="8" t="str">
        <x:v>NW17-83-6-W4</x:v>
      </x:c>
      <x:c r="M94" s="11" t="str">
        <x:v>Paddling; Paddling Canoe; Paddling Kayak; Trails; Trails Hiking; Fishing Access; Winter Recreation; Boating; Boating Motorized; Toilets</x:v>
      </x:c>
      <x:c r="N94" s="11" t="str">
        <x:v>A boat launch and day use area are available for day users. Overnight camping and campfires are prohibited.</x:v>
      </x:c>
      <x:c r="O94" s="8" t="n">
        <x:v>3</x:v>
      </x:c>
      <x:c r="P94" s="8" t="n">
        <x:v>19</x:v>
      </x:c>
      <x:c r="Q94" s="8" t="str">
        <x:v>https://www.google.com/maps/dir/?api=1&amp;destination=56.188889,-110.906389</x:v>
      </x:c>
      <x:c r="R94" s="8" t="str">
        <x:v>https://albertaregulations.ca/fishingregs/nb4.html</x:v>
      </x:c>
    </x:row>
    <x:row r="95" ht="42" customHeight="1">
      <x:c r="A95" s="8" t="str">
        <x:v>Entry Lake</x:v>
      </x:c>
      <x:c r="B95" s="8" t="str">
        <x:v>6662</x:v>
      </x:c>
      <x:c r="C95" s="8" t="str">
        <x:v>Nordegg</x:v>
      </x:c>
      <x:c r="D95" s="8" t="str">
        <x:v>ES2</x:v>
      </x:c>
      <x:c r="E95" s="16" t="n">
        <x:v>4.1</x:v>
      </x:c>
      <x:c r="F95" s="16" t="n">
        <x:v>7.3</x:v>
      </x:c>
      <x:c r="G95" s="16" t="n">
        <x:v>2.1</x:v>
      </x:c>
      <x:c r="H95" s="17" t="str">
        <x:v>Not stated</x:v>
      </x:c>
      <x:c r="I95" s="11" t="str">
        <x:v>Not stated on map.</x:v>
      </x:c>
      <x:c r="J95" s="10" t="n">
        <x:v>52.1061</x:v>
      </x:c>
      <x:c r="K95" s="10" t="n">
        <x:v>-116.5648</x:v>
      </x:c>
      <x:c r="L95" s="8" t="str">
        <x:v>SW19-36-18-W5</x:v>
      </x:c>
      <x:c r="M95" s="11" t="str"/>
      <x:c r="N95" s="11" t="str">
        <x:v>Entry lake is one of the helicopter stocked lakes. It was recently stocked in the fall of 2025 with 668 cutthroat trout.</x:v>
      </x:c>
      <x:c r="O95" s="8" t="n">
        <x:v>0</x:v>
      </x:c>
      <x:c r="P95" s="8" t="n">
        <x:v>2</x:v>
      </x:c>
      <x:c r="Q95" s="8" t="str">
        <x:v>https://www.google.com/maps/dir/?api=1&amp;destination=52.106097,-116.564829</x:v>
      </x:c>
      <x:c r="R95" s="8" t="str">
        <x:v>https://albertaregulations.ca/fishingregs/es2.html</x:v>
      </x:c>
    </x:row>
    <x:row r="96" ht="57" customHeight="1">
      <x:c r="A96" s="8" t="str">
        <x:v>Fairfax Lake</x:v>
      </x:c>
      <x:c r="B96" s="8" t="str">
        <x:v>4562</x:v>
      </x:c>
      <x:c r="C96" s="8" t="str">
        <x:v>Edson</x:v>
      </x:c>
      <x:c r="D96" s="8" t="str">
        <x:v>ES3</x:v>
      </x:c>
      <x:c r="E96" s="16" t="n">
        <x:v>32.3</x:v>
      </x:c>
      <x:c r="F96" s="16" t="n">
        <x:v>7.6</x:v>
      </x:c>
      <x:c r="G96" s="16" t="str">
        <x:v>Unknown</x:v>
      </x:c>
      <x:c r="H96" s="17" t="str">
        <x:v>Not stated</x:v>
      </x:c>
      <x:c r="I96" s="11" t="str">
        <x:v>Not stated on map.</x:v>
      </x:c>
      <x:c r="J96" s="10" t="n">
        <x:v>52.9711</x:v>
      </x:c>
      <x:c r="K96" s="10" t="n">
        <x:v>-116.5765</x:v>
      </x:c>
      <x:c r="L96" s="8" t="str">
        <x:v>NW17-46-18-W5</x:v>
      </x:c>
      <x:c r="M96" s="11" t="str">
        <x:v>Boat Launch; Fire Pits; Firewood; Fish Cleaning; Dock/Pier; Toilets; Water; Paddling; Paddling Canoe; Paddling Kayak</x:v>
      </x:c>
      <x:c r="N96" s="11" t="str">
        <x:v>Fairfax Lake Provincial Recreation Area has 27 spacious and private sites near the shores of Fairfax Lake. It is ideal for fishing, canoeing , and hiking trails are available in the surrounding area.</x:v>
      </x:c>
      <x:c r="O96" s="8" t="n">
        <x:v>0</x:v>
      </x:c>
      <x:c r="P96" s="8" t="n">
        <x:v>7</x:v>
      </x:c>
      <x:c r="Q96" s="8" t="str">
        <x:v>https://www.google.com/maps/dir/?api=1&amp;destination=52.971131,-116.576532</x:v>
      </x:c>
      <x:c r="R96" s="8" t="str">
        <x:v>https://albertaregulations.ca/fishingregs/es3.html</x:v>
      </x:c>
    </x:row>
    <x:row r="97" ht="42" customHeight="1">
      <x:c r="A97" s="8" t="str">
        <x:v>Fairview College Pond</x:v>
      </x:c>
      <x:c r="B97" s="8" t="str">
        <x:v>6825</x:v>
      </x:c>
      <x:c r="C97" s="8" t="str">
        <x:v>Fairview</x:v>
      </x:c>
      <x:c r="D97" s="8" t="str">
        <x:v>NB3</x:v>
      </x:c>
      <x:c r="E97" s="16" t="n">
        <x:v>3.8</x:v>
      </x:c>
      <x:c r="F97" s="16" t="n">
        <x:v>6</x:v>
      </x:c>
      <x:c r="G97" s="16" t="str">
        <x:v>Unknown</x:v>
      </x:c>
      <x:c r="H97" s="17" t="str">
        <x:v>Not stated</x:v>
      </x:c>
      <x:c r="I97" s="11" t="str">
        <x:v>Not stated on map.</x:v>
      </x:c>
      <x:c r="J97" s="10" t="n">
        <x:v>56.0588</x:v>
      </x:c>
      <x:c r="K97" s="10" t="n">
        <x:v>-118.3872</x:v>
      </x:c>
      <x:c r="L97" s="8" t="str">
        <x:v>SW34-81-3-W6</x:v>
      </x:c>
      <x:c r="M97" s="11" t="str">
        <x:v>Retail/Services; Water</x:v>
      </x:c>
      <x:c r="N97" s="11" t="str">
        <x:v>The college has a small pond that is stocked with rainbows every spring. | Amenities notes: The waterbody is at Fairview college</x:v>
      </x:c>
      <x:c r="O97" s="8" t="n">
        <x:v>4</x:v>
      </x:c>
      <x:c r="P97" s="8" t="n">
        <x:v>6</x:v>
      </x:c>
      <x:c r="Q97" s="8" t="str">
        <x:v>https://www.google.com/maps/dir/?api=1&amp;destination=56.05880000000001,-118.387234</x:v>
      </x:c>
      <x:c r="R97" s="8" t="str">
        <x:v>https://albertaregulations.ca/fishingregs/nb3.html</x:v>
      </x:c>
    </x:row>
    <x:row r="98" ht="87" customHeight="1">
      <x:c r="A98" s="8" t="str">
        <x:v>Fickle Lake</x:v>
      </x:c>
      <x:c r="B98" s="8" t="str">
        <x:v>4571</x:v>
      </x:c>
      <x:c r="C98" s="8" t="str">
        <x:v>Hinton</x:v>
      </x:c>
      <x:c r="D98" s="8" t="str">
        <x:v>ES3</x:v>
      </x:c>
      <x:c r="E98" s="16" t="n">
        <x:v>382.2</x:v>
      </x:c>
      <x:c r="F98" s="16" t="str">
        <x:v>Unknown</x:v>
      </x:c>
      <x:c r="G98" s="16" t="str">
        <x:v>Unknown</x:v>
      </x:c>
      <x:c r="H98" s="17" t="str">
        <x:v>Not stated</x:v>
      </x:c>
      <x:c r="I98" s="11" t="str">
        <x:v>Not stated on map.</x:v>
      </x:c>
      <x:c r="J98" s="10" t="n">
        <x:v>53.45</x:v>
      </x:c>
      <x:c r="K98" s="10" t="n">
        <x:v>-116.7667</x:v>
      </x:c>
      <x:c r="L98" s="8" t="str">
        <x:v>NW32-51-19-W5</x:v>
      </x:c>
      <x:c r="M98" s="11" t="str">
        <x:v>Firewood; Camping; Fish Cleaning; Dock/Pier; Toilets; Water</x:v>
      </x:c>
      <x:c r="N98" s="11" t="str">
        <x:v>Fickle Lake Campground has 36 sites for both RVs and tents, including lovely campsites with lakeside views. The lots are surrounded by natural spruce forest and allow easy access to the lake, boat launch, dock and shoreline. Although the campground is closed during the winter, the road to the lake and parking lot is still maintained allowing easy access for ice fishing.</x:v>
      </x:c>
      <x:c r="O98" s="8" t="n">
        <x:v>0</x:v>
      </x:c>
      <x:c r="P98" s="8" t="n">
        <x:v>1</x:v>
      </x:c>
      <x:c r="Q98" s="8" t="str">
        <x:v>https://www.google.com/maps/dir/?api=1&amp;destination=53.45,-116.766667</x:v>
      </x:c>
      <x:c r="R98" s="8" t="str">
        <x:v>https://albertaregulations.ca/fishingregs/es3.html</x:v>
      </x:c>
    </x:row>
    <x:row r="99" ht="42" customHeight="1">
      <x:c r="A99" s="8" t="str">
        <x:v>Fiesta Lake</x:v>
      </x:c>
      <x:c r="B99" s="8" t="str">
        <x:v>24364</x:v>
      </x:c>
      <x:c r="C99" s="8" t="str">
        <x:v>Sundre</x:v>
      </x:c>
      <x:c r="D99" s="8" t="str">
        <x:v>ES2</x:v>
      </x:c>
      <x:c r="E99" s="16" t="n">
        <x:v>7.1</x:v>
      </x:c>
      <x:c r="F99" s="16" t="n">
        <x:v>7</x:v>
      </x:c>
      <x:c r="G99" s="16" t="str">
        <x:v>Unknown</x:v>
      </x:c>
      <x:c r="H99" s="17" t="str">
        <x:v>Yes</x:v>
      </x:c>
      <x:c r="I99" s="11" t="str">
        <x:v>The lake is stocked annually by AEP with trout and is aerated (October - April) through ACA's Lake Aeration Program.</x:v>
      </x:c>
      <x:c r="J99" s="10" t="n">
        <x:v>51.9959</x:v>
      </x:c>
      <x:c r="K99" s="10" t="n">
        <x:v>-114.7264</x:v>
      </x:c>
      <x:c r="L99" s="8" t="str">
        <x:v>NE12-35-6-W5</x:v>
      </x:c>
      <x:c r="M99" s="11" t="str">
        <x:v>Toilets; Parking; Dock/Pier; Boat Launch</x:v>
      </x:c>
      <x:c r="N99" s="11" t="str">
        <x:v>The lake is stocked annually by AEP with trout and is aerated (October - April) through ACA's Lake Aeration Program.</x:v>
      </x:c>
      <x:c r="O99" s="8" t="n">
        <x:v>1</x:v>
      </x:c>
      <x:c r="P99" s="8" t="n">
        <x:v>6</x:v>
      </x:c>
      <x:c r="Q99" s="8" t="str">
        <x:v>https://www.google.com/maps/dir/?api=1&amp;destination=51.995874,-114.726449</x:v>
      </x:c>
      <x:c r="R99" s="8" t="str">
        <x:v>https://albertaregulations.ca/fishingregs/es2.html</x:v>
      </x:c>
    </x:row>
    <x:row r="100" ht="57" customHeight="1">
      <x:c r="A100" s="8" t="str">
        <x:v>Figure Eight Lake</x:v>
      </x:c>
      <x:c r="B100" s="8" t="str">
        <x:v>6827</x:v>
      </x:c>
      <x:c r="C100" s="8" t="str">
        <x:v>Peace River</x:v>
      </x:c>
      <x:c r="D100" s="8" t="str">
        <x:v>NB3</x:v>
      </x:c>
      <x:c r="E100" s="16" t="n">
        <x:v>37</x:v>
      </x:c>
      <x:c r="F100" s="16" t="n">
        <x:v>6.3</x:v>
      </x:c>
      <x:c r="G100" s="16" t="n">
        <x:v>5</x:v>
      </x:c>
      <x:c r="H100" s="17" t="str">
        <x:v>Not stated</x:v>
      </x:c>
      <x:c r="I100" s="11" t="str">
        <x:v>Not stated on map.</x:v>
      </x:c>
      <x:c r="J100" s="10" t="n">
        <x:v>56.3015</x:v>
      </x:c>
      <x:c r="K100" s="10" t="n">
        <x:v>-117.9064</x:v>
      </x:c>
      <x:c r="L100" s="8" t="str">
        <x:v>NE20-84-25-W5</x:v>
      </x:c>
      <x:c r="M100" s="11" t="str">
        <x:v>Fish Cleaning; Fire Pits; Toilets; Shelter; Boat Launch; Trails; Trails Hiking; Swimming; Paddling; Paddling Canoe; Paddling Kayak</x:v>
      </x:c>
      <x:c r="N100" s="11" t="str">
        <x:v>This lakeside campground is at Figure Eight Lake Provincial Recreation Area and can accommodate both RVs and tents. There are lots of activities, including hiking, canoeing, wind surfing, boating, fishing, and bird watching OHV trails can be accessed nearby.</x:v>
      </x:c>
      <x:c r="O100" s="8" t="n">
        <x:v>4</x:v>
      </x:c>
      <x:c r="P100" s="8" t="n">
        <x:v>7</x:v>
      </x:c>
      <x:c r="Q100" s="8" t="str">
        <x:v>https://www.google.com/maps/dir/?api=1&amp;destination=56.30153,-117.906378</x:v>
      </x:c>
      <x:c r="R100" s="8" t="str">
        <x:v>https://albertaregulations.ca/fishingregs/nb3.html</x:v>
      </x:c>
    </x:row>
    <x:row r="101" ht="87" customHeight="1">
      <x:c r="A101" s="8" t="str">
        <x:v>Fish Lake</x:v>
      </x:c>
      <x:c r="B101" s="8" t="str">
        <x:v>5804</x:v>
      </x:c>
      <x:c r="C101" s="8" t="str">
        <x:v>Nordegg</x:v>
      </x:c>
      <x:c r="D101" s="8" t="str">
        <x:v>ES2</x:v>
      </x:c>
      <x:c r="E101" s="16" t="n">
        <x:v>51.4</x:v>
      </x:c>
      <x:c r="F101" s="16" t="str">
        <x:v>Unknown</x:v>
      </x:c>
      <x:c r="G101" s="16" t="str">
        <x:v>Unknown</x:v>
      </x:c>
      <x:c r="H101" s="17" t="str">
        <x:v>Not stated</x:v>
      </x:c>
      <x:c r="I101" s="11" t="str">
        <x:v>Not stated on map.</x:v>
      </x:c>
      <x:c r="J101" s="10" t="n">
        <x:v>52.4516</x:v>
      </x:c>
      <x:c r="K101" s="10" t="n">
        <x:v>-116.15</x:v>
      </x:c>
      <x:c r="L101" s="8" t="str">
        <x:v>SW19-40-15-W5</x:v>
      </x:c>
      <x:c r="M101" s="11" t="str">
        <x:v>Fish Cleaning; Fire Pits; Toilets; Shelter; Boat Launch; Trails; Trails Hiking; Swimming; Paddling; Paddling Canoe; Paddling Kayak; Camping; Camping Power; Picnic; Water; Toilets; Day Use; Sports; Retail/Services</x:v>
      </x:c>
      <x:c r="N101" s="11" t="str">
        <x:v>Fish Lake is also referred to as Shunda Lake. There are over 100 sites, including power, un-serviced, waterfront and pull-through sites. Sites are spacious and most are surrounded by trees. You may canoe or boat using an electric motor on the beautiful foothill lake, which is stocked with rainbow trout. There is hiking, mountain biking, swimming, and access to OHV trails in the area.</x:v>
      </x:c>
      <x:c r="O101" s="8" t="n">
        <x:v>30</x:v>
      </x:c>
      <x:c r="P101" s="8" t="n">
        <x:v>14</x:v>
      </x:c>
      <x:c r="Q101" s="8" t="str">
        <x:v>https://www.google.com/maps/dir/?api=1&amp;destination=52.451617,-116.149976</x:v>
      </x:c>
      <x:c r="R101" s="8" t="str">
        <x:v>https://albertaregulations.ca/fishingregs/es2.html</x:v>
      </x:c>
    </x:row>
    <x:row r="102" ht="32" customHeight="1">
      <x:c r="A102" s="8" t="str">
        <x:v>Footner Pond</x:v>
      </x:c>
      <x:c r="B102" s="8" t="str">
        <x:v>6830</x:v>
      </x:c>
      <x:c r="C102" s="8" t="str">
        <x:v>High Level</x:v>
      </x:c>
      <x:c r="D102" s="8" t="str">
        <x:v>NB3</x:v>
      </x:c>
      <x:c r="E102" s="16" t="n">
        <x:v>6</x:v>
      </x:c>
      <x:c r="F102" s="16" t="str">
        <x:v>Unknown</x:v>
      </x:c>
      <x:c r="G102" s="16" t="str">
        <x:v>Unknown</x:v>
      </x:c>
      <x:c r="H102" s="17" t="str">
        <x:v>Not stated</x:v>
      </x:c>
      <x:c r="I102" s="11" t="str">
        <x:v>Not stated on map.</x:v>
      </x:c>
      <x:c r="J102" s="10" t="n">
        <x:v>58.6081</x:v>
      </x:c>
      <x:c r="K102" s="10" t="n">
        <x:v>-117.1569</x:v>
      </x:c>
      <x:c r="L102" s="8" t="str">
        <x:v>SE5-111-19-W5</x:v>
      </x:c>
      <x:c r="M102" s="11" t="str"/>
      <x:c r="N102" s="11" t="str">
        <x:v>This pond is also known as Pierre's Pond.</x:v>
      </x:c>
      <x:c r="O102" s="8" t="n">
        <x:v>3</x:v>
      </x:c>
      <x:c r="P102" s="8" t="n">
        <x:v>6</x:v>
      </x:c>
      <x:c r="Q102" s="8" t="str">
        <x:v>https://www.google.com/maps/dir/?api=1&amp;destination=58.608147,-117.156875</x:v>
      </x:c>
      <x:c r="R102" s="8" t="str">
        <x:v>https://albertaregulations.ca/fishingregs/nb3.html</x:v>
      </x:c>
    </x:row>
    <x:row r="103" ht="42" customHeight="1">
      <x:c r="A103" s="8" t="str">
        <x:v>Foremost Reservoir</x:v>
      </x:c>
      <x:c r="B103" s="8" t="str">
        <x:v>6831</x:v>
      </x:c>
      <x:c r="C103" s="8" t="str">
        <x:v>Foremost</x:v>
      </x:c>
      <x:c r="D103" s="8" t="str">
        <x:v>PP1</x:v>
      </x:c>
      <x:c r="E103" s="16" t="n">
        <x:v>5.6</x:v>
      </x:c>
      <x:c r="F103" s="16" t="str">
        <x:v>Unknown</x:v>
      </x:c>
      <x:c r="G103" s="16" t="str">
        <x:v>Unknown</x:v>
      </x:c>
      <x:c r="H103" s="17" t="str">
        <x:v>Not stated</x:v>
      </x:c>
      <x:c r="I103" s="11" t="str">
        <x:v>Not stated on map.</x:v>
      </x:c>
      <x:c r="J103" s="10" t="n">
        <x:v>49.4775</x:v>
      </x:c>
      <x:c r="K103" s="10" t="n">
        <x:v>-111.4567</x:v>
      </x:c>
      <x:c r="L103" s="8" t="str">
        <x:v>NW17-6-11-W4</x:v>
      </x:c>
      <x:c r="M103" s="11" t="str">
        <x:v>Day Use</x:v>
      </x:c>
      <x:c r="N103" s="11" t="str">
        <x:v>ACA annually stocks this pond with trout, typically before the May long weekend. | Amenities notes: foot access; no open fires.</x:v>
      </x:c>
      <x:c r="O103" s="8" t="n">
        <x:v>1</x:v>
      </x:c>
      <x:c r="P103" s="8" t="n">
        <x:v>9</x:v>
      </x:c>
      <x:c r="Q103" s="8" t="str">
        <x:v>https://www.google.com/maps/dir/?api=1&amp;destination=49.47748499999999,-111.456691</x:v>
      </x:c>
      <x:c r="R103" s="8" t="str">
        <x:v>https://albertaregulations.ca/fishingregs/pp1.html</x:v>
      </x:c>
    </x:row>
    <x:row r="104" ht="57" customHeight="1">
      <x:c r="A104" s="8" t="str">
        <x:v>Fort Lions Park Pond</x:v>
      </x:c>
      <x:c r="B104" s="8" t="str">
        <x:v>26854</x:v>
      </x:c>
      <x:c r="C104" s="8" t="str">
        <x:v>Edmonton</x:v>
      </x:c>
      <x:c r="D104" s="8" t="str">
        <x:v>PP2</x:v>
      </x:c>
      <x:c r="E104" s="16" t="n">
        <x:v>4.8</x:v>
      </x:c>
      <x:c r="F104" s="16" t="str">
        <x:v>Unknown</x:v>
      </x:c>
      <x:c r="G104" s="16" t="str">
        <x:v>Unknown</x:v>
      </x:c>
      <x:c r="H104" s="17" t="str">
        <x:v>Not stated</x:v>
      </x:c>
      <x:c r="I104" s="11" t="str">
        <x:v>Not stated on map.</x:v>
      </x:c>
      <x:c r="J104" s="10" t="n">
        <x:v>53.6832</x:v>
      </x:c>
      <x:c r="K104" s="10" t="n">
        <x:v>-113.2741</x:v>
      </x:c>
      <x:c r="L104" s="8" t="str">
        <x:v>NE23-54-23-W4</x:v>
      </x:c>
      <x:c r="M104" s="11" t="str">
        <x:v>Accessibility; Washrooms; Day Use</x:v>
      </x:c>
      <x:c r="N104" s="11" t="str">
        <x:v>This pond is in the south west corner of Fort Saskatchewan's West River's Edge Recreational Area and is maintained and managed by the city of Fort Saskatchewan. This pond is stocked with trout by ACA.</x:v>
      </x:c>
      <x:c r="O104" s="8" t="n">
        <x:v>0</x:v>
      </x:c>
      <x:c r="P104" s="8" t="n">
        <x:v>32</x:v>
      </x:c>
      <x:c r="Q104" s="8" t="str">
        <x:v>https://www.google.com/maps/dir/?api=1&amp;destination=53.68321899999999,-113.274136</x:v>
      </x:c>
      <x:c r="R104" s="8" t="str">
        <x:v>https://albertaregulations.ca/fishingregs/pp2.html</x:v>
      </x:c>
    </x:row>
    <x:row r="105" ht="32" customHeight="1">
      <x:c r="A105" s="8" t="str">
        <x:v>Fort Saskatchewan Fish &amp; Game Pond</x:v>
      </x:c>
      <x:c r="B105" s="8" t="str">
        <x:v>23094</x:v>
      </x:c>
      <x:c r="C105" s="8" t="str">
        <x:v>Edmonton</x:v>
      </x:c>
      <x:c r="D105" s="8" t="str">
        <x:v>Not stated</x:v>
      </x:c>
      <x:c r="E105" s="16" t="str">
        <x:v>Unknown</x:v>
      </x:c>
      <x:c r="F105" s="16" t="str">
        <x:v>Unknown</x:v>
      </x:c>
      <x:c r="G105" s="16" t="str">
        <x:v>Unknown</x:v>
      </x:c>
      <x:c r="H105" s="17" t="str">
        <x:v>Not stated</x:v>
      </x:c>
      <x:c r="I105" s="11" t="str">
        <x:v>Not stated on map.</x:v>
      </x:c>
      <x:c r="J105" s="10" t="n">
        <x:v>53.6401</x:v>
      </x:c>
      <x:c r="K105" s="10" t="n">
        <x:v>-112.9304</x:v>
      </x:c>
      <x:c r="L105" s="8" t="str">
        <x:v>NE6-54-20-W4</x:v>
      </x:c>
      <x:c r="M105" s="11" t="str"/>
      <x:c r="N105" s="11" t="str">
        <x:v>No description available.</x:v>
      </x:c>
      <x:c r="O105" s="8" t="n">
        <x:v>0</x:v>
      </x:c>
      <x:c r="P105" s="8" t="n">
        <x:v>1</x:v>
      </x:c>
      <x:c r="Q105" s="8" t="str">
        <x:v>https://www.google.com/maps/dir/?api=1&amp;destination=53.640135,-112.930408</x:v>
      </x:c>
      <x:c r="R105" s="8" t="str"/>
    </x:row>
    <x:row r="106" ht="117" customHeight="1">
      <x:c r="A106" s="8" t="str">
        <x:v>Fortress Lake</x:v>
      </x:c>
      <x:c r="B106" s="8" t="str">
        <x:v>4614</x:v>
      </x:c>
      <x:c r="C106" s="8" t="str">
        <x:v>Canmore</x:v>
      </x:c>
      <x:c r="D106" s="8" t="str">
        <x:v>ES1</x:v>
      </x:c>
      <x:c r="E106" s="16" t="n">
        <x:v>3.1</x:v>
      </x:c>
      <x:c r="F106" s="16" t="str">
        <x:v>Unknown</x:v>
      </x:c>
      <x:c r="G106" s="16" t="str">
        <x:v>Unknown</x:v>
      </x:c>
      <x:c r="H106" s="17" t="str">
        <x:v>Not stated</x:v>
      </x:c>
      <x:c r="I106" s="11" t="str">
        <x:v>Not stated on map.</x:v>
      </x:c>
      <x:c r="J106" s="10" t="n">
        <x:v>50.8348</x:v>
      </x:c>
      <x:c r="K106" s="10" t="n">
        <x:v>-115.2358</x:v>
      </x:c>
      <x:c r="L106" s="8" t="str">
        <x:v>SE6-22-9-W5</x:v>
      </x:c>
      <x:c r="M106" s="11" t="str"/>
      <x:c r="N106" s="11" t="str">
        <x:v>It is encourage to hike or bike up to Fortress Lake up the road access to the trail head. Moterized vehicles access is restricted at this time. Ths is a low intensity hike. The estimated time is 3.4 to 4 hours with a total length of 8.9km with an elevation gain of 559m. To access the hiking trails, you can start from the trailhead located at the Sunwapta Falls parking lot. This is situated along the Icefields Parkway (Highway 93) in Jasper National Park. From there, follow the signs and directions to reach the trail leading to your destination.</x:v>
      </x:c>
      <x:c r="O106" s="8" t="n">
        <x:v>2</x:v>
      </x:c>
      <x:c r="P106" s="8" t="n">
        <x:v>1</x:v>
      </x:c>
      <x:c r="Q106" s="8" t="str">
        <x:v>https://www.google.com/maps/dir/?api=1&amp;destination=50.834761,-115.235806</x:v>
      </x:c>
      <x:c r="R106" s="8" t="str">
        <x:v>https://albertaregulations.ca/fishingregs/es1.html</x:v>
      </x:c>
    </x:row>
    <x:row r="107" ht="32" customHeight="1">
      <x:c r="A107" s="8" t="str">
        <x:v>Forty Mile Coulee Reservoir</x:v>
      </x:c>
      <x:c r="B107" s="8" t="str">
        <x:v>6813</x:v>
      </x:c>
      <x:c r="C107" s="8" t="str">
        <x:v>Foremost</x:v>
      </x:c>
      <x:c r="D107" s="8" t="str">
        <x:v>PP1</x:v>
      </x:c>
      <x:c r="E107" s="16" t="n">
        <x:v>671.6</x:v>
      </x:c>
      <x:c r="F107" s="16" t="str">
        <x:v>Unknown</x:v>
      </x:c>
      <x:c r="G107" s="16" t="str">
        <x:v>Unknown</x:v>
      </x:c>
      <x:c r="H107" s="17" t="str">
        <x:v>Not stated</x:v>
      </x:c>
      <x:c r="I107" s="11" t="str">
        <x:v>Not stated on map.</x:v>
      </x:c>
      <x:c r="J107" s="10" t="n">
        <x:v>49.6436</x:v>
      </x:c>
      <x:c r="K107" s="10" t="n">
        <x:v>-111.3937</x:v>
      </x:c>
      <x:c r="L107" s="8" t="str">
        <x:v>SW14-8-11-W4</x:v>
      </x:c>
      <x:c r="M107" s="11" t="str">
        <x:v>Toilets; Parking; Dock/Pier; Boat Launch</x:v>
      </x:c>
      <x:c r="N107" s="11" t="str">
        <x:v>Spend your day fishing, hanging on the beach and boating.</x:v>
      </x:c>
      <x:c r="O107" s="8" t="n">
        <x:v>0</x:v>
      </x:c>
      <x:c r="P107" s="8" t="n">
        <x:v>6</x:v>
      </x:c>
      <x:c r="Q107" s="8" t="str">
        <x:v>https://www.google.com/maps/dir/?api=1&amp;destination=49.64363,-111.393672</x:v>
      </x:c>
      <x:c r="R107" s="8" t="str">
        <x:v>https://albertaregulations.ca/fishingregs/pp1.html</x:v>
      </x:c>
    </x:row>
    <x:row r="108" ht="42" customHeight="1">
      <x:c r="A108" s="8" t="str">
        <x:v>Fox Creek Trout Pond</x:v>
      </x:c>
      <x:c r="B108" s="8" t="str">
        <x:v>6815</x:v>
      </x:c>
      <x:c r="C108" s="8" t="str">
        <x:v>Fox Creek</x:v>
      </x:c>
      <x:c r="D108" s="8" t="str">
        <x:v>ES3</x:v>
      </x:c>
      <x:c r="E108" s="16" t="n">
        <x:v>2.5</x:v>
      </x:c>
      <x:c r="F108" s="16" t="str">
        <x:v>Unknown</x:v>
      </x:c>
      <x:c r="G108" s="16" t="str">
        <x:v>Unknown</x:v>
      </x:c>
      <x:c r="H108" s="17" t="str">
        <x:v>Not stated</x:v>
      </x:c>
      <x:c r="I108" s="11" t="str">
        <x:v>Not stated on map.</x:v>
      </x:c>
      <x:c r="J108" s="10" t="n">
        <x:v>54.4536</x:v>
      </x:c>
      <x:c r="K108" s="10" t="n">
        <x:v>-116.8888</x:v>
      </x:c>
      <x:c r="L108" s="8" t="str">
        <x:v>NW13-63-20-W5</x:v>
      </x:c>
      <x:c r="M108" s="11" t="str">
        <x:v>Dock/Pier; Fishing Access; Fishing Access Dock</x:v>
      </x:c>
      <x:c r="N108" s="11" t="str">
        <x:v>The local pond offers everyone the opportunity to enjoy the scenery, swim and fish. The fishing dock was recently upgraded and the site restored to its natural beauty.</x:v>
      </x:c>
      <x:c r="O108" s="8" t="n">
        <x:v>2</x:v>
      </x:c>
      <x:c r="P108" s="8" t="n">
        <x:v>6</x:v>
      </x:c>
      <x:c r="Q108" s="8" t="str">
        <x:v>https://www.google.com/maps/dir/?api=1&amp;destination=54.45359,-116.888798</x:v>
      </x:c>
      <x:c r="R108" s="8" t="str">
        <x:v>https://albertaregulations.ca/fishingregs/es3.html</x:v>
      </x:c>
    </x:row>
    <x:row r="109" ht="32" customHeight="1">
      <x:c r="A109" s="8" t="str">
        <x:v>Frog Lake</x:v>
      </x:c>
      <x:c r="B109" s="8" t="str">
        <x:v>4635</x:v>
      </x:c>
      <x:c r="C109" s="8" t="str">
        <x:v>St. Paul</x:v>
      </x:c>
      <x:c r="D109" s="8" t="str">
        <x:v>Not stated</x:v>
      </x:c>
      <x:c r="E109" s="16" t="str">
        <x:v>Unknown</x:v>
      </x:c>
      <x:c r="F109" s="16" t="str">
        <x:v>Unknown</x:v>
      </x:c>
      <x:c r="G109" s="16" t="str">
        <x:v>Unknown</x:v>
      </x:c>
      <x:c r="H109" s="17" t="str">
        <x:v>Not stated</x:v>
      </x:c>
      <x:c r="I109" s="11" t="str">
        <x:v>Not stated on map.</x:v>
      </x:c>
      <x:c r="J109" s="10" t="n">
        <x:v>53.9258</x:v>
      </x:c>
      <x:c r="K109" s="10" t="n">
        <x:v>-110.34</x:v>
      </x:c>
      <x:c r="L109" s="8" t="str">
        <x:v>NE14-57-3-W4</x:v>
      </x:c>
      <x:c r="M109" s="11" t="str"/>
      <x:c r="N109" s="11" t="str">
        <x:v>No description available.</x:v>
      </x:c>
      <x:c r="O109" s="8" t="n">
        <x:v>0</x:v>
      </x:c>
      <x:c r="P109" s="8" t="n">
        <x:v>5</x:v>
      </x:c>
      <x:c r="Q109" s="8" t="str">
        <x:v>https://www.google.com/maps/dir/?api=1&amp;destination=53.925846,-110.340001</x:v>
      </x:c>
      <x:c r="R109" s="8" t="str"/>
    </x:row>
    <x:row r="110" ht="32" customHeight="1">
      <x:c r="A110" s="8" t="str">
        <x:v>Gap Lake</x:v>
      </x:c>
      <x:c r="B110" s="8" t="str">
        <x:v>4647</x:v>
      </x:c>
      <x:c r="C110" s="8" t="str">
        <x:v>Nordegg</x:v>
      </x:c>
      <x:c r="D110" s="8" t="str">
        <x:v>ES2</x:v>
      </x:c>
      <x:c r="E110" s="16" t="n">
        <x:v>12.2</x:v>
      </x:c>
      <x:c r="F110" s="16" t="str">
        <x:v>Unknown</x:v>
      </x:c>
      <x:c r="G110" s="16" t="str">
        <x:v>Unknown</x:v>
      </x:c>
      <x:c r="H110" s="17" t="str">
        <x:v>Not stated</x:v>
      </x:c>
      <x:c r="I110" s="11" t="str">
        <x:v>Not stated on map.</x:v>
      </x:c>
      <x:c r="J110" s="10" t="n">
        <x:v>52.3303</x:v>
      </x:c>
      <x:c r="K110" s="10" t="n">
        <x:v>-115.8309</x:v>
      </x:c>
      <x:c r="L110" s="8" t="str">
        <x:v>NE5-39-13-W5</x:v>
      </x:c>
      <x:c r="M110" s="11" t="str">
        <x:v>Day Use; Boat Launch; Toilets</x:v>
      </x:c>
      <x:c r="N110" s="11" t="str">
        <x:v>Open all year round.</x:v>
      </x:c>
      <x:c r="O110" s="8" t="n">
        <x:v>0</x:v>
      </x:c>
      <x:c r="P110" s="8" t="n">
        <x:v>2</x:v>
      </x:c>
      <x:c r="Q110" s="8" t="str">
        <x:v>https://www.google.com/maps/dir/?api=1&amp;destination=52.330286,-115.830899</x:v>
      </x:c>
      <x:c r="R110" s="8" t="str">
        <x:v>https://albertaregulations.ca/fishingregs/es2.html</x:v>
      </x:c>
    </x:row>
    <x:row r="111" ht="42" customHeight="1">
      <x:c r="A111" s="8" t="str">
        <x:v>Genesee Trout Pond</x:v>
      </x:c>
      <x:c r="B111" s="8" t="str">
        <x:v>23292</x:v>
      </x:c>
      <x:c r="C111" s="8" t="str">
        <x:v>Wetaskiwin</x:v>
      </x:c>
      <x:c r="D111" s="8" t="str">
        <x:v>PP2</x:v>
      </x:c>
      <x:c r="E111" s="16" t="n">
        <x:v>1.6</x:v>
      </x:c>
      <x:c r="F111" s="16" t="n">
        <x:v>5.5</x:v>
      </x:c>
      <x:c r="G111" s="16" t="str">
        <x:v>Unknown</x:v>
      </x:c>
      <x:c r="H111" s="17" t="str">
        <x:v>Not stated</x:v>
      </x:c>
      <x:c r="I111" s="11" t="str">
        <x:v>Not stated on map.</x:v>
      </x:c>
      <x:c r="J111" s="10" t="n">
        <x:v>53.3765</x:v>
      </x:c>
      <x:c r="K111" s="10" t="n">
        <x:v>-114.3099</x:v>
      </x:c>
      <x:c r="L111" s="8" t="str">
        <x:v>NW1-51-3-W5</x:v>
      </x:c>
      <x:c r="M111" s="11" t="str">
        <x:v>Toilets; Day Use; Picnic</x:v>
      </x:c>
      <x:c r="N111" s="11" t="str">
        <x:v>Genesee Heritage Park offers visitors a great spot to have a picnic or spend the day fishing in other fully-stocked fish pond.</x:v>
      </x:c>
      <x:c r="O111" s="8" t="n">
        <x:v>1</x:v>
      </x:c>
      <x:c r="P111" s="8" t="n">
        <x:v>6</x:v>
      </x:c>
      <x:c r="Q111" s="8" t="str">
        <x:v>https://www.google.com/maps/dir/?api=1&amp;destination=53.376492,-114.309875</x:v>
      </x:c>
      <x:c r="R111" s="8" t="str">
        <x:v>https://albertaregulations.ca/fishingregs/pp2.html</x:v>
      </x:c>
    </x:row>
    <x:row r="112" ht="42" customHeight="1">
      <x:c r="A112" s="8" t="str">
        <x:v>George's Lake</x:v>
      </x:c>
      <x:c r="B112" s="8" t="str">
        <x:v>4426</x:v>
      </x:c>
      <x:c r="C112" s="8" t="str">
        <x:v>St Paul</x:v>
      </x:c>
      <x:c r="D112" s="8" t="str">
        <x:v>NB1</x:v>
      </x:c>
      <x:c r="E112" s="16" t="n">
        <x:v>15</x:v>
      </x:c>
      <x:c r="F112" s="16" t="n">
        <x:v>7</x:v>
      </x:c>
      <x:c r="G112" s="16" t="str">
        <x:v>Unknown</x:v>
      </x:c>
      <x:c r="H112" s="17" t="str">
        <x:v>Not stated</x:v>
      </x:c>
      <x:c r="I112" s="11" t="str">
        <x:v>Not stated on map.</x:v>
      </x:c>
      <x:c r="J112" s="10" t="n">
        <x:v>53.8962</x:v>
      </x:c>
      <x:c r="K112" s="10" t="n">
        <x:v>-111.1509</x:v>
      </x:c>
      <x:c r="L112" s="8" t="str">
        <x:v>SE5-57-8-W4</x:v>
      </x:c>
      <x:c r="M112" s="11" t="str">
        <x:v>Day Use</x:v>
      </x:c>
      <x:c r="N112" s="11" t="str">
        <x:v>Boat access to the lake is challenging and use the trail at your own risk. | Amenities notes: no open fires; foot access only.</x:v>
      </x:c>
      <x:c r="O112" s="8" t="n">
        <x:v>0</x:v>
      </x:c>
      <x:c r="P112" s="8" t="n">
        <x:v>0</x:v>
      </x:c>
      <x:c r="Q112" s="8" t="str">
        <x:v>https://www.google.com/maps/dir/?api=1&amp;destination=53.896214,-111.1509</x:v>
      </x:c>
      <x:c r="R112" s="8" t="str">
        <x:v>https://albertaregulations.ca/fishingregs/nb1.html</x:v>
      </x:c>
    </x:row>
    <x:row r="113" ht="57" customHeight="1">
      <x:c r="A113" s="8" t="str">
        <x:v>Gibbons Pond</x:v>
      </x:c>
      <x:c r="B113" s="8" t="str">
        <x:v>6816</x:v>
      </x:c>
      <x:c r="C113" s="8" t="str">
        <x:v>Edmonton</x:v>
      </x:c>
      <x:c r="D113" s="8" t="str">
        <x:v>PP2</x:v>
      </x:c>
      <x:c r="E113" s="16" t="n">
        <x:v>1.2</x:v>
      </x:c>
      <x:c r="F113" s="16" t="str">
        <x:v>Unknown</x:v>
      </x:c>
      <x:c r="G113" s="16" t="str">
        <x:v>Unknown</x:v>
      </x:c>
      <x:c r="H113" s="17" t="str">
        <x:v>Not stated</x:v>
      </x:c>
      <x:c r="I113" s="11" t="str">
        <x:v>Not stated on map.</x:v>
      </x:c>
      <x:c r="J113" s="10" t="n">
        <x:v>53.8305</x:v>
      </x:c>
      <x:c r="K113" s="10" t="n">
        <x:v>-113.3321</x:v>
      </x:c>
      <x:c r="L113" s="8" t="str">
        <x:v>NE10-56-23-W4</x:v>
      </x:c>
      <x:c r="M113" s="11" t="str">
        <x:v>Day Use</x:v>
      </x:c>
      <x:c r="N113" s="11" t="str">
        <x:v>This pond is in Gibbons, just off Landing Trail Landing Trail. ACA annually stocks this pond with trout, typically before the May long weekend. | Amenities notes: no open fires; foot access only.</x:v>
      </x:c>
      <x:c r="O113" s="8" t="n">
        <x:v>0</x:v>
      </x:c>
      <x:c r="P113" s="8" t="n">
        <x:v>7</x:v>
      </x:c>
      <x:c r="Q113" s="8" t="str">
        <x:v>https://www.google.com/maps/dir/?api=1&amp;destination=53.830514,-113.332084</x:v>
      </x:c>
      <x:c r="R113" s="8" t="str">
        <x:v>https://albertaregulations.ca/fishingregs/pp2.html</x:v>
      </x:c>
    </x:row>
    <x:row r="114" ht="57" customHeight="1">
      <x:c r="A114" s="8" t="str">
        <x:v>Goldeye Lake</x:v>
      </x:c>
      <x:c r="B114" s="8" t="str">
        <x:v>4697</x:v>
      </x:c>
      <x:c r="C114" s="8" t="str">
        <x:v>Nordegg</x:v>
      </x:c>
      <x:c r="D114" s="8" t="str">
        <x:v>ES2</x:v>
      </x:c>
      <x:c r="E114" s="16" t="n">
        <x:v>18.8</x:v>
      </x:c>
      <x:c r="F114" s="16" t="str">
        <x:v>Unknown</x:v>
      </x:c>
      <x:c r="G114" s="16" t="str">
        <x:v>Unknown</x:v>
      </x:c>
      <x:c r="H114" s="17" t="str">
        <x:v>Not stated</x:v>
      </x:c>
      <x:c r="I114" s="11" t="str">
        <x:v>Not stated on map.</x:v>
      </x:c>
      <x:c r="J114" s="10" t="n">
        <x:v>52.4496</x:v>
      </x:c>
      <x:c r="K114" s="10" t="n">
        <x:v>-116.1921</x:v>
      </x:c>
      <x:c r="L114" s="8" t="str">
        <x:v>NE14-40-16-W5</x:v>
      </x:c>
      <x:c r="M114" s="11" t="str">
        <x:v>Fish Cleaning; Boat Launch; Toilets; Dock/Pier; Day Use; Camping; Firewood; Water; Paddling; Paddling Canoe; Paddling Kayak; Boating; Swimming</x:v>
      </x:c>
      <x:c r="N114" s="11" t="str">
        <x:v>Goldeye Lake Campground is located in Goldeye Lake Provincial Recreation Area. There are over 40 un-serviced sites, most surrounded by aspen and spruce trees. Canoe, swim or fish in the stocked lake, or walk the loop trail around it.</x:v>
      </x:c>
      <x:c r="O114" s="8" t="n">
        <x:v>2</x:v>
      </x:c>
      <x:c r="P114" s="8" t="n">
        <x:v>12</x:v>
      </x:c>
      <x:c r="Q114" s="8" t="str">
        <x:v>https://www.google.com/maps/dir/?api=1&amp;destination=52.44958399999999,-116.192114</x:v>
      </x:c>
      <x:c r="R114" s="8" t="str">
        <x:v>https://albertaregulations.ca/fishingregs/es2.html</x:v>
      </x:c>
    </x:row>
    <x:row r="115" ht="57" customHeight="1">
      <x:c r="A115" s="8" t="str">
        <x:v>Goldspring Park Pond</x:v>
      </x:c>
      <x:c r="B115" s="8" t="str">
        <x:v>6818</x:v>
      </x:c>
      <x:c r="C115" s="8" t="str">
        <x:v>Lethbridge</x:v>
      </x:c>
      <x:c r="D115" s="8" t="str">
        <x:v>PP1</x:v>
      </x:c>
      <x:c r="E115" s="16" t="n">
        <x:v>5.8</x:v>
      </x:c>
      <x:c r="F115" s="16" t="str">
        <x:v>Unknown</x:v>
      </x:c>
      <x:c r="G115" s="16" t="str">
        <x:v>Unknown</x:v>
      </x:c>
      <x:c r="H115" s="17" t="str">
        <x:v>Not stated</x:v>
      </x:c>
      <x:c r="I115" s="11" t="str">
        <x:v>Not stated on map.</x:v>
      </x:c>
      <x:c r="J115" s="10" t="n">
        <x:v>49.0955</x:v>
      </x:c>
      <x:c r="K115" s="10" t="n">
        <x:v>-111.9955</x:v>
      </x:c>
      <x:c r="L115" s="8" t="str">
        <x:v>NE6-2-15-W4</x:v>
      </x:c>
      <x:c r="M115" s="11" t="str">
        <x:v>Camping; Showers; Playground; Sports; Sports Volleyball; Swimming</x:v>
      </x:c>
      <x:c r="N115" s="11" t="str">
        <x:v>Located 10 km north of the Canada/US border this beautiful, well cared for campground has 70 sites, most with power, and other amazing amenities to make your fishing experience memorable.</x:v>
      </x:c>
      <x:c r="O115" s="8" t="n">
        <x:v>0</x:v>
      </x:c>
      <x:c r="P115" s="8" t="n">
        <x:v>11</x:v>
      </x:c>
      <x:c r="Q115" s="8" t="str">
        <x:v>https://www.google.com/maps/dir/?api=1&amp;destination=49.095497,-111.995479</x:v>
      </x:c>
      <x:c r="R115" s="8" t="str">
        <x:v>https://albertaregulations.ca/fishingregs/pp1.html</x:v>
      </x:c>
    </x:row>
    <x:row r="116" ht="32" customHeight="1">
      <x:c r="A116" s="8" t="str">
        <x:v>Goodwin Reservoir</x:v>
      </x:c>
      <x:c r="B116" s="8" t="str">
        <x:v>317177</x:v>
      </x:c>
      <x:c r="C116" s="8" t="str">
        <x:v>High River</x:v>
      </x:c>
      <x:c r="D116" s="8" t="str">
        <x:v>Not stated</x:v>
      </x:c>
      <x:c r="E116" s="16" t="str">
        <x:v>Unknown</x:v>
      </x:c>
      <x:c r="F116" s="16" t="str">
        <x:v>Unknown</x:v>
      </x:c>
      <x:c r="G116" s="16" t="str">
        <x:v>Unknown</x:v>
      </x:c>
      <x:c r="H116" s="17" t="str">
        <x:v>Not stated</x:v>
      </x:c>
      <x:c r="I116" s="11" t="str">
        <x:v>Not stated on map.</x:v>
      </x:c>
      <x:c r="J116" s="10" t="n">
        <x:v>50.8455</x:v>
      </x:c>
      <x:c r="K116" s="10" t="n">
        <x:v>-114.2455</x:v>
      </x:c>
      <x:c r="L116" s="8" t="str">
        <x:v>NW5-22-2-W5</x:v>
      </x:c>
      <x:c r="M116" s="11" t="str"/>
      <x:c r="N116" s="11" t="str">
        <x:v>No description available.</x:v>
      </x:c>
      <x:c r="O116" s="8" t="n">
        <x:v>0</x:v>
      </x:c>
      <x:c r="P116" s="8" t="n">
        <x:v>2</x:v>
      </x:c>
      <x:c r="Q116" s="8" t="str">
        <x:v>https://www.google.com/maps/dir/?api=1&amp;destination=50.84554,-114.245509</x:v>
      </x:c>
      <x:c r="R116" s="8" t="str"/>
    </x:row>
    <x:row r="117" ht="42" customHeight="1">
      <x:c r="A117" s="8" t="str">
        <x:v>Goose Lake</x:v>
      </x:c>
      <x:c r="B117" s="8" t="str">
        <x:v>4708</x:v>
      </x:c>
      <x:c r="C117" s="8" t="str">
        <x:v>Swan Hills</x:v>
      </x:c>
      <x:c r="D117" s="8" t="str">
        <x:v>NB2</x:v>
      </x:c>
      <x:c r="E117" s="16" t="str">
        <x:v>Unknown</x:v>
      </x:c>
      <x:c r="F117" s="16" t="str">
        <x:v>Unknown</x:v>
      </x:c>
      <x:c r="G117" s="16" t="str">
        <x:v>Unknown</x:v>
      </x:c>
      <x:c r="H117" s="17" t="str">
        <x:v>Not stated</x:v>
      </x:c>
      <x:c r="I117" s="11" t="str">
        <x:v>Not stated on map.</x:v>
      </x:c>
      <x:c r="J117" s="10" t="n">
        <x:v>54.3167</x:v>
      </x:c>
      <x:c r="K117" s="10" t="n">
        <x:v>-115.1333</x:v>
      </x:c>
      <x:c r="L117" s="8" t="str">
        <x:v>NW33-61-8-W5</x:v>
      </x:c>
      <x:c r="M117" s="11" t="str">
        <x:v>Camping; Fishing Access; Toilets</x:v>
      </x:c>
      <x:c r="N117" s="11" t="str">
        <x:v>Goose Lake offers camping and fishing. This waterbody has been recently stocked with walleye fry.</x:v>
      </x:c>
      <x:c r="O117" s="8" t="n">
        <x:v>0</x:v>
      </x:c>
      <x:c r="P117" s="8" t="n">
        <x:v>3</x:v>
      </x:c>
      <x:c r="Q117" s="8" t="str">
        <x:v>https://www.google.com/maps/dir/?api=1&amp;destination=54.316667,-115.133333</x:v>
      </x:c>
      <x:c r="R117" s="8" t="str">
        <x:v>https://albertaregulations.ca/fishingregs/nb2.html</x:v>
      </x:c>
    </x:row>
    <x:row r="118" ht="42" customHeight="1">
      <x:c r="A118" s="8" t="str">
        <x:v>Gooseberry Park Pond</x:v>
      </x:c>
      <x:c r="B118" s="8" t="str">
        <x:v>6809</x:v>
      </x:c>
      <x:c r="C118" s="8" t="str">
        <x:v>Coronation</x:v>
      </x:c>
      <x:c r="D118" s="8" t="str">
        <x:v>PP2</x:v>
      </x:c>
      <x:c r="E118" s="16" t="n">
        <x:v>8.8</x:v>
      </x:c>
      <x:c r="F118" s="16" t="str">
        <x:v>Unknown</x:v>
      </x:c>
      <x:c r="G118" s="16" t="str">
        <x:v>Unknown</x:v>
      </x:c>
      <x:c r="H118" s="17" t="str">
        <x:v>Not stated</x:v>
      </x:c>
      <x:c r="I118" s="11" t="str">
        <x:v>Not stated on map.</x:v>
      </x:c>
      <x:c r="J118" s="10" t="n">
        <x:v>52.1107</x:v>
      </x:c>
      <x:c r="K118" s="10" t="n">
        <x:v>-110.7712</x:v>
      </x:c>
      <x:c r="L118" s="8" t="str">
        <x:v>NE22-36-6-W4</x:v>
      </x:c>
      <x:c r="M118" s="11" t="str">
        <x:v>Day Use</x:v>
      </x:c>
      <x:c r="N118" s="11" t="str">
        <x:v>ACA annually stocks this pond with trout, typically before the May long weekend. | Amenities notes: no open fires; foot access only.</x:v>
      </x:c>
      <x:c r="O118" s="8" t="n">
        <x:v>0</x:v>
      </x:c>
      <x:c r="P118" s="8" t="n">
        <x:v>7</x:v>
      </x:c>
      <x:c r="Q118" s="8" t="str">
        <x:v>https://www.google.com/maps/dir/?api=1&amp;destination=52.110661,-110.771236</x:v>
      </x:c>
      <x:c r="R118" s="8" t="str">
        <x:v>https://albertaregulations.ca/fishingregs/pp2.html</x:v>
      </x:c>
    </x:row>
    <x:row r="119" ht="72" customHeight="1">
      <x:c r="A119" s="8" t="str">
        <x:v>Grande Cache Lake</x:v>
      </x:c>
      <x:c r="B119" s="8" t="str">
        <x:v>4725</x:v>
      </x:c>
      <x:c r="C119" s="8" t="str">
        <x:v>Grande Cache</x:v>
      </x:c>
      <x:c r="D119" s="8" t="str">
        <x:v>ES2</x:v>
      </x:c>
      <x:c r="E119" s="16" t="n">
        <x:v>163.6</x:v>
      </x:c>
      <x:c r="F119" s="16" t="n">
        <x:v>10.8</x:v>
      </x:c>
      <x:c r="G119" s="16" t="n">
        <x:v>3</x:v>
      </x:c>
      <x:c r="H119" s="17" t="str">
        <x:v>Not stated</x:v>
      </x:c>
      <x:c r="I119" s="11" t="str">
        <x:v>Not stated on map.</x:v>
      </x:c>
      <x:c r="J119" s="10" t="n">
        <x:v>53.9</x:v>
      </x:c>
      <x:c r="K119" s="10" t="n">
        <x:v>-119.05</x:v>
      </x:c>
      <x:c r="L119" s="8" t="str">
        <x:v>NE1-57-8-W6</x:v>
      </x:c>
      <x:c r="M119" s="11" t="str">
        <x:v>Day Use; Picnic; Day Use Picnic; Fire Pits; Boat Launch; Beach; Playground; Dock/Pier</x:v>
      </x:c>
      <x:c r="N119" s="11" t="str">
        <x:v>Grande Cache Lake has 8 day use sites that include picnic tables and fire pits. Fire wood is available and has one handicap accessible outhouse facility. Grande Cache Lake has a developed beach area with a playground. For the fishing enthusiasts, there is a boat dock, boat launch, and a fish cleaning station.</x:v>
      </x:c>
      <x:c r="O119" s="8" t="n">
        <x:v>3</x:v>
      </x:c>
      <x:c r="P119" s="8" t="n">
        <x:v>21</x:v>
      </x:c>
      <x:c r="Q119" s="8" t="str">
        <x:v>https://www.google.com/maps/dir/?api=1&amp;destination=53.9,-119.05</x:v>
      </x:c>
      <x:c r="R119" s="8" t="str">
        <x:v>https://albertaregulations.ca/fishingregs/es2.html</x:v>
      </x:c>
    </x:row>
    <x:row r="120" ht="42" customHeight="1">
      <x:c r="A120" s="8" t="str">
        <x:v>Granum Pond</x:v>
      </x:c>
      <x:c r="B120" s="8" t="str">
        <x:v>6810</x:v>
      </x:c>
      <x:c r="C120" s="8" t="str">
        <x:v>Claresholm</x:v>
      </x:c>
      <x:c r="D120" s="8" t="str">
        <x:v>PP1</x:v>
      </x:c>
      <x:c r="E120" s="16" t="n">
        <x:v>1.4</x:v>
      </x:c>
      <x:c r="F120" s="16" t="str">
        <x:v>Unknown</x:v>
      </x:c>
      <x:c r="G120" s="16" t="str">
        <x:v>Unknown</x:v>
      </x:c>
      <x:c r="H120" s="17" t="str">
        <x:v>Not stated</x:v>
      </x:c>
      <x:c r="I120" s="11" t="str">
        <x:v>Not stated on map.</x:v>
      </x:c>
      <x:c r="J120" s="10" t="n">
        <x:v>49.8703</x:v>
      </x:c>
      <x:c r="K120" s="10" t="n">
        <x:v>-113.5167</x:v>
      </x:c>
      <x:c r="L120" s="8" t="str">
        <x:v>NW31-10-26-W4</x:v>
      </x:c>
      <x:c r="M120" s="11" t="str">
        <x:v>Day Use</x:v>
      </x:c>
      <x:c r="N120" s="11" t="str">
        <x:v>ACA annually stocks this pond with trout, typically before the May long weekend. | Amenities notes: no open fires; foot access only.</x:v>
      </x:c>
      <x:c r="O120" s="8" t="n">
        <x:v>0</x:v>
      </x:c>
      <x:c r="P120" s="8" t="n">
        <x:v>6</x:v>
      </x:c>
      <x:c r="Q120" s="8" t="str">
        <x:v>https://www.google.com/maps/dir/?api=1&amp;destination=49.870282,-113.516665</x:v>
      </x:c>
      <x:c r="R120" s="8" t="str">
        <x:v>https://albertaregulations.ca/fishingregs/pp1.html</x:v>
      </x:c>
    </x:row>
    <x:row r="121" ht="32" customHeight="1">
      <x:c r="A121" s="8" t="str">
        <x:v>Grotto Mountain Pond</x:v>
      </x:c>
      <x:c r="B121" s="8" t="str">
        <x:v>3476</x:v>
      </x:c>
      <x:c r="C121" s="8" t="str">
        <x:v>Canmore</x:v>
      </x:c>
      <x:c r="D121" s="8" t="str">
        <x:v>ES1</x:v>
      </x:c>
      <x:c r="E121" s="16" t="n">
        <x:v>2.5</x:v>
      </x:c>
      <x:c r="F121" s="16" t="str">
        <x:v>Unknown</x:v>
      </x:c>
      <x:c r="G121" s="16" t="str">
        <x:v>Unknown</x:v>
      </x:c>
      <x:c r="H121" s="17" t="str">
        <x:v>Not stated</x:v>
      </x:c>
      <x:c r="I121" s="11" t="str">
        <x:v>Not stated on map.</x:v>
      </x:c>
      <x:c r="J121" s="10" t="n">
        <x:v>51.0658</x:v>
      </x:c>
      <x:c r="K121" s="10" t="n">
        <x:v>-115.2024</x:v>
      </x:c>
      <x:c r="L121" s="8" t="str">
        <x:v>NW21-24-9-W5</x:v>
      </x:c>
      <x:c r="M121" s="11" t="str">
        <x:v>Day Use; Picnic; Toilets</x:v>
      </x:c>
      <x:c r="N121" s="11" t="str">
        <x:v>Pond is usually stocked at least three-four times a year due to its popularity.</x:v>
      </x:c>
      <x:c r="O121" s="8" t="n">
        <x:v>3</x:v>
      </x:c>
      <x:c r="P121" s="8" t="n">
        <x:v>17</x:v>
      </x:c>
      <x:c r="Q121" s="8" t="str">
        <x:v>https://www.google.com/maps/dir/?api=1&amp;destination=51.06576099999999,-115.202402</x:v>
      </x:c>
      <x:c r="R121" s="8" t="str">
        <x:v>https://albertaregulations.ca/fishingregs/es1.html</x:v>
      </x:c>
    </x:row>
    <x:row r="122" ht="72" customHeight="1">
      <x:c r="A122" s="8" t="str">
        <x:v>Hansen's Reservoir</x:v>
      </x:c>
      <x:c r="B122" s="8" t="str">
        <x:v>6806</x:v>
      </x:c>
      <x:c r="C122" s="8" t="str">
        <x:v>Red Deer</x:v>
      </x:c>
      <x:c r="D122" s="8" t="str">
        <x:v>PP2</x:v>
      </x:c>
      <x:c r="E122" s="16" t="n">
        <x:v>2.9</x:v>
      </x:c>
      <x:c r="F122" s="16" t="str">
        <x:v>Unknown</x:v>
      </x:c>
      <x:c r="G122" s="16" t="str">
        <x:v>Unknown</x:v>
      </x:c>
      <x:c r="H122" s="17" t="str">
        <x:v>Yes</x:v>
      </x:c>
      <x:c r="I122" s="11" t="str">
        <x:v>The reservoir is aerated during winter and provides good sport fishing opportunities.</x:v>
      </x:c>
      <x:c r="J122" s="10" t="n">
        <x:v>52.2971</x:v>
      </x:c>
      <x:c r="K122" s="10" t="n">
        <x:v>-114.3945</x:v>
      </x:c>
      <x:c r="L122" s="8" t="str">
        <x:v>NE29-38-3-W5</x:v>
      </x:c>
      <x:c r="M122" s="11" t="str">
        <x:v>Day Use</x:v>
      </x:c>
      <x:c r="N122" s="11" t="str">
        <x:v>The reservoir is aerated during winter and provides good sport fishing opportunities. It is stocked annually by ACA with trout, typically before the May long weekend. Site facilities include a parking area, outhouse, garbage bins and floating dock. | Amenities notes: no open fires; foot access only.</x:v>
      </x:c>
      <x:c r="O122" s="8" t="n">
        <x:v>0</x:v>
      </x:c>
      <x:c r="P122" s="8" t="n">
        <x:v>10</x:v>
      </x:c>
      <x:c r="Q122" s="8" t="str">
        <x:v>https://www.google.com/maps/dir/?api=1&amp;destination=52.297145,-114.394522</x:v>
      </x:c>
      <x:c r="R122" s="8" t="str">
        <x:v>https://albertaregulations.ca/fishingregs/pp2.html</x:v>
      </x:c>
    </x:row>
    <x:row r="123" ht="32" customHeight="1">
      <x:c r="A123" s="8" t="str">
        <x:v>Harleck Pond</x:v>
      </x:c>
      <x:c r="B123" s="8" t="str">
        <x:v>6808</x:v>
      </x:c>
      <x:c r="C123" s="8" t="str">
        <x:v>Nordegg</x:v>
      </x:c>
      <x:c r="D123" s="8" t="str">
        <x:v>ES2</x:v>
      </x:c>
      <x:c r="E123" s="16" t="n">
        <x:v>0.8</x:v>
      </x:c>
      <x:c r="F123" s="16" t="str">
        <x:v>Unknown</x:v>
      </x:c>
      <x:c r="G123" s="16" t="str">
        <x:v>Unknown</x:v>
      </x:c>
      <x:c r="H123" s="17" t="str">
        <x:v>Not stated</x:v>
      </x:c>
      <x:c r="I123" s="11" t="str">
        <x:v>Not stated on map.</x:v>
      </x:c>
      <x:c r="J123" s="10" t="n">
        <x:v>52.4946</x:v>
      </x:c>
      <x:c r="K123" s="10" t="n">
        <x:v>-115.9726</x:v>
      </x:c>
      <x:c r="L123" s="8" t="str">
        <x:v>SE5-41-14-W5</x:v>
      </x:c>
      <x:c r="M123" s="11" t="str">
        <x:v>Toilets; Day Use; Water</x:v>
      </x:c>
      <x:c r="N123" s="11" t="str">
        <x:v>Day use area with fishing, hiking and a picnic area.</x:v>
      </x:c>
      <x:c r="O123" s="8" t="n">
        <x:v>1</x:v>
      </x:c>
      <x:c r="P123" s="8" t="n">
        <x:v>6</x:v>
      </x:c>
      <x:c r="Q123" s="8" t="str">
        <x:v>https://www.google.com/maps/dir/?api=1&amp;destination=52.494632,-115.972609</x:v>
      </x:c>
      <x:c r="R123" s="8" t="str">
        <x:v>https://albertaregulations.ca/fishingregs/es2.html</x:v>
      </x:c>
    </x:row>
    <x:row r="124" ht="72" customHeight="1">
      <x:c r="A124" s="8" t="str">
        <x:v>Hasse Lake</x:v>
      </x:c>
      <x:c r="B124" s="8" t="str">
        <x:v>4794</x:v>
      </x:c>
      <x:c r="C124" s="8" t="str">
        <x:v>Stony Plain</x:v>
      </x:c>
      <x:c r="D124" s="8" t="str">
        <x:v>PP2</x:v>
      </x:c>
      <x:c r="E124" s="16" t="n">
        <x:v>90</x:v>
      </x:c>
      <x:c r="F124" s="16" t="n">
        <x:v>14</x:v>
      </x:c>
      <x:c r="G124" s="16" t="n">
        <x:v>5</x:v>
      </x:c>
      <x:c r="H124" s="17" t="str">
        <x:v>Not stated</x:v>
      </x:c>
      <x:c r="I124" s="11" t="str">
        <x:v>Not stated on map.</x:v>
      </x:c>
      <x:c r="J124" s="10" t="n">
        <x:v>53.4872</x:v>
      </x:c>
      <x:c r="K124" s="10" t="n">
        <x:v>-114.1738</x:v>
      </x:c>
      <x:c r="L124" s="8" t="str">
        <x:v>SW13-52-2-W5</x:v>
      </x:c>
      <x:c r="M124" s="11" t="str">
        <x:v>Trails; Trails Hiking; Boat Launch; Fishing Access; Picnic; Toilets; Fire Pits</x:v>
      </x:c>
      <x:c r="N124" s="11" t="str">
        <x:v>Hasse Lake Recreation area provides a day-use area with walking trails, beach, playground and a picnic shelter. There is a primitive boat launch area with a floating dock east of the main parking area. The shoreline is soft and weedy, but a fishing pier has been installed to increase angling opportunities.</x:v>
      </x:c>
      <x:c r="O124" s="8" t="n">
        <x:v>1</x:v>
      </x:c>
      <x:c r="P124" s="8" t="n">
        <x:v>30</x:v>
      </x:c>
      <x:c r="Q124" s="8" t="str">
        <x:v>https://www.google.com/maps/dir/?api=1&amp;destination=53.487212,-114.173756</x:v>
      </x:c>
      <x:c r="R124" s="8" t="str">
        <x:v>https://albertaregulations.ca/fishingregs/pp2.html</x:v>
      </x:c>
    </x:row>
    <x:row r="125" ht="72" customHeight="1">
      <x:c r="A125" s="8" t="str">
        <x:v>Helmer Reservoir</x:v>
      </x:c>
      <x:c r="B125" s="8" t="str">
        <x:v>6803</x:v>
      </x:c>
      <x:c r="C125" s="8" t="str">
        <x:v>Hanna</x:v>
      </x:c>
      <x:c r="D125" s="8" t="str">
        <x:v>PP2</x:v>
      </x:c>
      <x:c r="E125" s="16" t="n">
        <x:v>2</x:v>
      </x:c>
      <x:c r="F125" s="16" t="n">
        <x:v>4.5</x:v>
      </x:c>
      <x:c r="G125" s="16" t="n">
        <x:v>4</x:v>
      </x:c>
      <x:c r="H125" s="17" t="str">
        <x:v>Not stated</x:v>
      </x:c>
      <x:c r="I125" s="11" t="str">
        <x:v>Not stated on map.</x:v>
      </x:c>
      <x:c r="J125" s="10" t="n">
        <x:v>51.6492</x:v>
      </x:c>
      <x:c r="K125" s="10" t="n">
        <x:v>-111.9831</x:v>
      </x:c>
      <x:c r="L125" s="8" t="str">
        <x:v>SW18-31-14-W4</x:v>
      </x:c>
      <x:c r="M125" s="11" t="str">
        <x:v>Water; Beach; Firewood; Sewage Disposal</x:v>
      </x:c>
      <x:c r="N125" s="11" t="str">
        <x:v>Helmer Reservoir Campground located beside the reservoir. The campground has serviced sites, a beach and a day-use area This reservoir has a high risk of winter kill. Motorized boats are not permitted on Helmer Dam. | Amenities notes: fox waterbody park offers:; power sites</x:v>
      </x:c>
      <x:c r="O125" s="8" t="n">
        <x:v>0</x:v>
      </x:c>
      <x:c r="P125" s="8" t="n">
        <x:v>9</x:v>
      </x:c>
      <x:c r="Q125" s="8" t="str">
        <x:v>https://www.google.com/maps/dir/?api=1&amp;destination=51.649233,-111.983108</x:v>
      </x:c>
      <x:c r="R125" s="8" t="str">
        <x:v>https://albertaregulations.ca/fishingregs/pp2.html</x:v>
      </x:c>
    </x:row>
    <x:row r="126" ht="42" customHeight="1">
      <x:c r="A126" s="8" t="str">
        <x:v>Heritage Lake</x:v>
      </x:c>
      <x:c r="B126" s="8" t="str">
        <x:v>6790</x:v>
      </x:c>
      <x:c r="C126" s="8" t="str">
        <x:v>Stony Plain</x:v>
      </x:c>
      <x:c r="D126" s="8" t="str">
        <x:v>PP2</x:v>
      </x:c>
      <x:c r="E126" s="16" t="n">
        <x:v>1.3</x:v>
      </x:c>
      <x:c r="F126" s="16" t="n">
        <x:v>12</x:v>
      </x:c>
      <x:c r="G126" s="16" t="str">
        <x:v>Unknown</x:v>
      </x:c>
      <x:c r="H126" s="17" t="str">
        <x:v>Not stated</x:v>
      </x:c>
      <x:c r="I126" s="11" t="str">
        <x:v>Not stated on map.</x:v>
      </x:c>
      <x:c r="J126" s="10" t="n">
        <x:v>53.7997</x:v>
      </x:c>
      <x:c r="K126" s="10" t="n">
        <x:v>-113.6664</x:v>
      </x:c>
      <x:c r="L126" s="8" t="str">
        <x:v>NW33-55-25-W4</x:v>
      </x:c>
      <x:c r="M126" s="11" t="str">
        <x:v>Day Use</x:v>
      </x:c>
      <x:c r="N126" s="11" t="str">
        <x:v>ACA annually stocks this pond with trout, typically before the May long weekend. | Amenities notes: no open fires; foot access only.</x:v>
      </x:c>
      <x:c r="O126" s="8" t="n">
        <x:v>0</x:v>
      </x:c>
      <x:c r="P126" s="8" t="n">
        <x:v>30</x:v>
      </x:c>
      <x:c r="Q126" s="8" t="str">
        <x:v>https://www.google.com/maps/dir/?api=1&amp;destination=53.79972799999999,-113.66643</x:v>
      </x:c>
      <x:c r="R126" s="8" t="str">
        <x:v>https://albertaregulations.ca/fishingregs/pp2.html</x:v>
      </x:c>
    </x:row>
    <x:row r="127" ht="42" customHeight="1">
      <x:c r="A127" s="8" t="str">
        <x:v>Hermitage Park Pond</x:v>
      </x:c>
      <x:c r="B127" s="8" t="str">
        <x:v>6791</x:v>
      </x:c>
      <x:c r="C127" s="8" t="str">
        <x:v>Edmonton</x:v>
      </x:c>
      <x:c r="D127" s="8" t="str">
        <x:v>PP2</x:v>
      </x:c>
      <x:c r="E127" s="16" t="n">
        <x:v>5.2</x:v>
      </x:c>
      <x:c r="F127" s="16" t="str">
        <x:v>Unknown</x:v>
      </x:c>
      <x:c r="G127" s="16" t="str">
        <x:v>Unknown</x:v>
      </x:c>
      <x:c r="H127" s="17" t="str">
        <x:v>Not stated</x:v>
      </x:c>
      <x:c r="I127" s="11" t="str">
        <x:v>Not stated on map.</x:v>
      </x:c>
      <x:c r="J127" s="10" t="n">
        <x:v>53.5817</x:v>
      </x:c>
      <x:c r="K127" s="10" t="n">
        <x:v>-113.3713</x:v>
      </x:c>
      <x:c r="L127" s="8" t="str">
        <x:v>NE18-53-23-W4</x:v>
      </x:c>
      <x:c r="M127" s="11" t="str">
        <x:v>Day Use</x:v>
      </x:c>
      <x:c r="N127" s="11" t="str">
        <x:v>ACA stocks this pond annually with trout, typically before the May long weekend. | Amenities notes: no open fires; foot access only.</x:v>
      </x:c>
      <x:c r="O127" s="8" t="n">
        <x:v>2</x:v>
      </x:c>
      <x:c r="P127" s="8" t="n">
        <x:v>20</x:v>
      </x:c>
      <x:c r="Q127" s="8" t="str">
        <x:v>https://www.google.com/maps/dir/?api=1&amp;destination=53.581702,-113.371337</x:v>
      </x:c>
      <x:c r="R127" s="8" t="str">
        <x:v>https://albertaregulations.ca/fishingregs/pp2.html</x:v>
      </x:c>
    </x:row>
    <x:row r="128" ht="32" customHeight="1">
      <x:c r="A128" s="8" t="str">
        <x:v>High Level Pond</x:v>
      </x:c>
      <x:c r="B128" s="8" t="str">
        <x:v>22996</x:v>
      </x:c>
      <x:c r="C128" s="8" t="str">
        <x:v>High Level</x:v>
      </x:c>
      <x:c r="D128" s="8" t="str">
        <x:v>Not stated</x:v>
      </x:c>
      <x:c r="E128" s="16" t="str">
        <x:v>Unknown</x:v>
      </x:c>
      <x:c r="F128" s="16" t="str">
        <x:v>Unknown</x:v>
      </x:c>
      <x:c r="G128" s="16" t="str">
        <x:v>Unknown</x:v>
      </x:c>
      <x:c r="H128" s="17" t="str">
        <x:v>Not stated</x:v>
      </x:c>
      <x:c r="I128" s="11" t="str">
        <x:v>Not stated on map.</x:v>
      </x:c>
      <x:c r="J128" s="10" t="n">
        <x:v>58.5321</x:v>
      </x:c>
      <x:c r="K128" s="10" t="n">
        <x:v>-117.3025</x:v>
      </x:c>
      <x:c r="L128" s="8" t="str">
        <x:v>SE8-110-20-W5</x:v>
      </x:c>
      <x:c r="M128" s="11" t="str"/>
      <x:c r="N128" s="11" t="str">
        <x:v>No description available.</x:v>
      </x:c>
      <x:c r="O128" s="8" t="n">
        <x:v>0</x:v>
      </x:c>
      <x:c r="P128" s="8" t="n">
        <x:v>0</x:v>
      </x:c>
      <x:c r="Q128" s="8" t="str">
        <x:v>https://www.google.com/maps/dir/?api=1&amp;destination=58.532109,-117.302526</x:v>
      </x:c>
      <x:c r="R128" s="8" t="str"/>
    </x:row>
    <x:row r="129" ht="57" customHeight="1">
      <x:c r="A129" s="8" t="str">
        <x:v>High Level Town Pond</x:v>
      </x:c>
      <x:c r="B129" s="8" t="str">
        <x:v>26431</x:v>
      </x:c>
      <x:c r="C129" s="8" t="str">
        <x:v>High Level</x:v>
      </x:c>
      <x:c r="D129" s="8" t="str">
        <x:v>NB3</x:v>
      </x:c>
      <x:c r="E129" s="16" t="n">
        <x:v>3</x:v>
      </x:c>
      <x:c r="F129" s="16" t="n">
        <x:v>4.4</x:v>
      </x:c>
      <x:c r="G129" s="16" t="n">
        <x:v>3</x:v>
      </x:c>
      <x:c r="H129" s="17" t="str">
        <x:v>Not stated</x:v>
      </x:c>
      <x:c r="I129" s="11" t="str">
        <x:v>Not stated on map.</x:v>
      </x:c>
      <x:c r="J129" s="10" t="n">
        <x:v>58.5177</x:v>
      </x:c>
      <x:c r="K129" s="10" t="n">
        <x:v>-117.1667</x:v>
      </x:c>
      <x:c r="L129" s="8" t="str">
        <x:v>SE6-110-19-W5</x:v>
      </x:c>
      <x:c r="M129" s="11" t="str">
        <x:v>Sports; Sports Baseball; Sports Disc Golf</x:v>
      </x:c>
      <x:c r="N129" s="11" t="str">
        <x:v>The pond is located in the town of High Level in the community park. There are baseball diamonds, a disc golf course and an off-leash dog park. Enjoy the day fishing at the day-use area. | Amenities notes: off leash dog park</x:v>
      </x:c>
      <x:c r="O129" s="8" t="n">
        <x:v>3</x:v>
      </x:c>
      <x:c r="P129" s="8" t="n">
        <x:v>3</x:v>
      </x:c>
      <x:c r="Q129" s="8" t="str">
        <x:v>https://www.google.com/maps/dir/?api=1&amp;destination=58.5177,-117.1667</x:v>
      </x:c>
      <x:c r="R129" s="8" t="str">
        <x:v>https://albertaregulations.ca/fishingregs/nb3.html</x:v>
      </x:c>
    </x:row>
    <x:row r="130" ht="72" customHeight="1">
      <x:c r="A130" s="8" t="str">
        <x:v>Highway 40 Pond</x:v>
      </x:c>
      <x:c r="B130" s="8" t="str">
        <x:v>6794</x:v>
      </x:c>
      <x:c r="C130" s="8" t="str">
        <x:v>Grande Prairie</x:v>
      </x:c>
      <x:c r="D130" s="8" t="str">
        <x:v>ES4</x:v>
      </x:c>
      <x:c r="E130" s="16" t="n">
        <x:v>1.4</x:v>
      </x:c>
      <x:c r="F130" s="16" t="n">
        <x:v>6</x:v>
      </x:c>
      <x:c r="G130" s="16" t="str">
        <x:v>Unknown</x:v>
      </x:c>
      <x:c r="H130" s="17" t="str">
        <x:v>Not stated</x:v>
      </x:c>
      <x:c r="I130" s="11" t="str">
        <x:v>Not stated on map.</x:v>
      </x:c>
      <x:c r="J130" s="10" t="n">
        <x:v>54.9587</x:v>
      </x:c>
      <x:c r="K130" s="10" t="n">
        <x:v>-118.7828</x:v>
      </x:c>
      <x:c r="L130" s="8" t="str">
        <x:v>SW12-69-6-W6</x:v>
      </x:c>
      <x:c r="M130" s="11" t="str">
        <x:v>Toilets; Fire Pits; Dock/Pier; Accessibility; Fish Cleaning; Day Use</x:v>
      </x:c>
      <x:c r="N130" s="11" t="str">
        <x:v>Grovedale Fish Pond includes 10-day use sites that have picnic tables and fire pits. There is garbage/recycle containment’s place throughout. Firewood is provided which is located inside the gate One handicap accessible outhouse facility, fish cleaning station, 2 fishing docks, as well as a large parking area.</x:v>
      </x:c>
      <x:c r="O130" s="8" t="n">
        <x:v>4</x:v>
      </x:c>
      <x:c r="P130" s="8" t="n">
        <x:v>6</x:v>
      </x:c>
      <x:c r="Q130" s="8" t="str">
        <x:v>https://www.google.com/maps/dir/?api=1&amp;destination=54.95867399999999,-118.782831</x:v>
      </x:c>
      <x:c r="R130" s="8" t="str">
        <x:v>https://albertaregulations.ca/fishingregs/es4.html</x:v>
      </x:c>
    </x:row>
    <x:row r="131" ht="32" customHeight="1">
      <x:c r="A131" s="8" t="str">
        <x:v>Highway 63 Pond</x:v>
      </x:c>
      <x:c r="B131" s="8" t="str">
        <x:v>6668</x:v>
      </x:c>
      <x:c r="C131" s="8" t="str">
        <x:v>Fort McMurray</x:v>
      </x:c>
      <x:c r="D131" s="8" t="str">
        <x:v>NB4</x:v>
      </x:c>
      <x:c r="E131" s="16" t="n">
        <x:v>1.8</x:v>
      </x:c>
      <x:c r="F131" s="16" t="str">
        <x:v>Unknown</x:v>
      </x:c>
      <x:c r="G131" s="16" t="str">
        <x:v>Unknown</x:v>
      </x:c>
      <x:c r="H131" s="17" t="str">
        <x:v>Not stated</x:v>
      </x:c>
      <x:c r="I131" s="11" t="str">
        <x:v>Not stated on map.</x:v>
      </x:c>
      <x:c r="J131" s="10" t="n">
        <x:v>56.5881</x:v>
      </x:c>
      <x:c r="K131" s="10" t="n">
        <x:v>-111.3204</x:v>
      </x:c>
      <x:c r="L131" s="8" t="str">
        <x:v>NE35-87-9-W4</x:v>
      </x:c>
      <x:c r="M131" s="11" t="str"/>
      <x:c r="N131" s="11" t="str">
        <x:v>Perch may be present at this pond.</x:v>
      </x:c>
      <x:c r="O131" s="8" t="n">
        <x:v>2</x:v>
      </x:c>
      <x:c r="P131" s="8" t="n">
        <x:v>6</x:v>
      </x:c>
      <x:c r="Q131" s="8" t="str">
        <x:v>https://www.google.com/maps/dir/?api=1&amp;destination=56.588109,-111.320447</x:v>
      </x:c>
      <x:c r="R131" s="8" t="str">
        <x:v>https://albertaregulations.ca/fishingregs/nb4.html</x:v>
      </x:c>
    </x:row>
    <x:row r="132" ht="32" customHeight="1">
      <x:c r="A132" s="8" t="str">
        <x:v>Highway 686 Pond</x:v>
      </x:c>
      <x:c r="B132" s="8" t="str">
        <x:v>6795</x:v>
      </x:c>
      <x:c r="C132" s="8" t="str">
        <x:v>Peace River</x:v>
      </x:c>
      <x:c r="D132" s="8" t="str">
        <x:v>NB3</x:v>
      </x:c>
      <x:c r="E132" s="16" t="n">
        <x:v>5</x:v>
      </x:c>
      <x:c r="F132" s="16" t="str">
        <x:v>Unknown</x:v>
      </x:c>
      <x:c r="G132" s="16" t="str">
        <x:v>Unknown</x:v>
      </x:c>
      <x:c r="H132" s="17" t="str">
        <x:v>Not stated</x:v>
      </x:c>
      <x:c r="I132" s="11" t="str">
        <x:v>Not stated on map.</x:v>
      </x:c>
      <x:c r="J132" s="10" t="n">
        <x:v>56.3724</x:v>
      </x:c>
      <x:c r="K132" s="10" t="n">
        <x:v>-116.9546</x:v>
      </x:c>
      <x:c r="L132" s="8" t="str">
        <x:v>NE17-85-19-W5</x:v>
      </x:c>
      <x:c r="M132" s="11" t="str"/>
      <x:c r="N132" s="11" t="str">
        <x:v>Quiet pond, snowshoes may be required to access pond in the winter season</x:v>
      </x:c>
      <x:c r="O132" s="8" t="n">
        <x:v>3</x:v>
      </x:c>
      <x:c r="P132" s="8" t="n">
        <x:v>6</x:v>
      </x:c>
      <x:c r="Q132" s="8" t="str">
        <x:v>https://www.google.com/maps/dir/?api=1&amp;destination=56.372419,-116.954587</x:v>
      </x:c>
      <x:c r="R132" s="8" t="str">
        <x:v>https://albertaregulations.ca/fishingregs/nb3.html</x:v>
      </x:c>
    </x:row>
    <x:row r="133" ht="42" customHeight="1">
      <x:c r="A133" s="8" t="str">
        <x:v>Hiller's Reservoir</x:v>
      </x:c>
      <x:c r="B133" s="8" t="str">
        <x:v>6796</x:v>
      </x:c>
      <x:c r="C133" s="8" t="str">
        <x:v>Olds</x:v>
      </x:c>
      <x:c r="D133" s="8" t="str">
        <x:v>PP2</x:v>
      </x:c>
      <x:c r="E133" s="16" t="n">
        <x:v>8.9</x:v>
      </x:c>
      <x:c r="F133" s="16" t="n">
        <x:v>5.8</x:v>
      </x:c>
      <x:c r="G133" s="16" t="str">
        <x:v>Unknown</x:v>
      </x:c>
      <x:c r="H133" s="17" t="str">
        <x:v>Not stated</x:v>
      </x:c>
      <x:c r="I133" s="11" t="str">
        <x:v>Not stated on map.</x:v>
      </x:c>
      <x:c r="J133" s="10" t="n">
        <x:v>51.7391</x:v>
      </x:c>
      <x:c r="K133" s="10" t="n">
        <x:v>-113.9785</x:v>
      </x:c>
      <x:c r="L133" s="8" t="str">
        <x:v>SE13-32-29-W4</x:v>
      </x:c>
      <x:c r="M133" s="11" t="str">
        <x:v>Day Use; Picnic; Trails; Trails Hiking</x:v>
      </x:c>
      <x:c r="N133" s="11" t="str">
        <x:v>Lots of action at this lake, it is a very fun place to spend a day and fish. No overnight camping, this is a free day use area.</x:v>
      </x:c>
      <x:c r="O133" s="8" t="n">
        <x:v>3</x:v>
      </x:c>
      <x:c r="P133" s="8" t="n">
        <x:v>6</x:v>
      </x:c>
      <x:c r="Q133" s="8" t="str">
        <x:v>https://www.google.com/maps/dir/?api=1&amp;destination=51.73912199999999,-113.978521</x:v>
      </x:c>
      <x:c r="R133" s="8" t="str">
        <x:v>https://albertaregulations.ca/fishingregs/pp2.html</x:v>
      </x:c>
    </x:row>
    <x:row r="134" ht="42" customHeight="1">
      <x:c r="A134" s="8" t="str">
        <x:v>Hinton Borrow Pit</x:v>
      </x:c>
      <x:c r="B134" s="8" t="str">
        <x:v>6917</x:v>
      </x:c>
      <x:c r="C134" s="8" t="str">
        <x:v>Hinton</x:v>
      </x:c>
      <x:c r="D134" s="8" t="str">
        <x:v>ES3</x:v>
      </x:c>
      <x:c r="E134" s="16" t="n">
        <x:v>5</x:v>
      </x:c>
      <x:c r="F134" s="16" t="str">
        <x:v>Unknown</x:v>
      </x:c>
      <x:c r="G134" s="16" t="str">
        <x:v>Unknown</x:v>
      </x:c>
      <x:c r="H134" s="17" t="str">
        <x:v>Not stated</x:v>
      </x:c>
      <x:c r="I134" s="11" t="str">
        <x:v>Not stated on map.</x:v>
      </x:c>
      <x:c r="J134" s="10" t="n">
        <x:v>53.3411</x:v>
      </x:c>
      <x:c r="K134" s="10" t="n">
        <x:v>-117.6052</x:v>
      </x:c>
      <x:c r="L134" s="8" t="str">
        <x:v>SW28-50-25-W5</x:v>
      </x:c>
      <x:c r="M134" s="11" t="str">
        <x:v>Parking; Day Use</x:v>
      </x:c>
      <x:c r="N134" s="11" t="str">
        <x:v>Hinton Fish and Game Pond is located off highway 40. There is a small parking area and no amenities. It is a nice pond to bring the grandkids out for the day.</x:v>
      </x:c>
      <x:c r="O134" s="8" t="n">
        <x:v>0</x:v>
      </x:c>
      <x:c r="P134" s="8" t="n">
        <x:v>6</x:v>
      </x:c>
      <x:c r="Q134" s="8" t="str">
        <x:v>https://www.google.com/maps/dir/?api=1&amp;destination=53.341065,-117.605197</x:v>
      </x:c>
      <x:c r="R134" s="8" t="str">
        <x:v>https://albertaregulations.ca/fishingregs/es3.html</x:v>
      </x:c>
    </x:row>
    <x:row r="135" ht="72" customHeight="1">
      <x:c r="A135" s="8" t="str">
        <x:v>Horseshoe Lake</x:v>
      </x:c>
      <x:c r="B135" s="8" t="str">
        <x:v>6669</x:v>
      </x:c>
      <x:c r="C135" s="8" t="str">
        <x:v>Athabasca</x:v>
      </x:c>
      <x:c r="D135" s="8" t="str">
        <x:v>NB2</x:v>
      </x:c>
      <x:c r="E135" s="16" t="n">
        <x:v>13.2</x:v>
      </x:c>
      <x:c r="F135" s="16" t="n">
        <x:v>8</x:v>
      </x:c>
      <x:c r="G135" s="16" t="str">
        <x:v>Unknown</x:v>
      </x:c>
      <x:c r="H135" s="17" t="str">
        <x:v>Not stated</x:v>
      </x:c>
      <x:c r="I135" s="11" t="str">
        <x:v>Not stated on map.</x:v>
      </x:c>
      <x:c r="J135" s="10" t="n">
        <x:v>54.4894</x:v>
      </x:c>
      <x:c r="K135" s="10" t="n">
        <x:v>-113.7832</x:v>
      </x:c>
      <x:c r="L135" s="8" t="str">
        <x:v>SW31-63-25-W4</x:v>
      </x:c>
      <x:c r="M135" s="11" t="str"/>
      <x:c r="N135" s="11" t="str">
        <x:v>Horseshoe Lake is a 16 kilometer near Jasper, that features beautiful wild flowers and is good for all skill levels. The trail is primarily used for hiking, walking, nature trips, and bird watching and is best used from May until October. Dogs are also able to use this trail but must be kept on leash.</x:v>
      </x:c>
      <x:c r="O135" s="8" t="n">
        <x:v>3</x:v>
      </x:c>
      <x:c r="P135" s="8" t="n">
        <x:v>3</x:v>
      </x:c>
      <x:c r="Q135" s="8" t="str">
        <x:v>https://www.google.com/maps/dir/?api=1&amp;destination=54.489439,-113.783183</x:v>
      </x:c>
      <x:c r="R135" s="8" t="str">
        <x:v>https://albertaregulations.ca/fishingregs/nb2.html</x:v>
      </x:c>
    </x:row>
    <x:row r="136" ht="72" customHeight="1">
      <x:c r="A136" s="8" t="str">
        <x:v>Huber Reservoir</x:v>
      </x:c>
      <x:c r="B136" s="8" t="str">
        <x:v>6780</x:v>
      </x:c>
      <x:c r="C136" s="8" t="str">
        <x:v>Coronation</x:v>
      </x:c>
      <x:c r="D136" s="8" t="str">
        <x:v>PP2</x:v>
      </x:c>
      <x:c r="E136" s="16" t="n">
        <x:v>14.9</x:v>
      </x:c>
      <x:c r="F136" s="16" t="n">
        <x:v>9</x:v>
      </x:c>
      <x:c r="G136" s="16" t="n">
        <x:v>4</x:v>
      </x:c>
      <x:c r="H136" s="17" t="str">
        <x:v>Not stated</x:v>
      </x:c>
      <x:c r="I136" s="11" t="str">
        <x:v>Not stated on map.</x:v>
      </x:c>
      <x:c r="J136" s="10" t="n">
        <x:v>52.2216</x:v>
      </x:c>
      <x:c r="K136" s="10" t="n">
        <x:v>-111.7329</x:v>
      </x:c>
      <x:c r="L136" s="8" t="str">
        <x:v>SW36-37-13-W4</x:v>
      </x:c>
      <x:c r="M136" s="11" t="str">
        <x:v>Picnic; Firewood; Toilets; Playground; Shelter; Day Use; Sports; Camping; Camping Group; Boat Launch</x:v>
      </x:c>
      <x:c r="N136" s="11" t="str">
        <x:v>Huber Dam has 25 powered campsites as well as overflow and non-power campsites. There is a large group area for group camping with campfire pits and free firewood. Fishing and canoeing are also a fun choice and boats are easily launched at the boat launch. | Amenities notes: power sites available</x:v>
      </x:c>
      <x:c r="O136" s="8" t="n">
        <x:v>9</x:v>
      </x:c>
      <x:c r="P136" s="8" t="n">
        <x:v>14</x:v>
      </x:c>
      <x:c r="Q136" s="8" t="str">
        <x:v>https://www.google.com/maps/dir/?api=1&amp;destination=52.221611,-111.732917</x:v>
      </x:c>
      <x:c r="R136" s="8" t="str">
        <x:v>https://albertaregulations.ca/fishingregs/pp2.html</x:v>
      </x:c>
    </x:row>
    <x:row r="137" ht="72" customHeight="1">
      <x:c r="A137" s="8" t="str">
        <x:v>Ice Lake</x:v>
      </x:c>
      <x:c r="B137" s="8" t="str">
        <x:v>4888</x:v>
      </x:c>
      <x:c r="C137" s="8" t="str">
        <x:v>Sundre</x:v>
      </x:c>
      <x:c r="D137" s="8" t="str">
        <x:v>ES2</x:v>
      </x:c>
      <x:c r="E137" s="16" t="n">
        <x:v>5.1</x:v>
      </x:c>
      <x:c r="F137" s="16" t="str">
        <x:v>Unknown</x:v>
      </x:c>
      <x:c r="G137" s="16" t="str">
        <x:v>Unknown</x:v>
      </x:c>
      <x:c r="H137" s="17" t="str">
        <x:v>Not stated</x:v>
      </x:c>
      <x:c r="I137" s="11" t="str">
        <x:v>Not stated on map.</x:v>
      </x:c>
      <x:c r="J137" s="10" t="n">
        <x:v>51.6556</x:v>
      </x:c>
      <x:c r="K137" s="10" t="n">
        <x:v>-115.5844</x:v>
      </x:c>
      <x:c r="L137" s="8" t="str">
        <x:v>NW14-31-12-W5</x:v>
      </x:c>
      <x:c r="M137" s="11" t="str"/>
      <x:c r="N137" s="11" t="str">
        <x:v>The route to Ice Lake includes numerous river crossings and significant elevation gain. The trail is well-marked along the Panther River Trail, with clear signage at intersections. The round trip from the staging area typically requires 10–12 hours, with the final two hours involving steep elevation gain.</x:v>
      </x:c>
      <x:c r="O137" s="8" t="n">
        <x:v>5</x:v>
      </x:c>
      <x:c r="P137" s="8" t="n">
        <x:v>1</x:v>
      </x:c>
      <x:c r="Q137" s="8" t="str">
        <x:v>https://www.google.com/maps/dir/?api=1&amp;destination=51.655556,-115.584444</x:v>
      </x:c>
      <x:c r="R137" s="8" t="str">
        <x:v>https://albertaregulations.ca/fishingregs/es2.html</x:v>
      </x:c>
    </x:row>
    <x:row r="138" ht="42" customHeight="1">
      <x:c r="A138" s="8" t="str">
        <x:v>Innisfree Trout Pond</x:v>
      </x:c>
      <x:c r="B138" s="8" t="str">
        <x:v>6784</x:v>
      </x:c>
      <x:c r="C138" s="8" t="str">
        <x:v>Vegreville</x:v>
      </x:c>
      <x:c r="D138" s="8" t="str">
        <x:v>PP2</x:v>
      </x:c>
      <x:c r="E138" s="16" t="n">
        <x:v>1.2</x:v>
      </x:c>
      <x:c r="F138" s="16" t="str">
        <x:v>Unknown</x:v>
      </x:c>
      <x:c r="G138" s="16" t="str">
        <x:v>Unknown</x:v>
      </x:c>
      <x:c r="H138" s="17" t="str">
        <x:v>Not stated</x:v>
      </x:c>
      <x:c r="I138" s="11" t="str">
        <x:v>Not stated on map.</x:v>
      </x:c>
      <x:c r="J138" s="10" t="n">
        <x:v>53.398</x:v>
      </x:c>
      <x:c r="K138" s="10" t="n">
        <x:v>-111.6294</x:v>
      </x:c>
      <x:c r="L138" s="8" t="str">
        <x:v>SE13-51-12-W4</x:v>
      </x:c>
      <x:c r="M138" s="11" t="str">
        <x:v>Day Use</x:v>
      </x:c>
      <x:c r="N138" s="11" t="str">
        <x:v>ACA annually stocks this pond with trout, typically before the May long weekend. | Amenities notes: no open fires; foot access .</x:v>
      </x:c>
      <x:c r="O138" s="8" t="n">
        <x:v>0</x:v>
      </x:c>
      <x:c r="P138" s="8" t="n">
        <x:v>12</x:v>
      </x:c>
      <x:c r="Q138" s="8" t="str">
        <x:v>https://www.google.com/maps/dir/?api=1&amp;destination=53.39796,-111.629354</x:v>
      </x:c>
      <x:c r="R138" s="8" t="str">
        <x:v>https://albertaregulations.ca/fishingregs/pp2.html</x:v>
      </x:c>
    </x:row>
    <x:row r="139" ht="32" customHeight="1">
      <x:c r="A139" s="8" t="str">
        <x:v>Invincible Lake</x:v>
      </x:c>
      <x:c r="B139" s="8" t="str">
        <x:v>4897</x:v>
      </x:c>
      <x:c r="C139" s="8" t="str">
        <x:v>Canmore</x:v>
      </x:c>
      <x:c r="D139" s="8" t="str">
        <x:v>Not stated</x:v>
      </x:c>
      <x:c r="E139" s="16" t="str">
        <x:v>Unknown</x:v>
      </x:c>
      <x:c r="F139" s="16" t="str">
        <x:v>Unknown</x:v>
      </x:c>
      <x:c r="G139" s="16" t="str">
        <x:v>Unknown</x:v>
      </x:c>
      <x:c r="H139" s="17" t="str">
        <x:v>Not stated</x:v>
      </x:c>
      <x:c r="I139" s="11" t="str">
        <x:v>Not stated on map.</x:v>
      </x:c>
      <x:c r="J139" s="10" t="n">
        <x:v>50.6619</x:v>
      </x:c>
      <x:c r="K139" s="10" t="n">
        <x:v>-115.2159</x:v>
      </x:c>
      <x:c r="L139" s="8" t="str">
        <x:v>SW5-20-9-W5</x:v>
      </x:c>
      <x:c r="M139" s="11" t="str"/>
      <x:c r="N139" s="11" t="str">
        <x:v>No description available.</x:v>
      </x:c>
      <x:c r="O139" s="8" t="n">
        <x:v>0</x:v>
      </x:c>
      <x:c r="P139" s="8" t="n">
        <x:v>2</x:v>
      </x:c>
      <x:c r="Q139" s="8" t="str">
        <x:v>https://www.google.com/maps/dir/?api=1&amp;destination=50.661923,-115.215945</x:v>
      </x:c>
      <x:c r="R139" s="8" t="str"/>
    </x:row>
    <x:row r="140" ht="42" customHeight="1">
      <x:c r="A140" s="8" t="str">
        <x:v>Irma Fish and Game Pond</x:v>
      </x:c>
      <x:c r="B140" s="8" t="str">
        <x:v>6785</x:v>
      </x:c>
      <x:c r="C140" s="8" t="str">
        <x:v>Vermilion</x:v>
      </x:c>
      <x:c r="D140" s="8" t="str">
        <x:v>PP2</x:v>
      </x:c>
      <x:c r="E140" s="16" t="n">
        <x:v>4</x:v>
      </x:c>
      <x:c r="F140" s="16" t="str">
        <x:v>Unknown</x:v>
      </x:c>
      <x:c r="G140" s="16" t="n">
        <x:v>2</x:v>
      </x:c>
      <x:c r="H140" s="17" t="str">
        <x:v>Not stated</x:v>
      </x:c>
      <x:c r="I140" s="11" t="str">
        <x:v>Not stated on map.</x:v>
      </x:c>
      <x:c r="J140" s="10" t="n">
        <x:v>52.9186</x:v>
      </x:c>
      <x:c r="K140" s="10" t="n">
        <x:v>-111.2364</x:v>
      </x:c>
      <x:c r="L140" s="8" t="str">
        <x:v>SW34-45-9-W4</x:v>
      </x:c>
      <x:c r="M140" s="11" t="str">
        <x:v>Day Use</x:v>
      </x:c>
      <x:c r="N140" s="11" t="str">
        <x:v>ACA annually stocks this pond with trout, typically before the May long weekend. | Amenities notes: no open fires; foot access only.</x:v>
      </x:c>
      <x:c r="O140" s="8" t="n">
        <x:v>0</x:v>
      </x:c>
      <x:c r="P140" s="8" t="n">
        <x:v>12</x:v>
      </x:c>
      <x:c r="Q140" s="8" t="str">
        <x:v>https://www.google.com/maps/dir/?api=1&amp;destination=52.91859299999999,-111.236446</x:v>
      </x:c>
      <x:c r="R140" s="8" t="str">
        <x:v>https://albertaregulations.ca/fishingregs/pp2.html</x:v>
      </x:c>
    </x:row>
    <x:row r="141" ht="42" customHeight="1">
      <x:c r="A141" s="8" t="str">
        <x:v>Ironside Pond</x:v>
      </x:c>
      <x:c r="B141" s="8" t="str">
        <x:v>6786</x:v>
      </x:c>
      <x:c r="C141" s="8" t="str">
        <x:v>Rocky Mountain House</x:v>
      </x:c>
      <x:c r="D141" s="8" t="str">
        <x:v>ES2</x:v>
      </x:c>
      <x:c r="E141" s="16" t="n">
        <x:v>33</x:v>
      </x:c>
      <x:c r="F141" s="16" t="n">
        <x:v>13</x:v>
      </x:c>
      <x:c r="G141" s="16" t="str">
        <x:v>Unknown</x:v>
      </x:c>
      <x:c r="H141" s="17" t="str">
        <x:v>Yes</x:v>
      </x:c>
      <x:c r="I141" s="11" t="str">
        <x:v>This pond is aerated October - April through the ACA Lake Aeration Program.</x:v>
      </x:c>
      <x:c r="J141" s="10" t="n">
        <x:v>52.2468</x:v>
      </x:c>
      <x:c r="K141" s="10" t="n">
        <x:v>-114.9965</x:v>
      </x:c>
      <x:c r="L141" s="8" t="str">
        <x:v>SW7-38-7-W5</x:v>
      </x:c>
      <x:c r="M141" s="11" t="str">
        <x:v>Day Use; Boat Launch</x:v>
      </x:c>
      <x:c r="N141" s="11" t="str">
        <x:v>Foot access only with a primitive boat launch available. This pond is aerated October - April through the ACA Lake Aeration Program.</x:v>
      </x:c>
      <x:c r="O141" s="8" t="n">
        <x:v>2</x:v>
      </x:c>
      <x:c r="P141" s="8" t="n">
        <x:v>12</x:v>
      </x:c>
      <x:c r="Q141" s="8" t="str">
        <x:v>https://www.google.com/maps/dir/?api=1&amp;destination=52.246795,-114.996541</x:v>
      </x:c>
      <x:c r="R141" s="8" t="str">
        <x:v>https://albertaregulations.ca/fishingregs/es2.html</x:v>
      </x:c>
    </x:row>
    <x:row r="142" ht="57" customHeight="1">
      <x:c r="A142" s="8" t="str">
        <x:v>Island Lake</x:v>
      </x:c>
      <x:c r="B142" s="8" t="str">
        <x:v>4909</x:v>
      </x:c>
      <x:c r="C142" s="8" t="str">
        <x:v>Blairmore</x:v>
      </x:c>
      <x:c r="D142" s="8" t="str">
        <x:v>ES1</x:v>
      </x:c>
      <x:c r="E142" s="16" t="n">
        <x:v>49.5</x:v>
      </x:c>
      <x:c r="F142" s="16" t="str">
        <x:v>Unknown</x:v>
      </x:c>
      <x:c r="G142" s="16" t="str">
        <x:v>Unknown</x:v>
      </x:c>
      <x:c r="H142" s="17" t="str">
        <x:v>Not stated</x:v>
      </x:c>
      <x:c r="I142" s="11" t="str">
        <x:v>Not stated on map.</x:v>
      </x:c>
      <x:c r="J142" s="10" t="n">
        <x:v>49.6278</x:v>
      </x:c>
      <x:c r="K142" s="10" t="n">
        <x:v>-114.6844</x:v>
      </x:c>
      <x:c r="L142" s="8" t="str">
        <x:v>NW12-8-6-W5</x:v>
      </x:c>
      <x:c r="M142" s="11" t="str">
        <x:v>Camping; Water; Washrooms; Firewood</x:v>
      </x:c>
      <x:c r="N142" s="11" t="str">
        <x:v>This campground is in Island Lake Provincial Recreation Area. It has 40 sites which are suited to RVs. This campground offers close access to lakes for canoeing, sailing, boating, fishing for stocked trout or windsurfing.</x:v>
      </x:c>
      <x:c r="O142" s="8" t="n">
        <x:v>3</x:v>
      </x:c>
      <x:c r="P142" s="8" t="n">
        <x:v>6</x:v>
      </x:c>
      <x:c r="Q142" s="8" t="str">
        <x:v>https://www.google.com/maps/dir/?api=1&amp;destination=49.627778,-114.684444</x:v>
      </x:c>
      <x:c r="R142" s="8" t="str">
        <x:v>https://albertaregulations.ca/fishingregs/es1.html</x:v>
      </x:c>
    </x:row>
    <x:row r="143" ht="42" customHeight="1">
      <x:c r="A143" s="8" t="str">
        <x:v>Jackfish Lake</x:v>
      </x:c>
      <x:c r="B143" s="8" t="str">
        <x:v>4920</x:v>
      </x:c>
      <x:c r="C143" s="8" t="str">
        <x:v>Vermilion</x:v>
      </x:c>
      <x:c r="D143" s="8" t="str">
        <x:v>PP2</x:v>
      </x:c>
      <x:c r="E143" s="16" t="n">
        <x:v>69</x:v>
      </x:c>
      <x:c r="F143" s="16" t="n">
        <x:v>4.5</x:v>
      </x:c>
      <x:c r="G143" s="16" t="n">
        <x:v>3</x:v>
      </x:c>
      <x:c r="H143" s="17" t="str">
        <x:v>Not stated</x:v>
      </x:c>
      <x:c r="I143" s="11" t="str">
        <x:v>Not stated on map.</x:v>
      </x:c>
      <x:c r="J143" s="10" t="n">
        <x:v>53.5943</x:v>
      </x:c>
      <x:c r="K143" s="10" t="n">
        <x:v>-111.2964</x:v>
      </x:c>
      <x:c r="L143" s="8" t="str">
        <x:v>NW20-53-9-W4</x:v>
      </x:c>
      <x:c r="M143" s="11" t="str">
        <x:v>Picnic; Boating; Water; Fire Pits</x:v>
      </x:c>
      <x:c r="N143" s="11" t="str">
        <x:v>The road leading to the campground is paved except for 2km of gravel road at the entrance. Two of the five of the campsites are located on the lake.</x:v>
      </x:c>
      <x:c r="O143" s="8" t="n">
        <x:v>4</x:v>
      </x:c>
      <x:c r="P143" s="8" t="n">
        <x:v>17</x:v>
      </x:c>
      <x:c r="Q143" s="8" t="str">
        <x:v>https://www.google.com/maps/dir/?api=1&amp;destination=53.594311,-111.296351</x:v>
      </x:c>
      <x:c r="R143" s="8" t="str">
        <x:v>https://albertaregulations.ca/fishingregs/pp2.html</x:v>
      </x:c>
    </x:row>
    <x:row r="144" ht="132" customHeight="1">
      <x:c r="A144" s="8" t="str">
        <x:v>Jane Lake</x:v>
      </x:c>
      <x:c r="B144" s="8" t="str">
        <x:v>4935</x:v>
      </x:c>
      <x:c r="C144" s="8" t="str">
        <x:v>Slave Lake</x:v>
      </x:c>
      <x:c r="D144" s="8" t="str">
        <x:v>NB2</x:v>
      </x:c>
      <x:c r="E144" s="16" t="n">
        <x:v>7.4</x:v>
      </x:c>
      <x:c r="F144" s="16" t="n">
        <x:v>21.3</x:v>
      </x:c>
      <x:c r="G144" s="16" t="str">
        <x:v>Unknown</x:v>
      </x:c>
      <x:c r="H144" s="17" t="str">
        <x:v>Not stated</x:v>
      </x:c>
      <x:c r="I144" s="11" t="str">
        <x:v>Not stated on map.</x:v>
      </x:c>
      <x:c r="J144" s="10" t="n">
        <x:v>54.8725</x:v>
      </x:c>
      <x:c r="K144" s="10" t="n">
        <x:v>-115.1115</x:v>
      </x:c>
      <x:c r="L144" s="8" t="str">
        <x:v>NW11-68-8-W5</x:v>
      </x:c>
      <x:c r="M144" s="11" t="str"/>
      <x:c r="N144" s="11" t="str">
        <x:v>Jane lake is one of our helicopter stocked lakes, which is stocked every three years. The lake was stocked with 1,800 rainbow trout in 2025. The next stocking will happen in 2028.Jane Lake and its surrounding wilderness offer a truly remote and breathtaking escape. A network of scenic trails encircles the lake, providing opportunities for hiking, biking, and camping. These trails have been upgraded and expanded for a safer and more enjoyable experience. The former 4x4 access road has been transformed into a dedicated hiking and biking route, making it easier than ever to reach the lake and explore its natural beauty.</x:v>
      </x:c>
      <x:c r="O144" s="8" t="n">
        <x:v>0</x:v>
      </x:c>
      <x:c r="P144" s="8" t="n">
        <x:v>2</x:v>
      </x:c>
      <x:c r="Q144" s="8" t="str">
        <x:v>https://www.google.com/maps/dir/?api=1&amp;destination=54.872509,-115.11153</x:v>
      </x:c>
      <x:c r="R144" s="8" t="str">
        <x:v>https://albertaregulations.ca/fishingregs/nb2.html</x:v>
      </x:c>
    </x:row>
    <x:row r="145" ht="72" customHeight="1">
      <x:c r="A145" s="8" t="str">
        <x:v>Jarvis Creek Pond</x:v>
      </x:c>
      <x:c r="B145" s="8" t="str">
        <x:v>6788</x:v>
      </x:c>
      <x:c r="C145" s="8" t="str">
        <x:v>Hinton</x:v>
      </x:c>
      <x:c r="D145" s="8" t="str">
        <x:v>ES3</x:v>
      </x:c>
      <x:c r="E145" s="16" t="n">
        <x:v>1.5</x:v>
      </x:c>
      <x:c r="F145" s="16" t="str">
        <x:v>Unknown</x:v>
      </x:c>
      <x:c r="G145" s="16" t="str">
        <x:v>Unknown</x:v>
      </x:c>
      <x:c r="H145" s="17" t="str">
        <x:v>Not stated</x:v>
      </x:c>
      <x:c r="I145" s="11" t="str">
        <x:v>Not stated on map.</x:v>
      </x:c>
      <x:c r="J145" s="10" t="n">
        <x:v>53.5089</x:v>
      </x:c>
      <x:c r="K145" s="10" t="n">
        <x:v>-117.8101</x:v>
      </x:c>
      <x:c r="L145" s="8" t="str">
        <x:v>NE19-52-26-W5</x:v>
      </x:c>
      <x:c r="M145" s="11" t="str">
        <x:v>Camping; Toilets; Water; Firewood; Picnic; Trails; Trails Hiking; Paddling; Paddling Canoe; Paddling Kayak; Trails Biking; Wildlife Viewing; Fish Cleaning</x:v>
      </x:c>
      <x:c r="N145" s="11" t="str">
        <x:v>The pond is accessed by a short trail off Cache Lake Campground access road. Cross country skiing, tobogganing and snowmobiling off site. A total of 12 sites that are first come first serve, open year round. The site locations are poorly signed. | Amenities notes: guided tours</x:v>
      </x:c>
      <x:c r="O145" s="8" t="n">
        <x:v>2</x:v>
      </x:c>
      <x:c r="P145" s="8" t="n">
        <x:v>6</x:v>
      </x:c>
      <x:c r="Q145" s="8" t="str">
        <x:v>https://www.google.com/maps/dir/?api=1&amp;destination=53.508917,-117.810057</x:v>
      </x:c>
      <x:c r="R145" s="8" t="str">
        <x:v>https://albertaregulations.ca/fishingregs/es3.html</x:v>
      </x:c>
    </x:row>
    <x:row r="146" ht="87" customHeight="1">
      <x:c r="A146" s="8" t="str">
        <x:v>Jessie Lake</x:v>
      </x:c>
      <x:c r="B146" s="8" t="str">
        <x:v>4944</x:v>
      </x:c>
      <x:c r="C146" s="8" t="str">
        <x:v>Slave Lake</x:v>
      </x:c>
      <x:c r="D146" s="8" t="str">
        <x:v>NB2</x:v>
      </x:c>
      <x:c r="E146" s="16" t="n">
        <x:v>71.8</x:v>
      </x:c>
      <x:c r="F146" s="16" t="str">
        <x:v>Unknown</x:v>
      </x:c>
      <x:c r="G146" s="16" t="str">
        <x:v>Unknown</x:v>
      </x:c>
      <x:c r="H146" s="17" t="str">
        <x:v>Not stated</x:v>
      </x:c>
      <x:c r="I146" s="11" t="str">
        <x:v>Not stated on map.</x:v>
      </x:c>
      <x:c r="J146" s="10" t="n">
        <x:v>54.8955</x:v>
      </x:c>
      <x:c r="K146" s="10" t="n">
        <x:v>-114.9653</x:v>
      </x:c>
      <x:c r="L146" s="8" t="str">
        <x:v>SW23-68-7-W5</x:v>
      </x:c>
      <x:c r="M146" s="11" t="str"/>
      <x:c r="N146" s="11" t="str">
        <x:v>Jessie is one of our helicopter stocked lakes. It was stocked in the fall of 2025 with 3,500 rainbow trout.Jesse Lake is located approximately 45 km from Swan Hills via off-road trails. Alternatively, you can travel 26 km from Swan Hills to the staging area (4-wheel drive recommended), then continue another 16 km on off-road trails to reach the lake. A 4-wheel drive vehicle is strongly recommended for lake access.</x:v>
      </x:c>
      <x:c r="O146" s="8" t="n">
        <x:v>0</x:v>
      </x:c>
      <x:c r="P146" s="8" t="n">
        <x:v>2</x:v>
      </x:c>
      <x:c r="Q146" s="8" t="str">
        <x:v>https://www.google.com/maps/dir/?api=1&amp;destination=54.895503,-114.965309</x:v>
      </x:c>
      <x:c r="R146" s="8" t="str">
        <x:v>https://albertaregulations.ca/fishingregs/nb2.html</x:v>
      </x:c>
    </x:row>
    <x:row r="147" ht="57" customHeight="1">
      <x:c r="A147" s="8" t="str">
        <x:v>Kakut Pond</x:v>
      </x:c>
      <x:c r="B147" s="8" t="str">
        <x:v>26729</x:v>
      </x:c>
      <x:c r="C147" s="8" t="str">
        <x:v>Spirit River</x:v>
      </x:c>
      <x:c r="D147" s="8" t="str">
        <x:v>ES4</x:v>
      </x:c>
      <x:c r="E147" s="16" t="n">
        <x:v>2.9</x:v>
      </x:c>
      <x:c r="F147" s="16" t="n">
        <x:v>4</x:v>
      </x:c>
      <x:c r="G147" s="16" t="str">
        <x:v>Unknown</x:v>
      </x:c>
      <x:c r="H147" s="17" t="str">
        <x:v>Not stated</x:v>
      </x:c>
      <x:c r="I147" s="11" t="str">
        <x:v>Not stated on map.</x:v>
      </x:c>
      <x:c r="J147" s="10" t="n">
        <x:v>55.6187</x:v>
      </x:c>
      <x:c r="K147" s="10" t="n">
        <x:v>-118.5296</x:v>
      </x:c>
      <x:c r="L147" s="8" t="str">
        <x:v>NE27-76-4-W6</x:v>
      </x:c>
      <x:c r="M147" s="11" t="str">
        <x:v>Camping; Shelter; Paddling; Paddling Canoe; Playground; Sports; Sports Baseball</x:v>
      </x:c>
      <x:c r="N147" s="11" t="str">
        <x:v>Kakut Lake is located in northern Alberta and offers a great camping experience. Fish the stocked pond for trout with the possibility of perch being caught. | Amenities notes: community hall.</x:v>
      </x:c>
      <x:c r="O147" s="8" t="n">
        <x:v>2</x:v>
      </x:c>
      <x:c r="P147" s="8" t="n">
        <x:v>5</x:v>
      </x:c>
      <x:c r="Q147" s="8" t="str">
        <x:v>https://www.google.com/maps/dir/?api=1&amp;destination=55.618695,-118.529556</x:v>
      </x:c>
      <x:c r="R147" s="8" t="str">
        <x:v>https://albertaregulations.ca/fishingregs/es4.html</x:v>
      </x:c>
    </x:row>
    <x:row r="148" ht="32" customHeight="1">
      <x:c r="A148" s="8" t="str">
        <x:v>Keenex Trout Pond</x:v>
      </x:c>
      <x:c r="B148" s="8" t="str">
        <x:v>417476</x:v>
      </x:c>
      <x:c r="C148" s="8" t="str">
        <x:v>Lethbridge</x:v>
      </x:c>
      <x:c r="D148" s="8" t="str">
        <x:v>Not stated</x:v>
      </x:c>
      <x:c r="E148" s="16" t="str">
        <x:v>Unknown</x:v>
      </x:c>
      <x:c r="F148" s="16" t="str">
        <x:v>Unknown</x:v>
      </x:c>
      <x:c r="G148" s="16" t="str">
        <x:v>Unknown</x:v>
      </x:c>
      <x:c r="H148" s="17" t="str">
        <x:v>Not stated</x:v>
      </x:c>
      <x:c r="I148" s="11" t="str">
        <x:v>Not stated on map.</x:v>
      </x:c>
      <x:c r="J148" s="10" t="n">
        <x:v>49.8966</x:v>
      </x:c>
      <x:c r="K148" s="10" t="n">
        <x:v>-113.2085</x:v>
      </x:c>
      <x:c r="L148" s="8" t="str">
        <x:v>NW10-11-24-W4</x:v>
      </x:c>
      <x:c r="M148" s="11" t="str"/>
      <x:c r="N148" s="11" t="str">
        <x:v>No description available.</x:v>
      </x:c>
      <x:c r="O148" s="8" t="n">
        <x:v>0</x:v>
      </x:c>
      <x:c r="P148" s="8" t="n">
        <x:v>2</x:v>
      </x:c>
      <x:c r="Q148" s="8" t="str">
        <x:v>https://www.google.com/maps/dir/?api=1&amp;destination=49.896607,-113.208467</x:v>
      </x:c>
      <x:c r="R148" s="8" t="str"/>
    </x:row>
    <x:row r="149" ht="57" customHeight="1">
      <x:c r="A149" s="8" t="str">
        <x:v>Kehewin Lake</x:v>
      </x:c>
      <x:c r="B149" s="8" t="str">
        <x:v>4977</x:v>
      </x:c>
      <x:c r="C149" s="8" t="str">
        <x:v>Bonnyville</x:v>
      </x:c>
      <x:c r="D149" s="8" t="str">
        <x:v>NB1</x:v>
      </x:c>
      <x:c r="E149" s="16" t="n">
        <x:v>663.2</x:v>
      </x:c>
      <x:c r="F149" s="16" t="n">
        <x:v>11.6</x:v>
      </x:c>
      <x:c r="G149" s="16" t="n">
        <x:v>6.7</x:v>
      </x:c>
      <x:c r="H149" s="17" t="str">
        <x:v>Not stated</x:v>
      </x:c>
      <x:c r="I149" s="11" t="str">
        <x:v>Not stated on map.</x:v>
      </x:c>
      <x:c r="J149" s="10" t="n">
        <x:v>54.0586</x:v>
      </x:c>
      <x:c r="K149" s="10" t="n">
        <x:v>-110.8973</x:v>
      </x:c>
      <x:c r="L149" s="8" t="str">
        <x:v>NE36-58-7-W4</x:v>
      </x:c>
      <x:c r="M149" s="11" t="str">
        <x:v>Boat Launch; Fish Cleaning; Toilets; Dock/Pier</x:v>
      </x:c>
      <x:c r="N149" s="11" t="str">
        <x:v>Kehiwin Cree Nation is operating the Kehiwin Provincial Recreation Area, 28 km east of St. Paul on Hwy. 29, and 7 km north on Hwy. 41. Cozy little campground that offers basic facilities and access with canoe or boat on Kehiwin Lake. | Amenities notes: firepits</x:v>
      </x:c>
      <x:c r="O149" s="8" t="n">
        <x:v>0</x:v>
      </x:c>
      <x:c r="P149" s="8" t="n">
        <x:v>2</x:v>
      </x:c>
      <x:c r="Q149" s="8" t="str">
        <x:v>https://www.google.com/maps/dir/?api=1&amp;destination=54.058619,-110.897271</x:v>
      </x:c>
      <x:c r="R149" s="8" t="str">
        <x:v>https://albertaregulations.ca/fishingregs/nb1.html</x:v>
      </x:c>
    </x:row>
    <x:row r="150" ht="32" customHeight="1">
      <x:c r="A150" s="8" t="str">
        <x:v>Keho Lake</x:v>
      </x:c>
      <x:c r="B150" s="8" t="str">
        <x:v>4978</x:v>
      </x:c>
      <x:c r="C150" s="8" t="str">
        <x:v>Lethbridge</x:v>
      </x:c>
      <x:c r="D150" s="8" t="str">
        <x:v>PP1</x:v>
      </x:c>
      <x:c r="E150" s="16" t="n">
        <x:v>2266.3</x:v>
      </x:c>
      <x:c r="F150" s="16" t="str">
        <x:v>Unknown</x:v>
      </x:c>
      <x:c r="G150" s="16" t="str">
        <x:v>Unknown</x:v>
      </x:c>
      <x:c r="H150" s="17" t="str">
        <x:v>Not stated</x:v>
      </x:c>
      <x:c r="I150" s="11" t="str">
        <x:v>Not stated on map.</x:v>
      </x:c>
      <x:c r="J150" s="10" t="n">
        <x:v>49.9346</x:v>
      </x:c>
      <x:c r="K150" s="10" t="n">
        <x:v>-112.9916</x:v>
      </x:c>
      <x:c r="L150" s="8" t="str">
        <x:v>Unknown</x:v>
      </x:c>
      <x:c r="M150" s="11" t="str">
        <x:v>Day Use; Fishing Access; Camping</x:v>
      </x:c>
      <x:c r="N150" s="11" t="str">
        <x:v>This waterbody has been recently stocked with walleye fry.</x:v>
      </x:c>
      <x:c r="O150" s="8" t="n">
        <x:v>0</x:v>
      </x:c>
      <x:c r="P150" s="8" t="n">
        <x:v>1</x:v>
      </x:c>
      <x:c r="Q150" s="8" t="str">
        <x:v>https://www.google.com/maps/dir/?api=1&amp;destination=49.934598,-112.991633</x:v>
      </x:c>
      <x:c r="R150" s="8" t="str">
        <x:v>https://albertaregulations.ca/fishingregs/pp1.html</x:v>
      </x:c>
    </x:row>
    <x:row r="151" ht="42" customHeight="1">
      <x:c r="A151" s="8" t="str">
        <x:v>Kerbe's Pond</x:v>
      </x:c>
      <x:c r="B151" s="8" t="str">
        <x:v>6770</x:v>
      </x:c>
      <x:c r="C151" s="8" t="str">
        <x:v>Stettler</x:v>
      </x:c>
      <x:c r="D151" s="8" t="str">
        <x:v>PP2</x:v>
      </x:c>
      <x:c r="E151" s="16" t="n">
        <x:v>3.7</x:v>
      </x:c>
      <x:c r="F151" s="16" t="n">
        <x:v>3.9</x:v>
      </x:c>
      <x:c r="G151" s="16" t="str">
        <x:v>Unknown</x:v>
      </x:c>
      <x:c r="H151" s="17" t="str">
        <x:v>Yes</x:v>
      </x:c>
      <x:c r="I151" s="11" t="str">
        <x:v>This waterbody is part of the ACA's Lake Aeration Program.</x:v>
      </x:c>
      <x:c r="J151" s="10" t="n">
        <x:v>52.1123</x:v>
      </x:c>
      <x:c r="K151" s="10" t="n">
        <x:v>-112.8446</x:v>
      </x:c>
      <x:c r="L151" s="8" t="str">
        <x:v>NE19-36-20-W4</x:v>
      </x:c>
      <x:c r="M151" s="11" t="str">
        <x:v>Day Use</x:v>
      </x:c>
      <x:c r="N151" s="11" t="str">
        <x:v>It offers good sport fishing opportunities. This waterbody is part of the ACA's Lake Aeration Program. | Amenities notes: no open fires; foot access only.</x:v>
      </x:c>
      <x:c r="O151" s="8" t="n">
        <x:v>11</x:v>
      </x:c>
      <x:c r="P151" s="8" t="n">
        <x:v>23</x:v>
      </x:c>
      <x:c r="Q151" s="8" t="str">
        <x:v>https://www.google.com/maps/dir/?api=1&amp;destination=52.112277,-112.844594</x:v>
      </x:c>
      <x:c r="R151" s="8" t="str">
        <x:v>https://albertaregulations.ca/fishingregs/pp2.html</x:v>
      </x:c>
    </x:row>
    <x:row r="152" ht="57" customHeight="1">
      <x:c r="A152" s="8" t="str">
        <x:v>Kids Can Catch Pond</x:v>
      </x:c>
      <x:c r="B152" s="8" t="str">
        <x:v>26447</x:v>
      </x:c>
      <x:c r="C152" s="8" t="str">
        <x:v>Calgary</x:v>
      </x:c>
      <x:c r="D152" s="8" t="str">
        <x:v>PP2</x:v>
      </x:c>
      <x:c r="E152" s="16" t="n">
        <x:v>1</x:v>
      </x:c>
      <x:c r="F152" s="16" t="n">
        <x:v>5</x:v>
      </x:c>
      <x:c r="G152" s="16" t="n">
        <x:v>5</x:v>
      </x:c>
      <x:c r="H152" s="17" t="str">
        <x:v>Not stated</x:v>
      </x:c>
      <x:c r="I152" s="11" t="str">
        <x:v>Not stated on map.</x:v>
      </x:c>
      <x:c r="J152" s="10" t="n">
        <x:v>51.0414</x:v>
      </x:c>
      <x:c r="K152" s="10" t="n">
        <x:v>-114.0177</x:v>
      </x:c>
      <x:c r="L152" s="8" t="str">
        <x:v>SW13-24-1-W5</x:v>
      </x:c>
      <x:c r="M152" s="11" t="str"/>
      <x:c r="N152" s="11" t="str">
        <x:v>This is an urban community pond that can be fished by all ages. A fishing license is not required for anglers under the age of 16. | Amenities notes: Bow habitat station has amenities.</x:v>
      </x:c>
      <x:c r="O152" s="8" t="n">
        <x:v>0</x:v>
      </x:c>
      <x:c r="P152" s="8" t="n">
        <x:v>18</x:v>
      </x:c>
      <x:c r="Q152" s="8" t="str">
        <x:v>https://www.google.com/maps/dir/?api=1&amp;destination=51.041403,-114.017656</x:v>
      </x:c>
      <x:c r="R152" s="8" t="str">
        <x:v>https://albertaregulations.ca/fishingregs/pp2.html</x:v>
      </x:c>
    </x:row>
    <x:row r="153" ht="32" customHeight="1">
      <x:c r="A153" s="8" t="str">
        <x:v>Kinglet Lake</x:v>
      </x:c>
      <x:c r="B153" s="8" t="str">
        <x:v>6654</x:v>
      </x:c>
      <x:c r="C153" s="8" t="str">
        <x:v>Nordegg</x:v>
      </x:c>
      <x:c r="D153" s="8" t="str">
        <x:v>ES2</x:v>
      </x:c>
      <x:c r="E153" s="16" t="str">
        <x:v>Unknown</x:v>
      </x:c>
      <x:c r="F153" s="16" t="str">
        <x:v>Unknown</x:v>
      </x:c>
      <x:c r="G153" s="16" t="str">
        <x:v>Unknown</x:v>
      </x:c>
      <x:c r="H153" s="17" t="str">
        <x:v>Not stated</x:v>
      </x:c>
      <x:c r="I153" s="11" t="str">
        <x:v>Not stated on map.</x:v>
      </x:c>
      <x:c r="J153" s="10" t="n">
        <x:v>52.0498</x:v>
      </x:c>
      <x:c r="K153" s="10" t="n">
        <x:v>-116.4732</x:v>
      </x:c>
      <x:c r="L153" s="8" t="str">
        <x:v>NW35-35-18-W5</x:v>
      </x:c>
      <x:c r="M153" s="11" t="str"/>
      <x:c r="N153" s="11" t="str">
        <x:v>This lake is a hike in lake.</x:v>
      </x:c>
      <x:c r="O153" s="8" t="n">
        <x:v>1</x:v>
      </x:c>
      <x:c r="P153" s="8" t="n">
        <x:v>1</x:v>
      </x:c>
      <x:c r="Q153" s="8" t="str">
        <x:v>https://www.google.com/maps/dir/?api=1&amp;destination=52.04985,-116.473242</x:v>
      </x:c>
      <x:c r="R153" s="8" t="str">
        <x:v>https://albertaregulations.ca/fishingregs/es2.html</x:v>
      </x:c>
    </x:row>
    <x:row r="154" ht="57" customHeight="1">
      <x:c r="A154" s="8" t="str">
        <x:v>Kinky Lake</x:v>
      </x:c>
      <x:c r="B154" s="8" t="str">
        <x:v>5002</x:v>
      </x:c>
      <x:c r="C154" s="8" t="str">
        <x:v>Hinton</x:v>
      </x:c>
      <x:c r="D154" s="8" t="str">
        <x:v>ES3</x:v>
      </x:c>
      <x:c r="E154" s="16" t="n">
        <x:v>15.5</x:v>
      </x:c>
      <x:c r="F154" s="16" t="n">
        <x:v>6</x:v>
      </x:c>
      <x:c r="G154" s="16" t="n">
        <x:v>3</x:v>
      </x:c>
      <x:c r="H154" s="17" t="str">
        <x:v>Not stated</x:v>
      </x:c>
      <x:c r="I154" s="11" t="str">
        <x:v>Not stated on map.</x:v>
      </x:c>
      <x:c r="J154" s="10" t="n">
        <x:v>53.2808</x:v>
      </x:c>
      <x:c r="K154" s="10" t="n">
        <x:v>-117.7831</x:v>
      </x:c>
      <x:c r="L154" s="8" t="str">
        <x:v>SE6-50-26-W5</x:v>
      </x:c>
      <x:c r="M154" s="11" t="str">
        <x:v>Boat Launch; Paddling; Paddling Canoe; Fish Cleaning; Firewood; Toilets; Water; Beach</x:v>
      </x:c>
      <x:c r="N154" s="11" t="str">
        <x:v>Kinky Lake Campground is found in Wildhorse Lake Provincial Recreation Area, with close lake access. Enjoy the scenic mountain views while fishing for trout. Non-motorized or electric-powered boats only.</x:v>
      </x:c>
      <x:c r="O154" s="8" t="n">
        <x:v>5</x:v>
      </x:c>
      <x:c r="P154" s="8" t="n">
        <x:v>12</x:v>
      </x:c>
      <x:c r="Q154" s="8" t="str">
        <x:v>https://www.google.com/maps/dir/?api=1&amp;destination=53.280836,-117.783145</x:v>
      </x:c>
      <x:c r="R154" s="8" t="str">
        <x:v>https://albertaregulations.ca/fishingregs/es3.html</x:v>
      </x:c>
    </x:row>
    <x:row r="155" ht="42" customHeight="1">
      <x:c r="A155" s="8" t="str">
        <x:v>Kraft Wimborne Pond</x:v>
      </x:c>
      <x:c r="B155" s="8" t="str">
        <x:v>6773</x:v>
      </x:c>
      <x:c r="C155" s="8" t="str">
        <x:v>Drumheller</x:v>
      </x:c>
      <x:c r="D155" s="8" t="str">
        <x:v>PP2</x:v>
      </x:c>
      <x:c r="E155" s="16" t="n">
        <x:v>6</x:v>
      </x:c>
      <x:c r="F155" s="16" t="str">
        <x:v>Unknown</x:v>
      </x:c>
      <x:c r="G155" s="16" t="str">
        <x:v>Unknown</x:v>
      </x:c>
      <x:c r="H155" s="17" t="str">
        <x:v>Not stated</x:v>
      </x:c>
      <x:c r="I155" s="11" t="str">
        <x:v>Not stated on map.</x:v>
      </x:c>
      <x:c r="J155" s="10" t="n">
        <x:v>51.8591</x:v>
      </x:c>
      <x:c r="K155" s="10" t="n">
        <x:v>-113.6201</x:v>
      </x:c>
      <x:c r="L155" s="8" t="str">
        <x:v>SE28-33-26-W4</x:v>
      </x:c>
      <x:c r="M155" s="11" t="str">
        <x:v>Day Use</x:v>
      </x:c>
      <x:c r="N155" s="11" t="str">
        <x:v>ACA annually stocks this pond with trout, typically before the May long weekend. | Amenities notes: no open fires; foot access only.</x:v>
      </x:c>
      <x:c r="O155" s="8" t="n">
        <x:v>0</x:v>
      </x:c>
      <x:c r="P155" s="8" t="n">
        <x:v>26</x:v>
      </x:c>
      <x:c r="Q155" s="8" t="str">
        <x:v>https://www.google.com/maps/dir/?api=1&amp;destination=51.859122,-113.620127</x:v>
      </x:c>
      <x:c r="R155" s="8" t="str">
        <x:v>https://albertaregulations.ca/fishingregs/pp2.html</x:v>
      </x:c>
    </x:row>
    <x:row r="156" ht="42" customHeight="1">
      <x:c r="A156" s="8" t="str">
        <x:v>Kramer Pond</x:v>
      </x:c>
      <x:c r="B156" s="8" t="str">
        <x:v>6774</x:v>
      </x:c>
      <x:c r="C156" s="8" t="str">
        <x:v>Wetaskiwin</x:v>
      </x:c>
      <x:c r="D156" s="8" t="str">
        <x:v>PP2</x:v>
      </x:c>
      <x:c r="E156" s="16" t="n">
        <x:v>6.7</x:v>
      </x:c>
      <x:c r="F156" s="16" t="n">
        <x:v>5</x:v>
      </x:c>
      <x:c r="G156" s="16" t="n">
        <x:v>4</x:v>
      </x:c>
      <x:c r="H156" s="17" t="str">
        <x:v>Not stated</x:v>
      </x:c>
      <x:c r="I156" s="11" t="str">
        <x:v>Not stated on map.</x:v>
      </x:c>
      <x:c r="J156" s="10" t="n">
        <x:v>52.9068</x:v>
      </x:c>
      <x:c r="K156" s="10" t="n">
        <x:v>-114.7459</x:v>
      </x:c>
      <x:c r="L156" s="8" t="str">
        <x:v>SW25-45-6-W5</x:v>
      </x:c>
      <x:c r="M156" s="11" t="str"/>
      <x:c r="N156" s="11" t="str">
        <x:v>This small pond gets quite snowy in the winter. Ice fish in the early winter, as this pond has a tendency to winterkill.</x:v>
      </x:c>
      <x:c r="O156" s="8" t="n">
        <x:v>4</x:v>
      </x:c>
      <x:c r="P156" s="8" t="n">
        <x:v>14</x:v>
      </x:c>
      <x:c r="Q156" s="8" t="str">
        <x:v>https://www.google.com/maps/dir/?api=1&amp;destination=52.90684599999999,-114.745933</x:v>
      </x:c>
      <x:c r="R156" s="8" t="str">
        <x:v>https://albertaregulations.ca/fishingregs/pp2.html</x:v>
      </x:c>
    </x:row>
    <x:row r="157" ht="32" customHeight="1">
      <x:c r="A157" s="8" t="str">
        <x:v>La Crete Pond</x:v>
      </x:c>
      <x:c r="B157" s="8" t="str">
        <x:v>20267</x:v>
      </x:c>
      <x:c r="C157" s="8" t="str">
        <x:v>Fort Vermilion</x:v>
      </x:c>
      <x:c r="D157" s="8" t="str">
        <x:v>NB3</x:v>
      </x:c>
      <x:c r="E157" s="16" t="n">
        <x:v>9</x:v>
      </x:c>
      <x:c r="F157" s="16" t="n">
        <x:v>6.1</x:v>
      </x:c>
      <x:c r="G157" s="16" t="str">
        <x:v>Unknown</x:v>
      </x:c>
      <x:c r="H157" s="17" t="str">
        <x:v>Not stated</x:v>
      </x:c>
      <x:c r="I157" s="11" t="str">
        <x:v>Not stated on map.</x:v>
      </x:c>
      <x:c r="J157" s="10" t="n">
        <x:v>58.1973</x:v>
      </x:c>
      <x:c r="K157" s="10" t="n">
        <x:v>-115.9067</x:v>
      </x:c>
      <x:c r="L157" s="8" t="str">
        <x:v>SW15-106-12-W5</x:v>
      </x:c>
      <x:c r="M157" s="11" t="str"/>
      <x:c r="N157" s="11" t="str">
        <x:v>This pond may be subject to winterkill.</x:v>
      </x:c>
      <x:c r="O157" s="8" t="n">
        <x:v>1</x:v>
      </x:c>
      <x:c r="P157" s="8" t="n">
        <x:v>7</x:v>
      </x:c>
      <x:c r="Q157" s="8" t="str">
        <x:v>https://www.google.com/maps/dir/?api=1&amp;destination=58.197347,-115.906655</x:v>
      </x:c>
      <x:c r="R157" s="8" t="str">
        <x:v>https://albertaregulations.ca/fishingregs/nb3.html</x:v>
      </x:c>
    </x:row>
    <x:row r="158" ht="32" customHeight="1">
      <x:c r="A158" s="8" t="str">
        <x:v>Lac Bellevue</x:v>
      </x:c>
      <x:c r="B158" s="8" t="str">
        <x:v>4027</x:v>
      </x:c>
      <x:c r="C158" s="8" t="str">
        <x:v>St Paul</x:v>
      </x:c>
      <x:c r="D158" s="8" t="str">
        <x:v>NB1</x:v>
      </x:c>
      <x:c r="E158" s="16" t="n">
        <x:v>461.2</x:v>
      </x:c>
      <x:c r="F158" s="16" t="n">
        <x:v>15</x:v>
      </x:c>
      <x:c r="G158" s="16" t="n">
        <x:v>9</x:v>
      </x:c>
      <x:c r="H158" s="17" t="str">
        <x:v>Not stated</x:v>
      </x:c>
      <x:c r="I158" s="11" t="str">
        <x:v>Not stated on map.</x:v>
      </x:c>
      <x:c r="J158" s="10" t="n">
        <x:v>53.8105</x:v>
      </x:c>
      <x:c r="K158" s="10" t="n">
        <x:v>-111.3369</x:v>
      </x:c>
      <x:c r="L158" s="8" t="str">
        <x:v>NW6-56-9-W4</x:v>
      </x:c>
      <x:c r="M158" s="11" t="str">
        <x:v>Camping; Day Use; Playground; Beach; Shelter</x:v>
      </x:c>
      <x:c r="N158" s="11" t="str">
        <x:v>Use the day use area or beach to swim or fish for stocked trout.</x:v>
      </x:c>
      <x:c r="O158" s="8" t="n">
        <x:v>0</x:v>
      </x:c>
      <x:c r="P158" s="8" t="n">
        <x:v>5</x:v>
      </x:c>
      <x:c r="Q158" s="8" t="str">
        <x:v>https://www.google.com/maps/dir/?api=1&amp;destination=53.810455,-111.336866</x:v>
      </x:c>
      <x:c r="R158" s="8" t="str">
        <x:v>https://albertaregulations.ca/fishingregs/nb1.html</x:v>
      </x:c>
    </x:row>
    <x:row r="159" ht="57" customHeight="1">
      <x:c r="A159" s="8" t="str">
        <x:v>Lacombe Park Pond</x:v>
      </x:c>
      <x:c r="B159" s="8" t="str">
        <x:v>6776</x:v>
      </x:c>
      <x:c r="C159" s="8" t="str">
        <x:v>Edmonton</x:v>
      </x:c>
      <x:c r="D159" s="8" t="str">
        <x:v>PP2</x:v>
      </x:c>
      <x:c r="E159" s="16" t="n">
        <x:v>1.4</x:v>
      </x:c>
      <x:c r="F159" s="16" t="str">
        <x:v>Unknown</x:v>
      </x:c>
      <x:c r="G159" s="16" t="n">
        <x:v>2.5</x:v>
      </x:c>
      <x:c r="H159" s="17" t="str">
        <x:v>Not stated</x:v>
      </x:c>
      <x:c r="I159" s="11" t="str">
        <x:v>Not stated on map.</x:v>
      </x:c>
      <x:c r="J159" s="10" t="n">
        <x:v>53.6375</x:v>
      </x:c>
      <x:c r="K159" s="10" t="n">
        <x:v>-113.6537</x:v>
      </x:c>
      <x:c r="L159" s="8" t="str">
        <x:v>NW5-54-25-W4</x:v>
      </x:c>
      <x:c r="M159" s="11" t="str">
        <x:v>Trails; Picnic; Swimming; Swimming Dog Area; Winter Recreation; Washrooms</x:v>
      </x:c>
      <x:c r="N159" s="11" t="str">
        <x:v>A fenced dog park and trails wrap the lake, this park is a gathering place for those needing fresh air and outdoor fun that includes fishing for stocked trout. | Amenities notes: fenced dog park; change building</x:v>
      </x:c>
      <x:c r="O159" s="8" t="n">
        <x:v>0</x:v>
      </x:c>
      <x:c r="P159" s="8" t="n">
        <x:v>13</x:v>
      </x:c>
      <x:c r="Q159" s="8" t="str">
        <x:v>https://www.google.com/maps/dir/?api=1&amp;destination=53.637547,-113.653734</x:v>
      </x:c>
      <x:c r="R159" s="8" t="str">
        <x:v>https://albertaregulations.ca/fishingregs/pp2.html</x:v>
      </x:c>
    </x:row>
    <x:row r="160" ht="42" customHeight="1">
      <x:c r="A160" s="8" t="str">
        <x:v>Lake Newell</x:v>
      </x:c>
      <x:c r="B160" s="8" t="str">
        <x:v>5434</x:v>
      </x:c>
      <x:c r="C160" s="8" t="str">
        <x:v>Brooks</x:v>
      </x:c>
      <x:c r="D160" s="8" t="str">
        <x:v>PP2</x:v>
      </x:c>
      <x:c r="E160" s="16" t="n">
        <x:v>6218.3</x:v>
      </x:c>
      <x:c r="F160" s="16" t="str">
        <x:v>Unknown</x:v>
      </x:c>
      <x:c r="G160" s="16" t="str">
        <x:v>Unknown</x:v>
      </x:c>
      <x:c r="H160" s="17" t="str">
        <x:v>Not stated</x:v>
      </x:c>
      <x:c r="I160" s="11" t="str">
        <x:v>Not stated on map.</x:v>
      </x:c>
      <x:c r="J160" s="10" t="n">
        <x:v>50.4362</x:v>
      </x:c>
      <x:c r="K160" s="10" t="n">
        <x:v>-111.9405</x:v>
      </x:c>
      <x:c r="L160" s="8" t="str">
        <x:v>NW13-17-15-W4</x:v>
      </x:c>
      <x:c r="M160" s="11" t="str">
        <x:v>Camping; Trails; Fishing Access; Boating; Swimming</x:v>
      </x:c>
      <x:c r="N160" s="11" t="str">
        <x:v>This waterbody has been recently stocked with walleye fry.</x:v>
      </x:c>
      <x:c r="O160" s="8" t="n">
        <x:v>0</x:v>
      </x:c>
      <x:c r="P160" s="8" t="n">
        <x:v>2</x:v>
      </x:c>
      <x:c r="Q160" s="8" t="str">
        <x:v>https://www.google.com/maps/dir/?api=1&amp;destination=50.436159,-111.940536</x:v>
      </x:c>
      <x:c r="R160" s="8" t="str">
        <x:v>https://albertaregulations.ca/fishingregs/pp1.html</x:v>
      </x:c>
    </x:row>
    <x:row r="161" ht="32" customHeight="1">
      <x:c r="A161" s="8" t="str">
        <x:v>Lake Of Falls</x:v>
      </x:c>
      <x:c r="B161" s="8" t="str">
        <x:v>4564</x:v>
      </x:c>
      <x:c r="C161" s="8" t="str">
        <x:v>Nordegg</x:v>
      </x:c>
      <x:c r="D161" s="8" t="str">
        <x:v>Not stated</x:v>
      </x:c>
      <x:c r="E161" s="16" t="str">
        <x:v>Unknown</x:v>
      </x:c>
      <x:c r="F161" s="16" t="str">
        <x:v>Unknown</x:v>
      </x:c>
      <x:c r="G161" s="16" t="str">
        <x:v>Unknown</x:v>
      </x:c>
      <x:c r="H161" s="17" t="str">
        <x:v>Not stated</x:v>
      </x:c>
      <x:c r="I161" s="11" t="str">
        <x:v>Not stated on map.</x:v>
      </x:c>
      <x:c r="J161" s="10" t="n">
        <x:v>52.0843</x:v>
      </x:c>
      <x:c r="K161" s="10" t="n">
        <x:v>-116.6284</x:v>
      </x:c>
      <x:c r="L161" s="8" t="str">
        <x:v>NE10-36-19-W5</x:v>
      </x:c>
      <x:c r="M161" s="11" t="str"/>
      <x:c r="N161" s="11" t="str">
        <x:v>No description available.</x:v>
      </x:c>
      <x:c r="O161" s="8" t="n">
        <x:v>0</x:v>
      </x:c>
      <x:c r="P161" s="8" t="n">
        <x:v>2</x:v>
      </x:c>
      <x:c r="Q161" s="8" t="str">
        <x:v>https://www.google.com/maps/dir/?api=1&amp;destination=52.084305,-116.628437</x:v>
      </x:c>
      <x:c r="R161" s="8" t="str"/>
    </x:row>
    <x:row r="162" ht="57" customHeight="1">
      <x:c r="A162" s="8" t="str">
        <x:v>Lake of the Horns</x:v>
      </x:c>
      <x:c r="B162" s="8" t="str">
        <x:v>4854</x:v>
      </x:c>
      <x:c r="C162" s="8" t="str">
        <x:v>High River</x:v>
      </x:c>
      <x:c r="D162" s="8" t="str">
        <x:v>ES1</x:v>
      </x:c>
      <x:c r="E162" s="16" t="n">
        <x:v>6.2</x:v>
      </x:c>
      <x:c r="F162" s="16" t="str">
        <x:v>Unknown</x:v>
      </x:c>
      <x:c r="G162" s="16" t="str">
        <x:v>Unknown</x:v>
      </x:c>
      <x:c r="H162" s="17" t="str">
        <x:v>Not stated</x:v>
      </x:c>
      <x:c r="I162" s="11" t="str">
        <x:v>Not stated on map.</x:v>
      </x:c>
      <x:c r="J162" s="10" t="n">
        <x:v>50.4139</x:v>
      </x:c>
      <x:c r="K162" s="10" t="n">
        <x:v>-114.8553</x:v>
      </x:c>
      <x:c r="L162" s="8" t="str">
        <x:v>NW11-17-7-W5</x:v>
      </x:c>
      <x:c r="M162" s="11" t="str"/>
      <x:c r="N162" s="11" t="str">
        <x:v>Absolutely stunning and well worth the days effort. You will have to cross the Highwood River so expect to get your feet wet. The Alberta - British Columbia boundary runs along the mountains ridge.</x:v>
      </x:c>
      <x:c r="O162" s="8" t="n">
        <x:v>1</x:v>
      </x:c>
      <x:c r="P162" s="8" t="n">
        <x:v>1</x:v>
      </x:c>
      <x:c r="Q162" s="8" t="str">
        <x:v>https://www.google.com/maps/dir/?api=1&amp;destination=50.413889,-114.855278</x:v>
      </x:c>
      <x:c r="R162" s="8" t="str">
        <x:v>https://albertaregulations.ca/fishingregs/es1.html</x:v>
      </x:c>
    </x:row>
    <x:row r="163" ht="32" customHeight="1">
      <x:c r="A163" s="8" t="str">
        <x:v>Lambert Pond</x:v>
      </x:c>
      <x:c r="B163" s="8" t="str">
        <x:v>3479</x:v>
      </x:c>
      <x:c r="C163" s="8" t="str">
        <x:v>Edson</x:v>
      </x:c>
      <x:c r="D163" s="8" t="str">
        <x:v>ES3</x:v>
      </x:c>
      <x:c r="E163" s="16" t="n">
        <x:v>3.3</x:v>
      </x:c>
      <x:c r="F163" s="16" t="str">
        <x:v>Unknown</x:v>
      </x:c>
      <x:c r="G163" s="16" t="str">
        <x:v>Unknown</x:v>
      </x:c>
      <x:c r="H163" s="17" t="str">
        <x:v>Not stated</x:v>
      </x:c>
      <x:c r="I163" s="11" t="str">
        <x:v>Not stated on map.</x:v>
      </x:c>
      <x:c r="J163" s="10" t="n">
        <x:v>53.5664</x:v>
      </x:c>
      <x:c r="K163" s="10" t="n">
        <x:v>-116.4815</x:v>
      </x:c>
      <x:c r="L163" s="8" t="str">
        <x:v>NW8-53-17-W5</x:v>
      </x:c>
      <x:c r="M163" s="11" t="str"/>
      <x:c r="N163" s="11" t="str">
        <x:v>This lake is south of highway 16, and has an elevation of 912m.</x:v>
      </x:c>
      <x:c r="O163" s="8" t="n">
        <x:v>2</x:v>
      </x:c>
      <x:c r="P163" s="8" t="n">
        <x:v>6</x:v>
      </x:c>
      <x:c r="Q163" s="8" t="str">
        <x:v>https://www.google.com/maps/dir/?api=1&amp;destination=53.56638299999999,-116.481493</x:v>
      </x:c>
      <x:c r="R163" s="8" t="str">
        <x:v>https://albertaregulations.ca/fishingregs/es3.html</x:v>
      </x:c>
    </x:row>
    <x:row r="164" ht="32" customHeight="1">
      <x:c r="A164" s="8" t="str">
        <x:v>Lamont Pond</x:v>
      </x:c>
      <x:c r="B164" s="8" t="str">
        <x:v>6655</x:v>
      </x:c>
      <x:c r="C164" s="8" t="str">
        <x:v>Vegreville</x:v>
      </x:c>
      <x:c r="D164" s="8" t="str">
        <x:v>Not stated</x:v>
      </x:c>
      <x:c r="E164" s="16" t="str">
        <x:v>Unknown</x:v>
      </x:c>
      <x:c r="F164" s="16" t="str">
        <x:v>Unknown</x:v>
      </x:c>
      <x:c r="G164" s="16" t="str">
        <x:v>Unknown</x:v>
      </x:c>
      <x:c r="H164" s="17" t="str">
        <x:v>Not stated</x:v>
      </x:c>
      <x:c r="I164" s="11" t="str">
        <x:v>Not stated on map.</x:v>
      </x:c>
      <x:c r="J164" s="10" t="n">
        <x:v>53.7756</x:v>
      </x:c>
      <x:c r="K164" s="10" t="n">
        <x:v>-112.7493</x:v>
      </x:c>
      <x:c r="L164" s="8" t="str">
        <x:v>SW27-55-19-W4</x:v>
      </x:c>
      <x:c r="M164" s="11" t="str"/>
      <x:c r="N164" s="11" t="str">
        <x:v>No description available.</x:v>
      </x:c>
      <x:c r="O164" s="8" t="n">
        <x:v>0</x:v>
      </x:c>
      <x:c r="P164" s="8" t="n">
        <x:v>5</x:v>
      </x:c>
      <x:c r="Q164" s="8" t="str">
        <x:v>https://www.google.com/maps/dir/?api=1&amp;destination=53.775627,-112.749283</x:v>
      </x:c>
      <x:c r="R164" s="8" t="str"/>
    </x:row>
    <x:row r="165" ht="72" customHeight="1">
      <x:c r="A165" s="8" t="str">
        <x:v>Landslide Lake</x:v>
      </x:c>
      <x:c r="B165" s="8" t="str">
        <x:v>5029</x:v>
      </x:c>
      <x:c r="C165" s="8" t="str">
        <x:v>Nordegg</x:v>
      </x:c>
      <x:c r="D165" s="8" t="str">
        <x:v>ES2</x:v>
      </x:c>
      <x:c r="E165" s="16" t="n">
        <x:v>50.9</x:v>
      </x:c>
      <x:c r="F165" s="16" t="str">
        <x:v>Unknown</x:v>
      </x:c>
      <x:c r="G165" s="16" t="str">
        <x:v>Unknown</x:v>
      </x:c>
      <x:c r="H165" s="17" t="str">
        <x:v>Not stated</x:v>
      </x:c>
      <x:c r="I165" s="11" t="str">
        <x:v>Not stated on map.</x:v>
      </x:c>
      <x:c r="J165" s="10" t="n">
        <x:v>52.0811</x:v>
      </x:c>
      <x:c r="K165" s="10" t="n">
        <x:v>-116.5534</x:v>
      </x:c>
      <x:c r="L165" s="8" t="str">
        <x:v>NE7-36-18-W5</x:v>
      </x:c>
      <x:c r="M165" s="11" t="str">
        <x:v>Camping; Swimming; Fishing Access; Water</x:v>
      </x:c>
      <x:c r="N165" s="11" t="str">
        <x:v>Landslide Lake is a 290km lightly trafficked out and back trail located near Improvement District No 9, Alberta, Canada that offers the chance to see wildlife and is only recommended for very experienced adventurers The trail offers a number of activity options and is best used from July until October.</x:v>
      </x:c>
      <x:c r="O165" s="8" t="n">
        <x:v>1</x:v>
      </x:c>
      <x:c r="P165" s="8" t="n">
        <x:v>3</x:v>
      </x:c>
      <x:c r="Q165" s="8" t="str">
        <x:v>https://www.google.com/maps/dir/?api=1&amp;destination=52.08109,-116.553435</x:v>
      </x:c>
      <x:c r="R165" s="8" t="str">
        <x:v>https://albertaregulations.ca/fishingregs/es2.html</x:v>
      </x:c>
    </x:row>
    <x:row r="166" ht="42" customHeight="1">
      <x:c r="A166" s="8" t="str">
        <x:v>Lara Fish Pond</x:v>
      </x:c>
      <x:c r="B166" s="8" t="str">
        <x:v>24053</x:v>
      </x:c>
      <x:c r="C166" s="8" t="str">
        <x:v>Bonnyville</x:v>
      </x:c>
      <x:c r="D166" s="8" t="str">
        <x:v>NB1</x:v>
      </x:c>
      <x:c r="E166" s="16" t="n">
        <x:v>1</x:v>
      </x:c>
      <x:c r="F166" s="16" t="str">
        <x:v>Unknown</x:v>
      </x:c>
      <x:c r="G166" s="16" t="n">
        <x:v>4</x:v>
      </x:c>
      <x:c r="H166" s="17" t="str">
        <x:v>Not stated</x:v>
      </x:c>
      <x:c r="I166" s="11" t="str">
        <x:v>Photo caption mentions equipment: Lara Fish Pond with windmill aeration. Current operation not confirmed.</x:v>
      </x:c>
      <x:c r="J166" s="10" t="n">
        <x:v>54.3089</x:v>
      </x:c>
      <x:c r="K166" s="10" t="n">
        <x:v>-110.6105</x:v>
      </x:c>
      <x:c r="L166" s="8" t="str">
        <x:v>NE25-61-5-W4</x:v>
      </x:c>
      <x:c r="M166" s="11" t="str"/>
      <x:c r="N166" s="11" t="str">
        <x:v>This pond may winterkill.</x:v>
      </x:c>
      <x:c r="O166" s="8" t="n">
        <x:v>3</x:v>
      </x:c>
      <x:c r="P166" s="8" t="n">
        <x:v>10</x:v>
      </x:c>
      <x:c r="Q166" s="8" t="str">
        <x:v>https://www.google.com/maps/dir/?api=1&amp;destination=54.3089,-110.61054</x:v>
      </x:c>
      <x:c r="R166" s="8" t="str">
        <x:v>https://albertaregulations.ca/fishingregs/nb1.html</x:v>
      </x:c>
    </x:row>
    <x:row r="167" ht="57" customHeight="1">
      <x:c r="A167" s="8" t="str">
        <x:v>Leduc Reservoir</x:v>
      </x:c>
      <x:c r="B167" s="8" t="str">
        <x:v>6764</x:v>
      </x:c>
      <x:c r="C167" s="8" t="str">
        <x:v>Wetaskiwin</x:v>
      </x:c>
      <x:c r="D167" s="8" t="str">
        <x:v>PP2</x:v>
      </x:c>
      <x:c r="E167" s="16" t="n">
        <x:v>103</x:v>
      </x:c>
      <x:c r="F167" s="16" t="n">
        <x:v>5.2</x:v>
      </x:c>
      <x:c r="G167" s="16" t="n">
        <x:v>3</x:v>
      </x:c>
      <x:c r="H167" s="17" t="str">
        <x:v>Not stated</x:v>
      </x:c>
      <x:c r="I167" s="11" t="str">
        <x:v>Not stated on map.</x:v>
      </x:c>
      <x:c r="J167" s="10" t="n">
        <x:v>53.26</x:v>
      </x:c>
      <x:c r="K167" s="10" t="n">
        <x:v>-113.5671</x:v>
      </x:c>
      <x:c r="L167" s="8" t="str">
        <x:v>NE27-49-25-W4</x:v>
      </x:c>
      <x:c r="M167" s="11" t="str">
        <x:v>Toilets; Trails; Trails Hiking; Playground</x:v>
      </x:c>
      <x:c r="N167" s="11" t="str">
        <x:v>Leduc Reservoir borders Fred Johns Park. The park is connected to the Multiway Trail and offers a playground, ball diamonds, picnic area, and summer fishing for stocked trout. | Amenities notes: garbage receptacles.</x:v>
      </x:c>
      <x:c r="O167" s="8" t="n">
        <x:v>3</x:v>
      </x:c>
      <x:c r="P167" s="8" t="n">
        <x:v>8</x:v>
      </x:c>
      <x:c r="Q167" s="8" t="str">
        <x:v>https://www.google.com/maps/dir/?api=1&amp;destination=53.259984,-113.567083</x:v>
      </x:c>
      <x:c r="R167" s="8" t="str">
        <x:v>https://albertaregulations.ca/fishingregs/pp2.html</x:v>
      </x:c>
    </x:row>
    <x:row r="168" ht="42" customHeight="1">
      <x:c r="A168" s="8" t="str">
        <x:v>Lees Lake</x:v>
      </x:c>
      <x:c r="B168" s="8" t="str">
        <x:v>5050</x:v>
      </x:c>
      <x:c r="C168" s="8" t="str">
        <x:v>Pincher Creek</x:v>
      </x:c>
      <x:c r="D168" s="8" t="str">
        <x:v>ES1</x:v>
      </x:c>
      <x:c r="E168" s="16" t="n">
        <x:v>37.9</x:v>
      </x:c>
      <x:c r="F168" s="16" t="n">
        <x:v>7</x:v>
      </x:c>
      <x:c r="G168" s="16" t="n">
        <x:v>5</x:v>
      </x:c>
      <x:c r="H168" s="17" t="str">
        <x:v>Not stated</x:v>
      </x:c>
      <x:c r="I168" s="11" t="str">
        <x:v>Not stated on map.</x:v>
      </x:c>
      <x:c r="J168" s="10" t="n">
        <x:v>49.5419</x:v>
      </x:c>
      <x:c r="K168" s="10" t="n">
        <x:v>-114.2486</x:v>
      </x:c>
      <x:c r="L168" s="8" t="str">
        <x:v>SW8-7-2-W5</x:v>
      </x:c>
      <x:c r="M168" s="11" t="str">
        <x:v>Day Use; Parking</x:v>
      </x:c>
      <x:c r="N168" s="11" t="str">
        <x:v>ACA maintains a fishing access and boat launch is off highway 507. | Amenities notes: no open fires; garbage cans; sanitary receptacles.</x:v>
      </x:c>
      <x:c r="O168" s="8" t="n">
        <x:v>3</x:v>
      </x:c>
      <x:c r="P168" s="8" t="n">
        <x:v>28</x:v>
      </x:c>
      <x:c r="Q168" s="8" t="str">
        <x:v>https://www.google.com/maps/dir/?api=1&amp;destination=49.541912,-114.248586</x:v>
      </x:c>
      <x:c r="R168" s="8" t="str">
        <x:v>https://albertaregulations.ca/fishingregs/es1.html</x:v>
      </x:c>
    </x:row>
    <x:row r="169" ht="42" customHeight="1">
      <x:c r="A169" s="8" t="str">
        <x:v>Legal Reservoir</x:v>
      </x:c>
      <x:c r="B169" s="8" t="str">
        <x:v>6765</x:v>
      </x:c>
      <x:c r="C169" s="8" t="str">
        <x:v>Stony Plain</x:v>
      </x:c>
      <x:c r="D169" s="8" t="str">
        <x:v>PP2</x:v>
      </x:c>
      <x:c r="E169" s="16" t="n">
        <x:v>1.5</x:v>
      </x:c>
      <x:c r="F169" s="16" t="str">
        <x:v>Unknown</x:v>
      </x:c>
      <x:c r="G169" s="16" t="str">
        <x:v>Unknown</x:v>
      </x:c>
      <x:c r="H169" s="17" t="str">
        <x:v>Not stated</x:v>
      </x:c>
      <x:c r="I169" s="11" t="str">
        <x:v>Not stated on map.</x:v>
      </x:c>
      <x:c r="J169" s="10" t="n">
        <x:v>53.9474</x:v>
      </x:c>
      <x:c r="K169" s="10" t="n">
        <x:v>-113.5864</x:v>
      </x:c>
      <x:c r="L169" s="8" t="str">
        <x:v>NW24-57-25-W4</x:v>
      </x:c>
      <x:c r="M169" s="11" t="str">
        <x:v>Day Use</x:v>
      </x:c>
      <x:c r="N169" s="11" t="str">
        <x:v>ACA stocks this pond annually with trout, typically before the May long weekend. | Amenities notes: no open fires; foot access only.</x:v>
      </x:c>
      <x:c r="O169" s="8" t="n">
        <x:v>0</x:v>
      </x:c>
      <x:c r="P169" s="8" t="n">
        <x:v>7</x:v>
      </x:c>
      <x:c r="Q169" s="8" t="str">
        <x:v>https://www.google.com/maps/dir/?api=1&amp;destination=53.94743099999999,-113.586428</x:v>
      </x:c>
      <x:c r="R169" s="8" t="str">
        <x:v>https://albertaregulations.ca/fishingregs/pp2.html</x:v>
      </x:c>
    </x:row>
    <x:row r="170" ht="57" customHeight="1">
      <x:c r="A170" s="8" t="str">
        <x:v>Len Thompson Pond</x:v>
      </x:c>
      <x:c r="B170" s="8" t="str">
        <x:v>26322</x:v>
      </x:c>
      <x:c r="C170" s="8" t="str">
        <x:v>Red Deer</x:v>
      </x:c>
      <x:c r="D170" s="8" t="str">
        <x:v>PP2</x:v>
      </x:c>
      <x:c r="E170" s="16" t="n">
        <x:v>2</x:v>
      </x:c>
      <x:c r="F170" s="16" t="str">
        <x:v>Unknown</x:v>
      </x:c>
      <x:c r="G170" s="16" t="str">
        <x:v>Unknown</x:v>
      </x:c>
      <x:c r="H170" s="17" t="str">
        <x:v>Not stated</x:v>
      </x:c>
      <x:c r="I170" s="11" t="str">
        <x:v>Not stated on map.</x:v>
      </x:c>
      <x:c r="J170" s="10" t="n">
        <x:v>52.4768</x:v>
      </x:c>
      <x:c r="K170" s="10" t="n">
        <x:v>-113.7127</x:v>
      </x:c>
      <x:c r="L170" s="8" t="str">
        <x:v>NW29-40-26-W4</x:v>
      </x:c>
      <x:c r="M170" s="11" t="str">
        <x:v>Parking</x:v>
      </x:c>
      <x:c r="N170" s="11" t="str">
        <x:v>The Len Thompson Fishing Pond in Lacombe, is a stocked retention pond that provides catch and release recreational fishing opportunities for local residents. Home of the worlds largest lure.</x:v>
      </x:c>
      <x:c r="O170" s="8" t="n">
        <x:v>0</x:v>
      </x:c>
      <x:c r="P170" s="8" t="n">
        <x:v>27</x:v>
      </x:c>
      <x:c r="Q170" s="8" t="str">
        <x:v>https://www.google.com/maps/dir/?api=1&amp;destination=52.476805,-113.712706</x:v>
      </x:c>
      <x:c r="R170" s="8" t="str">
        <x:v>https://albertaregulations.ca/fishingregs/pp2.html</x:v>
      </x:c>
    </x:row>
    <x:row r="171" ht="117" customHeight="1">
      <x:c r="A171" s="8" t="str">
        <x:v>Lillian Lake</x:v>
      </x:c>
      <x:c r="B171" s="8" t="str">
        <x:v>5074</x:v>
      </x:c>
      <x:c r="C171" s="8" t="str">
        <x:v>Canmore</x:v>
      </x:c>
      <x:c r="D171" s="8" t="str">
        <x:v>ES1</x:v>
      </x:c>
      <x:c r="E171" s="16" t="n">
        <x:v>3.5</x:v>
      </x:c>
      <x:c r="F171" s="16" t="str">
        <x:v>Unknown</x:v>
      </x:c>
      <x:c r="G171" s="16" t="str">
        <x:v>Unknown</x:v>
      </x:c>
      <x:c r="H171" s="17" t="str">
        <x:v>Not stated</x:v>
      </x:c>
      <x:c r="I171" s="11" t="str">
        <x:v>Not stated on map.</x:v>
      </x:c>
      <x:c r="J171" s="10" t="n">
        <x:v>50.8639</x:v>
      </x:c>
      <x:c r="K171" s="10" t="n">
        <x:v>-115.2499</x:v>
      </x:c>
      <x:c r="L171" s="8" t="str">
        <x:v>SE13-22-10-W5</x:v>
      </x:c>
      <x:c r="M171" s="11" t="str">
        <x:v>Fire Pits; Firewood; Toilets</x:v>
      </x:c>
      <x:c r="N171" s="11" t="str">
        <x:v>Lillian Lake Backcountry Campground is in Spray Valley Provincial Park. The closest access is at Galatea Day Use Area, 42 km south of Hwy 1 on Hwy 40. It is 63 km from the trailhead via Galatea Creek Trail Camp. There are group fire pits, pit/vault toilets, secure food storage lockers, and raised tent platforms. Note: While there are group fire pits available, firewood is not provided at this site. Please note that it is illegal to remove, deface, injure or destroy trees and using dead wood lying on the ground for firewood is also prohibited. | Amenities notes: bear proof storage containers</x:v>
      </x:c>
      <x:c r="O171" s="8" t="n">
        <x:v>0</x:v>
      </x:c>
      <x:c r="P171" s="8" t="n">
        <x:v>1</x:v>
      </x:c>
      <x:c r="Q171" s="8" t="str">
        <x:v>https://www.google.com/maps/dir/?api=1&amp;destination=50.86385199999999,-115.249942</x:v>
      </x:c>
      <x:c r="R171" s="8" t="str">
        <x:v>https://albertaregulations.ca/fishingregs/es1.html</x:v>
      </x:c>
    </x:row>
    <x:row r="172" ht="42" customHeight="1">
      <x:c r="A172" s="8" t="str">
        <x:v>Lily Lake</x:v>
      </x:c>
      <x:c r="B172" s="8" t="str">
        <x:v>5078</x:v>
      </x:c>
      <x:c r="C172" s="8" t="str">
        <x:v>Slave Lake</x:v>
      </x:c>
      <x:c r="D172" s="8" t="str">
        <x:v>NB2</x:v>
      </x:c>
      <x:c r="E172" s="16" t="str">
        <x:v>Unknown</x:v>
      </x:c>
      <x:c r="F172" s="16" t="str">
        <x:v>Unknown</x:v>
      </x:c>
      <x:c r="G172" s="16" t="str">
        <x:v>Unknown</x:v>
      </x:c>
      <x:c r="H172" s="17" t="str">
        <x:v>Not stated</x:v>
      </x:c>
      <x:c r="I172" s="11" t="str">
        <x:v>Not stated on map.</x:v>
      </x:c>
      <x:c r="J172" s="10" t="n">
        <x:v>55.4833</x:v>
      </x:c>
      <x:c r="K172" s="10" t="n">
        <x:v>-114.7667</x:v>
      </x:c>
      <x:c r="L172" s="8" t="str">
        <x:v>NW7-75-5-W5</x:v>
      </x:c>
      <x:c r="M172" s="11" t="str">
        <x:v>Day Use</x:v>
      </x:c>
      <x:c r="N172" s="11" t="str">
        <x:v>The Lily Lake Trail, located only 25 minutes out of Slave Lake. Beginning at Marten Mountain Viewpoint, this trail descends 28 km to the beautiful Lily Lake.</x:v>
      </x:c>
      <x:c r="O172" s="8" t="n">
        <x:v>0</x:v>
      </x:c>
      <x:c r="P172" s="8" t="n">
        <x:v>11</x:v>
      </x:c>
      <x:c r="Q172" s="8" t="str">
        <x:v>https://www.google.com/maps/dir/?api=1&amp;destination=55.48333299999999,-114.766667</x:v>
      </x:c>
      <x:c r="R172" s="8" t="str">
        <x:v>https://albertaregulations.ca/fishingregs/nb2.html</x:v>
      </x:c>
    </x:row>
    <x:row r="173" ht="42" customHeight="1">
      <x:c r="A173" s="8" t="str">
        <x:v>Little Bear Lake</x:v>
      </x:c>
      <x:c r="B173" s="8" t="str">
        <x:v>5093</x:v>
      </x:c>
      <x:c r="C173" s="8" t="str">
        <x:v>Cold Lake</x:v>
      </x:c>
      <x:c r="D173" s="8" t="str">
        <x:v>NB1</x:v>
      </x:c>
      <x:c r="E173" s="16" t="n">
        <x:v>47.1</x:v>
      </x:c>
      <x:c r="F173" s="16" t="n">
        <x:v>10</x:v>
      </x:c>
      <x:c r="G173" s="16" t="n">
        <x:v>4</x:v>
      </x:c>
      <x:c r="H173" s="17" t="str">
        <x:v>Not stated</x:v>
      </x:c>
      <x:c r="I173" s="11" t="str">
        <x:v>Not stated on map.</x:v>
      </x:c>
      <x:c r="J173" s="10" t="n">
        <x:v>54.5516</x:v>
      </x:c>
      <x:c r="K173" s="10" t="n">
        <x:v>-110.3009</x:v>
      </x:c>
      <x:c r="L173" s="8" t="str">
        <x:v>NW19-64-2-W4</x:v>
      </x:c>
      <x:c r="M173" s="11" t="str"/>
      <x:c r="N173" s="11" t="str">
        <x:v>Access is very poor for launching larger watercrafts. Parking is close to lake so you may carry your hand launch type watercraft to the waters edge.</x:v>
      </x:c>
      <x:c r="O173" s="8" t="n">
        <x:v>2</x:v>
      </x:c>
      <x:c r="P173" s="8" t="n">
        <x:v>49</x:v>
      </x:c>
      <x:c r="Q173" s="8" t="str">
        <x:v>https://www.google.com/maps/dir/?api=1&amp;destination=54.551596,-110.300937</x:v>
      </x:c>
      <x:c r="R173" s="8" t="str">
        <x:v>https://albertaregulations.ca/fishingregs/nb1.html</x:v>
      </x:c>
    </x:row>
    <x:row r="174" ht="32" customHeight="1">
      <x:c r="A174" s="8" t="str">
        <x:v>Little Beaverdam Lake</x:v>
      </x:c>
      <x:c r="B174" s="8" t="str">
        <x:v>6767</x:v>
      </x:c>
      <x:c r="C174" s="8" t="str">
        <x:v>Cardston</x:v>
      </x:c>
      <x:c r="D174" s="8" t="str">
        <x:v>Not stated</x:v>
      </x:c>
      <x:c r="E174" s="16" t="str">
        <x:v>Unknown</x:v>
      </x:c>
      <x:c r="F174" s="16" t="str">
        <x:v>Unknown</x:v>
      </x:c>
      <x:c r="G174" s="16" t="str">
        <x:v>Unknown</x:v>
      </x:c>
      <x:c r="H174" s="17" t="str">
        <x:v>Not stated</x:v>
      </x:c>
      <x:c r="I174" s="11" t="str">
        <x:v>Not stated on map.</x:v>
      </x:c>
      <x:c r="J174" s="10" t="n">
        <x:v>49.0795</x:v>
      </x:c>
      <x:c r="K174" s="10" t="n">
        <x:v>-113.6559</x:v>
      </x:c>
      <x:c r="L174" s="8" t="str">
        <x:v>SE34-1-28-W4</x:v>
      </x:c>
      <x:c r="M174" s="11" t="str"/>
      <x:c r="N174" s="11" t="str">
        <x:v>No description available.</x:v>
      </x:c>
      <x:c r="O174" s="8" t="n">
        <x:v>0</x:v>
      </x:c>
      <x:c r="P174" s="8" t="n">
        <x:v>5</x:v>
      </x:c>
      <x:c r="Q174" s="8" t="str">
        <x:v>https://www.google.com/maps/dir/?api=1&amp;destination=49.079532,-113.655918</x:v>
      </x:c>
      <x:c r="R174" s="8" t="str"/>
    </x:row>
    <x:row r="175" ht="57" customHeight="1">
      <x:c r="A175" s="8" t="str">
        <x:v>Little Bow Lake Reservoir</x:v>
      </x:c>
      <x:c r="B175" s="8" t="str">
        <x:v>3515</x:v>
      </x:c>
      <x:c r="C175" s="8" t="str">
        <x:v>Vulcan</x:v>
      </x:c>
      <x:c r="D175" s="8" t="str">
        <x:v>PP1</x:v>
      </x:c>
      <x:c r="E175" s="16" t="n">
        <x:v>803.9</x:v>
      </x:c>
      <x:c r="F175" s="16" t="str">
        <x:v>Unknown</x:v>
      </x:c>
      <x:c r="G175" s="16" t="str">
        <x:v>Unknown</x:v>
      </x:c>
      <x:c r="H175" s="17" t="str">
        <x:v>Not stated</x:v>
      </x:c>
      <x:c r="I175" s="11" t="str">
        <x:v>Not stated on map.</x:v>
      </x:c>
      <x:c r="J175" s="10" t="n">
        <x:v>50.1944</x:v>
      </x:c>
      <x:c r="K175" s="10" t="n">
        <x:v>-112.6757</x:v>
      </x:c>
      <x:c r="L175" s="8" t="str">
        <x:v>SE28-14-20-W4</x:v>
      </x:c>
      <x:c r="M175" s="11" t="str">
        <x:v>Paddling; Paddling Canoe; Boating; Water; Swimming; Camping</x:v>
      </x:c>
      <x:c r="N175" s="11" t="str">
        <x:v>This waterfront campground is in Little Bow Reservoir Provincial Recreation Area. This prairie campground is all about the water. Many of the sites back on to the reservoir, and trees provide some shade to fish , canoe, water ski, or swim.</x:v>
      </x:c>
      <x:c r="O175" s="8" t="n">
        <x:v>0</x:v>
      </x:c>
      <x:c r="P175" s="8" t="n">
        <x:v>5</x:v>
      </x:c>
      <x:c r="Q175" s="8" t="str">
        <x:v>https://www.google.com/maps/dir/?api=1&amp;destination=50.19435499999999,-112.675682</x:v>
      </x:c>
      <x:c r="R175" s="8" t="str">
        <x:v>https://albertaregulations.ca/fishingregs/pp1.html</x:v>
      </x:c>
    </x:row>
    <x:row r="176" ht="32" customHeight="1">
      <x:c r="A176" s="8" t="str">
        <x:v>Little Fish Lake</x:v>
      </x:c>
      <x:c r="B176" s="8" t="str">
        <x:v>5099</x:v>
      </x:c>
      <x:c r="C176" s="8" t="str">
        <x:v>Hanna</x:v>
      </x:c>
      <x:c r="D176" s="8" t="str">
        <x:v>Not stated</x:v>
      </x:c>
      <x:c r="E176" s="16" t="str">
        <x:v>Unknown</x:v>
      </x:c>
      <x:c r="F176" s="16" t="str">
        <x:v>Unknown</x:v>
      </x:c>
      <x:c r="G176" s="16" t="str">
        <x:v>Unknown</x:v>
      </x:c>
      <x:c r="H176" s="17" t="str">
        <x:v>Not stated</x:v>
      </x:c>
      <x:c r="I176" s="11" t="str">
        <x:v>Not stated on map.</x:v>
      </x:c>
      <x:c r="J176" s="10" t="n">
        <x:v>51.3696</x:v>
      </x:c>
      <x:c r="K176" s="10" t="n">
        <x:v>-112.1995</x:v>
      </x:c>
      <x:c r="L176" s="8" t="str">
        <x:v>SW8-28-16-W4</x:v>
      </x:c>
      <x:c r="M176" s="11" t="str"/>
      <x:c r="N176" s="11" t="str">
        <x:v>No description available.</x:v>
      </x:c>
      <x:c r="O176" s="8" t="n">
        <x:v>0</x:v>
      </x:c>
      <x:c r="P176" s="8" t="n">
        <x:v>1</x:v>
      </x:c>
      <x:c r="Q176" s="8" t="str">
        <x:v>https://www.google.com/maps/dir/?api=1&amp;destination=51.369619,-112.199463</x:v>
      </x:c>
      <x:c r="R176" s="8" t="str"/>
    </x:row>
    <x:row r="177" ht="42" customHeight="1">
      <x:c r="A177" s="8" t="str">
        <x:v>Lloydminster Pond</x:v>
      </x:c>
      <x:c r="B177" s="8" t="str">
        <x:v>6760</x:v>
      </x:c>
      <x:c r="C177" s="8" t="str">
        <x:v>Lloydminster</x:v>
      </x:c>
      <x:c r="D177" s="8" t="str">
        <x:v>PP2</x:v>
      </x:c>
      <x:c r="E177" s="16" t="n">
        <x:v>6</x:v>
      </x:c>
      <x:c r="F177" s="16" t="str">
        <x:v>Unknown</x:v>
      </x:c>
      <x:c r="G177" s="16" t="str">
        <x:v>Unknown</x:v>
      </x:c>
      <x:c r="H177" s="17" t="str">
        <x:v>Not stated</x:v>
      </x:c>
      <x:c r="I177" s="11" t="str">
        <x:v>Not stated on map.</x:v>
      </x:c>
      <x:c r="J177" s="10" t="n">
        <x:v>53.279</x:v>
      </x:c>
      <x:c r="K177" s="10" t="n">
        <x:v>-110.1391</x:v>
      </x:c>
      <x:c r="L177" s="8" t="str">
        <x:v>SE6-50-1-W4</x:v>
      </x:c>
      <x:c r="M177" s="11" t="str"/>
      <x:c r="N177" s="11" t="str">
        <x:v>The pond is located approximately 3 miles West of Lloydminster on Highway 16, on the North side of the highway. Check your local regulations before you go!</x:v>
      </x:c>
      <x:c r="O177" s="8" t="n">
        <x:v>0</x:v>
      </x:c>
      <x:c r="P177" s="8" t="n">
        <x:v>6</x:v>
      </x:c>
      <x:c r="Q177" s="8" t="str">
        <x:v>https://www.google.com/maps/dir/?api=1&amp;destination=53.27896,-110.139056</x:v>
      </x:c>
      <x:c r="R177" s="8" t="str">
        <x:v>https://albertaregulations.ca/fishingregs/pp2.html</x:v>
      </x:c>
    </x:row>
    <x:row r="178" ht="42" customHeight="1">
      <x:c r="A178" s="8" t="str">
        <x:v>Lodgepole Pond</x:v>
      </x:c>
      <x:c r="B178" s="8" t="str">
        <x:v>395186</x:v>
      </x:c>
      <x:c r="C178" s="8" t="str">
        <x:v>Drayton Valley</x:v>
      </x:c>
      <x:c r="D178" s="8" t="str">
        <x:v>ES3</x:v>
      </x:c>
      <x:c r="E178" s="16" t="n">
        <x:v>5</x:v>
      </x:c>
      <x:c r="F178" s="16" t="str">
        <x:v>Unknown</x:v>
      </x:c>
      <x:c r="G178" s="16" t="str">
        <x:v>Unknown</x:v>
      </x:c>
      <x:c r="H178" s="17" t="str">
        <x:v>Not stated</x:v>
      </x:c>
      <x:c r="I178" s="11" t="str">
        <x:v>Not stated on map.</x:v>
      </x:c>
      <x:c r="J178" s="10" t="n">
        <x:v>53.1195</x:v>
      </x:c>
      <x:c r="K178" s="10" t="n">
        <x:v>-115.3202</x:v>
      </x:c>
      <x:c r="L178" s="8" t="str">
        <x:v>NE1-48-10-W5</x:v>
      </x:c>
      <x:c r="M178" s="11" t="str"/>
      <x:c r="N178" s="11" t="str">
        <x:v>This pond is north of the town of Lodgepole. This pond has lots of shore fishing opportunities and surrounded by trees.</x:v>
      </x:c>
      <x:c r="O178" s="8" t="n">
        <x:v>0</x:v>
      </x:c>
      <x:c r="P178" s="8" t="n">
        <x:v>6</x:v>
      </x:c>
      <x:c r="Q178" s="8" t="str">
        <x:v>https://www.google.com/maps/dir/?api=1&amp;destination=53.119469,-115.320171</x:v>
      </x:c>
      <x:c r="R178" s="8" t="str">
        <x:v>https://albertaregulations.ca/fishingregs/es3.html</x:v>
      </x:c>
    </x:row>
    <x:row r="179" ht="57" customHeight="1">
      <x:c r="A179" s="8" t="str">
        <x:v>Loomis Lake</x:v>
      </x:c>
      <x:c r="B179" s="8" t="str">
        <x:v>5149</x:v>
      </x:c>
      <x:c r="C179" s="8" t="str">
        <x:v>High River</x:v>
      </x:c>
      <x:c r="D179" s="8" t="str">
        <x:v>ES1</x:v>
      </x:c>
      <x:c r="E179" s="16" t="n">
        <x:v>3.3</x:v>
      </x:c>
      <x:c r="F179" s="16" t="str">
        <x:v>Unknown</x:v>
      </x:c>
      <x:c r="G179" s="16" t="str">
        <x:v>Unknown</x:v>
      </x:c>
      <x:c r="H179" s="17" t="str">
        <x:v>Not stated</x:v>
      </x:c>
      <x:c r="I179" s="11" t="str">
        <x:v>Not stated on map.</x:v>
      </x:c>
      <x:c r="J179" s="10" t="n">
        <x:v>50.4532</x:v>
      </x:c>
      <x:c r="K179" s="10" t="n">
        <x:v>-114.9037</x:v>
      </x:c>
      <x:c r="L179" s="8" t="str">
        <x:v>NE21-17-7-W5</x:v>
      </x:c>
      <x:c r="M179" s="11" t="str">
        <x:v>Camping</x:v>
      </x:c>
      <x:c r="N179" s="11" t="str">
        <x:v>Park in the Lineham Creek recreation area parking lot 134kms west of Calgary located on Highwood Trail #40 highway. Note: Highway #40 is closed at the Upper Lakes and Highwood House Junction from Dec 1st to June 14th for wildlife preservation.</x:v>
      </x:c>
      <x:c r="O179" s="8" t="n">
        <x:v>1</x:v>
      </x:c>
      <x:c r="P179" s="8" t="n">
        <x:v>1</x:v>
      </x:c>
      <x:c r="Q179" s="8" t="str">
        <x:v>https://www.google.com/maps/dir/?api=1&amp;destination=50.453153,-114.90368</x:v>
      </x:c>
      <x:c r="R179" s="8" t="str">
        <x:v>https://albertaregulations.ca/fishingregs/es1.html</x:v>
      </x:c>
    </x:row>
    <x:row r="180" ht="32" customHeight="1">
      <x:c r="A180" s="8" t="str">
        <x:v>Lost Guide Lake</x:v>
      </x:c>
      <x:c r="B180" s="8" t="str">
        <x:v>5158</x:v>
      </x:c>
      <x:c r="C180" s="8" t="str">
        <x:v>Rocky Mountain House</x:v>
      </x:c>
      <x:c r="D180" s="8" t="str">
        <x:v>ES2</x:v>
      </x:c>
      <x:c r="E180" s="16" t="n">
        <x:v>5.2</x:v>
      </x:c>
      <x:c r="F180" s="16" t="str">
        <x:v>Unknown</x:v>
      </x:c>
      <x:c r="G180" s="16" t="str">
        <x:v>Unknown</x:v>
      </x:c>
      <x:c r="H180" s="17" t="str">
        <x:v>Not stated</x:v>
      </x:c>
      <x:c r="I180" s="11" t="str">
        <x:v>Not stated on map.</x:v>
      </x:c>
      <x:c r="J180" s="10" t="n">
        <x:v>51.9047</x:v>
      </x:c>
      <x:c r="K180" s="10" t="n">
        <x:v>-115.9332</x:v>
      </x:c>
      <x:c r="L180" s="8" t="str">
        <x:v>NW9-34-14-W5</x:v>
      </x:c>
      <x:c r="M180" s="11" t="str"/>
      <x:c r="N180" s="11" t="str">
        <x:v>Lost Guide Lake has an elevation of 2172 metres.</x:v>
      </x:c>
      <x:c r="O180" s="8" t="n">
        <x:v>2</x:v>
      </x:c>
      <x:c r="P180" s="8" t="n">
        <x:v>1</x:v>
      </x:c>
      <x:c r="Q180" s="8" t="str">
        <x:v>https://www.google.com/maps/dir/?api=1&amp;destination=51.904668,-115.933169</x:v>
      </x:c>
      <x:c r="R180" s="8" t="str">
        <x:v>https://albertaregulations.ca/fishingregs/es2.html</x:v>
      </x:c>
    </x:row>
    <x:row r="181" ht="32" customHeight="1">
      <x:c r="A181" s="8" t="str">
        <x:v>Lougheed Trout Pond</x:v>
      </x:c>
      <x:c r="B181" s="8" t="str">
        <x:v>6761</x:v>
      </x:c>
      <x:c r="C181" s="8" t="str">
        <x:v>Camrose</x:v>
      </x:c>
      <x:c r="D181" s="8" t="str">
        <x:v>PP2</x:v>
      </x:c>
      <x:c r="E181" s="16" t="n">
        <x:v>8</x:v>
      </x:c>
      <x:c r="F181" s="16" t="str">
        <x:v>Unknown</x:v>
      </x:c>
      <x:c r="G181" s="16" t="n">
        <x:v>3.6</x:v>
      </x:c>
      <x:c r="H181" s="17" t="str">
        <x:v>Not stated</x:v>
      </x:c>
      <x:c r="I181" s="11" t="str">
        <x:v>Not stated on map.</x:v>
      </x:c>
      <x:c r="J181" s="10" t="n">
        <x:v>52.7509</x:v>
      </x:c>
      <x:c r="K181" s="10" t="n">
        <x:v>-111.5398</x:v>
      </x:c>
      <x:c r="L181" s="8" t="str">
        <x:v>NE33-43-11-W4</x:v>
      </x:c>
      <x:c r="M181" s="11" t="str">
        <x:v>Camping; Picnic; Toilets</x:v>
      </x:c>
      <x:c r="N181" s="11" t="str">
        <x:v>The Lougheed Trout Pond, located within the village limits.</x:v>
      </x:c>
      <x:c r="O181" s="8" t="n">
        <x:v>0</x:v>
      </x:c>
      <x:c r="P181" s="8" t="n">
        <x:v>7</x:v>
      </x:c>
      <x:c r="Q181" s="8" t="str">
        <x:v>https://www.google.com/maps/dir/?api=1&amp;destination=52.750929,-111.539761</x:v>
      </x:c>
      <x:c r="R181" s="8" t="str">
        <x:v>https://albertaregulations.ca/fishingregs/pp2.html</x:v>
      </x:c>
    </x:row>
    <x:row r="182" ht="32" customHeight="1">
      <x:c r="A182" s="8" t="str">
        <x:v>Lovett Lake</x:v>
      </x:c>
      <x:c r="B182" s="8" t="str">
        <x:v>6658</x:v>
      </x:c>
      <x:c r="C182" s="8" t="str">
        <x:v>Edson</x:v>
      </x:c>
      <x:c r="D182" s="8" t="str">
        <x:v>ES2</x:v>
      </x:c>
      <x:c r="E182" s="16" t="n">
        <x:v>2.6</x:v>
      </x:c>
      <x:c r="F182" s="16" t="str">
        <x:v>Unknown</x:v>
      </x:c>
      <x:c r="G182" s="16" t="str">
        <x:v>Unknown</x:v>
      </x:c>
      <x:c r="H182" s="17" t="str">
        <x:v>Not stated</x:v>
      </x:c>
      <x:c r="I182" s="11" t="str">
        <x:v>Not stated on map.</x:v>
      </x:c>
      <x:c r="J182" s="10" t="n">
        <x:v>53.0415</x:v>
      </x:c>
      <x:c r="K182" s="10" t="n">
        <x:v>-116.706</x:v>
      </x:c>
      <x:c r="L182" s="8" t="str">
        <x:v>NW10-47-19-W5</x:v>
      </x:c>
      <x:c r="M182" s="11" t="str"/>
      <x:c r="N182" s="11" t="str">
        <x:v>Lake is only accessible by hiking or biking only.</x:v>
      </x:c>
      <x:c r="O182" s="8" t="n">
        <x:v>2</x:v>
      </x:c>
      <x:c r="P182" s="8" t="n">
        <x:v>6</x:v>
      </x:c>
      <x:c r="Q182" s="8" t="str">
        <x:v>https://www.google.com/maps/dir/?api=1&amp;destination=53.041523,-116.706</x:v>
      </x:c>
      <x:c r="R182" s="8" t="str">
        <x:v>https://albertaregulations.ca/fishingregs/es2.html</x:v>
      </x:c>
    </x:row>
    <x:row r="183" ht="117" customHeight="1">
      <x:c r="A183" s="8" t="str">
        <x:v>Lower Burstall Lake</x:v>
      </x:c>
      <x:c r="B183" s="8" t="str">
        <x:v>6525</x:v>
      </x:c>
      <x:c r="C183" s="8" t="str">
        <x:v>Canmore</x:v>
      </x:c>
      <x:c r="D183" s="8" t="str">
        <x:v>ES1</x:v>
      </x:c>
      <x:c r="E183" s="16" t="n">
        <x:v>8.3</x:v>
      </x:c>
      <x:c r="F183" s="16" t="str">
        <x:v>Unknown</x:v>
      </x:c>
      <x:c r="G183" s="16" t="str">
        <x:v>Unknown</x:v>
      </x:c>
      <x:c r="H183" s="17" t="str">
        <x:v>Not stated</x:v>
      </x:c>
      <x:c r="I183" s="11" t="str">
        <x:v>Not stated on map.</x:v>
      </x:c>
      <x:c r="J183" s="10" t="n">
        <x:v>50.7853</x:v>
      </x:c>
      <x:c r="K183" s="10" t="n">
        <x:v>-115.3261</x:v>
      </x:c>
      <x:c r="L183" s="8" t="str">
        <x:v>NE16-21-10-W5</x:v>
      </x:c>
      <x:c r="M183" s="11" t="str"/>
      <x:c r="N183" s="11" t="str">
        <x:v>The hike to Burstall Lakes is an all-season adventure, with winter being a favorite time for many visitors. The trail is relatively flat and easy, making it ideal for snowshoeing or cross-country skiing. Most of the route winds through forested terrain, but expect stronger winds as you approach the lake where tree cover thins. At the trailhead, you’ll find a large parking lot and an outhouse for convenience. | Amenities notes: The upper and lower lakes helicopter stocked. These lakes have recently been stocked in the fall of 2025.</x:v>
      </x:c>
      <x:c r="O183" s="8" t="n">
        <x:v>0</x:v>
      </x:c>
      <x:c r="P183" s="8" t="n">
        <x:v>2</x:v>
      </x:c>
      <x:c r="Q183" s="8" t="str">
        <x:v>https://www.google.com/maps/dir/?api=1&amp;destination=50.785287,-115.326112</x:v>
      </x:c>
      <x:c r="R183" s="8" t="str">
        <x:v>https://albertaregulations.ca/fishingregs/es1.html</x:v>
      </x:c>
    </x:row>
    <x:row r="184" ht="72" customHeight="1">
      <x:c r="A184" s="8" t="str">
        <x:v>Lower Chain Lake</x:v>
      </x:c>
      <x:c r="B184" s="8" t="str">
        <x:v>6528</x:v>
      </x:c>
      <x:c r="C184" s="8" t="str">
        <x:v>Athabasca</x:v>
      </x:c>
      <x:c r="D184" s="8" t="str">
        <x:v>NB2</x:v>
      </x:c>
      <x:c r="E184" s="16" t="n">
        <x:v>84.8</x:v>
      </x:c>
      <x:c r="F184" s="16" t="n">
        <x:v>8</x:v>
      </x:c>
      <x:c r="G184" s="16" t="n">
        <x:v>5</x:v>
      </x:c>
      <x:c r="H184" s="17" t="str">
        <x:v>Not stated</x:v>
      </x:c>
      <x:c r="I184" s="11" t="str">
        <x:v>Not stated on map.</x:v>
      </x:c>
      <x:c r="J184" s="10" t="n">
        <x:v>54.964</x:v>
      </x:c>
      <x:c r="K184" s="10" t="n">
        <x:v>-113.5113</x:v>
      </x:c>
      <x:c r="L184" s="8" t="str">
        <x:v>NW7-69-23-W4</x:v>
      </x:c>
      <x:c r="M184" s="11" t="str">
        <x:v>Camping; Boat Launch; Toilets; Fish Cleaning; Water</x:v>
      </x:c>
      <x:c r="N184" s="11" t="str">
        <x:v>Chain Lakes Campground is located in Chain Lakes Provincial Recreation Area. This small lake is stocked annually, providing a great opportunity to fish from shore, canoe, or electric powered boat. Check your local regulations before you go. | Amenities notes: firepits</x:v>
      </x:c>
      <x:c r="O184" s="8" t="n">
        <x:v>3</x:v>
      </x:c>
      <x:c r="P184" s="8" t="n">
        <x:v>26</x:v>
      </x:c>
      <x:c r="Q184" s="8" t="str">
        <x:v>https://www.google.com/maps/dir/?api=1&amp;destination=54.964036,-113.511311</x:v>
      </x:c>
      <x:c r="R184" s="8" t="str">
        <x:v>https://albertaregulations.ca/fishingregs/nb2.html</x:v>
      </x:c>
    </x:row>
    <x:row r="185" ht="42" customHeight="1">
      <x:c r="A185" s="8" t="str">
        <x:v>Lower Champion Lake</x:v>
      </x:c>
      <x:c r="B185" s="8" t="str">
        <x:v>6608</x:v>
      </x:c>
      <x:c r="C185" s="8" t="str">
        <x:v>Cochrane</x:v>
      </x:c>
      <x:c r="D185" s="8" t="str">
        <x:v>ES1</x:v>
      </x:c>
      <x:c r="E185" s="16" t="n">
        <x:v>4</x:v>
      </x:c>
      <x:c r="F185" s="16" t="str">
        <x:v>Unknown</x:v>
      </x:c>
      <x:c r="G185" s="16" t="str">
        <x:v>Unknown</x:v>
      </x:c>
      <x:c r="H185" s="17" t="str">
        <x:v>Not stated</x:v>
      </x:c>
      <x:c r="I185" s="11" t="str">
        <x:v>Not stated on map.</x:v>
      </x:c>
      <x:c r="J185" s="10" t="n">
        <x:v>50.8133</x:v>
      </x:c>
      <x:c r="K185" s="10" t="n">
        <x:v>-114.5974</x:v>
      </x:c>
      <x:c r="L185" s="8" t="str">
        <x:v>NW26-21-5-W5</x:v>
      </x:c>
      <x:c r="M185" s="11" t="str"/>
      <x:c r="N185" s="11" t="str">
        <x:v>Upper and Lower Champion Lake are Heli-stocked A short walk from McLean Creek Trail (range road 51A) will bring you to the lake The trail is closed from December to May.</x:v>
      </x:c>
      <x:c r="O185" s="8" t="n">
        <x:v>3</x:v>
      </x:c>
      <x:c r="P185" s="8" t="n">
        <x:v>5</x:v>
      </x:c>
      <x:c r="Q185" s="8" t="str">
        <x:v>https://www.google.com/maps/dir/?api=1&amp;destination=50.813258,-114.597433</x:v>
      </x:c>
      <x:c r="R185" s="8" t="str">
        <x:v>https://albertaregulations.ca/fishingregs/es1.html</x:v>
      </x:c>
    </x:row>
    <x:row r="186" ht="57" customHeight="1">
      <x:c r="A186" s="8" t="str">
        <x:v>Lower Galatea Lake</x:v>
      </x:c>
      <x:c r="B186" s="8" t="str">
        <x:v>4642</x:v>
      </x:c>
      <x:c r="C186" s="8" t="str">
        <x:v>Canmore</x:v>
      </x:c>
      <x:c r="D186" s="8" t="str">
        <x:v>ES1</x:v>
      </x:c>
      <x:c r="E186" s="16" t="n">
        <x:v>5.7</x:v>
      </x:c>
      <x:c r="F186" s="16" t="str">
        <x:v>Unknown</x:v>
      </x:c>
      <x:c r="G186" s="16" t="str">
        <x:v>Unknown</x:v>
      </x:c>
      <x:c r="H186" s="17" t="str">
        <x:v>Not stated</x:v>
      </x:c>
      <x:c r="I186" s="11" t="str">
        <x:v>Not stated on map.</x:v>
      </x:c>
      <x:c r="J186" s="10" t="n">
        <x:v>50.8659</x:v>
      </x:c>
      <x:c r="K186" s="10" t="n">
        <x:v>-115.2651</x:v>
      </x:c>
      <x:c r="L186" s="8" t="str">
        <x:v>SW13-22-10-W5</x:v>
      </x:c>
      <x:c r="M186" s="11" t="str"/>
      <x:c r="N186" s="11" t="str">
        <x:v>Galatea Lakes Hike is a 169 kilometer back trail located near Kananaskis Improvement. The trail offers a number of activity options and is best used from May until October. Dogs are also able to use this trail but must be kept on leash.</x:v>
      </x:c>
      <x:c r="O186" s="8" t="n">
        <x:v>1</x:v>
      </x:c>
      <x:c r="P186" s="8" t="n">
        <x:v>1</x:v>
      </x:c>
      <x:c r="Q186" s="8" t="str">
        <x:v>https://www.google.com/maps/dir/?api=1&amp;destination=50.865879,-115.265111</x:v>
      </x:c>
      <x:c r="R186" s="8" t="str">
        <x:v>https://albertaregulations.ca/fishingregs/es1.html</x:v>
      </x:c>
    </x:row>
    <x:row r="187" ht="32" customHeight="1">
      <x:c r="A187" s="8" t="str">
        <x:v>Lower Headwall Lake</x:v>
      </x:c>
      <x:c r="B187" s="8" t="str">
        <x:v>6530</x:v>
      </x:c>
      <x:c r="C187" s="8" t="str">
        <x:v>Canmore</x:v>
      </x:c>
      <x:c r="D187" s="8" t="str">
        <x:v>Not stated</x:v>
      </x:c>
      <x:c r="E187" s="16" t="str">
        <x:v>Unknown</x:v>
      </x:c>
      <x:c r="F187" s="16" t="str">
        <x:v>Unknown</x:v>
      </x:c>
      <x:c r="G187" s="16" t="str">
        <x:v>Unknown</x:v>
      </x:c>
      <x:c r="H187" s="17" t="str">
        <x:v>Not stated</x:v>
      </x:c>
      <x:c r="I187" s="11" t="str">
        <x:v>Not stated on map.</x:v>
      </x:c>
      <x:c r="J187" s="10" t="n">
        <x:v>50.8028</x:v>
      </x:c>
      <x:c r="K187" s="10" t="n">
        <x:v>-115.2473</x:v>
      </x:c>
      <x:c r="L187" s="8" t="str">
        <x:v>NW19-21-9-W5</x:v>
      </x:c>
      <x:c r="M187" s="11" t="str"/>
      <x:c r="N187" s="11" t="str">
        <x:v>No description available.</x:v>
      </x:c>
      <x:c r="O187" s="8" t="n">
        <x:v>2</x:v>
      </x:c>
      <x:c r="P187" s="8" t="n">
        <x:v>1</x:v>
      </x:c>
      <x:c r="Q187" s="8" t="str">
        <x:v>https://www.google.com/maps/dir/?api=1&amp;destination=50.802829,-115.247348</x:v>
      </x:c>
      <x:c r="R187" s="8" t="str"/>
    </x:row>
    <x:row r="188" ht="87" customHeight="1">
      <x:c r="A188" s="8" t="str">
        <x:v>Lower Hogarth Lake</x:v>
      </x:c>
      <x:c r="B188" s="8" t="str">
        <x:v>6541</x:v>
      </x:c>
      <x:c r="C188" s="8" t="str">
        <x:v>Canmore</x:v>
      </x:c>
      <x:c r="D188" s="8" t="str">
        <x:v>ES1</x:v>
      </x:c>
      <x:c r="E188" s="16" t="n">
        <x:v>0.8</x:v>
      </x:c>
      <x:c r="F188" s="16" t="str">
        <x:v>Unknown</x:v>
      </x:c>
      <x:c r="G188" s="16" t="str">
        <x:v>Unknown</x:v>
      </x:c>
      <x:c r="H188" s="17" t="str">
        <x:v>Not stated</x:v>
      </x:c>
      <x:c r="I188" s="11" t="str">
        <x:v>Not stated on map.</x:v>
      </x:c>
      <x:c r="J188" s="10" t="n">
        <x:v>50.7972</x:v>
      </x:c>
      <x:c r="K188" s="10" t="n">
        <x:v>-115.3228</x:v>
      </x:c>
      <x:c r="L188" s="8" t="str">
        <x:v>SE21-21-10-W5</x:v>
      </x:c>
      <x:c r="M188" s="11" t="str"/>
      <x:c r="N188" s="11" t="str">
        <x:v>This lake is one of our helicopter stocked lakes. The lower lake was stocked in the fall of 2025 with 1,200 cutthroat trout. Hogarth Lakes Trail is a scenic 4.2-kilometer loop near Kananaskis Improvement District that features beautiful lakes and is suitable for all skill levels. The trail is best enjoyed from March through October and is dog-friendly, provided pets are kept on a leash.</x:v>
      </x:c>
      <x:c r="O188" s="8" t="n">
        <x:v>1</x:v>
      </x:c>
      <x:c r="P188" s="8" t="n">
        <x:v>2</x:v>
      </x:c>
      <x:c r="Q188" s="8" t="str">
        <x:v>https://www.google.com/maps/dir/?api=1&amp;destination=50.797209,-115.322777</x:v>
      </x:c>
      <x:c r="R188" s="8" t="str">
        <x:v>https://albertaregulations.ca/fishingregs/es1.html</x:v>
      </x:c>
    </x:row>
    <x:row r="189" ht="32" customHeight="1">
      <x:c r="A189" s="8" t="str">
        <x:v>Lower Kananaskis Lake</x:v>
      </x:c>
      <x:c r="B189" s="8" t="str">
        <x:v>5179</x:v>
      </x:c>
      <x:c r="C189" s="8" t="str">
        <x:v>Canmore</x:v>
      </x:c>
      <x:c r="D189" s="8" t="str">
        <x:v>Not stated</x:v>
      </x:c>
      <x:c r="E189" s="16" t="str">
        <x:v>Unknown</x:v>
      </x:c>
      <x:c r="F189" s="16" t="str">
        <x:v>Unknown</x:v>
      </x:c>
      <x:c r="G189" s="16" t="str">
        <x:v>Unknown</x:v>
      </x:c>
      <x:c r="H189" s="17" t="str">
        <x:v>Not stated</x:v>
      </x:c>
      <x:c r="I189" s="11" t="str">
        <x:v>Not stated on map.</x:v>
      </x:c>
      <x:c r="J189" s="10" t="n">
        <x:v>50.6333</x:v>
      </x:c>
      <x:c r="K189" s="10" t="n">
        <x:v>-115.1333</x:v>
      </x:c>
      <x:c r="L189" s="8" t="str">
        <x:v>NW26-19-9-W5</x:v>
      </x:c>
      <x:c r="M189" s="11" t="str"/>
      <x:c r="N189" s="11" t="str">
        <x:v>No description available.</x:v>
      </x:c>
      <x:c r="O189" s="8" t="n">
        <x:v>0</x:v>
      </x:c>
      <x:c r="P189" s="8" t="n">
        <x:v>4</x:v>
      </x:c>
      <x:c r="Q189" s="8" t="str">
        <x:v>https://www.google.com/maps/dir/?api=1&amp;destination=50.633333,-115.133333</x:v>
      </x:c>
      <x:c r="R189" s="8" t="str"/>
    </x:row>
    <x:row r="190" ht="42" customHeight="1">
      <x:c r="A190" s="8" t="str">
        <x:v>Lower Pierre Greys Lake</x:v>
      </x:c>
      <x:c r="B190" s="8" t="str">
        <x:v>6534</x:v>
      </x:c>
      <x:c r="C190" s="8" t="str">
        <x:v>Grande Cache</x:v>
      </x:c>
      <x:c r="D190" s="8" t="str">
        <x:v>ES4</x:v>
      </x:c>
      <x:c r="E190" s="16" t="n">
        <x:v>15.8</x:v>
      </x:c>
      <x:c r="F190" s="16" t="str">
        <x:v>Unknown</x:v>
      </x:c>
      <x:c r="G190" s="16" t="str">
        <x:v>Unknown</x:v>
      </x:c>
      <x:c r="H190" s="17" t="str">
        <x:v>Not stated</x:v>
      </x:c>
      <x:c r="I190" s="11" t="str">
        <x:v>Not stated on map.</x:v>
      </x:c>
      <x:c r="J190" s="10" t="n">
        <x:v>53.9104</x:v>
      </x:c>
      <x:c r="K190" s="10" t="n">
        <x:v>-118.6066</x:v>
      </x:c>
      <x:c r="L190" s="8" t="str">
        <x:v>SE12-57-5-W6</x:v>
      </x:c>
      <x:c r="M190" s="11" t="str">
        <x:v>Dock/Pier; Water; Boat Launch; Shelter; Fire Pits; Firewood; Fish Cleaning; Toilets</x:v>
      </x:c>
      <x:c r="N190" s="11" t="str">
        <x:v>Electric motor or hand launch boats allowed on the lake.</x:v>
      </x:c>
      <x:c r="O190" s="8" t="n">
        <x:v>4</x:v>
      </x:c>
      <x:c r="P190" s="8" t="n">
        <x:v>8</x:v>
      </x:c>
      <x:c r="Q190" s="8" t="str">
        <x:v>https://www.google.com/maps/dir/?api=1&amp;destination=53.910427,-118.60656</x:v>
      </x:c>
      <x:c r="R190" s="8" t="str">
        <x:v>https://albertaregulations.ca/fishingregs/es4.html</x:v>
      </x:c>
    </x:row>
    <x:row r="191" ht="32" customHeight="1">
      <x:c r="A191" s="8" t="str">
        <x:v>Lower Smuts Lake</x:v>
      </x:c>
      <x:c r="B191" s="8" t="str">
        <x:v>6605</x:v>
      </x:c>
      <x:c r="C191" s="8" t="str">
        <x:v>Canmore</x:v>
      </x:c>
      <x:c r="D191" s="8" t="str">
        <x:v>ES1</x:v>
      </x:c>
      <x:c r="E191" s="16" t="n">
        <x:v>2</x:v>
      </x:c>
      <x:c r="F191" s="16" t="str">
        <x:v>Unknown</x:v>
      </x:c>
      <x:c r="G191" s="16" t="str">
        <x:v>Unknown</x:v>
      </x:c>
      <x:c r="H191" s="17" t="str">
        <x:v>Not stated</x:v>
      </x:c>
      <x:c r="I191" s="11" t="str">
        <x:v>Not stated on map.</x:v>
      </x:c>
      <x:c r="J191" s="10" t="n">
        <x:v>50.7967</x:v>
      </x:c>
      <x:c r="K191" s="10" t="n">
        <x:v>-115.3884</x:v>
      </x:c>
      <x:c r="L191" s="8" t="str">
        <x:v>SE24-21-11-W5</x:v>
      </x:c>
      <x:c r="M191" s="11" t="str"/>
      <x:c r="N191" s="11" t="str">
        <x:v>Smutts Lakes are located up a steep headwall trail and border Banff National Park.</x:v>
      </x:c>
      <x:c r="O191" s="8" t="n">
        <x:v>1</x:v>
      </x:c>
      <x:c r="P191" s="8" t="n">
        <x:v>2</x:v>
      </x:c>
      <x:c r="Q191" s="8" t="str">
        <x:v>https://www.google.com/maps/dir/?api=1&amp;destination=50.796667,-115.388417</x:v>
      </x:c>
      <x:c r="R191" s="8" t="str">
        <x:v>https://albertaregulations.ca/fishingregs/es1.html</x:v>
      </x:c>
    </x:row>
    <x:row r="192" ht="42" customHeight="1">
      <x:c r="A192" s="8" t="str">
        <x:v>Lower Wildhorse Lake</x:v>
      </x:c>
      <x:c r="B192" s="8" t="str">
        <x:v>6537</x:v>
      </x:c>
      <x:c r="C192" s="8" t="str">
        <x:v>Hinton</x:v>
      </x:c>
      <x:c r="D192" s="8" t="str">
        <x:v>ES3</x:v>
      </x:c>
      <x:c r="E192" s="16" t="n">
        <x:v>25.4</x:v>
      </x:c>
      <x:c r="F192" s="16" t="str">
        <x:v>Unknown</x:v>
      </x:c>
      <x:c r="G192" s="16" t="str">
        <x:v>Unknown</x:v>
      </x:c>
      <x:c r="H192" s="17" t="str">
        <x:v>Not stated</x:v>
      </x:c>
      <x:c r="I192" s="11" t="str">
        <x:v>Not stated on map.</x:v>
      </x:c>
      <x:c r="J192" s="10" t="n">
        <x:v>53.2695</x:v>
      </x:c>
      <x:c r="K192" s="10" t="n">
        <x:v>-117.7928</x:v>
      </x:c>
      <x:c r="L192" s="8" t="str">
        <x:v>SW31-49-26-W5</x:v>
      </x:c>
      <x:c r="M192" s="11" t="str">
        <x:v>Boat Launch; Fire Pits; Firewood; Fish Cleaning; Dock/Pier; Toilets; Water</x:v>
      </x:c>
      <x:c r="N192" s="11" t="str">
        <x:v>Wildhorse Lake provides a hand launch.</x:v>
      </x:c>
      <x:c r="O192" s="8" t="n">
        <x:v>0</x:v>
      </x:c>
      <x:c r="P192" s="8" t="n">
        <x:v>9</x:v>
      </x:c>
      <x:c r="Q192" s="8" t="str">
        <x:v>https://www.google.com/maps/dir/?api=1&amp;destination=53.269491,-117.792759</x:v>
      </x:c>
      <x:c r="R192" s="8" t="str">
        <x:v>https://albertaregulations.ca/fishingregs/es3.html</x:v>
      </x:c>
    </x:row>
    <x:row r="193" ht="57" customHeight="1">
      <x:c r="A193" s="8" t="str">
        <x:v>Machesis Lake</x:v>
      </x:c>
      <x:c r="B193" s="8" t="str">
        <x:v>6750</x:v>
      </x:c>
      <x:c r="C193" s="8" t="str">
        <x:v>High Level</x:v>
      </x:c>
      <x:c r="D193" s="8" t="str">
        <x:v>NB3</x:v>
      </x:c>
      <x:c r="E193" s="16" t="n">
        <x:v>24.1</x:v>
      </x:c>
      <x:c r="F193" s="16" t="str">
        <x:v>Unknown</x:v>
      </x:c>
      <x:c r="G193" s="16" t="str">
        <x:v>Unknown</x:v>
      </x:c>
      <x:c r="H193" s="17" t="str">
        <x:v>Not stated</x:v>
      </x:c>
      <x:c r="I193" s="11" t="str">
        <x:v>Not stated on map.</x:v>
      </x:c>
      <x:c r="J193" s="10" t="n">
        <x:v>58.3249</x:v>
      </x:c>
      <x:c r="K193" s="10" t="n">
        <x:v>-116.5859</x:v>
      </x:c>
      <x:c r="L193" s="8" t="str">
        <x:v>NW27-107-16-W5</x:v>
      </x:c>
      <x:c r="M193" s="11" t="str">
        <x:v>Camping; Dock/Pier; Firewood; Fish Cleaning; Toilets; Boat Launch</x:v>
      </x:c>
      <x:c r="N193" s="11" t="str">
        <x:v>Campsite basics include fire pits, firewood, picnic tables and pit/vault toilets; also a picnic shelter, fish cleaning stand and sewage disposal station. There is a boat launch and a dock for fishing.</x:v>
      </x:c>
      <x:c r="O193" s="8" t="n">
        <x:v>1</x:v>
      </x:c>
      <x:c r="P193" s="8" t="n">
        <x:v>6</x:v>
      </x:c>
      <x:c r="Q193" s="8" t="str">
        <x:v>https://www.google.com/maps/dir/?api=1&amp;destination=58.324911,-116.585882</x:v>
      </x:c>
      <x:c r="R193" s="8" t="str">
        <x:v>https://albertaregulations.ca/fishingregs/nb3.html</x:v>
      </x:c>
    </x:row>
    <x:row r="194" ht="42" customHeight="1">
      <x:c r="A194" s="8" t="str">
        <x:v>Magrath Childrens Pond</x:v>
      </x:c>
      <x:c r="B194" s="8" t="str">
        <x:v>317719</x:v>
      </x:c>
      <x:c r="C194" s="8" t="str">
        <x:v>Cardston</x:v>
      </x:c>
      <x:c r="D194" s="8" t="str">
        <x:v>PP1</x:v>
      </x:c>
      <x:c r="E194" s="16" t="n">
        <x:v>3.7</x:v>
      </x:c>
      <x:c r="F194" s="16" t="str">
        <x:v>Unknown</x:v>
      </x:c>
      <x:c r="G194" s="16" t="str">
        <x:v>Unknown</x:v>
      </x:c>
      <x:c r="H194" s="17" t="str">
        <x:v>Not stated</x:v>
      </x:c>
      <x:c r="I194" s="11" t="str">
        <x:v>Not stated on map.</x:v>
      </x:c>
      <x:c r="J194" s="10" t="n">
        <x:v>49.4103</x:v>
      </x:c>
      <x:c r="K194" s="10" t="n">
        <x:v>-112.8647</x:v>
      </x:c>
      <x:c r="L194" s="8" t="str">
        <x:v>SW26-5-22-W4</x:v>
      </x:c>
      <x:c r="M194" s="11" t="str">
        <x:v>Day Use</x:v>
      </x:c>
      <x:c r="N194" s="11" t="str">
        <x:v>This is a children's fishing pond, only youth 16 and under may fish the pond. | Amenities notes: no open fires; foot access only.</x:v>
      </x:c>
      <x:c r="O194" s="8" t="n">
        <x:v>0</x:v>
      </x:c>
      <x:c r="P194" s="8" t="n">
        <x:v>10</x:v>
      </x:c>
      <x:c r="Q194" s="8" t="str">
        <x:v>https://www.google.com/maps/dir/?api=1&amp;destination=49.4103,-112.8647</x:v>
      </x:c>
      <x:c r="R194" s="8" t="str">
        <x:v>https://albertaregulations.ca/fishingregs/pp1.html</x:v>
      </x:c>
    </x:row>
    <x:row r="195" ht="42" customHeight="1">
      <x:c r="A195" s="8" t="str">
        <x:v>Mami Lake</x:v>
      </x:c>
      <x:c r="B195" s="8" t="str">
        <x:v>5513</x:v>
      </x:c>
      <x:c r="C195" s="8" t="str">
        <x:v>Cardston</x:v>
      </x:c>
      <x:c r="D195" s="8" t="str">
        <x:v>ES1</x:v>
      </x:c>
      <x:c r="E195" s="16" t="n">
        <x:v>219.2</x:v>
      </x:c>
      <x:c r="F195" s="16" t="str">
        <x:v>Unknown</x:v>
      </x:c>
      <x:c r="G195" s="16" t="str">
        <x:v>Unknown</x:v>
      </x:c>
      <x:c r="H195" s="17" t="str">
        <x:v>Not stated</x:v>
      </x:c>
      <x:c r="I195" s="11" t="str">
        <x:v>Not stated on map.</x:v>
      </x:c>
      <x:c r="J195" s="10" t="n">
        <x:v>49.1117</x:v>
      </x:c>
      <x:c r="K195" s="10" t="n">
        <x:v>-113.6558</x:v>
      </x:c>
      <x:c r="L195" s="8" t="str">
        <x:v>NE10-2-28-W4</x:v>
      </x:c>
      <x:c r="M195" s="11" t="str">
        <x:v>Day Use; Camping; Boat Launch; Fire Pits; Firewood; Dock/Pier; Toilets; Water</x:v>
      </x:c>
      <x:c r="N195" s="11" t="str">
        <x:v>The mountains of Waterton National Park that lie 4 km to the southwest provide a dramatic background for the lake.</x:v>
      </x:c>
      <x:c r="O195" s="8" t="n">
        <x:v>2</x:v>
      </x:c>
      <x:c r="P195" s="8" t="n">
        <x:v>66</x:v>
      </x:c>
      <x:c r="Q195" s="8" t="str">
        <x:v>https://www.google.com/maps/dir/?api=1&amp;destination=49.1117,-113.655837</x:v>
      </x:c>
      <x:c r="R195" s="8" t="str">
        <x:v>https://albertaregulations.ca/fishingregs/es1.html</x:v>
      </x:c>
    </x:row>
    <x:row r="196" ht="72" customHeight="1">
      <x:c r="A196" s="8" t="str">
        <x:v>Margaret Lake</x:v>
      </x:c>
      <x:c r="B196" s="8" t="str">
        <x:v>5223</x:v>
      </x:c>
      <x:c r="C196" s="8" t="str">
        <x:v>Canmore</x:v>
      </x:c>
      <x:c r="D196" s="8" t="str">
        <x:v>ES1</x:v>
      </x:c>
      <x:c r="E196" s="16" t="n">
        <x:v>6.1</x:v>
      </x:c>
      <x:c r="F196" s="16" t="str">
        <x:v>Unknown</x:v>
      </x:c>
      <x:c r="G196" s="16" t="str">
        <x:v>Unknown</x:v>
      </x:c>
      <x:c r="H196" s="17" t="str">
        <x:v>Not stated</x:v>
      </x:c>
      <x:c r="I196" s="11" t="str">
        <x:v>Not stated on map.</x:v>
      </x:c>
      <x:c r="J196" s="10" t="n">
        <x:v>51.4018</x:v>
      </x:c>
      <x:c r="K196" s="10" t="n">
        <x:v>-115.1854</x:v>
      </x:c>
      <x:c r="L196" s="8" t="str">
        <x:v>NW15-28-9-W5</x:v>
      </x:c>
      <x:c r="M196" s="11" t="str"/>
      <x:c r="N196" s="11" t="str">
        <x:v>Access to Margaret Lake is via the Forestry Trunk Road, continuing onto Waiparous Valley Road, which is very rough. The road terminates at a cutline, and the lake is accessible by ATV or UTV. The route leads directly to the lake, with an easy walk from the parking area to the waterbody. Travel time varies depending on road and trail conditions.</x:v>
      </x:c>
      <x:c r="O196" s="8" t="n">
        <x:v>6</x:v>
      </x:c>
      <x:c r="P196" s="8" t="n">
        <x:v>5</x:v>
      </x:c>
      <x:c r="Q196" s="8" t="str">
        <x:v>https://www.google.com/maps/dir/?api=1&amp;destination=51.40184499999999,-115.185439</x:v>
      </x:c>
      <x:c r="R196" s="8" t="str">
        <x:v>https://albertaregulations.ca/fishingregs/es1.html</x:v>
      </x:c>
    </x:row>
    <x:row r="197" ht="32" customHeight="1">
      <x:c r="A197" s="8" t="str">
        <x:v>Marigold Lake</x:v>
      </x:c>
      <x:c r="B197" s="8" t="str">
        <x:v>5232</x:v>
      </x:c>
      <x:c r="C197" s="8" t="str">
        <x:v>Swan Hills</x:v>
      </x:c>
      <x:c r="D197" s="8" t="str">
        <x:v>NB2</x:v>
      </x:c>
      <x:c r="E197" s="16" t="n">
        <x:v>32.1</x:v>
      </x:c>
      <x:c r="F197" s="16" t="str">
        <x:v>Unknown</x:v>
      </x:c>
      <x:c r="G197" s="16" t="str">
        <x:v>Unknown</x:v>
      </x:c>
      <x:c r="H197" s="17" t="str">
        <x:v>Not stated</x:v>
      </x:c>
      <x:c r="I197" s="11" t="str">
        <x:v>Not stated on map.</x:v>
      </x:c>
      <x:c r="J197" s="10" t="n">
        <x:v>54.6718</x:v>
      </x:c>
      <x:c r="K197" s="10" t="n">
        <x:v>-115.6283</x:v>
      </x:c>
      <x:c r="L197" s="8" t="str">
        <x:v>NW32-65-11-W5</x:v>
      </x:c>
      <x:c r="M197" s="11" t="str"/>
      <x:c r="N197" s="11" t="str">
        <x:v>This lake is helicopter stocked and is more accessible with ATV's.</x:v>
      </x:c>
      <x:c r="O197" s="8" t="n">
        <x:v>0</x:v>
      </x:c>
      <x:c r="P197" s="8" t="n">
        <x:v>5</x:v>
      </x:c>
      <x:c r="Q197" s="8" t="str">
        <x:v>https://www.google.com/maps/dir/?api=1&amp;destination=54.67177599999999,-115.628279</x:v>
      </x:c>
      <x:c r="R197" s="8" t="str">
        <x:v>https://albertaregulations.ca/fishingregs/nb2.html</x:v>
      </x:c>
    </x:row>
    <x:row r="198" ht="32" customHeight="1">
      <x:c r="A198" s="8" t="str">
        <x:v>Mary Gregg Lake</x:v>
      </x:c>
      <x:c r="B198" s="8" t="str">
        <x:v>5245</x:v>
      </x:c>
      <x:c r="C198" s="8" t="str">
        <x:v>Hinton</x:v>
      </x:c>
      <x:c r="D198" s="8" t="str">
        <x:v>ES3</x:v>
      </x:c>
      <x:c r="E198" s="16" t="n">
        <x:v>11</x:v>
      </x:c>
      <x:c r="F198" s="16" t="n">
        <x:v>13</x:v>
      </x:c>
      <x:c r="G198" s="16" t="str">
        <x:v>Unknown</x:v>
      </x:c>
      <x:c r="H198" s="17" t="str">
        <x:v>Not stated</x:v>
      </x:c>
      <x:c r="I198" s="11" t="str">
        <x:v>Not stated on map.</x:v>
      </x:c>
      <x:c r="J198" s="10" t="n">
        <x:v>53.1126</x:v>
      </x:c>
      <x:c r="K198" s="10" t="n">
        <x:v>-117.4541</x:v>
      </x:c>
      <x:c r="L198" s="8" t="str">
        <x:v>NW4-48-24-W5</x:v>
      </x:c>
      <x:c r="M198" s="11" t="str"/>
      <x:c r="N198" s="11" t="str">
        <x:v>Mary Gregg Lake is a popular fishing lake for local fishermen.</x:v>
      </x:c>
      <x:c r="O198" s="8" t="n">
        <x:v>0</x:v>
      </x:c>
      <x:c r="P198" s="8" t="n">
        <x:v>6</x:v>
      </x:c>
      <x:c r="Q198" s="8" t="str">
        <x:v>https://www.google.com/maps/dir/?api=1&amp;destination=53.112602,-117.454064</x:v>
      </x:c>
      <x:c r="R198" s="8" t="str">
        <x:v>https://albertaregulations.ca/fishingregs/es3.html</x:v>
      </x:c>
    </x:row>
    <x:row r="199" ht="42" customHeight="1">
      <x:c r="A199" s="8" t="str">
        <x:v>Maude Lake</x:v>
      </x:c>
      <x:c r="B199" s="8" t="str">
        <x:v>5253</x:v>
      </x:c>
      <x:c r="C199" s="8" t="str">
        <x:v>Canmore</x:v>
      </x:c>
      <x:c r="D199" s="8" t="str">
        <x:v>ES1</x:v>
      </x:c>
      <x:c r="E199" s="16" t="n">
        <x:v>125</x:v>
      </x:c>
      <x:c r="F199" s="16" t="str">
        <x:v>Unknown</x:v>
      </x:c>
      <x:c r="G199" s="16" t="str">
        <x:v>Unknown</x:v>
      </x:c>
      <x:c r="H199" s="17" t="str">
        <x:v>Not stated</x:v>
      </x:c>
      <x:c r="I199" s="11" t="str">
        <x:v>Not stated on map.</x:v>
      </x:c>
      <x:c r="J199" s="10" t="n">
        <x:v>50.6893</x:v>
      </x:c>
      <x:c r="K199" s="10" t="n">
        <x:v>-115.2932</x:v>
      </x:c>
      <x:c r="L199" s="8" t="str">
        <x:v>SW14-20-10-W5</x:v>
      </x:c>
      <x:c r="M199" s="11" t="str"/>
      <x:c r="N199" s="11" t="str">
        <x:v>Maude Lake is located almost on top North Kananaskis Pass. It's accessed via the Turbine Canyon trail. The Turbine backcountry campground which is only about 2kms away.</x:v>
      </x:c>
      <x:c r="O199" s="8" t="n">
        <x:v>0</x:v>
      </x:c>
      <x:c r="P199" s="8" t="n">
        <x:v>2</x:v>
      </x:c>
      <x:c r="Q199" s="8" t="str">
        <x:v>https://www.google.com/maps/dir/?api=1&amp;destination=50.68932299999999,-115.293158</x:v>
      </x:c>
      <x:c r="R199" s="8" t="str">
        <x:v>https://albertaregulations.ca/fishingregs/es1.html</x:v>
      </x:c>
    </x:row>
    <x:row r="200" ht="32" customHeight="1">
      <x:c r="A200" s="8" t="str">
        <x:v>Mayan Lake</x:v>
      </x:c>
      <x:c r="B200" s="8" t="str">
        <x:v>19525</x:v>
      </x:c>
      <x:c r="C200" s="8" t="str">
        <x:v>Hinton</x:v>
      </x:c>
      <x:c r="D200" s="8" t="str">
        <x:v>ES3</x:v>
      </x:c>
      <x:c r="E200" s="16" t="n">
        <x:v>6.7</x:v>
      </x:c>
      <x:c r="F200" s="16" t="n">
        <x:v>65</x:v>
      </x:c>
      <x:c r="G200" s="16" t="str">
        <x:v>Unknown</x:v>
      </x:c>
      <x:c r="H200" s="17" t="str">
        <x:v>Not stated</x:v>
      </x:c>
      <x:c r="I200" s="11" t="str">
        <x:v>Not stated on map.</x:v>
      </x:c>
      <x:c r="J200" s="10" t="n">
        <x:v>53.9021</x:v>
      </x:c>
      <x:c r="K200" s="10" t="n">
        <x:v>-117.3898</x:v>
      </x:c>
      <x:c r="L200" s="8" t="str">
        <x:v>NW5-57-23-W5</x:v>
      </x:c>
      <x:c r="M200" s="11" t="str"/>
      <x:c r="N200" s="11" t="str">
        <x:v>This lake can only be accessed by ATV or by hiking.</x:v>
      </x:c>
      <x:c r="O200" s="8" t="n">
        <x:v>8</x:v>
      </x:c>
      <x:c r="P200" s="8" t="n">
        <x:v>6</x:v>
      </x:c>
      <x:c r="Q200" s="8" t="str">
        <x:v>https://www.google.com/maps/dir/?api=1&amp;destination=53.902144,-117.38983</x:v>
      </x:c>
      <x:c r="R200" s="8" t="str">
        <x:v>https://albertaregulations.ca/fishingregs/es3.html</x:v>
      </x:c>
    </x:row>
    <x:row r="201" ht="57" customHeight="1">
      <x:c r="A201" s="8" t="str">
        <x:v>Mcclennan Reservoir</x:v>
      </x:c>
      <x:c r="B201" s="8" t="str">
        <x:v>6753</x:v>
      </x:c>
      <x:c r="C201" s="8" t="str">
        <x:v>Valleyview</x:v>
      </x:c>
      <x:c r="D201" s="8" t="str">
        <x:v>NB2</x:v>
      </x:c>
      <x:c r="E201" s="16" t="n">
        <x:v>1.2</x:v>
      </x:c>
      <x:c r="F201" s="16" t="n">
        <x:v>7</x:v>
      </x:c>
      <x:c r="G201" s="16" t="str">
        <x:v>Unknown</x:v>
      </x:c>
      <x:c r="H201" s="17" t="str">
        <x:v>Not stated</x:v>
      </x:c>
      <x:c r="I201" s="11" t="str">
        <x:v>Not stated on map.</x:v>
      </x:c>
      <x:c r="J201" s="10" t="n">
        <x:v>55.7098</x:v>
      </x:c>
      <x:c r="K201" s="10" t="n">
        <x:v>-116.9198</x:v>
      </x:c>
      <x:c r="L201" s="8" t="str">
        <x:v>SW32-77-19-W5</x:v>
      </x:c>
      <x:c r="M201" s="11" t="str">
        <x:v>Washrooms; Showers; Sewage Disposal; Playground; Firewood; Shelter; Day Use; Picnic; Day Use Picnic; Water</x:v>
      </x:c>
      <x:c r="N201" s="11" t="str">
        <x:v>The campground is open May 1st to September 30th, but fishing is accessible all year around. Check you local regulations before you go! | Amenities notes: Power sites</x:v>
      </x:c>
      <x:c r="O201" s="8" t="n">
        <x:v>0</x:v>
      </x:c>
      <x:c r="P201" s="8" t="n">
        <x:v>6</x:v>
      </x:c>
      <x:c r="Q201" s="8" t="str">
        <x:v>https://www.google.com/maps/dir/?api=1&amp;destination=55.709784,-116.919773</x:v>
      </x:c>
      <x:c r="R201" s="8" t="str">
        <x:v>https://albertaregulations.ca/fishingregs/nb2.html</x:v>
      </x:c>
    </x:row>
    <x:row r="202" ht="72" customHeight="1">
      <x:c r="A202" s="8" t="str">
        <x:v>Mcgregor Reservoir</x:v>
      </x:c>
      <x:c r="B202" s="8" t="str">
        <x:v>5275</x:v>
      </x:c>
      <x:c r="C202" s="8" t="str">
        <x:v>Vulcan</x:v>
      </x:c>
      <x:c r="D202" s="8" t="str">
        <x:v>PP1</x:v>
      </x:c>
      <x:c r="E202" s="16" t="n">
        <x:v>4730.9</x:v>
      </x:c>
      <x:c r="F202" s="16" t="str">
        <x:v>Unknown</x:v>
      </x:c>
      <x:c r="G202" s="16" t="str">
        <x:v>Unknown</x:v>
      </x:c>
      <x:c r="H202" s="17" t="str">
        <x:v>Not stated</x:v>
      </x:c>
      <x:c r="I202" s="11" t="str">
        <x:v>Not stated on map.</x:v>
      </x:c>
      <x:c r="J202" s="10" t="n">
        <x:v>50.4752</x:v>
      </x:c>
      <x:c r="K202" s="10" t="n">
        <x:v>-112.8638</x:v>
      </x:c>
      <x:c r="L202" s="8" t="str">
        <x:v>SW32-17-21-W4</x:v>
      </x:c>
      <x:c r="M202" s="11" t="str">
        <x:v>Boating; Water; Paddling; Paddling Canoe</x:v>
      </x:c>
      <x:c r="N202" s="11" t="str">
        <x:v>There are about 100 sites suitable for RVs and tents. Camp on the prairies near the lakeside where you can escape the summer heat. Sailing, wind surfing, water skiing, canoeing and fishing are popular activities in and around the waterbody. | Amenities notes: wind surfing</x:v>
      </x:c>
      <x:c r="O202" s="8" t="n">
        <x:v>0</x:v>
      </x:c>
      <x:c r="P202" s="8" t="n">
        <x:v>13</x:v>
      </x:c>
      <x:c r="Q202" s="8" t="str">
        <x:v>https://www.google.com/maps/dir/?api=1&amp;destination=50.475205,-112.86378</x:v>
      </x:c>
      <x:c r="R202" s="8" t="str">
        <x:v>https://albertaregulations.ca/fishingregs/pp1.html</x:v>
      </x:c>
    </x:row>
    <x:row r="203" ht="72" customHeight="1">
      <x:c r="A203" s="8" t="str">
        <x:v>McLaren's Reservoir</x:v>
      </x:c>
      <x:c r="B203" s="8" t="str">
        <x:v>6755</x:v>
      </x:c>
      <x:c r="C203" s="8" t="str">
        <x:v>Drumheller</x:v>
      </x:c>
      <x:c r="D203" s="8" t="str">
        <x:v>PP2</x:v>
      </x:c>
      <x:c r="E203" s="16" t="n">
        <x:v>22.2</x:v>
      </x:c>
      <x:c r="F203" s="16" t="n">
        <x:v>7</x:v>
      </x:c>
      <x:c r="G203" s="16" t="n">
        <x:v>4</x:v>
      </x:c>
      <x:c r="H203" s="17" t="str">
        <x:v>Not stated</x:v>
      </x:c>
      <x:c r="I203" s="11" t="str">
        <x:v>Not stated on map.</x:v>
      </x:c>
      <x:c r="J203" s="10" t="n">
        <x:v>51.8401</x:v>
      </x:c>
      <x:c r="K203" s="10" t="n">
        <x:v>-112.4513</x:v>
      </x:c>
      <x:c r="L203" s="8" t="str">
        <x:v>SW23-33-18-W4</x:v>
      </x:c>
      <x:c r="M203" s="11" t="str">
        <x:v>Toilets; Fire Pits; Firewood; Water; Camping; Shelter</x:v>
      </x:c>
      <x:c r="N203" s="11" t="str">
        <x:v>The McLaren Dam Recreation Area features 27 sites (15 with power), outhouse toilets, fire pits, free firewood, drinking water, a camp kitchen, and access to fishing for stocked trout. | Amenities notes: McLaren Dam Recreation Area features 27 sites (15 with power)</x:v>
      </x:c>
      <x:c r="O203" s="8" t="n">
        <x:v>5</x:v>
      </x:c>
      <x:c r="P203" s="8" t="n">
        <x:v>10</x:v>
      </x:c>
      <x:c r="Q203" s="8" t="str">
        <x:v>https://www.google.com/maps/dir/?api=1&amp;destination=51.840076,-112.45129</x:v>
      </x:c>
      <x:c r="R203" s="8" t="str">
        <x:v>https://albertaregulations.ca/fishingregs/pp2.html</x:v>
      </x:c>
    </x:row>
    <x:row r="204" ht="42" customHeight="1">
      <x:c r="A204" s="8" t="str">
        <x:v>McLean Pond</x:v>
      </x:c>
      <x:c r="B204" s="8" t="str">
        <x:v>3522</x:v>
      </x:c>
      <x:c r="C204" s="8" t="str">
        <x:v>Cochrane</x:v>
      </x:c>
      <x:c r="D204" s="8" t="str">
        <x:v>ES1</x:v>
      </x:c>
      <x:c r="E204" s="16" t="n">
        <x:v>1.9</x:v>
      </x:c>
      <x:c r="F204" s="16" t="str">
        <x:v>Unknown</x:v>
      </x:c>
      <x:c r="G204" s="16" t="str">
        <x:v>Unknown</x:v>
      </x:c>
      <x:c r="H204" s="17" t="str">
        <x:v>Not stated</x:v>
      </x:c>
      <x:c r="I204" s="11" t="str">
        <x:v>Not stated on map.</x:v>
      </x:c>
      <x:c r="J204" s="10" t="n">
        <x:v>50.8881</x:v>
      </x:c>
      <x:c r="K204" s="10" t="n">
        <x:v>-114.6691</x:v>
      </x:c>
      <x:c r="L204" s="8" t="str">
        <x:v>NW20-22-5-W5</x:v>
      </x:c>
      <x:c r="M204" s="11" t="str">
        <x:v>Picnic; Fire Pits; Toilets; Playground; Sewage Disposal; Water; Day Use</x:v>
      </x:c>
      <x:c r="N204" s="11" t="str">
        <x:v>Day use area with fishing, hiking and picnic area.</x:v>
      </x:c>
      <x:c r="O204" s="8" t="n">
        <x:v>0</x:v>
      </x:c>
      <x:c r="P204" s="8" t="n">
        <x:v>13</x:v>
      </x:c>
      <x:c r="Q204" s="8" t="str">
        <x:v>https://www.google.com/maps/dir/?api=1&amp;destination=50.888074,-114.669068</x:v>
      </x:c>
      <x:c r="R204" s="8" t="str">
        <x:v>https://albertaregulations.ca/fishingregs/es1.html</x:v>
      </x:c>
    </x:row>
    <x:row r="205" ht="42" customHeight="1">
      <x:c r="A205" s="8" t="str">
        <x:v>McQuillan Reservoir</x:v>
      </x:c>
      <x:c r="B205" s="8" t="str">
        <x:v>6757</x:v>
      </x:c>
      <x:c r="C205" s="8" t="str">
        <x:v>Lethbridge</x:v>
      </x:c>
      <x:c r="D205" s="8" t="str">
        <x:v>PP1</x:v>
      </x:c>
      <x:c r="E205" s="16" t="n">
        <x:v>1.9</x:v>
      </x:c>
      <x:c r="F205" s="16" t="str">
        <x:v>Unknown</x:v>
      </x:c>
      <x:c r="G205" s="16" t="str">
        <x:v>Unknown</x:v>
      </x:c>
      <x:c r="H205" s="17" t="str">
        <x:v>Not stated</x:v>
      </x:c>
      <x:c r="I205" s="11" t="str">
        <x:v>Not stated on map.</x:v>
      </x:c>
      <x:c r="J205" s="10" t="n">
        <x:v>49.6471</x:v>
      </x:c>
      <x:c r="K205" s="10" t="n">
        <x:v>-112.4593</x:v>
      </x:c>
      <x:c r="L205" s="8" t="str">
        <x:v>SW13-8-19-W4</x:v>
      </x:c>
      <x:c r="M205" s="11" t="str">
        <x:v>Day Use</x:v>
      </x:c>
      <x:c r="N205" s="11" t="str">
        <x:v>ACA annually stocks this pond with trout, typically before the May long weekend. | Amenities notes: no open fires; foot access only.</x:v>
      </x:c>
      <x:c r="O205" s="8" t="n">
        <x:v>0</x:v>
      </x:c>
      <x:c r="P205" s="8" t="n">
        <x:v>10</x:v>
      </x:c>
      <x:c r="Q205" s="8" t="str">
        <x:v>https://www.google.com/maps/dir/?api=1&amp;destination=49.64707,-112.45932</x:v>
      </x:c>
      <x:c r="R205" s="8" t="str">
        <x:v>https://albertaregulations.ca/fishingregs/pp1.html</x:v>
      </x:c>
    </x:row>
    <x:row r="206" ht="32" customHeight="1">
      <x:c r="A206" s="8" t="str">
        <x:v>McVinnie Reservoir</x:v>
      </x:c>
      <x:c r="B206" s="8" t="str">
        <x:v>6758</x:v>
      </x:c>
      <x:c r="C206" s="8" t="str">
        <x:v>Lethbridge</x:v>
      </x:c>
      <x:c r="D206" s="8" t="str">
        <x:v>PP1</x:v>
      </x:c>
      <x:c r="E206" s="16" t="n">
        <x:v>4</x:v>
      </x:c>
      <x:c r="F206" s="16" t="str">
        <x:v>Unknown</x:v>
      </x:c>
      <x:c r="G206" s="16" t="str">
        <x:v>Unknown</x:v>
      </x:c>
      <x:c r="H206" s="17" t="str">
        <x:v>Not stated</x:v>
      </x:c>
      <x:c r="I206" s="11" t="str">
        <x:v>Not stated on map.</x:v>
      </x:c>
      <x:c r="J206" s="10" t="n">
        <x:v>50.0354</x:v>
      </x:c>
      <x:c r="K206" s="10" t="n">
        <x:v>-112.8167</x:v>
      </x:c>
      <x:c r="L206" s="8" t="str">
        <x:v>SW33-12-21-W4</x:v>
      </x:c>
      <x:c r="M206" s="11" t="str">
        <x:v>Parking; Toilets; Day Use</x:v>
      </x:c>
      <x:c r="N206" s="11" t="str">
        <x:v>ACA annually stocks this pond with trout, typically before the May long weekend.</x:v>
      </x:c>
      <x:c r="O206" s="8" t="n">
        <x:v>2</x:v>
      </x:c>
      <x:c r="P206" s="8" t="n">
        <x:v>17</x:v>
      </x:c>
      <x:c r="Q206" s="8" t="str">
        <x:v>https://www.google.com/maps/dir/?api=1&amp;destination=50.035398,-112.816726</x:v>
      </x:c>
      <x:c r="R206" s="8" t="str">
        <x:v>https://albertaregulations.ca/fishingregs/pp1.html</x:v>
      </x:c>
    </x:row>
    <x:row r="207" ht="32" customHeight="1">
      <x:c r="A207" s="8" t="str">
        <x:v>MD Peace Pond #1</x:v>
      </x:c>
      <x:c r="B207" s="8" t="str">
        <x:v>6721</x:v>
      </x:c>
      <x:c r="C207" s="8" t="str">
        <x:v>Peace River</x:v>
      </x:c>
      <x:c r="D207" s="8" t="str">
        <x:v>NB3</x:v>
      </x:c>
      <x:c r="E207" s="16" t="n">
        <x:v>1.1</x:v>
      </x:c>
      <x:c r="F207" s="16" t="n">
        <x:v>5</x:v>
      </x:c>
      <x:c r="G207" s="16" t="str">
        <x:v>Unknown</x:v>
      </x:c>
      <x:c r="H207" s="17" t="str">
        <x:v>Not stated</x:v>
      </x:c>
      <x:c r="I207" s="11" t="str">
        <x:v>Not stated on map.</x:v>
      </x:c>
      <x:c r="J207" s="10" t="n">
        <x:v>56.2225</x:v>
      </x:c>
      <x:c r="K207" s="10" t="n">
        <x:v>-117.5562</x:v>
      </x:c>
      <x:c r="L207" s="8" t="str">
        <x:v>SW27-83-23-W5</x:v>
      </x:c>
      <x:c r="M207" s="11" t="str"/>
      <x:c r="N207" s="11" t="str">
        <x:v>The Peace Ponds are a great for fly fishing.</x:v>
      </x:c>
      <x:c r="O207" s="8" t="n">
        <x:v>1</x:v>
      </x:c>
      <x:c r="P207" s="8" t="n">
        <x:v>6</x:v>
      </x:c>
      <x:c r="Q207" s="8" t="str">
        <x:v>https://www.google.com/maps/dir/?api=1&amp;destination=56.222511,-117.556197</x:v>
      </x:c>
      <x:c r="R207" s="8" t="str">
        <x:v>https://albertaregulations.ca/fishingregs/nb3.html</x:v>
      </x:c>
    </x:row>
    <x:row r="208" ht="32" customHeight="1">
      <x:c r="A208" s="8" t="str">
        <x:v>MD Peace Pond #2</x:v>
      </x:c>
      <x:c r="B208" s="8" t="str">
        <x:v>22995</x:v>
      </x:c>
      <x:c r="C208" s="8" t="str">
        <x:v>Peace River</x:v>
      </x:c>
      <x:c r="D208" s="8" t="str">
        <x:v>NB3</x:v>
      </x:c>
      <x:c r="E208" s="16" t="n">
        <x:v>9</x:v>
      </x:c>
      <x:c r="F208" s="16" t="n">
        <x:v>4</x:v>
      </x:c>
      <x:c r="G208" s="16" t="str">
        <x:v>Unknown</x:v>
      </x:c>
      <x:c r="H208" s="17" t="str">
        <x:v>Not stated</x:v>
      </x:c>
      <x:c r="I208" s="11" t="str">
        <x:v>Not stated on map.</x:v>
      </x:c>
      <x:c r="J208" s="10" t="n">
        <x:v>56.2242</x:v>
      </x:c>
      <x:c r="K208" s="10" t="n">
        <x:v>-117.5531</x:v>
      </x:c>
      <x:c r="L208" s="8" t="str">
        <x:v>SW27-83-23-W5</x:v>
      </x:c>
      <x:c r="M208" s="11" t="str"/>
      <x:c r="N208" s="11" t="str">
        <x:v>The Peace Ponds are a great for fly fishing.</x:v>
      </x:c>
      <x:c r="O208" s="8" t="n">
        <x:v>4</x:v>
      </x:c>
      <x:c r="P208" s="8" t="n">
        <x:v>6</x:v>
      </x:c>
      <x:c r="Q208" s="8" t="str">
        <x:v>https://www.google.com/maps/dir/?api=1&amp;destination=56.224205,-117.553092</x:v>
      </x:c>
      <x:c r="R208" s="8" t="str">
        <x:v>https://albertaregulations.ca/fishingregs/nb3.html</x:v>
      </x:c>
    </x:row>
    <x:row r="209" ht="72" customHeight="1">
      <x:c r="A209" s="8" t="str">
        <x:v>Medley River</x:v>
      </x:c>
      <x:c r="B209" s="8" t="str">
        <x:v>2129</x:v>
      </x:c>
      <x:c r="C209" s="8" t="str">
        <x:v>Cold Lake</x:v>
      </x:c>
      <x:c r="D209" s="8" t="str">
        <x:v>NB1</x:v>
      </x:c>
      <x:c r="E209" s="16" t="str">
        <x:v>Unknown</x:v>
      </x:c>
      <x:c r="F209" s="16" t="str">
        <x:v>Unknown</x:v>
      </x:c>
      <x:c r="G209" s="16" t="str">
        <x:v>Unknown</x:v>
      </x:c>
      <x:c r="H209" s="17" t="str">
        <x:v>Not stated</x:v>
      </x:c>
      <x:c r="I209" s="11" t="str">
        <x:v>Not stated on map.</x:v>
      </x:c>
      <x:c r="J209" s="10" t="n">
        <x:v>54.6042</x:v>
      </x:c>
      <x:c r="K209" s="10" t="n">
        <x:v>-110.1865</x:v>
      </x:c>
      <x:c r="L209" s="8" t="str">
        <x:v>SE11-65-2-W4</x:v>
      </x:c>
      <x:c r="M209" s="11" t="str">
        <x:v>Beach; Parking; Toilets</x:v>
      </x:c>
      <x:c r="N209" s="11" t="str">
        <x:v>Medley River Beach is a fantastic day use beach on the west shores of Cold Lake Like most Cold Lake beaches, the sand is plentiful and this beach is on a spit of land. This is a popular beach in July and August for those seeking a day trip and enjoy some stocked trout fishing. | Amenities notes: waste receptacles</x:v>
      </x:c>
      <x:c r="O209" s="8" t="n">
        <x:v>2</x:v>
      </x:c>
      <x:c r="P209" s="8" t="n">
        <x:v>6</x:v>
      </x:c>
      <x:c r="Q209" s="8" t="str">
        <x:v>https://www.google.com/maps/dir/?api=1&amp;destination=54.604201,-110.186494</x:v>
      </x:c>
      <x:c r="R209" s="8" t="str">
        <x:v>https://albertaregulations.ca/fishingregs/nb1.html</x:v>
      </x:c>
    </x:row>
    <x:row r="210" ht="32" customHeight="1">
      <x:c r="A210" s="8" t="str">
        <x:v>Michel Creek Reservoir</x:v>
      </x:c>
      <x:c r="B210" s="8" t="str">
        <x:v>3523</x:v>
      </x:c>
      <x:c r="C210" s="8" t="str">
        <x:v>Medicine Hat</x:v>
      </x:c>
      <x:c r="D210" s="8" t="str">
        <x:v>PP1</x:v>
      </x:c>
      <x:c r="E210" s="16" t="n">
        <x:v>23.1</x:v>
      </x:c>
      <x:c r="F210" s="16" t="n">
        <x:v>4</x:v>
      </x:c>
      <x:c r="G210" s="16" t="str">
        <x:v>Unknown</x:v>
      </x:c>
      <x:c r="H210" s="17" t="str">
        <x:v>Not stated</x:v>
      </x:c>
      <x:c r="I210" s="11" t="str">
        <x:v>Not stated on map.</x:v>
      </x:c>
      <x:c r="J210" s="10" t="n">
        <x:v>49.5313</x:v>
      </x:c>
      <x:c r="K210" s="10" t="n">
        <x:v>-110.3723</x:v>
      </x:c>
      <x:c r="L210" s="8" t="str">
        <x:v>NE5-7-3-W4</x:v>
      </x:c>
      <x:c r="M210" s="11" t="str">
        <x:v>Day Use; Toilets</x:v>
      </x:c>
      <x:c r="N210" s="11" t="str">
        <x:v>Ice fishing access can be difficult at times due to snow accumulation and drifting.</x:v>
      </x:c>
      <x:c r="O210" s="8" t="n">
        <x:v>2</x:v>
      </x:c>
      <x:c r="P210" s="8" t="n">
        <x:v>18</x:v>
      </x:c>
      <x:c r="Q210" s="8" t="str">
        <x:v>https://www.google.com/maps/dir/?api=1&amp;destination=49.53128299999999,-110.372274</x:v>
      </x:c>
      <x:c r="R210" s="8" t="str">
        <x:v>https://albertaregulations.ca/fishingregs/pp1.html</x:v>
      </x:c>
    </x:row>
    <x:row r="211" ht="87" customHeight="1">
      <x:c r="A211" s="8" t="str">
        <x:v>Michichi Reservoir</x:v>
      </x:c>
      <x:c r="B211" s="8" t="str">
        <x:v>3524</x:v>
      </x:c>
      <x:c r="C211" s="8" t="str">
        <x:v>Drumheller</x:v>
      </x:c>
      <x:c r="D211" s="8" t="str">
        <x:v>PP2</x:v>
      </x:c>
      <x:c r="E211" s="16" t="n">
        <x:v>15.6</x:v>
      </x:c>
      <x:c r="F211" s="16" t="n">
        <x:v>6</x:v>
      </x:c>
      <x:c r="G211" s="16" t="n">
        <x:v>4</x:v>
      </x:c>
      <x:c r="H211" s="17" t="str">
        <x:v>Not stated</x:v>
      </x:c>
      <x:c r="I211" s="11" t="str">
        <x:v>Not stated on map.</x:v>
      </x:c>
      <x:c r="J211" s="10" t="n">
        <x:v>51.5826</x:v>
      </x:c>
      <x:c r="K211" s="10" t="n">
        <x:v>-112.5295</x:v>
      </x:c>
      <x:c r="L211" s="8" t="str">
        <x:v>SW19-30-18-W4</x:v>
      </x:c>
      <x:c r="M211" s="11" t="str">
        <x:v>Camping; Camping Group; Water; Shelter; Firewood; Showers; Sewage Disposal; Playground; Picnic</x:v>
      </x:c>
      <x:c r="N211" s="11" t="str">
        <x:v>Michichi Dam Recreation Area has 18 formal power campsites complete with fire pits and picnic tables. There are also 20 overflow campsites, group camping areas, and camp kitchen facilities. There are coin-operated shower facilities with handicap access. There is an RV water and sewer station available for your convenience. Ice fishing is accessible in the winter, but beware of drifting snow when traveling down to the boat launch.</x:v>
      </x:c>
      <x:c r="O211" s="8" t="n">
        <x:v>16</x:v>
      </x:c>
      <x:c r="P211" s="8" t="n">
        <x:v>17</x:v>
      </x:c>
      <x:c r="Q211" s="8" t="str">
        <x:v>https://www.google.com/maps/dir/?api=1&amp;destination=51.58264699999999,-112.52946</x:v>
      </x:c>
      <x:c r="R211" s="8" t="str">
        <x:v>https://albertaregulations.ca/fishingregs/pp2.html</x:v>
      </x:c>
    </x:row>
    <x:row r="212" ht="42" customHeight="1">
      <x:c r="A212" s="8" t="str">
        <x:v>Middle Pierre Greys Lake</x:v>
      </x:c>
      <x:c r="B212" s="8" t="str">
        <x:v>6533</x:v>
      </x:c>
      <x:c r="C212" s="8" t="str">
        <x:v>Grande Cache</x:v>
      </x:c>
      <x:c r="D212" s="8" t="str">
        <x:v>ES4</x:v>
      </x:c>
      <x:c r="E212" s="16" t="n">
        <x:v>29.6</x:v>
      </x:c>
      <x:c r="F212" s="16" t="n">
        <x:v>6</x:v>
      </x:c>
      <x:c r="G212" s="16" t="str">
        <x:v>Unknown</x:v>
      </x:c>
      <x:c r="H212" s="17" t="str">
        <x:v>Not stated</x:v>
      </x:c>
      <x:c r="I212" s="11" t="str">
        <x:v>Not stated on map.</x:v>
      </x:c>
      <x:c r="J212" s="10" t="n">
        <x:v>53.9014</x:v>
      </x:c>
      <x:c r="K212" s="10" t="n">
        <x:v>-118.5887</x:v>
      </x:c>
      <x:c r="L212" s="8" t="str">
        <x:v>NW6-57-4-W6</x:v>
      </x:c>
      <x:c r="M212" s="11" t="str">
        <x:v>Dock/Pier; Water; Boat Launch; Shelter; Fire Pits; Firewood; Fish Cleaning; Toilets</x:v>
      </x:c>
      <x:c r="N212" s="11" t="str">
        <x:v>Electric motor or hand launch boats allowed on the lake.</x:v>
      </x:c>
      <x:c r="O212" s="8" t="n">
        <x:v>1</x:v>
      </x:c>
      <x:c r="P212" s="8" t="n">
        <x:v>7</x:v>
      </x:c>
      <x:c r="Q212" s="8" t="str">
        <x:v>https://www.google.com/maps/dir/?api=1&amp;destination=53.90135,-118.588692</x:v>
      </x:c>
      <x:c r="R212" s="8" t="str">
        <x:v>https://albertaregulations.ca/fishingregs/es4.html</x:v>
      </x:c>
    </x:row>
    <x:row r="213" ht="32" customHeight="1">
      <x:c r="A213" s="8" t="str">
        <x:v>Midway Reservoir</x:v>
      </x:c>
      <x:c r="B213" s="8" t="str">
        <x:v>6741</x:v>
      </x:c>
      <x:c r="C213" s="8" t="str">
        <x:v>Olds</x:v>
      </x:c>
      <x:c r="D213" s="8" t="str">
        <x:v>PP2</x:v>
      </x:c>
      <x:c r="E213" s="16" t="n">
        <x:v>23.1</x:v>
      </x:c>
      <x:c r="F213" s="16" t="str">
        <x:v>Unknown</x:v>
      </x:c>
      <x:c r="G213" s="16" t="str">
        <x:v>Unknown</x:v>
      </x:c>
      <x:c r="H213" s="17" t="str">
        <x:v>Not stated</x:v>
      </x:c>
      <x:c r="I213" s="11" t="str">
        <x:v>Not stated on map.</x:v>
      </x:c>
      <x:c r="J213" s="10" t="n">
        <x:v>51.5657</x:v>
      </x:c>
      <x:c r="K213" s="10" t="n">
        <x:v>-113.7352</x:v>
      </x:c>
      <x:c r="L213" s="8" t="str">
        <x:v>SE16-30-27-W4</x:v>
      </x:c>
      <x:c r="M213" s="11" t="str">
        <x:v>Picnic; Toilets; Day Use</x:v>
      </x:c>
      <x:c r="N213" s="11" t="str">
        <x:v>ACA annually stocks this pond with trout, typically before the May long weekend.</x:v>
      </x:c>
      <x:c r="O213" s="8" t="n">
        <x:v>0</x:v>
      </x:c>
      <x:c r="P213" s="8" t="n">
        <x:v>5</x:v>
      </x:c>
      <x:c r="Q213" s="8" t="str">
        <x:v>https://www.google.com/maps/dir/?api=1&amp;destination=51.56568499999999,-113.735238</x:v>
      </x:c>
      <x:c r="R213" s="8" t="str">
        <x:v>https://albertaregulations.ca/fishingregs/pp2.html</x:v>
      </x:c>
    </x:row>
    <x:row r="214" ht="32" customHeight="1">
      <x:c r="A214" s="8" t="str">
        <x:v>Mile 07 Lake</x:v>
      </x:c>
      <x:c r="B214" s="8" t="str">
        <x:v>6642</x:v>
      </x:c>
      <x:c r="C214" s="8" t="str">
        <x:v>Lac La Biche</x:v>
      </x:c>
      <x:c r="D214" s="8" t="str">
        <x:v>NB1</x:v>
      </x:c>
      <x:c r="E214" s="16" t="n">
        <x:v>26.2</x:v>
      </x:c>
      <x:c r="F214" s="16" t="n">
        <x:v>10</x:v>
      </x:c>
      <x:c r="G214" s="16" t="str">
        <x:v>Unknown</x:v>
      </x:c>
      <x:c r="H214" s="17" t="str">
        <x:v>Not stated</x:v>
      </x:c>
      <x:c r="I214" s="11" t="str">
        <x:v>Not stated on map.</x:v>
      </x:c>
      <x:c r="J214" s="10" t="n">
        <x:v>55.0214</x:v>
      </x:c>
      <x:c r="K214" s="10" t="n">
        <x:v>-112.0153</x:v>
      </x:c>
      <x:c r="L214" s="8" t="str">
        <x:v>NE35-69-14-W4</x:v>
      </x:c>
      <x:c r="M214" s="11" t="str"/>
      <x:c r="N214" s="11" t="str">
        <x:v>This lake is 44 minutes north of Lac La Biche.</x:v>
      </x:c>
      <x:c r="O214" s="8" t="n">
        <x:v>4</x:v>
      </x:c>
      <x:c r="P214" s="8" t="n">
        <x:v>9</x:v>
      </x:c>
      <x:c r="Q214" s="8" t="str">
        <x:v>https://www.google.com/maps/dir/?api=1&amp;destination=55.021444,-112.015324</x:v>
      </x:c>
      <x:c r="R214" s="8" t="str">
        <x:v>https://albertaregulations.ca/fishingregs/nb1.html</x:v>
      </x:c>
    </x:row>
    <x:row r="215" ht="42" customHeight="1">
      <x:c r="A215" s="8" t="str">
        <x:v>Milk River Ridge Reservoir</x:v>
      </x:c>
      <x:c r="B215" s="8" t="str">
        <x:v>3526</x:v>
      </x:c>
      <x:c r="C215" s="8" t="str">
        <x:v>Lethbridge</x:v>
      </x:c>
      <x:c r="D215" s="8" t="str">
        <x:v>PP1</x:v>
      </x:c>
      <x:c r="E215" s="16" t="n">
        <x:v>125.4</x:v>
      </x:c>
      <x:c r="F215" s="16" t="str">
        <x:v>Unknown</x:v>
      </x:c>
      <x:c r="G215" s="16" t="str">
        <x:v>Unknown</x:v>
      </x:c>
      <x:c r="H215" s="17" t="str">
        <x:v>Not stated</x:v>
      </x:c>
      <x:c r="I215" s="11" t="str">
        <x:v>Not stated on map.</x:v>
      </x:c>
      <x:c r="J215" s="10" t="n">
        <x:v>49.3751</x:v>
      </x:c>
      <x:c r="K215" s="10" t="n">
        <x:v>-112.5874</x:v>
      </x:c>
      <x:c r="L215" s="8" t="str">
        <x:v>NE11-5-20-W4</x:v>
      </x:c>
      <x:c r="M215" s="11" t="str">
        <x:v>Boating; Wildlife Viewing; Camping</x:v>
      </x:c>
      <x:c r="N215" s="11" t="str">
        <x:v>It's a great spot to enjoy boating, paddling, windsurfing, fishing, birdwatching, or camping.</x:v>
      </x:c>
      <x:c r="O215" s="8" t="n">
        <x:v>0</x:v>
      </x:c>
      <x:c r="P215" s="8" t="n">
        <x:v>3</x:v>
      </x:c>
      <x:c r="Q215" s="8" t="str">
        <x:v>https://www.google.com/maps/dir/?api=1&amp;destination=49.375056,-112.587358</x:v>
      </x:c>
      <x:c r="R215" s="8" t="str">
        <x:v>https://albertaregulations.ca/fishingregs/pp1.html</x:v>
      </x:c>
    </x:row>
    <x:row r="216" ht="57" customHeight="1">
      <x:c r="A216" s="8" t="str">
        <x:v>Millers Lake</x:v>
      </x:c>
      <x:c r="B216" s="8" t="str">
        <x:v>5324</x:v>
      </x:c>
      <x:c r="C216" s="8" t="str">
        <x:v>Edson</x:v>
      </x:c>
      <x:c r="D216" s="8" t="str">
        <x:v>ES3</x:v>
      </x:c>
      <x:c r="E216" s="16" t="n">
        <x:v>37.1</x:v>
      </x:c>
      <x:c r="F216" s="16" t="str">
        <x:v>Unknown</x:v>
      </x:c>
      <x:c r="G216" s="16" t="str">
        <x:v>Unknown</x:v>
      </x:c>
      <x:c r="H216" s="17" t="str">
        <x:v>Yes</x:v>
      </x:c>
      <x:c r="I216" s="11" t="str">
        <x:v>There is a boat launch, and the lake is stocked annually by AEP with trout and is aerated in winter through ACA’s Lake Aeration Program.</x:v>
      </x:c>
      <x:c r="J216" s="10" t="n">
        <x:v>53.5601</x:v>
      </x:c>
      <x:c r="K216" s="10" t="n">
        <x:v>-116.7689</x:v>
      </x:c>
      <x:c r="L216" s="8" t="str">
        <x:v>SW8-53-19-W5</x:v>
      </x:c>
      <x:c r="M216" s="11" t="str">
        <x:v>Day Use; Boat Launch</x:v>
      </x:c>
      <x:c r="N216" s="11" t="str">
        <x:v>There is a boat launch, and the lake is stocked annually by AEP with trout and is aerated in winter through ACA’s Lake Aeration Program.</x:v>
      </x:c>
      <x:c r="O216" s="8" t="n">
        <x:v>1</x:v>
      </x:c>
      <x:c r="P216" s="8" t="n">
        <x:v>19</x:v>
      </x:c>
      <x:c r="Q216" s="8" t="str">
        <x:v>https://www.google.com/maps/dir/?api=1&amp;destination=53.560075,-116.768896</x:v>
      </x:c>
      <x:c r="R216" s="8" t="str">
        <x:v>https://albertaregulations.ca/fishingregs/es3.html</x:v>
      </x:c>
    </x:row>
    <x:row r="217" ht="32" customHeight="1">
      <x:c r="A217" s="8" t="str">
        <x:v>Minnow Lake</x:v>
      </x:c>
      <x:c r="B217" s="8" t="str">
        <x:v>5336</x:v>
      </x:c>
      <x:c r="C217" s="8" t="str">
        <x:v>Edson</x:v>
      </x:c>
      <x:c r="D217" s="8" t="str">
        <x:v>ES3</x:v>
      </x:c>
      <x:c r="E217" s="16" t="str">
        <x:v>Unknown</x:v>
      </x:c>
      <x:c r="F217" s="16" t="str">
        <x:v>Unknown</x:v>
      </x:c>
      <x:c r="G217" s="16" t="str">
        <x:v>Unknown</x:v>
      </x:c>
      <x:c r="H217" s="17" t="str">
        <x:v>Not stated</x:v>
      </x:c>
      <x:c r="I217" s="11" t="str">
        <x:v>Not stated on map.</x:v>
      </x:c>
      <x:c r="J217" s="10" t="n">
        <x:v>53.3583</x:v>
      </x:c>
      <x:c r="K217" s="10" t="n">
        <x:v>-116.0344</x:v>
      </x:c>
      <x:c r="L217" s="8" t="str">
        <x:v>NW31-50-14-W5</x:v>
      </x:c>
      <x:c r="M217" s="11" t="str">
        <x:v>Camping; Day Use; Picnic; Toilets</x:v>
      </x:c>
      <x:c r="N217" s="11" t="str">
        <x:v>This waterbody has been recently stocked with walleye fry. | Amenities notes: group use</x:v>
      </x:c>
      <x:c r="O217" s="8" t="n">
        <x:v>0</x:v>
      </x:c>
      <x:c r="P217" s="8" t="n">
        <x:v>3</x:v>
      </x:c>
      <x:c r="Q217" s="8" t="str">
        <x:v>https://www.google.com/maps/dir/?api=1&amp;destination=53.358333,-116.034444</x:v>
      </x:c>
      <x:c r="R217" s="8" t="str">
        <x:v>https://albertaregulations.ca/fishingregs/es3.html</x:v>
      </x:c>
    </x:row>
    <x:row r="218" ht="57" customHeight="1">
      <x:c r="A218" s="8" t="str">
        <x:v>Mirage Lake</x:v>
      </x:c>
      <x:c r="B218" s="8" t="str">
        <x:v>5360</x:v>
      </x:c>
      <x:c r="C218" s="8" t="str">
        <x:v>Spirit River</x:v>
      </x:c>
      <x:c r="D218" s="8" t="str">
        <x:v>NB3</x:v>
      </x:c>
      <x:c r="E218" s="16" t="n">
        <x:v>30.5</x:v>
      </x:c>
      <x:c r="F218" s="16" t="n">
        <x:v>3</x:v>
      </x:c>
      <x:c r="G218" s="16" t="n">
        <x:v>2.8</x:v>
      </x:c>
      <x:c r="H218" s="17" t="str">
        <x:v>Not stated</x:v>
      </x:c>
      <x:c r="I218" s="11" t="str">
        <x:v>Not stated on map.</x:v>
      </x:c>
      <x:c r="J218" s="10" t="n">
        <x:v>55.8861</x:v>
      </x:c>
      <x:c r="K218" s="10" t="n">
        <x:v>-119.2278</x:v>
      </x:c>
      <x:c r="L218" s="8" t="str">
        <x:v>SE31-79-8-W6</x:v>
      </x:c>
      <x:c r="M218" s="11" t="str">
        <x:v>Camping; Camping Group; Sewage Disposal; Water; Retail/Services; Boat Launch; Trails; Day Use; Sports; Sports Baseball; Playground</x:v>
      </x:c>
      <x:c r="N218" s="11" t="str">
        <x:v>The campground is located on the north and northeast side of the lake, while the day-use area and group camping is located on the south side of the lake. | Amenities notes: change house</x:v>
      </x:c>
      <x:c r="O218" s="8" t="n">
        <x:v>22</x:v>
      </x:c>
      <x:c r="P218" s="8" t="n">
        <x:v>22</x:v>
      </x:c>
      <x:c r="Q218" s="8" t="str">
        <x:v>https://www.google.com/maps/dir/?api=1&amp;destination=55.886111,-119.227778</x:v>
      </x:c>
      <x:c r="R218" s="8" t="str">
        <x:v>https://albertaregulations.ca/fishingregs/nb3.html</x:v>
      </x:c>
    </x:row>
    <x:row r="219" ht="42" customHeight="1">
      <x:c r="A219" s="8" t="str">
        <x:v>Mirror Reservoir</x:v>
      </x:c>
      <x:c r="B219" s="8" t="str">
        <x:v>6746</x:v>
      </x:c>
      <x:c r="C219" s="8" t="str">
        <x:v>Ponoka</x:v>
      </x:c>
      <x:c r="D219" s="8" t="str">
        <x:v>PP2</x:v>
      </x:c>
      <x:c r="E219" s="16" t="n">
        <x:v>4.1</x:v>
      </x:c>
      <x:c r="F219" s="16" t="str">
        <x:v>Unknown</x:v>
      </x:c>
      <x:c r="G219" s="16" t="str">
        <x:v>Unknown</x:v>
      </x:c>
      <x:c r="H219" s="17" t="str">
        <x:v>Not stated</x:v>
      </x:c>
      <x:c r="I219" s="11" t="str">
        <x:v>Not stated on map.</x:v>
      </x:c>
      <x:c r="J219" s="10" t="n">
        <x:v>52.4642</x:v>
      </x:c>
      <x:c r="K219" s="10" t="n">
        <x:v>-113.1389</x:v>
      </x:c>
      <x:c r="L219" s="8" t="str">
        <x:v>SW29-40-22-W4</x:v>
      </x:c>
      <x:c r="M219" s="11" t="str">
        <x:v>Day Use</x:v>
      </x:c>
      <x:c r="N219" s="11" t="str">
        <x:v>ACA annually stocks this pond with trout, typically before the May long weekend. | Amenities notes: no open fires; foot access only.</x:v>
      </x:c>
      <x:c r="O219" s="8" t="n">
        <x:v>0</x:v>
      </x:c>
      <x:c r="P219" s="8" t="n">
        <x:v>4</x:v>
      </x:c>
      <x:c r="Q219" s="8" t="str">
        <x:v>https://www.google.com/maps/dir/?api=1&amp;destination=52.464155,-113.138878</x:v>
      </x:c>
      <x:c r="R219" s="8" t="str">
        <x:v>https://albertaregulations.ca/fishingregs/pp2.html</x:v>
      </x:c>
    </x:row>
    <x:row r="220" ht="42" customHeight="1">
      <x:c r="A220" s="8" t="str">
        <x:v>Mitchell Lake</x:v>
      </x:c>
      <x:c r="B220" s="8" t="str">
        <x:v>5348</x:v>
      </x:c>
      <x:c r="C220" s="8" t="str">
        <x:v>Rocky Mountain House</x:v>
      </x:c>
      <x:c r="D220" s="8" t="str">
        <x:v>ES2</x:v>
      </x:c>
      <x:c r="E220" s="16" t="n">
        <x:v>15</x:v>
      </x:c>
      <x:c r="F220" s="16" t="n">
        <x:v>7.3</x:v>
      </x:c>
      <x:c r="G220" s="16" t="n">
        <x:v>5</x:v>
      </x:c>
      <x:c r="H220" s="17" t="str">
        <x:v>Not stated</x:v>
      </x:c>
      <x:c r="I220" s="11" t="str">
        <x:v>Not stated on map.</x:v>
      </x:c>
      <x:c r="J220" s="10" t="n">
        <x:v>52.2163</x:v>
      </x:c>
      <x:c r="K220" s="10" t="n">
        <x:v>-115.0077</x:v>
      </x:c>
      <x:c r="L220" s="8" t="str">
        <x:v>NE25-37-8-W5</x:v>
      </x:c>
      <x:c r="M220" s="11" t="str">
        <x:v>Fire Pits; Boat Launch; Dock/Pier; Toilets</x:v>
      </x:c>
      <x:c r="N220" s="11" t="str">
        <x:v>There is a small campground at the waterbody with walk-in tent sites. There is a pier where you can hand launch a canoe or electric powered boat.</x:v>
      </x:c>
      <x:c r="O220" s="8" t="n">
        <x:v>1</x:v>
      </x:c>
      <x:c r="P220" s="8" t="n">
        <x:v>21</x:v>
      </x:c>
      <x:c r="Q220" s="8" t="str">
        <x:v>https://www.google.com/maps/dir/?api=1&amp;destination=52.21631199999999,-115.007692</x:v>
      </x:c>
      <x:c r="R220" s="8" t="str">
        <x:v>https://albertaregulations.ca/fishingregs/es2.html</x:v>
      </x:c>
    </x:row>
    <x:row r="221" ht="42" customHeight="1">
      <x:c r="A221" s="8" t="str">
        <x:v>Mitford Ponds</x:v>
      </x:c>
      <x:c r="B221" s="8" t="str">
        <x:v>395196</x:v>
      </x:c>
      <x:c r="C221" s="8" t="str">
        <x:v>Cochrane</x:v>
      </x:c>
      <x:c r="D221" s="8" t="str">
        <x:v>ES1</x:v>
      </x:c>
      <x:c r="E221" s="16" t="n">
        <x:v>4</x:v>
      </x:c>
      <x:c r="F221" s="16" t="str">
        <x:v>Unknown</x:v>
      </x:c>
      <x:c r="G221" s="16" t="str">
        <x:v>Unknown</x:v>
      </x:c>
      <x:c r="H221" s="17" t="str">
        <x:v>Not stated</x:v>
      </x:c>
      <x:c r="I221" s="11" t="str">
        <x:v>Not stated on map.</x:v>
      </x:c>
      <x:c r="J221" s="10" t="n">
        <x:v>51.19</x:v>
      </x:c>
      <x:c r="K221" s="10" t="n">
        <x:v>-114.4926</x:v>
      </x:c>
      <x:c r="L221" s="8" t="str">
        <x:v>SE4-26-4-W5</x:v>
      </x:c>
      <x:c r="M221" s="11" t="str">
        <x:v>Day Use</x:v>
      </x:c>
      <x:c r="N221" s="11" t="str">
        <x:v>ACA annually stocks these ponds with trout, typically before the May long weekend. | Amenities notes: no open fires; foot access only.</x:v>
      </x:c>
      <x:c r="O221" s="8" t="n">
        <x:v>0</x:v>
      </x:c>
      <x:c r="P221" s="8" t="n">
        <x:v>20</x:v>
      </x:c>
      <x:c r="Q221" s="8" t="str">
        <x:v>https://www.google.com/maps/dir/?api=1&amp;destination=51.19005,-114.49262</x:v>
      </x:c>
      <x:c r="R221" s="8" t="str">
        <x:v>https://albertaregulations.ca/fishingregs/es1.html</x:v>
      </x:c>
    </x:row>
    <x:row r="222" ht="42" customHeight="1">
      <x:c r="A222" s="8" t="str">
        <x:v>Moore Lake</x:v>
      </x:c>
      <x:c r="B222" s="8" t="str">
        <x:v>4351</x:v>
      </x:c>
      <x:c r="C222" s="8" t="str">
        <x:v>Cold Lake</x:v>
      </x:c>
      <x:c r="D222" s="8" t="str">
        <x:v>NB1</x:v>
      </x:c>
      <x:c r="E222" s="16" t="str">
        <x:v>Unknown</x:v>
      </x:c>
      <x:c r="F222" s="16" t="str">
        <x:v>Unknown</x:v>
      </x:c>
      <x:c r="G222" s="16" t="str">
        <x:v>Unknown</x:v>
      </x:c>
      <x:c r="H222" s="17" t="str">
        <x:v>Not stated</x:v>
      </x:c>
      <x:c r="I222" s="11" t="str">
        <x:v>Not stated on map.</x:v>
      </x:c>
      <x:c r="J222" s="10" t="n">
        <x:v>54.5143</x:v>
      </x:c>
      <x:c r="K222" s="10" t="n">
        <x:v>-110.5222</x:v>
      </x:c>
      <x:c r="L222" s="8" t="str">
        <x:v>NE3-64-4-W4</x:v>
      </x:c>
      <x:c r="M222" s="11" t="str">
        <x:v>Camping; Firewood; Boat Launch; Dock/Pier; Fishing Access; Fishing Access Dock</x:v>
      </x:c>
      <x:c r="N222" s="11" t="str">
        <x:v>This a popular winter fishing destination. There is a public boat launch available, with a day use area. This waterbody has been recently stocked with walleye fry.</x:v>
      </x:c>
      <x:c r="O222" s="8" t="n">
        <x:v>0</x:v>
      </x:c>
      <x:c r="P222" s="8" t="n">
        <x:v>3</x:v>
      </x:c>
      <x:c r="Q222" s="8" t="str">
        <x:v>https://www.google.com/maps/dir/?api=1&amp;destination=54.514332,-110.522171</x:v>
      </x:c>
      <x:c r="R222" s="8" t="str">
        <x:v>https://albertaregulations.ca/fishingregs/nb1.html</x:v>
      </x:c>
    </x:row>
    <x:row r="223" ht="42" customHeight="1">
      <x:c r="A223" s="8" t="str">
        <x:v>Morinville Fish and Game Pond</x:v>
      </x:c>
      <x:c r="B223" s="8" t="str">
        <x:v>6736</x:v>
      </x:c>
      <x:c r="C223" s="8" t="str">
        <x:v>Stony Plain</x:v>
      </x:c>
      <x:c r="D223" s="8" t="str">
        <x:v>PP2</x:v>
      </x:c>
      <x:c r="E223" s="16" t="n">
        <x:v>1.8</x:v>
      </x:c>
      <x:c r="F223" s="16" t="str">
        <x:v>Unknown</x:v>
      </x:c>
      <x:c r="G223" s="16" t="str">
        <x:v>Unknown</x:v>
      </x:c>
      <x:c r="H223" s="17" t="str">
        <x:v>Not stated</x:v>
      </x:c>
      <x:c r="I223" s="11" t="str">
        <x:v>Not stated on map.</x:v>
      </x:c>
      <x:c r="J223" s="10" t="n">
        <x:v>53.8117</x:v>
      </x:c>
      <x:c r="K223" s="10" t="n">
        <x:v>-113.6584</x:v>
      </x:c>
      <x:c r="L223" s="8" t="str">
        <x:v>NW4-56-25-W4</x:v>
      </x:c>
      <x:c r="M223" s="11" t="str">
        <x:v>Trails; Trails Hiking</x:v>
      </x:c>
      <x:c r="N223" s="11" t="str">
        <x:v>There is a fishing platform, and a walking path around the pond. | Amenities notes: park benches.</x:v>
      </x:c>
      <x:c r="O223" s="8" t="n">
        <x:v>3</x:v>
      </x:c>
      <x:c r="P223" s="8" t="n">
        <x:v>17</x:v>
      </x:c>
      <x:c r="Q223" s="8" t="str">
        <x:v>https://www.google.com/maps/dir/?api=1&amp;destination=53.811699,-113.658398</x:v>
      </x:c>
      <x:c r="R223" s="8" t="str">
        <x:v>https://albertaregulations.ca/fishingregs/pp2.html</x:v>
      </x:c>
    </x:row>
    <x:row r="224" ht="42" customHeight="1">
      <x:c r="A224" s="8" t="str">
        <x:v>Mound Red Reservoir</x:v>
      </x:c>
      <x:c r="B224" s="8" t="str">
        <x:v>6737</x:v>
      </x:c>
      <x:c r="C224" s="8" t="str">
        <x:v>Wetaskiwin</x:v>
      </x:c>
      <x:c r="D224" s="8" t="str">
        <x:v>PP2</x:v>
      </x:c>
      <x:c r="E224" s="16" t="n">
        <x:v>7.2</x:v>
      </x:c>
      <x:c r="F224" s="16" t="n">
        <x:v>15</x:v>
      </x:c>
      <x:c r="G224" s="16" t="str">
        <x:v>Unknown</x:v>
      </x:c>
      <x:c r="H224" s="17" t="str">
        <x:v>Not stated</x:v>
      </x:c>
      <x:c r="I224" s="11" t="str">
        <x:v>Not stated on map.</x:v>
      </x:c>
      <x:c r="J224" s="10" t="n">
        <x:v>52.8678</x:v>
      </x:c>
      <x:c r="K224" s="10" t="n">
        <x:v>-113.9616</x:v>
      </x:c>
      <x:c r="L224" s="8" t="str">
        <x:v>NW11-45-28-W4</x:v>
      </x:c>
      <x:c r="M224" s="11" t="str">
        <x:v>Day Use</x:v>
      </x:c>
      <x:c r="N224" s="11" t="str">
        <x:v>ACA stocks this pond annually with trout, typically before the May long weekend. | Amenities notes: no open fires; foot access only.</x:v>
      </x:c>
      <x:c r="O224" s="8" t="n">
        <x:v>0</x:v>
      </x:c>
      <x:c r="P224" s="8" t="n">
        <x:v>9</x:v>
      </x:c>
      <x:c r="Q224" s="8" t="str">
        <x:v>https://www.google.com/maps/dir/?api=1&amp;destination=52.867842,-113.961579</x:v>
      </x:c>
      <x:c r="R224" s="8" t="str">
        <x:v>https://albertaregulations.ca/fishingregs/pp2.html</x:v>
      </x:c>
    </x:row>
    <x:row r="225" ht="57" customHeight="1">
      <x:c r="A225" s="8" t="str">
        <x:v>Mount Lorette Ponds</x:v>
      </x:c>
      <x:c r="B225" s="8" t="str">
        <x:v>3482</x:v>
      </x:c>
      <x:c r="C225" s="8" t="str">
        <x:v>Canmore</x:v>
      </x:c>
      <x:c r="D225" s="8" t="str">
        <x:v>ES1</x:v>
      </x:c>
      <x:c r="E225" s="16" t="n">
        <x:v>1.6</x:v>
      </x:c>
      <x:c r="F225" s="16" t="str">
        <x:v>Unknown</x:v>
      </x:c>
      <x:c r="G225" s="16" t="str">
        <x:v>Unknown</x:v>
      </x:c>
      <x:c r="H225" s="17" t="str">
        <x:v>Not stated</x:v>
      </x:c>
      <x:c r="I225" s="11" t="str">
        <x:v>Not stated on map.</x:v>
      </x:c>
      <x:c r="J225" s="10" t="n">
        <x:v>50.9696</x:v>
      </x:c>
      <x:c r="K225" s="10" t="n">
        <x:v>-115.1079</x:v>
      </x:c>
      <x:c r="L225" s="8" t="str">
        <x:v>SW19-23-8-W5</x:v>
      </x:c>
      <x:c r="M225" s="11" t="str">
        <x:v>Day Use; Picnic; Trails; Trails Hiking; Accessibility</x:v>
      </x:c>
      <x:c r="N225" s="11" t="str">
        <x:v>There is a paved trail around the pond for easy wheelchair accessibility. Day use areas are well treed. The ponds are stocked 3-4 times in spring and early summer with trout. | Amenities notes: park benches</x:v>
      </x:c>
      <x:c r="O225" s="8" t="n">
        <x:v>4</x:v>
      </x:c>
      <x:c r="P225" s="8" t="n">
        <x:v>39</x:v>
      </x:c>
      <x:c r="Q225" s="8" t="str">
        <x:v>https://www.google.com/maps/dir/?api=1&amp;destination=50.969566,-115.107943</x:v>
      </x:c>
      <x:c r="R225" s="8" t="str">
        <x:v>https://albertaregulations.ca/fishingregs/es1.html</x:v>
      </x:c>
    </x:row>
    <x:row r="226" ht="72" customHeight="1">
      <x:c r="A226" s="8" t="str">
        <x:v>Muir Lake</x:v>
      </x:c>
      <x:c r="B226" s="8" t="str">
        <x:v>5387</x:v>
      </x:c>
      <x:c r="C226" s="8" t="str">
        <x:v>Stony Plain</x:v>
      </x:c>
      <x:c r="D226" s="8" t="str">
        <x:v>PP2</x:v>
      </x:c>
      <x:c r="E226" s="16" t="n">
        <x:v>29.9</x:v>
      </x:c>
      <x:c r="F226" s="16" t="n">
        <x:v>6</x:v>
      </x:c>
      <x:c r="G226" s="16" t="n">
        <x:v>3</x:v>
      </x:c>
      <x:c r="H226" s="17" t="str">
        <x:v>Not stated</x:v>
      </x:c>
      <x:c r="I226" s="11" t="str">
        <x:v>Not stated on map.</x:v>
      </x:c>
      <x:c r="J226" s="10" t="n">
        <x:v>53.6247</x:v>
      </x:c>
      <x:c r="K226" s="10" t="n">
        <x:v>-113.9564</x:v>
      </x:c>
      <x:c r="L226" s="8" t="str">
        <x:v>NW32-53-27-W4</x:v>
      </x:c>
      <x:c r="M226" s="11" t="str"/>
      <x:c r="N226" s="11" t="str">
        <x:v>Muir Lake is an easily accessible quality stocked fishery. Muir Lake features seasonal closures, bait ban and reduced harvest regulations. Seasonal restrictions apply. Check the local regulations before heading out to the lake. | Amenities notes: Basic amenities.</x:v>
      </x:c>
      <x:c r="O226" s="8" t="n">
        <x:v>1</x:v>
      </x:c>
      <x:c r="P226" s="8" t="n">
        <x:v>18</x:v>
      </x:c>
      <x:c r="Q226" s="8" t="str">
        <x:v>https://www.google.com/maps/dir/?api=1&amp;destination=53.624675,-113.956437</x:v>
      </x:c>
      <x:c r="R226" s="8" t="str">
        <x:v>https://albertaregulations.ca/fishingregs/pp2.html</x:v>
      </x:c>
    </x:row>
    <x:row r="227" ht="42" customHeight="1">
      <x:c r="A227" s="8" t="str">
        <x:v>Muskiki Lake</x:v>
      </x:c>
      <x:c r="B227" s="8" t="str">
        <x:v>5407</x:v>
      </x:c>
      <x:c r="C227" s="8" t="str">
        <x:v>Edson</x:v>
      </x:c>
      <x:c r="D227" s="8" t="str">
        <x:v>ES2</x:v>
      </x:c>
      <x:c r="E227" s="16" t="n">
        <x:v>34.8</x:v>
      </x:c>
      <x:c r="F227" s="16" t="str">
        <x:v>Unknown</x:v>
      </x:c>
      <x:c r="G227" s="16" t="str">
        <x:v>Unknown</x:v>
      </x:c>
      <x:c r="H227" s="17" t="str">
        <x:v>Not stated</x:v>
      </x:c>
      <x:c r="I227" s="11" t="str">
        <x:v>Not stated on map.</x:v>
      </x:c>
      <x:c r="J227" s="10" t="n">
        <x:v>52.8517</x:v>
      </x:c>
      <x:c r="K227" s="10" t="n">
        <x:v>-116.8747</x:v>
      </x:c>
      <x:c r="L227" s="8" t="str">
        <x:v>NW5-45-20-W5</x:v>
      </x:c>
      <x:c r="M227" s="11" t="str"/>
      <x:c r="N227" s="11" t="str">
        <x:v>Enjoy the day fishing the lake, fish from shore or from a boat. The Max boat speed on the lake is 12km/hr.</x:v>
      </x:c>
      <x:c r="O227" s="8" t="n">
        <x:v>2</x:v>
      </x:c>
      <x:c r="P227" s="8" t="n">
        <x:v>8</x:v>
      </x:c>
      <x:c r="Q227" s="8" t="str">
        <x:v>https://www.google.com/maps/dir/?api=1&amp;destination=52.851672,-116.874653</x:v>
      </x:c>
      <x:c r="R227" s="8" t="str">
        <x:v>https://albertaregulations.ca/fishingregs/es2.html</x:v>
      </x:c>
    </x:row>
    <x:row r="228" ht="57" customHeight="1">
      <x:c r="A228" s="8" t="str">
        <x:v>Muskoseepi Pond</x:v>
      </x:c>
      <x:c r="B228" s="8" t="str">
        <x:v>6730</x:v>
      </x:c>
      <x:c r="C228" s="8" t="str">
        <x:v>Grande Prairie</x:v>
      </x:c>
      <x:c r="D228" s="8" t="str">
        <x:v>ES4</x:v>
      </x:c>
      <x:c r="E228" s="16" t="n">
        <x:v>14.3</x:v>
      </x:c>
      <x:c r="F228" s="16" t="str">
        <x:v>Unknown</x:v>
      </x:c>
      <x:c r="G228" s="16" t="str">
        <x:v>Unknown</x:v>
      </x:c>
      <x:c r="H228" s="17" t="str">
        <x:v>Not stated</x:v>
      </x:c>
      <x:c r="I228" s="11" t="str">
        <x:v>Not stated on map.</x:v>
      </x:c>
      <x:c r="J228" s="10" t="n">
        <x:v>55.1727</x:v>
      </x:c>
      <x:c r="K228" s="10" t="n">
        <x:v>-118.8066</x:v>
      </x:c>
      <x:c r="L228" s="8" t="str">
        <x:v>SE26-71-6-W6</x:v>
      </x:c>
      <x:c r="M228" s="11" t="str">
        <x:v>Retail/Services; Washrooms</x:v>
      </x:c>
      <x:c r="N228" s="11" t="str">
        <x:v>Muskoseepi Park Pond is located right beside the Muskoseepi Park Pavilion. This pond is used for skating during the winter season. | Amenities notes: Interactive programs; information; amphitheatre.</x:v>
      </x:c>
      <x:c r="O228" s="8" t="n">
        <x:v>2</x:v>
      </x:c>
      <x:c r="P228" s="8" t="n">
        <x:v>6</x:v>
      </x:c>
      <x:c r="Q228" s="8" t="str">
        <x:v>https://www.google.com/maps/dir/?api=1&amp;destination=55.172657,-118.806587</x:v>
      </x:c>
      <x:c r="R228" s="8" t="str">
        <x:v>https://albertaregulations.ca/fishingregs/es4.html</x:v>
      </x:c>
    </x:row>
    <x:row r="229" ht="72" customHeight="1">
      <x:c r="A229" s="8" t="str">
        <x:v>Nardam Lake</x:v>
      </x:c>
      <x:c r="B229" s="8" t="str">
        <x:v>6732</x:v>
      </x:c>
      <x:c r="C229" s="8" t="str">
        <x:v>Spirit River</x:v>
      </x:c>
      <x:c r="D229" s="8" t="str">
        <x:v>NB3</x:v>
      </x:c>
      <x:c r="E229" s="16" t="n">
        <x:v>1.1</x:v>
      </x:c>
      <x:c r="F229" s="16" t="str">
        <x:v>Unknown</x:v>
      </x:c>
      <x:c r="G229" s="16" t="str">
        <x:v>Unknown</x:v>
      </x:c>
      <x:c r="H229" s="17" t="str">
        <x:v>Not stated</x:v>
      </x:c>
      <x:c r="I229" s="11" t="str">
        <x:v>Not stated on map.</x:v>
      </x:c>
      <x:c r="J229" s="10" t="n">
        <x:v>55.7624</x:v>
      </x:c>
      <x:c r="K229" s="10" t="n">
        <x:v>-118.7255</x:v>
      </x:c>
      <x:c r="L229" s="8" t="str">
        <x:v>NE17-78-5-W6</x:v>
      </x:c>
      <x:c r="M229" s="11" t="str">
        <x:v>Camping; Firewood; Sewage Disposal; Dock/Pier; Picnic; Sports; Trails; Trails Hiking; Trails Biking; Playground; Fire Pits</x:v>
      </x:c>
      <x:c r="N229" s="11" t="str">
        <x:v>There are 16 full-service RV parking spots, 4 with 30 amp, and 12 with 15 amp power, and 3 tenting spots, Wi-Fi, bathroom facilities, RV dumping station for site renters, gazebo shelter for gatherings, and firewood available for visitors. | Amenities notes: full hookup; recreation hall</x:v>
      </x:c>
      <x:c r="O229" s="8" t="n">
        <x:v>4</x:v>
      </x:c>
      <x:c r="P229" s="8" t="n">
        <x:v>8</x:v>
      </x:c>
      <x:c r="Q229" s="8" t="str">
        <x:v>https://www.google.com/maps/dir/?api=1&amp;destination=55.762438,-118.725502</x:v>
      </x:c>
      <x:c r="R229" s="8" t="str">
        <x:v>https://albertaregulations.ca/fishingregs/nb3.html</x:v>
      </x:c>
    </x:row>
    <x:row r="230" ht="57" customHeight="1">
      <x:c r="A230" s="8" t="str">
        <x:v>Nicholas Sheran Park Pond</x:v>
      </x:c>
      <x:c r="B230" s="8" t="str">
        <x:v>6734</x:v>
      </x:c>
      <x:c r="C230" s="8" t="str">
        <x:v>Lethbridge</x:v>
      </x:c>
      <x:c r="D230" s="8" t="str">
        <x:v>PP1</x:v>
      </x:c>
      <x:c r="E230" s="16" t="n">
        <x:v>6.1</x:v>
      </x:c>
      <x:c r="F230" s="16" t="str">
        <x:v>Unknown</x:v>
      </x:c>
      <x:c r="G230" s="16" t="str">
        <x:v>Unknown</x:v>
      </x:c>
      <x:c r="H230" s="17" t="str">
        <x:v>Not stated</x:v>
      </x:c>
      <x:c r="I230" s="11" t="str">
        <x:v>Not stated on map.</x:v>
      </x:c>
      <x:c r="J230" s="10" t="n">
        <x:v>49.6719</x:v>
      </x:c>
      <x:c r="K230" s="10" t="n">
        <x:v>-112.8797</x:v>
      </x:c>
      <x:c r="L230" s="8" t="str">
        <x:v>SE26-8-22-W4</x:v>
      </x:c>
      <x:c r="M230" s="11" t="str">
        <x:v>Playground; Picnic; Sports; Sports Baseball; Sports Soccer</x:v>
      </x:c>
      <x:c r="N230" s="11" t="str">
        <x:v>Nicholas Sheran Park is the premier west side park featuring a man-made lake, pathway system, large open spaces, disk golf, a large playground, fitness equipment, and a large picnic shelter. Ice fishing is accessible in the winter.</x:v>
      </x:c>
      <x:c r="O230" s="8" t="n">
        <x:v>5</x:v>
      </x:c>
      <x:c r="P230" s="8" t="n">
        <x:v>30</x:v>
      </x:c>
      <x:c r="Q230" s="8" t="str">
        <x:v>https://www.google.com/maps/dir/?api=1&amp;destination=49.671905,-112.879725</x:v>
      </x:c>
      <x:c r="R230" s="8" t="str">
        <x:v>https://albertaregulations.ca/fishingregs/pp1.html</x:v>
      </x:c>
    </x:row>
    <x:row r="231" ht="32" customHeight="1">
      <x:c r="A231" s="8" t="str">
        <x:v>Niton Lake</x:v>
      </x:c>
      <x:c r="B231" s="8" t="str">
        <x:v>6647</x:v>
      </x:c>
      <x:c r="C231" s="8" t="str">
        <x:v>Evansburg</x:v>
      </x:c>
      <x:c r="D231" s="8" t="str">
        <x:v>ES3</x:v>
      </x:c>
      <x:c r="E231" s="16" t="n">
        <x:v>2.5</x:v>
      </x:c>
      <x:c r="F231" s="16" t="str">
        <x:v>Unknown</x:v>
      </x:c>
      <x:c r="G231" s="16" t="str">
        <x:v>Unknown</x:v>
      </x:c>
      <x:c r="H231" s="17" t="str">
        <x:v>Not stated</x:v>
      </x:c>
      <x:c r="I231" s="11" t="str">
        <x:v>Not stated on map.</x:v>
      </x:c>
      <x:c r="J231" s="10" t="n">
        <x:v>53.6161</x:v>
      </x:c>
      <x:c r="K231" s="10" t="n">
        <x:v>-115.726</x:v>
      </x:c>
      <x:c r="L231" s="8" t="str">
        <x:v>SE32-53-12-W5</x:v>
      </x:c>
      <x:c r="M231" s="11" t="str"/>
      <x:c r="N231" s="11" t="str">
        <x:v>This pond is located off the Yellowhead highway.</x:v>
      </x:c>
      <x:c r="O231" s="8" t="n">
        <x:v>1</x:v>
      </x:c>
      <x:c r="P231" s="8" t="n">
        <x:v>6</x:v>
      </x:c>
      <x:c r="Q231" s="8" t="str">
        <x:v>https://www.google.com/maps/dir/?api=1&amp;destination=53.61607799999999,-115.725966</x:v>
      </x:c>
      <x:c r="R231" s="8" t="str">
        <x:v>https://albertaregulations.ca/fishingregs/es3.html</x:v>
      </x:c>
    </x:row>
    <x:row r="232" ht="32" customHeight="1">
      <x:c r="A232" s="8" t="str">
        <x:v>Nordegg Borrow Pit (East)</x:v>
      </x:c>
      <x:c r="B232" s="8" t="str">
        <x:v>6914</x:v>
      </x:c>
      <x:c r="C232" s="8" t="str">
        <x:v>Nordegg</x:v>
      </x:c>
      <x:c r="D232" s="8" t="str">
        <x:v>ES2</x:v>
      </x:c>
      <x:c r="E232" s="16" t="n">
        <x:v>2</x:v>
      </x:c>
      <x:c r="F232" s="16" t="str">
        <x:v>Unknown</x:v>
      </x:c>
      <x:c r="G232" s="16" t="str">
        <x:v>Unknown</x:v>
      </x:c>
      <x:c r="H232" s="17" t="str">
        <x:v>Not stated</x:v>
      </x:c>
      <x:c r="I232" s="11" t="str">
        <x:v>Not stated on map.</x:v>
      </x:c>
      <x:c r="J232" s="10" t="n">
        <x:v>52.4804</x:v>
      </x:c>
      <x:c r="K232" s="10" t="n">
        <x:v>-116.122</x:v>
      </x:c>
      <x:c r="L232" s="8" t="str">
        <x:v>SE32-40-15-W5</x:v>
      </x:c>
      <x:c r="M232" s="11" t="str"/>
      <x:c r="N232" s="11" t="str">
        <x:v>This is an old strip-mine that was flooded, where fishing and swimming are popular.</x:v>
      </x:c>
      <x:c r="O232" s="8" t="n">
        <x:v>8</x:v>
      </x:c>
      <x:c r="P232" s="8" t="n">
        <x:v>8</x:v>
      </x:c>
      <x:c r="Q232" s="8" t="str">
        <x:v>https://www.google.com/maps/dir/?api=1&amp;destination=52.480398,-116.122018</x:v>
      </x:c>
      <x:c r="R232" s="8" t="str">
        <x:v>https://albertaregulations.ca/fishingregs/es2.html</x:v>
      </x:c>
    </x:row>
    <x:row r="233" ht="32" customHeight="1">
      <x:c r="A233" s="8" t="str">
        <x:v>Nordegg Borrow Pit (West)</x:v>
      </x:c>
      <x:c r="B233" s="8" t="str">
        <x:v>6915</x:v>
      </x:c>
      <x:c r="C233" s="8" t="str">
        <x:v>Nordegg</x:v>
      </x:c>
      <x:c r="D233" s="8" t="str">
        <x:v>ES2</x:v>
      </x:c>
      <x:c r="E233" s="16" t="n">
        <x:v>7</x:v>
      </x:c>
      <x:c r="F233" s="16" t="str">
        <x:v>Unknown</x:v>
      </x:c>
      <x:c r="G233" s="16" t="str">
        <x:v>Unknown</x:v>
      </x:c>
      <x:c r="H233" s="17" t="str">
        <x:v>Not stated</x:v>
      </x:c>
      <x:c r="I233" s="11" t="str">
        <x:v>Not stated on map.</x:v>
      </x:c>
      <x:c r="J233" s="10" t="n">
        <x:v>52.4849</x:v>
      </x:c>
      <x:c r="K233" s="10" t="n">
        <x:v>-116.1285</x:v>
      </x:c>
      <x:c r="L233" s="8" t="str">
        <x:v>SW32-40-15-W5</x:v>
      </x:c>
      <x:c r="M233" s="11" t="str"/>
      <x:c r="N233" s="11" t="str">
        <x:v>This is an old strip-mine that was flooded, where fishing and swimming are popular.</x:v>
      </x:c>
      <x:c r="O233" s="8" t="n">
        <x:v>12</x:v>
      </x:c>
      <x:c r="P233" s="8" t="n">
        <x:v>8</x:v>
      </x:c>
      <x:c r="Q233" s="8" t="str">
        <x:v>https://www.google.com/maps/dir/?api=1&amp;destination=52.48487799999999,-116.128512</x:v>
      </x:c>
      <x:c r="R233" s="8" t="str">
        <x:v>https://albertaregulations.ca/fishingregs/es2.html</x:v>
      </x:c>
    </x:row>
    <x:row r="234" ht="87" customHeight="1">
      <x:c r="A234" s="8" t="str">
        <x:v>North Two Lake</x:v>
      </x:c>
      <x:c r="B234" s="8" t="str">
        <x:v>6535</x:v>
      </x:c>
      <x:c r="C234" s="8" t="str">
        <x:v>Grande Prairie</x:v>
      </x:c>
      <x:c r="D234" s="8" t="str">
        <x:v>ES4</x:v>
      </x:c>
      <x:c r="E234" s="16" t="n">
        <x:v>3.6</x:v>
      </x:c>
      <x:c r="F234" s="16" t="n">
        <x:v>5.3</x:v>
      </x:c>
      <x:c r="G234" s="16" t="str">
        <x:v>Unknown</x:v>
      </x:c>
      <x:c r="H234" s="17" t="str">
        <x:v>Not stated</x:v>
      </x:c>
      <x:c r="I234" s="11" t="str">
        <x:v>Not stated on map.</x:v>
      </x:c>
      <x:c r="J234" s="10" t="n">
        <x:v>54.3806</x:v>
      </x:c>
      <x:c r="K234" s="10" t="n">
        <x:v>-119.7554</x:v>
      </x:c>
      <x:c r="L234" s="8" t="str">
        <x:v>NE20-62-12-W6</x:v>
      </x:c>
      <x:c r="M234" s="11" t="str">
        <x:v>Boat Launch; Fire Pits; Firewood; Fish Cleaning; Toilets; Water; Camping; Paddling; Paddling Canoe; Paddling Kayak; Trails; Trails Hiking; Fishing Access; Winter Recreation; Trails Biking; Boating; Boating Motorized; Wildlife Viewing</x:v>
      </x:c>
      <x:c r="N234" s="11" t="str">
        <x:v>This remote park offers fishing, wildlife viewing, and hiking . A self-guided trail leads through forests and meadows between the two lakes. The lakes are stocked with trout and the boat speed is limited to 12 km/h.</x:v>
      </x:c>
      <x:c r="O234" s="8" t="n">
        <x:v>2</x:v>
      </x:c>
      <x:c r="P234" s="8" t="n">
        <x:v>6</x:v>
      </x:c>
      <x:c r="Q234" s="8" t="str">
        <x:v>https://www.google.com/maps/dir/?api=1&amp;destination=54.38059399999999,-119.755438</x:v>
      </x:c>
      <x:c r="R234" s="8" t="str">
        <x:v>https://albertaregulations.ca/fishingregs/es4.html</x:v>
      </x:c>
    </x:row>
    <x:row r="235" ht="42" customHeight="1">
      <x:c r="A235" s="8" t="str">
        <x:v>Nose Creek Pond</x:v>
      </x:c>
      <x:c r="B235" s="8" t="str">
        <x:v>6671</x:v>
      </x:c>
      <x:c r="C235" s="8" t="str">
        <x:v>Cochrane</x:v>
      </x:c>
      <x:c r="D235" s="8" t="str">
        <x:v>ES1</x:v>
      </x:c>
      <x:c r="E235" s="16" t="n">
        <x:v>5.4</x:v>
      </x:c>
      <x:c r="F235" s="16" t="n">
        <x:v>5.4</x:v>
      </x:c>
      <x:c r="G235" s="16" t="str">
        <x:v>Unknown</x:v>
      </x:c>
      <x:c r="H235" s="17" t="str">
        <x:v>Not stated</x:v>
      </x:c>
      <x:c r="I235" s="11" t="str">
        <x:v>Not stated on map.</x:v>
      </x:c>
      <x:c r="J235" s="10" t="n">
        <x:v>51.2801</x:v>
      </x:c>
      <x:c r="K235" s="10" t="n">
        <x:v>-114.0108</x:v>
      </x:c>
      <x:c r="L235" s="8" t="str">
        <x:v>NE1-27-1-W5</x:v>
      </x:c>
      <x:c r="M235" s="11" t="str">
        <x:v>Day Use</x:v>
      </x:c>
      <x:c r="N235" s="11" t="str">
        <x:v>This pond is located in Airdrie. ACA annually stocks this pond with trout, typically before the May long weekend. | Amenities notes: no open fires; foot access only.</x:v>
      </x:c>
      <x:c r="O235" s="8" t="n">
        <x:v>0</x:v>
      </x:c>
      <x:c r="P235" s="8" t="n">
        <x:v>7</x:v>
      </x:c>
      <x:c r="Q235" s="8" t="str">
        <x:v>https://www.google.com/maps/dir/?api=1&amp;destination=51.280125,-114.010762</x:v>
      </x:c>
      <x:c r="R235" s="8" t="str">
        <x:v>https://albertaregulations.ca/fishingregs/es1.html</x:v>
      </x:c>
    </x:row>
    <x:row r="236" ht="57" customHeight="1">
      <x:c r="A236" s="8" t="str">
        <x:v>Nuggent Pond</x:v>
      </x:c>
      <x:c r="B236" s="8" t="str">
        <x:v>6724</x:v>
      </x:c>
      <x:c r="C236" s="8" t="str">
        <x:v>Ponoka</x:v>
      </x:c>
      <x:c r="D236" s="8" t="str">
        <x:v>PP2</x:v>
      </x:c>
      <x:c r="E236" s="16" t="n">
        <x:v>4</x:v>
      </x:c>
      <x:c r="F236" s="16" t="str">
        <x:v>Unknown</x:v>
      </x:c>
      <x:c r="G236" s="16" t="str">
        <x:v>Unknown</x:v>
      </x:c>
      <x:c r="H236" s="17" t="str">
        <x:v>Not stated</x:v>
      </x:c>
      <x:c r="I236" s="11" t="str">
        <x:v>Not stated on map.</x:v>
      </x:c>
      <x:c r="J236" s="10" t="n">
        <x:v>52.7915</x:v>
      </x:c>
      <x:c r="K236" s="10" t="n">
        <x:v>-114.317</x:v>
      </x:c>
      <x:c r="L236" s="8" t="str">
        <x:v>SE14-44-3-W5</x:v>
      </x:c>
      <x:c r="M236" s="11" t="str">
        <x:v>Day Use</x:v>
      </x:c>
      <x:c r="N236" s="11" t="str">
        <x:v>ACA annually stocks this pond with trout, typically before the May long weekend. Mobility-impaired access improvements were made that include a wheelchair-friendly asphalt path, casting platform and outhouse. | Amenities notes: no open fires; foot access only.</x:v>
      </x:c>
      <x:c r="O236" s="8" t="n">
        <x:v>0</x:v>
      </x:c>
      <x:c r="P236" s="8" t="n">
        <x:v>9</x:v>
      </x:c>
      <x:c r="Q236" s="8" t="str">
        <x:v>https://www.google.com/maps/dir/?api=1&amp;destination=52.791495,-114.317013</x:v>
      </x:c>
      <x:c r="R236" s="8" t="str">
        <x:v>https://albertaregulations.ca/fishingregs/pp2.html</x:v>
      </x:c>
    </x:row>
    <x:row r="237" ht="57" customHeight="1">
      <x:c r="A237" s="8" t="str">
        <x:v>Obed Lake</x:v>
      </x:c>
      <x:c r="B237" s="8" t="str">
        <x:v>5466</x:v>
      </x:c>
      <x:c r="C237" s="8" t="str">
        <x:v>Hinton</x:v>
      </x:c>
      <x:c r="D237" s="8" t="str">
        <x:v>ES3</x:v>
      </x:c>
      <x:c r="E237" s="16" t="str">
        <x:v>Unknown</x:v>
      </x:c>
      <x:c r="F237" s="16" t="n">
        <x:v>7</x:v>
      </x:c>
      <x:c r="G237" s="16" t="n">
        <x:v>3.6</x:v>
      </x:c>
      <x:c r="H237" s="17" t="str">
        <x:v>Not stated</x:v>
      </x:c>
      <x:c r="I237" s="11" t="str">
        <x:v>Not stated on map.</x:v>
      </x:c>
      <x:c r="J237" s="10" t="n">
        <x:v>53.5667</x:v>
      </x:c>
      <x:c r="K237" s="10" t="n">
        <x:v>-117.1333</x:v>
      </x:c>
      <x:c r="L237" s="8" t="str">
        <x:v>SW11-53-22-W5</x:v>
      </x:c>
      <x:c r="M237" s="11" t="str">
        <x:v>Camping; Fire Pits; Firewood; Fish Cleaning; Boat Launch; Toilets; Water; Boating; Boating Motorized; Paddling; Paddling Canoe; Paddling Kayak</x:v>
      </x:c>
      <x:c r="N237" s="11" t="str">
        <x:v>A small campground found in Obed Lake Provincial Park. A great spot to launch a boat and fish for trout.</x:v>
      </x:c>
      <x:c r="O237" s="8" t="n">
        <x:v>3</x:v>
      </x:c>
      <x:c r="P237" s="8" t="n">
        <x:v>14</x:v>
      </x:c>
      <x:c r="Q237" s="8" t="str">
        <x:v>https://www.google.com/maps/dir/?api=1&amp;destination=53.566667,-117.133333</x:v>
      </x:c>
      <x:c r="R237" s="8" t="str">
        <x:v>https://albertaregulations.ca/fishingregs/es3.html</x:v>
      </x:c>
    </x:row>
    <x:row r="238" ht="32" customHeight="1">
      <x:c r="A238" s="8" t="str">
        <x:v>Obstruction Lakes</x:v>
      </x:c>
      <x:c r="B238" s="8" t="str">
        <x:v>5467</x:v>
      </x:c>
      <x:c r="C238" s="8" t="str">
        <x:v>Nordegg</x:v>
      </x:c>
      <x:c r="D238" s="8" t="str">
        <x:v>Not stated</x:v>
      </x:c>
      <x:c r="E238" s="16" t="str">
        <x:v>Unknown</x:v>
      </x:c>
      <x:c r="F238" s="16" t="str">
        <x:v>Unknown</x:v>
      </x:c>
      <x:c r="G238" s="16" t="str">
        <x:v>Unknown</x:v>
      </x:c>
      <x:c r="H238" s="17" t="str">
        <x:v>Not stated</x:v>
      </x:c>
      <x:c r="I238" s="11" t="str">
        <x:v>Not stated on map.</x:v>
      </x:c>
      <x:c r="J238" s="10" t="n">
        <x:v>52.418</x:v>
      </x:c>
      <x:c r="K238" s="10" t="n">
        <x:v>-116.8648</x:v>
      </x:c>
      <x:c r="L238" s="8" t="str">
        <x:v>NE6-40-20-W5</x:v>
      </x:c>
      <x:c r="M238" s="11" t="str"/>
      <x:c r="N238" s="11" t="str">
        <x:v>No description available.</x:v>
      </x:c>
      <x:c r="O238" s="8" t="n">
        <x:v>0</x:v>
      </x:c>
      <x:c r="P238" s="8" t="n">
        <x:v>2</x:v>
      </x:c>
      <x:c r="Q238" s="8" t="str">
        <x:v>https://www.google.com/maps/dir/?api=1&amp;destination=52.417978,-116.864833</x:v>
      </x:c>
      <x:c r="R238" s="8" t="str"/>
    </x:row>
    <x:row r="239" ht="72" customHeight="1">
      <x:c r="A239" s="8" t="str">
        <x:v>Odlum Lake</x:v>
      </x:c>
      <x:c r="B239" s="8" t="str">
        <x:v>18997</x:v>
      </x:c>
      <x:c r="C239" s="8" t="str">
        <x:v>High River</x:v>
      </x:c>
      <x:c r="D239" s="8" t="str">
        <x:v>ES1</x:v>
      </x:c>
      <x:c r="E239" s="16" t="n">
        <x:v>7</x:v>
      </x:c>
      <x:c r="F239" s="16" t="str">
        <x:v>Unknown</x:v>
      </x:c>
      <x:c r="G239" s="16" t="str">
        <x:v>Unknown</x:v>
      </x:c>
      <x:c r="H239" s="17" t="str">
        <x:v>Not stated</x:v>
      </x:c>
      <x:c r="I239" s="11" t="str">
        <x:v>Not stated on map.</x:v>
      </x:c>
      <x:c r="J239" s="10" t="n">
        <x:v>50.4733</x:v>
      </x:c>
      <x:c r="K239" s="10" t="n">
        <x:v>-114.9128</x:v>
      </x:c>
      <x:c r="L239" s="8" t="str">
        <x:v>SW33-17-7-W5</x:v>
      </x:c>
      <x:c r="M239" s="11" t="str"/>
      <x:c r="N239" s="11" t="str">
        <x:v>Odlum Pond Trail is a 220 kilometer moderately trafficked out back trail located near Kananaskis Improvement, that features beautiful wild flowers and is rated as difficult. The trail offers a number of activity options and is best used from March until October Dogs are also able to use this trail but must be kept on leash.</x:v>
      </x:c>
      <x:c r="O239" s="8" t="n">
        <x:v>0</x:v>
      </x:c>
      <x:c r="P239" s="8" t="n">
        <x:v>1</x:v>
      </x:c>
      <x:c r="Q239" s="8" t="str">
        <x:v>https://www.google.com/maps/dir/?api=1&amp;destination=50.473279,-114.912787</x:v>
      </x:c>
      <x:c r="R239" s="8" t="str">
        <x:v>https://albertaregulations.ca/fishingregs/es1.html</x:v>
      </x:c>
    </x:row>
    <x:row r="240" ht="42" customHeight="1">
      <x:c r="A240" s="8" t="str">
        <x:v>Ole Lake</x:v>
      </x:c>
      <x:c r="B240" s="8" t="str">
        <x:v>5476</x:v>
      </x:c>
      <x:c r="C240" s="8" t="str">
        <x:v>Fairview</x:v>
      </x:c>
      <x:c r="D240" s="8" t="str">
        <x:v>NB3</x:v>
      </x:c>
      <x:c r="E240" s="16" t="n">
        <x:v>18.6</x:v>
      </x:c>
      <x:c r="F240" s="16" t="str">
        <x:v>Unknown</x:v>
      </x:c>
      <x:c r="G240" s="16" t="str">
        <x:v>Unknown</x:v>
      </x:c>
      <x:c r="H240" s="17" t="str">
        <x:v>Not stated</x:v>
      </x:c>
      <x:c r="I240" s="11" t="str">
        <x:v>Not stated on map.</x:v>
      </x:c>
      <x:c r="J240" s="10" t="n">
        <x:v>56.3168</x:v>
      </x:c>
      <x:c r="K240" s="10" t="n">
        <x:v>-119.8944</x:v>
      </x:c>
      <x:c r="L240" s="8" t="str">
        <x:v>NW30-84-12-W6</x:v>
      </x:c>
      <x:c r="M240" s="11" t="str">
        <x:v>Camping; Fire Pits; Firewood; Fish Cleaning; Boat Launch; Toilets; Playground; Water; Swimming</x:v>
      </x:c>
      <x:c r="N240" s="11" t="str">
        <x:v>Wildlife viewing and canoeing are popular activities at this provincial recreation area.</x:v>
      </x:c>
      <x:c r="O240" s="8" t="n">
        <x:v>0</x:v>
      </x:c>
      <x:c r="P240" s="8" t="n">
        <x:v>6</x:v>
      </x:c>
      <x:c r="Q240" s="8" t="str">
        <x:v>https://www.google.com/maps/dir/?api=1&amp;destination=56.316771,-119.894419</x:v>
      </x:c>
      <x:c r="R240" s="8" t="str">
        <x:v>https://albertaregulations.ca/fishingregs/nb3.html</x:v>
      </x:c>
    </x:row>
    <x:row r="241" ht="57" customHeight="1">
      <x:c r="A241" s="8" t="str">
        <x:v>Open Creek Reservoir</x:v>
      </x:c>
      <x:c r="B241" s="8" t="str">
        <x:v>6726</x:v>
      </x:c>
      <x:c r="C241" s="8" t="str">
        <x:v>Rocky Mountain House</x:v>
      </x:c>
      <x:c r="D241" s="8" t="str">
        <x:v>PP2</x:v>
      </x:c>
      <x:c r="E241" s="16" t="n">
        <x:v>19.8</x:v>
      </x:c>
      <x:c r="F241" s="16" t="n">
        <x:v>11</x:v>
      </x:c>
      <x:c r="G241" s="16" t="n">
        <x:v>5</x:v>
      </x:c>
      <x:c r="H241" s="17" t="str">
        <x:v>Not stated</x:v>
      </x:c>
      <x:c r="I241" s="11" t="str">
        <x:v>Not stated on map.</x:v>
      </x:c>
      <x:c r="J241" s="10" t="n">
        <x:v>52.6486</x:v>
      </x:c>
      <x:c r="K241" s="10" t="n">
        <x:v>-114.7292</x:v>
      </x:c>
      <x:c r="L241" s="8" t="str">
        <x:v>NE25-42-6-W5</x:v>
      </x:c>
      <x:c r="M241" s="11" t="str">
        <x:v>Camping; Camping Group; Picnic; Shelter; Water; Accessibility; Boat Launch; Day Use; Sports; Playground; Fire Pits; Firewood; Sewage Disposal</x:v>
      </x:c>
      <x:c r="N241" s="11" t="str">
        <x:v>Electric motors only. No horses or off-road vehicles allowed in Open Creek Dam Campground.</x:v>
      </x:c>
      <x:c r="O241" s="8" t="n">
        <x:v>6</x:v>
      </x:c>
      <x:c r="P241" s="8" t="n">
        <x:v>17</x:v>
      </x:c>
      <x:c r="Q241" s="8" t="str">
        <x:v>https://www.google.com/maps/dir/?api=1&amp;destination=52.648629,-114.729184</x:v>
      </x:c>
      <x:c r="R241" s="8" t="str">
        <x:v>https://albertaregulations.ca/fishingregs/pp2.html</x:v>
      </x:c>
    </x:row>
    <x:row r="242" ht="42" customHeight="1">
      <x:c r="A242" s="8" t="str">
        <x:v>Oyen Pond</x:v>
      </x:c>
      <x:c r="B242" s="8" t="str">
        <x:v>18020</x:v>
      </x:c>
      <x:c r="C242" s="8" t="str">
        <x:v>Oyen</x:v>
      </x:c>
      <x:c r="D242" s="8" t="str">
        <x:v>PP2</x:v>
      </x:c>
      <x:c r="E242" s="16" t="n">
        <x:v>5</x:v>
      </x:c>
      <x:c r="F242" s="16" t="str">
        <x:v>Unknown</x:v>
      </x:c>
      <x:c r="G242" s="16" t="str">
        <x:v>Unknown</x:v>
      </x:c>
      <x:c r="H242" s="17" t="str">
        <x:v>Not stated</x:v>
      </x:c>
      <x:c r="I242" s="11" t="str">
        <x:v>Not stated on map.</x:v>
      </x:c>
      <x:c r="J242" s="10" t="n">
        <x:v>51.3513</x:v>
      </x:c>
      <x:c r="K242" s="10" t="n">
        <x:v>-110.4882</x:v>
      </x:c>
      <x:c r="L242" s="8" t="str">
        <x:v>NW34-27-4-W4</x:v>
      </x:c>
      <x:c r="M242" s="11" t="str">
        <x:v>Day Use</x:v>
      </x:c>
      <x:c r="N242" s="11" t="str">
        <x:v>ACA annually stocks this pond with trout, typically before the May long weekend. | Amenities notes: no open fires; foot access only.</x:v>
      </x:c>
      <x:c r="O242" s="8" t="n">
        <x:v>7</x:v>
      </x:c>
      <x:c r="P242" s="8" t="n">
        <x:v>6</x:v>
      </x:c>
      <x:c r="Q242" s="8" t="str">
        <x:v>https://www.google.com/maps/dir/?api=1&amp;destination=51.351315,-110.488247</x:v>
      </x:c>
      <x:c r="R242" s="8" t="str">
        <x:v>https://albertaregulations.ca/fishingregs/pp2.html</x:v>
      </x:c>
    </x:row>
    <x:row r="243" ht="42" customHeight="1">
      <x:c r="A243" s="8" t="str">
        <x:v>Oyen Reservoir</x:v>
      </x:c>
      <x:c r="B243" s="8" t="str">
        <x:v>6714</x:v>
      </x:c>
      <x:c r="C243" s="8" t="str">
        <x:v>Oyen</x:v>
      </x:c>
      <x:c r="D243" s="8" t="str">
        <x:v>PP2</x:v>
      </x:c>
      <x:c r="E243" s="16" t="n">
        <x:v>13.2</x:v>
      </x:c>
      <x:c r="F243" s="16" t="str">
        <x:v>Unknown</x:v>
      </x:c>
      <x:c r="G243" s="16" t="str">
        <x:v>Unknown</x:v>
      </x:c>
      <x:c r="H243" s="17" t="str">
        <x:v>Not stated</x:v>
      </x:c>
      <x:c r="I243" s="11" t="str">
        <x:v>Not stated on map.</x:v>
      </x:c>
      <x:c r="J243" s="10" t="n">
        <x:v>51.6135</x:v>
      </x:c>
      <x:c r="K243" s="10" t="n">
        <x:v>-110.4977</x:v>
      </x:c>
      <x:c r="L243" s="8" t="str">
        <x:v>NE33-30-4-W4</x:v>
      </x:c>
      <x:c r="M243" s="11" t="str">
        <x:v>Day Use</x:v>
      </x:c>
      <x:c r="N243" s="11" t="str">
        <x:v>ACA annually stocks this pond with trout, typically before the May long weekend. | Amenities notes: no open fires; foot access only.</x:v>
      </x:c>
      <x:c r="O243" s="8" t="n">
        <x:v>0</x:v>
      </x:c>
      <x:c r="P243" s="8" t="n">
        <x:v>3</x:v>
      </x:c>
      <x:c r="Q243" s="8" t="str">
        <x:v>https://www.google.com/maps/dir/?api=1&amp;destination=51.6135,-110.497677</x:v>
      </x:c>
      <x:c r="R243" s="8" t="str">
        <x:v>https://albertaregulations.ca/fishingregs/pp2.html</x:v>
      </x:c>
    </x:row>
    <x:row r="244" ht="32" customHeight="1">
      <x:c r="A244" s="8" t="str">
        <x:v>Parker Lake</x:v>
      </x:c>
      <x:c r="B244" s="8" t="str">
        <x:v>5521</x:v>
      </x:c>
      <x:c r="C244" s="8" t="str">
        <x:v>Slave Lake</x:v>
      </x:c>
      <x:c r="D244" s="8" t="str">
        <x:v>NB2</x:v>
      </x:c>
      <x:c r="E244" s="16" t="n">
        <x:v>27</x:v>
      </x:c>
      <x:c r="F244" s="16" t="str">
        <x:v>Unknown</x:v>
      </x:c>
      <x:c r="G244" s="16" t="str">
        <x:v>Unknown</x:v>
      </x:c>
      <x:c r="H244" s="17" t="str">
        <x:v>Not stated</x:v>
      </x:c>
      <x:c r="I244" s="11" t="str">
        <x:v>Not stated on map.</x:v>
      </x:c>
      <x:c r="J244" s="10" t="n">
        <x:v>55.0847</x:v>
      </x:c>
      <x:c r="K244" s="10" t="n">
        <x:v>-114.6212</x:v>
      </x:c>
      <x:c r="L244" s="8" t="str">
        <x:v>SE25-70-5-W5</x:v>
      </x:c>
      <x:c r="M244" s="11" t="str"/>
      <x:c r="N244" s="11" t="str">
        <x:v>Foot or ATV access only.</x:v>
      </x:c>
      <x:c r="O244" s="8" t="n">
        <x:v>0</x:v>
      </x:c>
      <x:c r="P244" s="8" t="n">
        <x:v>4</x:v>
      </x:c>
      <x:c r="Q244" s="8" t="str">
        <x:v>https://www.google.com/maps/dir/?api=1&amp;destination=55.084708,-114.621162</x:v>
      </x:c>
      <x:c r="R244" s="8" t="str">
        <x:v>https://albertaregulations.ca/fishingregs/nb2.html</x:v>
      </x:c>
    </x:row>
    <x:row r="245" ht="57" customHeight="1">
      <x:c r="A245" s="8" t="str">
        <x:v>Peanut Lake</x:v>
      </x:c>
      <x:c r="B245" s="8" t="str">
        <x:v>5538</x:v>
      </x:c>
      <x:c r="C245" s="8" t="str">
        <x:v>Barrhead</x:v>
      </x:c>
      <x:c r="D245" s="8" t="str">
        <x:v>NB2</x:v>
      </x:c>
      <x:c r="E245" s="16" t="n">
        <x:v>13.2</x:v>
      </x:c>
      <x:c r="F245" s="16" t="n">
        <x:v>10.5</x:v>
      </x:c>
      <x:c r="G245" s="16" t="n">
        <x:v>4</x:v>
      </x:c>
      <x:c r="H245" s="17" t="str">
        <x:v>Not stated</x:v>
      </x:c>
      <x:c r="I245" s="11" t="str">
        <x:v>Not stated on map.</x:v>
      </x:c>
      <x:c r="J245" s="10" t="n">
        <x:v>54.0174</x:v>
      </x:c>
      <x:c r="K245" s="10" t="n">
        <x:v>-114.3526</x:v>
      </x:c>
      <x:c r="L245" s="8" t="str">
        <x:v>NE15-58-3-W5</x:v>
      </x:c>
      <x:c r="M245" s="11" t="str">
        <x:v>Camping; Boat Launch; Paddling; Paddling Canoe; Toilets; Trails; Trails Hiking; Wildlife Viewing; Day Use; Fish Cleaning</x:v>
      </x:c>
      <x:c r="N245" s="11" t="str">
        <x:v>This lake often winter kills. Maximum boat speed 12km/h.</x:v>
      </x:c>
      <x:c r="O245" s="8" t="n">
        <x:v>1</x:v>
      </x:c>
      <x:c r="P245" s="8" t="n">
        <x:v>14</x:v>
      </x:c>
      <x:c r="Q245" s="8" t="str">
        <x:v>https://www.google.com/maps/dir/?api=1&amp;destination=54.017399,-114.352591</x:v>
      </x:c>
      <x:c r="R245" s="8" t="str">
        <x:v>https://albertaregulations.ca/fishingregs/nb2.html</x:v>
      </x:c>
    </x:row>
    <x:row r="246" ht="42" customHeight="1">
      <x:c r="A246" s="8" t="str">
        <x:v>Peppers Lake</x:v>
      </x:c>
      <x:c r="B246" s="8" t="str">
        <x:v>5555</x:v>
      </x:c>
      <x:c r="C246" s="8" t="str">
        <x:v>Rocky Mountain House</x:v>
      </x:c>
      <x:c r="D246" s="8" t="str">
        <x:v>ES2</x:v>
      </x:c>
      <x:c r="E246" s="16" t="n">
        <x:v>11.6</x:v>
      </x:c>
      <x:c r="F246" s="16" t="str">
        <x:v>Unknown</x:v>
      </x:c>
      <x:c r="G246" s="16" t="str">
        <x:v>Unknown</x:v>
      </x:c>
      <x:c r="H246" s="17" t="str">
        <x:v>Not stated</x:v>
      </x:c>
      <x:c r="I246" s="11" t="str">
        <x:v>Not stated on map.</x:v>
      </x:c>
      <x:c r="J246" s="10" t="n">
        <x:v>52.0388</x:v>
      </x:c>
      <x:c r="K246" s="10" t="n">
        <x:v>-115.7057</x:v>
      </x:c>
      <x:c r="L246" s="8" t="str">
        <x:v>NW30-35-12-W5</x:v>
      </x:c>
      <x:c r="M246" s="11" t="str">
        <x:v>Camping; Fire Pits; Fish Cleaning; Boat Launch; Toilets; Water; Firewood</x:v>
      </x:c>
      <x:c r="N246" s="11" t="str">
        <x:v>Peppers Lake Campground is located in Peppers Lake Provincial Recreation Area. Go fishing or tour the shoreline by canoe or electric powered boat.</x:v>
      </x:c>
      <x:c r="O246" s="8" t="n">
        <x:v>1</x:v>
      </x:c>
      <x:c r="P246" s="8" t="n">
        <x:v>18</x:v>
      </x:c>
      <x:c r="Q246" s="8" t="str">
        <x:v>https://www.google.com/maps/dir/?api=1&amp;destination=52.038779,-115.705653</x:v>
      </x:c>
      <x:c r="R246" s="8" t="str">
        <x:v>https://albertaregulations.ca/fishingregs/es2.html</x:v>
      </x:c>
    </x:row>
    <x:row r="247" ht="72" customHeight="1">
      <x:c r="A247" s="8" t="str">
        <x:v>Petite Lake</x:v>
      </x:c>
      <x:c r="B247" s="8" t="str">
        <x:v>5565</x:v>
      </x:c>
      <x:c r="C247" s="8" t="str">
        <x:v>Hinton</x:v>
      </x:c>
      <x:c r="D247" s="8" t="str">
        <x:v>ES3</x:v>
      </x:c>
      <x:c r="E247" s="16" t="n">
        <x:v>11.2</x:v>
      </x:c>
      <x:c r="F247" s="16" t="n">
        <x:v>4</x:v>
      </x:c>
      <x:c r="G247" s="16" t="n">
        <x:v>3.3</x:v>
      </x:c>
      <x:c r="H247" s="17" t="str">
        <x:v>Not stated</x:v>
      </x:c>
      <x:c r="I247" s="11" t="str">
        <x:v>Not stated on map.</x:v>
      </x:c>
      <x:c r="J247" s="10" t="n">
        <x:v>53.6557</x:v>
      </x:c>
      <x:c r="K247" s="10" t="n">
        <x:v>-117.7026</x:v>
      </x:c>
      <x:c r="L247" s="8" t="str">
        <x:v>NW12-54-26-W5</x:v>
      </x:c>
      <x:c r="M247" s="11" t="str"/>
      <x:c r="N247" s="11" t="str">
        <x:v>The Petite Lake Campground is a small campground located adjacent to Petite Lake There are ATV trails in the area, and it is popular for base camping during the hunting season. Electric motors only. | Amenities notes: Located in the glacial cascades natural area - camping adjacent to waterbody.</x:v>
      </x:c>
      <x:c r="O247" s="8" t="n">
        <x:v>0</x:v>
      </x:c>
      <x:c r="P247" s="8" t="n">
        <x:v>7</x:v>
      </x:c>
      <x:c r="Q247" s="8" t="str">
        <x:v>https://www.google.com/maps/dir/?api=1&amp;destination=53.655681,-117.702585</x:v>
      </x:c>
      <x:c r="R247" s="8" t="str">
        <x:v>https://albertaregulations.ca/fishingregs/es3.html</x:v>
      </x:c>
    </x:row>
    <x:row r="248" ht="32" customHeight="1">
      <x:c r="A248" s="8" t="str">
        <x:v>Phillips Lake</x:v>
      </x:c>
      <x:c r="B248" s="8" t="str">
        <x:v>5568</x:v>
      </x:c>
      <x:c r="C248" s="8" t="str">
        <x:v>Blairmore</x:v>
      </x:c>
      <x:c r="D248" s="8" t="str">
        <x:v>ES1</x:v>
      </x:c>
      <x:c r="E248" s="16" t="n">
        <x:v>2.5</x:v>
      </x:c>
      <x:c r="F248" s="16" t="n">
        <x:v>13</x:v>
      </x:c>
      <x:c r="G248" s="16" t="str">
        <x:v>Unknown</x:v>
      </x:c>
      <x:c r="H248" s="17" t="str">
        <x:v>Not stated</x:v>
      </x:c>
      <x:c r="I248" s="11" t="str">
        <x:v>Not stated on map.</x:v>
      </x:c>
      <x:c r="J248" s="10" t="n">
        <x:v>49.6424</x:v>
      </x:c>
      <x:c r="K248" s="10" t="n">
        <x:v>-114.6625</x:v>
      </x:c>
      <x:c r="L248" s="8" t="str">
        <x:v>Unknown</x:v>
      </x:c>
      <x:c r="M248" s="11" t="str"/>
      <x:c r="N248" s="11" t="str">
        <x:v>This lake is located just west of Coleman near the BC border.</x:v>
      </x:c>
      <x:c r="O248" s="8" t="n">
        <x:v>0</x:v>
      </x:c>
      <x:c r="P248" s="8" t="n">
        <x:v>0</x:v>
      </x:c>
      <x:c r="Q248" s="8" t="str">
        <x:v>https://www.google.com/maps/dir/?api=1&amp;destination=49.642427,-114.662526</x:v>
      </x:c>
      <x:c r="R248" s="8" t="str">
        <x:v>https://albertaregulations.ca/fishingregs/es1.html</x:v>
      </x:c>
    </x:row>
    <x:row r="249" ht="72" customHeight="1">
      <x:c r="A249" s="8" t="str">
        <x:v>Phyllis Lake</x:v>
      </x:c>
      <x:c r="B249" s="8" t="str">
        <x:v>5569</x:v>
      </x:c>
      <x:c r="C249" s="8" t="str">
        <x:v>Rocky Mountain House</x:v>
      </x:c>
      <x:c r="D249" s="8" t="str">
        <x:v>ES2</x:v>
      </x:c>
      <x:c r="E249" s="16" t="n">
        <x:v>16</x:v>
      </x:c>
      <x:c r="F249" s="16" t="n">
        <x:v>6.9</x:v>
      </x:c>
      <x:c r="G249" s="16" t="n">
        <x:v>4.8</x:v>
      </x:c>
      <x:c r="H249" s="17" t="str">
        <x:v>Not stated</x:v>
      </x:c>
      <x:c r="I249" s="11" t="str">
        <x:v>Not stated on map.</x:v>
      </x:c>
      <x:c r="J249" s="10" t="n">
        <x:v>52.1</x:v>
      </x:c>
      <x:c r="K249" s="10" t="n">
        <x:v>-114.9667</x:v>
      </x:c>
      <x:c r="L249" s="8" t="str">
        <x:v>SE17-36-7-W5</x:v>
      </x:c>
      <x:c r="M249" s="11" t="str">
        <x:v>Picnic; Fire Pits; Water; Toilets; Boat Launch; Dock/Pier; Fish Cleaning; Firewood</x:v>
      </x:c>
      <x:c r="N249" s="11" t="str">
        <x:v>This scenic little foothills lake is suited to canoeing, fishing and boating with electric powered motors. There are about 20 sites, most of which are open to each other and face the lake. They are suited for both RVs and tents. | Amenities notes: refuse containers</x:v>
      </x:c>
      <x:c r="O249" s="8" t="n">
        <x:v>6</x:v>
      </x:c>
      <x:c r="P249" s="8" t="n">
        <x:v>17</x:v>
      </x:c>
      <x:c r="Q249" s="8" t="str">
        <x:v>https://www.google.com/maps/dir/?api=1&amp;destination=52.1,-114.966667</x:v>
      </x:c>
      <x:c r="R249" s="8" t="str">
        <x:v>https://albertaregulations.ca/fishingregs/es2.html</x:v>
      </x:c>
    </x:row>
    <x:row r="250" ht="42" customHeight="1">
      <x:c r="A250" s="8" t="str">
        <x:v>Pine Coulee Reservoir</x:v>
      </x:c>
      <x:c r="B250" s="8" t="str">
        <x:v>18007</x:v>
      </x:c>
      <x:c r="C250" s="8" t="str">
        <x:v>Claresholm</x:v>
      </x:c>
      <x:c r="D250" s="8" t="str">
        <x:v>PP2</x:v>
      </x:c>
      <x:c r="E250" s="16" t="n">
        <x:v>503.2</x:v>
      </x:c>
      <x:c r="F250" s="16" t="str">
        <x:v>Unknown</x:v>
      </x:c>
      <x:c r="G250" s="16" t="str">
        <x:v>Unknown</x:v>
      </x:c>
      <x:c r="H250" s="17" t="str">
        <x:v>Not stated</x:v>
      </x:c>
      <x:c r="I250" s="11" t="str">
        <x:v>Not stated on map.</x:v>
      </x:c>
      <x:c r="J250" s="10" t="n">
        <x:v>50.1757</x:v>
      </x:c>
      <x:c r="K250" s="10" t="n">
        <x:v>-113.7377</x:v>
      </x:c>
      <x:c r="L250" s="8" t="str">
        <x:v>NE15-14-28-W4</x:v>
      </x:c>
      <x:c r="M250" s="11" t="str">
        <x:v>Camping; Day Use</x:v>
      </x:c>
      <x:c r="N250" s="11" t="str">
        <x:v>This waterbody has been recently designated as a quality fishery and stocked with rainbow trout.</x:v>
      </x:c>
      <x:c r="O250" s="8" t="n">
        <x:v>1</x:v>
      </x:c>
      <x:c r="P250" s="8" t="n">
        <x:v>10</x:v>
      </x:c>
      <x:c r="Q250" s="8" t="str">
        <x:v>https://www.google.com/maps/dir/?api=1&amp;destination=50.1757,-113.737738</x:v>
      </x:c>
      <x:c r="R250" s="8" t="str">
        <x:v>https://albertaregulations.ca/fishingregs/pp2.html</x:v>
      </x:c>
    </x:row>
    <x:row r="251" ht="42" customHeight="1">
      <x:c r="A251" s="8" t="str">
        <x:v>Pine Point Borrow Pit</x:v>
      </x:c>
      <x:c r="B251" s="8" t="str">
        <x:v>6910</x:v>
      </x:c>
      <x:c r="C251" s="8" t="str">
        <x:v>Fox Creek</x:v>
      </x:c>
      <x:c r="D251" s="8" t="str">
        <x:v>ES4</x:v>
      </x:c>
      <x:c r="E251" s="16" t="n">
        <x:v>3</x:v>
      </x:c>
      <x:c r="F251" s="16" t="str">
        <x:v>Unknown</x:v>
      </x:c>
      <x:c r="G251" s="16" t="str">
        <x:v>Unknown</x:v>
      </x:c>
      <x:c r="H251" s="17" t="str">
        <x:v>Not stated</x:v>
      </x:c>
      <x:c r="I251" s="11" t="str">
        <x:v>Not stated on map.</x:v>
      </x:c>
      <x:c r="J251" s="10" t="n">
        <x:v>54.4623</x:v>
      </x:c>
      <x:c r="K251" s="10" t="n">
        <x:v>-116.9471</x:v>
      </x:c>
      <x:c r="L251" s="8" t="str">
        <x:v>Unknown</x:v>
      </x:c>
      <x:c r="M251" s="11" t="str">
        <x:v>Day Use</x:v>
      </x:c>
      <x:c r="N251" s="11" t="str">
        <x:v>The Pines Campground is located near the pond. | Amenities notes: no open fires; foot access only.</x:v>
      </x:c>
      <x:c r="O251" s="8" t="n">
        <x:v>0</x:v>
      </x:c>
      <x:c r="P251" s="8" t="n">
        <x:v>0</x:v>
      </x:c>
      <x:c r="Q251" s="8" t="str">
        <x:v>https://www.google.com/maps/dir/?api=1&amp;destination=54.46228,-116.947095</x:v>
      </x:c>
      <x:c r="R251" s="8" t="str">
        <x:v>https://albertaregulations.ca/fishingregs/es4.html</x:v>
      </x:c>
    </x:row>
    <x:row r="252" ht="102" customHeight="1">
      <x:c r="A252" s="8" t="str">
        <x:v>Pinehurst Lake</x:v>
      </x:c>
      <x:c r="B252" s="8" t="str">
        <x:v>5581</x:v>
      </x:c>
      <x:c r="C252" s="8" t="str">
        <x:v>Lac La Biche</x:v>
      </x:c>
      <x:c r="D252" s="8" t="str">
        <x:v>NB1</x:v>
      </x:c>
      <x:c r="E252" s="16" t="n">
        <x:v>3956.3</x:v>
      </x:c>
      <x:c r="F252" s="16" t="n">
        <x:v>23.5</x:v>
      </x:c>
      <x:c r="G252" s="16" t="n">
        <x:v>12.2</x:v>
      </x:c>
      <x:c r="H252" s="17" t="str">
        <x:v>Not stated</x:v>
      </x:c>
      <x:c r="I252" s="11" t="str">
        <x:v>Not stated on map.</x:v>
      </x:c>
      <x:c r="J252" s="10" t="n">
        <x:v>54.6535</x:v>
      </x:c>
      <x:c r="K252" s="10" t="n">
        <x:v>-111.4282</x:v>
      </x:c>
      <x:c r="L252" s="8" t="str">
        <x:v>NE27-65-10-W4</x:v>
      </x:c>
      <x:c r="M252" s="11" t="str">
        <x:v>Boat Launch; Fish Cleaning; Water; Picnic; Shelter; Toilets; Dock/Pier; Firewood</x:v>
      </x:c>
      <x:c r="N252" s="11" t="str">
        <x:v>Pinehurst Lake and campground is located in Lakeland Provincial Recreation Area, 17 km south of Lac La Biche on Hwy. 36, 5km east on Hwy. 55, 3km north on Range Rd. 132, 19 km east on Township Rd. 652, and 7km north on access road. Pinehurst is a favourite destination for local anglers, and has a staging area outside of the campsite for OHV use for the trail network throughout Lakeland PRA. | Amenities notes: firepits; lifejacket loaner station</x:v>
      </x:c>
      <x:c r="O252" s="8" t="n">
        <x:v>0</x:v>
      </x:c>
      <x:c r="P252" s="8" t="n">
        <x:v>4</x:v>
      </x:c>
      <x:c r="Q252" s="8" t="str">
        <x:v>https://www.google.com/maps/dir/?api=1&amp;destination=54.653492,-111.428157</x:v>
      </x:c>
      <x:c r="R252" s="8" t="str">
        <x:v>https://albertaregulations.ca/fishingregs/es1.html</x:v>
      </x:c>
    </x:row>
    <x:row r="253" ht="42" customHeight="1">
      <x:c r="A253" s="8" t="str">
        <x:v>Pit 24</x:v>
      </x:c>
      <x:c r="B253" s="8" t="str">
        <x:v>23789</x:v>
      </x:c>
      <x:c r="C253" s="8" t="str">
        <x:v>Edson</x:v>
      </x:c>
      <x:c r="D253" s="8" t="str">
        <x:v>ES3</x:v>
      </x:c>
      <x:c r="E253" s="16" t="n">
        <x:v>4.9</x:v>
      </x:c>
      <x:c r="F253" s="16" t="n">
        <x:v>4</x:v>
      </x:c>
      <x:c r="G253" s="16" t="str">
        <x:v>Unknown</x:v>
      </x:c>
      <x:c r="H253" s="17" t="str">
        <x:v>Not stated</x:v>
      </x:c>
      <x:c r="I253" s="11" t="str">
        <x:v>Not stated on map.</x:v>
      </x:c>
      <x:c r="J253" s="10" t="n">
        <x:v>53.0305</x:v>
      </x:c>
      <x:c r="K253" s="10" t="n">
        <x:v>-116.7144</x:v>
      </x:c>
      <x:c r="L253" s="8" t="str">
        <x:v>NE4-47-19-W5</x:v>
      </x:c>
      <x:c r="M253" s="11" t="str">
        <x:v>Day Use</x:v>
      </x:c>
      <x:c r="N253" s="11" t="str">
        <x:v>This is a small re-claimed mine pond on Cole Valley Mine site. | Amenities notes: no open fires; foot access only.</x:v>
      </x:c>
      <x:c r="O253" s="8" t="n">
        <x:v>0</x:v>
      </x:c>
      <x:c r="P253" s="8" t="n">
        <x:v>10</x:v>
      </x:c>
      <x:c r="Q253" s="8" t="str">
        <x:v>https://www.google.com/maps/dir/?api=1&amp;destination=53.030531,-116.714447</x:v>
      </x:c>
      <x:c r="R253" s="8" t="str">
        <x:v>https://albertaregulations.ca/fishingregs/es3.html</x:v>
      </x:c>
    </x:row>
    <x:row r="254" ht="42" customHeight="1">
      <x:c r="A254" s="8" t="str">
        <x:v>Pit 35</x:v>
      </x:c>
      <x:c r="B254" s="8" t="str">
        <x:v>23790</x:v>
      </x:c>
      <x:c r="C254" s="8" t="str">
        <x:v>Edson</x:v>
      </x:c>
      <x:c r="D254" s="8" t="str">
        <x:v>ES3</x:v>
      </x:c>
      <x:c r="E254" s="16" t="n">
        <x:v>2.6</x:v>
      </x:c>
      <x:c r="F254" s="16" t="n">
        <x:v>4</x:v>
      </x:c>
      <x:c r="G254" s="16" t="str">
        <x:v>Unknown</x:v>
      </x:c>
      <x:c r="H254" s="17" t="str">
        <x:v>Not stated</x:v>
      </x:c>
      <x:c r="I254" s="11" t="str">
        <x:v>Not stated on map.</x:v>
      </x:c>
      <x:c r="J254" s="10" t="n">
        <x:v>52.992</x:v>
      </x:c>
      <x:c r="K254" s="10" t="n">
        <x:v>-116.6493</x:v>
      </x:c>
      <x:c r="L254" s="8" t="str">
        <x:v>SW26-46-19-W5</x:v>
      </x:c>
      <x:c r="M254" s="11" t="str">
        <x:v>Day Use</x:v>
      </x:c>
      <x:c r="N254" s="11" t="str">
        <x:v>This is a small re-claimed mine pond on Cole Valley Mine site. | Amenities notes: no open fires; foot access only.</x:v>
      </x:c>
      <x:c r="O254" s="8" t="n">
        <x:v>0</x:v>
      </x:c>
      <x:c r="P254" s="8" t="n">
        <x:v>6</x:v>
      </x:c>
      <x:c r="Q254" s="8" t="str">
        <x:v>https://www.google.com/maps/dir/?api=1&amp;destination=52.992044,-116.649313</x:v>
      </x:c>
      <x:c r="R254" s="8" t="str">
        <x:v>https://albertaregulations.ca/fishingregs/es3.html</x:v>
      </x:c>
    </x:row>
    <x:row r="255" ht="42" customHeight="1">
      <x:c r="A255" s="8" t="str">
        <x:v>Pit 44</x:v>
      </x:c>
      <x:c r="B255" s="8" t="str">
        <x:v>24312</x:v>
      </x:c>
      <x:c r="C255" s="8" t="str">
        <x:v>Edson</x:v>
      </x:c>
      <x:c r="D255" s="8" t="str">
        <x:v>ES3</x:v>
      </x:c>
      <x:c r="E255" s="16" t="n">
        <x:v>7.1</x:v>
      </x:c>
      <x:c r="F255" s="16" t="n">
        <x:v>4</x:v>
      </x:c>
      <x:c r="G255" s="16" t="str">
        <x:v>Unknown</x:v>
      </x:c>
      <x:c r="H255" s="17" t="str">
        <x:v>Not stated</x:v>
      </x:c>
      <x:c r="I255" s="11" t="str">
        <x:v>Not stated on map.</x:v>
      </x:c>
      <x:c r="J255" s="10" t="n">
        <x:v>53.0047</x:v>
      </x:c>
      <x:c r="K255" s="10" t="n">
        <x:v>-116.6535</x:v>
      </x:c>
      <x:c r="L255" s="8" t="str">
        <x:v>SW35-46-19-W5</x:v>
      </x:c>
      <x:c r="M255" s="11" t="str">
        <x:v>Day Use</x:v>
      </x:c>
      <x:c r="N255" s="11" t="str">
        <x:v>This is a small re-claimed mine pond on Cole Valley Mine site. | Amenities notes: no open fires; foot access only.</x:v>
      </x:c>
      <x:c r="O255" s="8" t="n">
        <x:v>0</x:v>
      </x:c>
      <x:c r="P255" s="8" t="n">
        <x:v>6</x:v>
      </x:c>
      <x:c r="Q255" s="8" t="str">
        <x:v>https://www.google.com/maps/dir/?api=1&amp;destination=53.004695,-116.653503</x:v>
      </x:c>
      <x:c r="R255" s="8" t="str">
        <x:v>https://albertaregulations.ca/fishingregs/es3.html</x:v>
      </x:c>
    </x:row>
    <x:row r="256" ht="42" customHeight="1">
      <x:c r="A256" s="8" t="str">
        <x:v>Pit 45</x:v>
      </x:c>
      <x:c r="B256" s="8" t="str">
        <x:v>23791</x:v>
      </x:c>
      <x:c r="C256" s="8" t="str">
        <x:v>Edson</x:v>
      </x:c>
      <x:c r="D256" s="8" t="str">
        <x:v>ES3</x:v>
      </x:c>
      <x:c r="E256" s="16" t="n">
        <x:v>7.5</x:v>
      </x:c>
      <x:c r="F256" s="16" t="str">
        <x:v>Unknown</x:v>
      </x:c>
      <x:c r="G256" s="16" t="str">
        <x:v>Unknown</x:v>
      </x:c>
      <x:c r="H256" s="17" t="str">
        <x:v>Not stated</x:v>
      </x:c>
      <x:c r="I256" s="11" t="str">
        <x:v>Not stated on map.</x:v>
      </x:c>
      <x:c r="J256" s="10" t="n">
        <x:v>52.9928</x:v>
      </x:c>
      <x:c r="K256" s="10" t="n">
        <x:v>-116.6457</x:v>
      </x:c>
      <x:c r="L256" s="8" t="str">
        <x:v>SE26-46-19-W5</x:v>
      </x:c>
      <x:c r="M256" s="11" t="str">
        <x:v>Day Use</x:v>
      </x:c>
      <x:c r="N256" s="11" t="str">
        <x:v>This is a small re-claimed mine pond on Cole Valley Mine site. | Amenities notes: no open fires; foot access only.</x:v>
      </x:c>
      <x:c r="O256" s="8" t="n">
        <x:v>1</x:v>
      </x:c>
      <x:c r="P256" s="8" t="n">
        <x:v>6</x:v>
      </x:c>
      <x:c r="Q256" s="8" t="str">
        <x:v>https://www.google.com/maps/dir/?api=1&amp;destination=52.992815,-116.645687</x:v>
      </x:c>
      <x:c r="R256" s="8" t="str">
        <x:v>https://albertaregulations.ca/fishingregs/es3.html</x:v>
      </x:c>
    </x:row>
    <x:row r="257" ht="42" customHeight="1">
      <x:c r="A257" s="8" t="str">
        <x:v>Pleasure Island Reservoir</x:v>
      </x:c>
      <x:c r="B257" s="8" t="str">
        <x:v>6706</x:v>
      </x:c>
      <x:c r="C257" s="8" t="str">
        <x:v>Camrose</x:v>
      </x:c>
      <x:c r="D257" s="8" t="str">
        <x:v>PP2</x:v>
      </x:c>
      <x:c r="E257" s="16" t="n">
        <x:v>10</x:v>
      </x:c>
      <x:c r="F257" s="16" t="str">
        <x:v>Unknown</x:v>
      </x:c>
      <x:c r="G257" s="16" t="n">
        <x:v>4</x:v>
      </x:c>
      <x:c r="H257" s="17" t="str">
        <x:v>Not stated</x:v>
      </x:c>
      <x:c r="I257" s="11" t="str">
        <x:v>Not stated on map.</x:v>
      </x:c>
      <x:c r="J257" s="10" t="n">
        <x:v>52.9798</x:v>
      </x:c>
      <x:c r="K257" s="10" t="n">
        <x:v>-112.7294</x:v>
      </x:c>
      <x:c r="L257" s="8" t="str">
        <x:v>SW20-46-19-W4</x:v>
      </x:c>
      <x:c r="M257" s="11" t="str">
        <x:v>Day Use</x:v>
      </x:c>
      <x:c r="N257" s="11" t="str">
        <x:v>ACA annually stocks this pond with trout, typically before the May long weekend. | Amenities notes: no open fires; foot access only.</x:v>
      </x:c>
      <x:c r="O257" s="8" t="n">
        <x:v>0</x:v>
      </x:c>
      <x:c r="P257" s="8" t="n">
        <x:v>33</x:v>
      </x:c>
      <x:c r="Q257" s="8" t="str">
        <x:v>https://www.google.com/maps/dir/?api=1&amp;destination=52.979766,-112.729392</x:v>
      </x:c>
      <x:c r="R257" s="8" t="str">
        <x:v>https://albertaregulations.ca/fishingregs/pp2.html</x:v>
      </x:c>
    </x:row>
    <x:row r="258" ht="72" customHeight="1">
      <x:c r="A258" s="8" t="str">
        <x:v>Police Lake</x:v>
      </x:c>
      <x:c r="B258" s="8" t="str">
        <x:v>5504</x:v>
      </x:c>
      <x:c r="C258" s="8" t="str">
        <x:v>Cardston</x:v>
      </x:c>
      <x:c r="D258" s="8" t="str">
        <x:v>PP1</x:v>
      </x:c>
      <x:c r="E258" s="16" t="n">
        <x:v>97.8</x:v>
      </x:c>
      <x:c r="F258" s="16" t="n">
        <x:v>4</x:v>
      </x:c>
      <x:c r="G258" s="16" t="n">
        <x:v>3.5</x:v>
      </x:c>
      <x:c r="H258" s="17" t="str">
        <x:v>Not stated</x:v>
      </x:c>
      <x:c r="I258" s="11" t="str">
        <x:v>Not stated on map.</x:v>
      </x:c>
      <x:c r="J258" s="10" t="n">
        <x:v>49.0118</x:v>
      </x:c>
      <x:c r="K258" s="10" t="n">
        <x:v>-113.4567</x:v>
      </x:c>
      <x:c r="L258" s="8" t="str">
        <x:v>NE6-1-26-W4</x:v>
      </x:c>
      <x:c r="M258" s="11" t="str">
        <x:v>Camping; Boat Launch; Fire Pits; Firewood; Fish Cleaning; Retail/Services; Picnic; Shelter; Dock/Pier; Toilets; Playground; Sewage Disposal; Water</x:v>
      </x:c>
      <x:c r="N258" s="11" t="str">
        <x:v>The well-spaced sites are suitable for tents and RVs and natural poplar forest provides privacy. Relax and spend lazy days fishing from your boat, canoe or shore. | Amenities notes: viewpoints</x:v>
      </x:c>
      <x:c r="O258" s="8" t="n">
        <x:v>5</x:v>
      </x:c>
      <x:c r="P258" s="8" t="n">
        <x:v>15</x:v>
      </x:c>
      <x:c r="Q258" s="8" t="str">
        <x:v>https://www.google.com/maps/dir/?api=1&amp;destination=49.011823,-113.456699</x:v>
      </x:c>
      <x:c r="R258" s="8" t="str">
        <x:v>https://albertaregulations.ca/fishingregs/pp1.html</x:v>
      </x:c>
    </x:row>
    <x:row r="259" ht="57" customHeight="1">
      <x:c r="A259" s="8" t="str">
        <x:v>Ponoka Centennial Park Pond</x:v>
      </x:c>
      <x:c r="B259" s="8" t="str">
        <x:v>6871</x:v>
      </x:c>
      <x:c r="C259" s="8" t="str">
        <x:v>Ponoka</x:v>
      </x:c>
      <x:c r="D259" s="8" t="str">
        <x:v>PP2</x:v>
      </x:c>
      <x:c r="E259" s="16" t="n">
        <x:v>6.5</x:v>
      </x:c>
      <x:c r="F259" s="16" t="str">
        <x:v>Unknown</x:v>
      </x:c>
      <x:c r="G259" s="16" t="str">
        <x:v>Unknown</x:v>
      </x:c>
      <x:c r="H259" s="17" t="str">
        <x:v>Not stated</x:v>
      </x:c>
      <x:c r="I259" s="11" t="str">
        <x:v>Not stated on map.</x:v>
      </x:c>
      <x:c r="J259" s="10" t="n">
        <x:v>52.6804</x:v>
      </x:c>
      <x:c r="K259" s="10" t="n">
        <x:v>-113.585</x:v>
      </x:c>
      <x:c r="L259" s="8" t="str">
        <x:v>NE5-43-25-W4</x:v>
      </x:c>
      <x:c r="M259" s="11" t="str">
        <x:v>Day Use</x:v>
      </x:c>
      <x:c r="N259" s="11" t="str">
        <x:v>Lions Centennial Park lies along the northwest side of Highway 2A, the major local thoroughfare, as it passes through town A long narrow park of several acres in size. | Amenities notes: no open fires; foot access only.</x:v>
      </x:c>
      <x:c r="O259" s="8" t="n">
        <x:v>0</x:v>
      </x:c>
      <x:c r="P259" s="8" t="n">
        <x:v>13</x:v>
      </x:c>
      <x:c r="Q259" s="8" t="str">
        <x:v>https://www.google.com/maps/dir/?api=1&amp;destination=52.680354,-113.584991</x:v>
      </x:c>
      <x:c r="R259" s="8" t="str">
        <x:v>https://albertaregulations.ca/fishingregs/pp2.html</x:v>
      </x:c>
    </x:row>
    <x:row r="260" ht="42" customHeight="1">
      <x:c r="A260" s="8" t="str">
        <x:v>Radway Fish Pond</x:v>
      </x:c>
      <x:c r="B260" s="8" t="str">
        <x:v>26047</x:v>
      </x:c>
      <x:c r="C260" s="8" t="str">
        <x:v>Smoky Lake</x:v>
      </x:c>
      <x:c r="D260" s="8" t="str">
        <x:v>NB1</x:v>
      </x:c>
      <x:c r="E260" s="16" t="str">
        <x:v>Unknown</x:v>
      </x:c>
      <x:c r="F260" s="16" t="str">
        <x:v>Unknown</x:v>
      </x:c>
      <x:c r="G260" s="16" t="str">
        <x:v>Unknown</x:v>
      </x:c>
      <x:c r="H260" s="17" t="str">
        <x:v>Not stated</x:v>
      </x:c>
      <x:c r="I260" s="11" t="str">
        <x:v>Not stated on map.</x:v>
      </x:c>
      <x:c r="J260" s="10" t="n">
        <x:v>54.0568</x:v>
      </x:c>
      <x:c r="K260" s="10" t="n">
        <x:v>-112.956</x:v>
      </x:c>
      <x:c r="L260" s="8" t="str">
        <x:v>SE31-58-20-W4</x:v>
      </x:c>
      <x:c r="M260" s="11" t="str">
        <x:v>Accessibility; Day Use</x:v>
      </x:c>
      <x:c r="N260" s="11" t="str">
        <x:v>This is an accessible fish pond, with a cook shack, benches, fire pits for the perfect day out fishing.</x:v>
      </x:c>
      <x:c r="O260" s="8" t="n">
        <x:v>0</x:v>
      </x:c>
      <x:c r="P260" s="8" t="n">
        <x:v>6</x:v>
      </x:c>
      <x:c r="Q260" s="8" t="str">
        <x:v>https://www.google.com/maps/dir/?api=1&amp;destination=54.056793,-112.95596</x:v>
      </x:c>
      <x:c r="R260" s="8" t="str">
        <x:v>https://albertaregulations.ca/fishingregs/nb1.html</x:v>
      </x:c>
    </x:row>
    <x:row r="261" ht="42" customHeight="1">
      <x:c r="A261" s="8" t="str">
        <x:v>Rainbow Lake Pond</x:v>
      </x:c>
      <x:c r="B261" s="8" t="str">
        <x:v>6705</x:v>
      </x:c>
      <x:c r="C261" s="8" t="str">
        <x:v>High Level</x:v>
      </x:c>
      <x:c r="D261" s="8" t="str">
        <x:v>NB3</x:v>
      </x:c>
      <x:c r="E261" s="16" t="n">
        <x:v>1.5</x:v>
      </x:c>
      <x:c r="F261" s="16" t="n">
        <x:v>6</x:v>
      </x:c>
      <x:c r="G261" s="16" t="str">
        <x:v>Unknown</x:v>
      </x:c>
      <x:c r="H261" s="17" t="str">
        <x:v>Not stated</x:v>
      </x:c>
      <x:c r="I261" s="11" t="str">
        <x:v>Not stated on map.</x:v>
      </x:c>
      <x:c r="J261" s="10" t="n">
        <x:v>58.4954</x:v>
      </x:c>
      <x:c r="K261" s="10" t="n">
        <x:v>-119.3493</x:v>
      </x:c>
      <x:c r="L261" s="8" t="str">
        <x:v>NE25-109-9-W6</x:v>
      </x:c>
      <x:c r="M261" s="11" t="str">
        <x:v>Day Use</x:v>
      </x:c>
      <x:c r="N261" s="11" t="str">
        <x:v>This lake is a great place to spend the day and fish. | Amenities notes: no open fires; foot access only.</x:v>
      </x:c>
      <x:c r="O261" s="8" t="n">
        <x:v>6</x:v>
      </x:c>
      <x:c r="P261" s="8" t="n">
        <x:v>5</x:v>
      </x:c>
      <x:c r="Q261" s="8" t="str">
        <x:v>https://www.google.com/maps/dir/?api=1&amp;destination=58.495385,-119.349303</x:v>
      </x:c>
      <x:c r="R261" s="8" t="str">
        <x:v>https://albertaregulations.ca/fishingregs/nb3.html</x:v>
      </x:c>
    </x:row>
    <x:row r="262" ht="42" customHeight="1">
      <x:c r="A262" s="8" t="str">
        <x:v>Rat Lake</x:v>
      </x:c>
      <x:c r="B262" s="8" t="str">
        <x:v>6702</x:v>
      </x:c>
      <x:c r="C262" s="8" t="str">
        <x:v>Rocky Mountain House</x:v>
      </x:c>
      <x:c r="D262" s="8" t="str">
        <x:v>ES2</x:v>
      </x:c>
      <x:c r="E262" s="16" t="n">
        <x:v>2.5</x:v>
      </x:c>
      <x:c r="F262" s="16" t="str">
        <x:v>Unknown</x:v>
      </x:c>
      <x:c r="G262" s="16" t="str">
        <x:v>Unknown</x:v>
      </x:c>
      <x:c r="H262" s="17" t="str">
        <x:v>Not stated</x:v>
      </x:c>
      <x:c r="I262" s="11" t="str">
        <x:v>Not stated on map.</x:v>
      </x:c>
      <x:c r="J262" s="10" t="n">
        <x:v>52.2475</x:v>
      </x:c>
      <x:c r="K262" s="10" t="n">
        <x:v>-115.1838</x:v>
      </x:c>
      <x:c r="L262" s="8" t="str">
        <x:v>SW11-38-9-W5</x:v>
      </x:c>
      <x:c r="M262" s="11" t="str">
        <x:v>Dock/Pier; Day Use</x:v>
      </x:c>
      <x:c r="N262" s="11" t="str">
        <x:v>This lake is stocked with brook and tiger trout. It is a very shallow lake and some years can be affected by winter kill.</x:v>
      </x:c>
      <x:c r="O262" s="8" t="n">
        <x:v>1</x:v>
      </x:c>
      <x:c r="P262" s="8" t="n">
        <x:v>11</x:v>
      </x:c>
      <x:c r="Q262" s="8" t="str">
        <x:v>https://www.google.com/maps/dir/?api=1&amp;destination=52.247523,-115.183801</x:v>
      </x:c>
      <x:c r="R262" s="8" t="str">
        <x:v>https://albertaregulations.ca/fishingregs/es2.html</x:v>
      </x:c>
    </x:row>
    <x:row r="263" ht="102" customHeight="1">
      <x:c r="A263" s="8" t="str">
        <x:v>Rawson Lake</x:v>
      </x:c>
      <x:c r="B263" s="8" t="str">
        <x:v>5649</x:v>
      </x:c>
      <x:c r="C263" s="8" t="str">
        <x:v>Canmore</x:v>
      </x:c>
      <x:c r="D263" s="8" t="str">
        <x:v>ES1</x:v>
      </x:c>
      <x:c r="E263" s="16" t="str">
        <x:v>Unknown</x:v>
      </x:c>
      <x:c r="F263" s="16" t="str">
        <x:v>Unknown</x:v>
      </x:c>
      <x:c r="G263" s="16" t="str">
        <x:v>Unknown</x:v>
      </x:c>
      <x:c r="H263" s="17" t="str">
        <x:v>Not stated</x:v>
      </x:c>
      <x:c r="I263" s="11" t="str">
        <x:v>Not stated on map.</x:v>
      </x:c>
      <x:c r="J263" s="10" t="n">
        <x:v>50.5913</x:v>
      </x:c>
      <x:c r="K263" s="10" t="n">
        <x:v>-115.1537</x:v>
      </x:c>
      <x:c r="L263" s="8" t="str">
        <x:v>SW11-19-9-W5</x:v>
      </x:c>
      <x:c r="M263" s="11" t="str"/>
      <x:c r="N263" s="11" t="str">
        <x:v>This is a monderate trail difficulty, with a distance of 7.8km round trip, with an elevation gain of 300m. The trailhead is conveniently located adjacent to the Upper Kananaskis Lake parking lot. The route offers scenic views of Upper Kananaskis Lake, a picturesque waterfall, and sections of old-growth forest. Rawson Lake provides an excellent opportunity for hikers seeking a moderate challenge combined with stunning natural landscapes.</x:v>
      </x:c>
      <x:c r="O263" s="8" t="n">
        <x:v>0</x:v>
      </x:c>
      <x:c r="P263" s="8" t="n">
        <x:v>2</x:v>
      </x:c>
      <x:c r="Q263" s="8" t="str">
        <x:v>https://www.google.com/maps/dir/?api=1&amp;destination=50.591308,-115.153682</x:v>
      </x:c>
      <x:c r="R263" s="8" t="str">
        <x:v>https://albertaregulations.ca/fishingregs/es1.html</x:v>
      </x:c>
    </x:row>
    <x:row r="264" ht="42" customHeight="1">
      <x:c r="A264" s="8" t="str">
        <x:v>Ray's Pond</x:v>
      </x:c>
      <x:c r="B264" s="8" t="str">
        <x:v>6735</x:v>
      </x:c>
      <x:c r="C264" s="8" t="str">
        <x:v>Red Deer</x:v>
      </x:c>
      <x:c r="D264" s="8" t="str">
        <x:v>PP2</x:v>
      </x:c>
      <x:c r="E264" s="16" t="n">
        <x:v>1.5</x:v>
      </x:c>
      <x:c r="F264" s="16" t="n">
        <x:v>13</x:v>
      </x:c>
      <x:c r="G264" s="16" t="str">
        <x:v>Unknown</x:v>
      </x:c>
      <x:c r="H264" s="17" t="str">
        <x:v>Not stated</x:v>
      </x:c>
      <x:c r="I264" s="11" t="str">
        <x:v>Not stated on map.</x:v>
      </x:c>
      <x:c r="J264" s="10" t="n">
        <x:v>52.3229</x:v>
      </x:c>
      <x:c r="K264" s="10" t="n">
        <x:v>-114.2927</x:v>
      </x:c>
      <x:c r="L264" s="8" t="str">
        <x:v>SE1-39-3-W5</x:v>
      </x:c>
      <x:c r="M264" s="11" t="str">
        <x:v>Day Use</x:v>
      </x:c>
      <x:c r="N264" s="11" t="str">
        <x:v>ACA annually stocks this pond with trout, typically before the May long weekend. | Amenities notes: no open fires; foot access only.</x:v>
      </x:c>
      <x:c r="O264" s="8" t="n">
        <x:v>0</x:v>
      </x:c>
      <x:c r="P264" s="8" t="n">
        <x:v>14</x:v>
      </x:c>
      <x:c r="Q264" s="8" t="str">
        <x:v>https://www.google.com/maps/dir/?api=1&amp;destination=52.322935,-114.292729</x:v>
      </x:c>
      <x:c r="R264" s="8" t="str">
        <x:v>https://albertaregulations.ca/fishingregs/pp2.html</x:v>
      </x:c>
    </x:row>
    <x:row r="265" ht="42" customHeight="1">
      <x:c r="A265" s="8" t="str">
        <x:v>Reesor Lake</x:v>
      </x:c>
      <x:c r="B265" s="8" t="str">
        <x:v>5661</x:v>
      </x:c>
      <x:c r="C265" s="8" t="str">
        <x:v>Medicine Hat</x:v>
      </x:c>
      <x:c r="D265" s="8" t="str">
        <x:v>PP1</x:v>
      </x:c>
      <x:c r="E265" s="16" t="n">
        <x:v>52.4</x:v>
      </x:c>
      <x:c r="F265" s="16" t="n">
        <x:v>5</x:v>
      </x:c>
      <x:c r="G265" s="16" t="n">
        <x:v>4</x:v>
      </x:c>
      <x:c r="H265" s="17" t="str">
        <x:v>Not stated</x:v>
      </x:c>
      <x:c r="I265" s="11" t="str">
        <x:v>Not stated on map.</x:v>
      </x:c>
      <x:c r="J265" s="10" t="n">
        <x:v>49.6654</x:v>
      </x:c>
      <x:c r="K265" s="10" t="n">
        <x:v>-110.1069</x:v>
      </x:c>
      <x:c r="L265" s="8" t="str">
        <x:v>NW20-8-1-W4</x:v>
      </x:c>
      <x:c r="M265" s="11" t="str">
        <x:v>Dock/Pier; Fishing Access; Fishing Access Pier; Boat Launch; Camping; Toilets</x:v>
      </x:c>
      <x:c r="N265" s="11" t="str">
        <x:v>This is a large spring-fed lake in Cypress Hills Provincial Park.</x:v>
      </x:c>
      <x:c r="O265" s="8" t="n">
        <x:v>5</x:v>
      </x:c>
      <x:c r="P265" s="8" t="n">
        <x:v>26</x:v>
      </x:c>
      <x:c r="Q265" s="8" t="str">
        <x:v>https://www.google.com/maps/dir/?api=1&amp;destination=49.66537,-110.106922</x:v>
      </x:c>
      <x:c r="R265" s="8" t="str">
        <x:v>https://albertaregulations.ca/fishingregs/pp1.html</x:v>
      </x:c>
    </x:row>
    <x:row r="266" ht="102" customHeight="1">
      <x:c r="A266" s="8" t="str">
        <x:v>Ribbon Lake</x:v>
      </x:c>
      <x:c r="B266" s="8" t="str">
        <x:v>5667</x:v>
      </x:c>
      <x:c r="C266" s="8" t="str">
        <x:v>Canmore</x:v>
      </x:c>
      <x:c r="D266" s="8" t="str">
        <x:v>ES1</x:v>
      </x:c>
      <x:c r="E266" s="16" t="n">
        <x:v>7</x:v>
      </x:c>
      <x:c r="F266" s="16" t="str">
        <x:v>Unknown</x:v>
      </x:c>
      <x:c r="G266" s="16" t="str">
        <x:v>Unknown</x:v>
      </x:c>
      <x:c r="H266" s="17" t="str">
        <x:v>Not stated</x:v>
      </x:c>
      <x:c r="I266" s="11" t="str">
        <x:v>Not stated on map.</x:v>
      </x:c>
      <x:c r="J266" s="10" t="n">
        <x:v>50.8864</x:v>
      </x:c>
      <x:c r="K266" s="10" t="n">
        <x:v>-115.2431</x:v>
      </x:c>
      <x:c r="L266" s="8" t="str">
        <x:v>NW19-22-9-W5</x:v>
      </x:c>
      <x:c r="M266" s="11" t="str">
        <x:v>Camping; Picnic; Water; Toilets; Firewood; Fire Pits</x:v>
      </x:c>
      <x:c r="N266" s="11" t="str">
        <x:v>There are several different ways to access the lake, including trail heads at Buller Mountain Day Use, Galatea Day Use, and Ribbon Creek Day Use. Note that there is a very steep section of trail with chains to aid climbing between Ribbon Falls and Ribbon Lake Ribbon Lake is a gem tucked away in the heart of Spray Valley. Enjoy the peace and tranquility at this site Here there are tent pads, group fire pits, pit/vault toilets, and secure food storage lockers . | Amenities notes: 10 storage lockers</x:v>
      </x:c>
      <x:c r="O266" s="8" t="n">
        <x:v>1</x:v>
      </x:c>
      <x:c r="P266" s="8" t="n">
        <x:v>1</x:v>
      </x:c>
      <x:c r="Q266" s="8" t="str">
        <x:v>https://www.google.com/maps/dir/?api=1&amp;destination=50.886413,-115.243069</x:v>
      </x:c>
      <x:c r="R266" s="8" t="str">
        <x:v>https://albertaregulations.ca/fishingregs/es1.html</x:v>
      </x:c>
    </x:row>
    <x:row r="267" ht="32" customHeight="1">
      <x:c r="A267" s="8" t="str">
        <x:v>Riverstone Pond</x:v>
      </x:c>
      <x:c r="B267" s="8" t="str">
        <x:v>22504</x:v>
      </x:c>
      <x:c r="C267" s="8" t="str">
        <x:v>Lethbridge</x:v>
      </x:c>
      <x:c r="D267" s="8" t="str">
        <x:v>PP1</x:v>
      </x:c>
      <x:c r="E267" s="16" t="n">
        <x:v>7</x:v>
      </x:c>
      <x:c r="F267" s="16" t="str">
        <x:v>Unknown</x:v>
      </x:c>
      <x:c r="G267" s="16" t="str">
        <x:v>Unknown</x:v>
      </x:c>
      <x:c r="H267" s="17" t="str">
        <x:v>Not stated</x:v>
      </x:c>
      <x:c r="I267" s="11" t="str">
        <x:v>Not stated on map.</x:v>
      </x:c>
      <x:c r="J267" s="10" t="n">
        <x:v>49.6598</x:v>
      </x:c>
      <x:c r="K267" s="10" t="n">
        <x:v>-112.8638</x:v>
      </x:c>
      <x:c r="L267" s="8" t="str">
        <x:v>SW24-8-22-W4</x:v>
      </x:c>
      <x:c r="M267" s="11" t="str">
        <x:v>Picnic; Day Use</x:v>
      </x:c>
      <x:c r="N267" s="11" t="str">
        <x:v>Riverstone pond located in William Pearce Park.</x:v>
      </x:c>
      <x:c r="O267" s="8" t="n">
        <x:v>5</x:v>
      </x:c>
      <x:c r="P267" s="8" t="n">
        <x:v>14</x:v>
      </x:c>
      <x:c r="Q267" s="8" t="str">
        <x:v>https://www.google.com/maps/dir/?api=1&amp;destination=49.659849,-112.863787</x:v>
      </x:c>
      <x:c r="R267" s="8" t="str">
        <x:v>https://albertaregulations.ca/fishingregs/pp1.html</x:v>
      </x:c>
    </x:row>
    <x:row r="268" ht="42" customHeight="1">
      <x:c r="A268" s="8" t="str">
        <x:v>Rocky Children's Pond</x:v>
      </x:c>
      <x:c r="B268" s="8" t="str">
        <x:v>3485</x:v>
      </x:c>
      <x:c r="C268" s="8" t="str">
        <x:v>Rocky Mountain House</x:v>
      </x:c>
      <x:c r="D268" s="8" t="str">
        <x:v>ES2</x:v>
      </x:c>
      <x:c r="E268" s="16" t="n">
        <x:v>1.4</x:v>
      </x:c>
      <x:c r="F268" s="16" t="n">
        <x:v>2.7</x:v>
      </x:c>
      <x:c r="G268" s="16" t="str">
        <x:v>Unknown</x:v>
      </x:c>
      <x:c r="H268" s="17" t="str">
        <x:v>Not stated</x:v>
      </x:c>
      <x:c r="I268" s="11" t="str">
        <x:v>Not stated on map.</x:v>
      </x:c>
      <x:c r="J268" s="10" t="n">
        <x:v>52.3987</x:v>
      </x:c>
      <x:c r="K268" s="10" t="n">
        <x:v>-114.9497</x:v>
      </x:c>
      <x:c r="L268" s="8" t="str">
        <x:v>SW33-39-7-W5</x:v>
      </x:c>
      <x:c r="M268" s="11" t="str">
        <x:v>Trails; Trails Hiking; Dock/Pier; Toilets; Fire Pits</x:v>
      </x:c>
      <x:c r="N268" s="11" t="str">
        <x:v>Fish Game Pond is a little fishing hole for children located in the community of Rocky Mountain House. | Amenities notes: benches; group</x:v>
      </x:c>
      <x:c r="O268" s="8" t="n">
        <x:v>17</x:v>
      </x:c>
      <x:c r="P268" s="8" t="n">
        <x:v>12</x:v>
      </x:c>
      <x:c r="Q268" s="8" t="str">
        <x:v>https://www.google.com/maps/dir/?api=1&amp;destination=52.398682,-114.949741</x:v>
      </x:c>
      <x:c r="R268" s="8" t="str">
        <x:v>https://albertaregulations.ca/fishingregs/es2.html</x:v>
      </x:c>
    </x:row>
    <x:row r="269" ht="57" customHeight="1">
      <x:c r="A269" s="8" t="str">
        <x:v>Running Lake</x:v>
      </x:c>
      <x:c r="B269" s="8" t="str">
        <x:v>5714</x:v>
      </x:c>
      <x:c r="C269" s="8" t="str">
        <x:v>Fairview</x:v>
      </x:c>
      <x:c r="D269" s="8" t="str">
        <x:v>NB3</x:v>
      </x:c>
      <x:c r="E269" s="16" t="n">
        <x:v>29.7</x:v>
      </x:c>
      <x:c r="F269" s="16" t="str">
        <x:v>Unknown</x:v>
      </x:c>
      <x:c r="G269" s="16" t="str">
        <x:v>Unknown</x:v>
      </x:c>
      <x:c r="H269" s="17" t="str">
        <x:v>Not stated</x:v>
      </x:c>
      <x:c r="I269" s="11" t="str">
        <x:v>Not stated on map.</x:v>
      </x:c>
      <x:c r="J269" s="10" t="n">
        <x:v>56.6692</x:v>
      </x:c>
      <x:c r="K269" s="10" t="n">
        <x:v>-119.0339</x:v>
      </x:c>
      <x:c r="L269" s="8" t="str">
        <x:v>SW34-88-7-W6</x:v>
      </x:c>
      <x:c r="M269" s="11" t="str">
        <x:v>Fish Cleaning; Toilets; Fire Pits; Picnic; Shelter; Boat Launch; Dock/Pier; Fishing Access; Fishing Access Pier</x:v>
      </x:c>
      <x:c r="N269" s="11" t="str">
        <x:v>There is a quiet little campground near the lake with treed sites.</x:v>
      </x:c>
      <x:c r="O269" s="8" t="n">
        <x:v>1</x:v>
      </x:c>
      <x:c r="P269" s="8" t="n">
        <x:v>7</x:v>
      </x:c>
      <x:c r="Q269" s="8" t="str">
        <x:v>https://www.google.com/maps/dir/?api=1&amp;destination=56.669178,-119.0339</x:v>
      </x:c>
      <x:c r="R269" s="8" t="str">
        <x:v>https://albertaregulations.ca/fishingregs/nb3.html</x:v>
      </x:c>
    </x:row>
    <x:row r="270" ht="57" customHeight="1">
      <x:c r="A270" s="8" t="str">
        <x:v>Salter's Lake</x:v>
      </x:c>
      <x:c r="B270" s="8" t="str">
        <x:v>5729</x:v>
      </x:c>
      <x:c r="C270" s="8" t="str">
        <x:v>Barrhead</x:v>
      </x:c>
      <x:c r="D270" s="8" t="str">
        <x:v>PP2</x:v>
      </x:c>
      <x:c r="E270" s="16" t="n">
        <x:v>13.6</x:v>
      </x:c>
      <x:c r="F270" s="16" t="n">
        <x:v>5</x:v>
      </x:c>
      <x:c r="G270" s="16" t="n">
        <x:v>3</x:v>
      </x:c>
      <x:c r="H270" s="17" t="str">
        <x:v>Yes</x:v>
      </x:c>
      <x:c r="I270" s="11" t="str">
        <x:v>Open to the public all year round, the lake is aerated in order to support the fish population.</x:v>
      </x:c>
      <x:c r="J270" s="10" t="n">
        <x:v>53.6902</x:v>
      </x:c>
      <x:c r="K270" s="10" t="n">
        <x:v>-114.191</x:v>
      </x:c>
      <x:c r="L270" s="8" t="str">
        <x:v>SW26-54-2-W5</x:v>
      </x:c>
      <x:c r="M270" s="11" t="str">
        <x:v>Toilets; Picnic; Dock/Pier</x:v>
      </x:c>
      <x:c r="N270" s="11" t="str">
        <x:v>Open to the public all year round, the lake is aerated in order to support the fish population. There is a boat launch and pier available for public use, electric motors only.</x:v>
      </x:c>
      <x:c r="O270" s="8" t="n">
        <x:v>1</x:v>
      </x:c>
      <x:c r="P270" s="8" t="n">
        <x:v>19</x:v>
      </x:c>
      <x:c r="Q270" s="8" t="str">
        <x:v>https://www.google.com/maps/dir/?api=1&amp;destination=53.69015599999999,-114.191032</x:v>
      </x:c>
      <x:c r="R270" s="8" t="str">
        <x:v>https://albertaregulations.ca/fishingregs/pp2.html</x:v>
      </x:c>
    </x:row>
    <x:row r="271" ht="42" customHeight="1">
      <x:c r="A271" s="8" t="str">
        <x:v>Sandy Lake</x:v>
      </x:c>
      <x:c r="B271" s="8" t="str">
        <x:v>5743</x:v>
      </x:c>
      <x:c r="C271" s="8" t="str">
        <x:v>Athabasca</x:v>
      </x:c>
      <x:c r="D271" s="8" t="str">
        <x:v>NB3</x:v>
      </x:c>
      <x:c r="E271" s="16" t="n">
        <x:v>2793.1</x:v>
      </x:c>
      <x:c r="F271" s="16" t="n">
        <x:v>6.1</x:v>
      </x:c>
      <x:c r="G271" s="16" t="n">
        <x:v>3.5</x:v>
      </x:c>
      <x:c r="H271" s="17" t="str">
        <x:v>Not stated</x:v>
      </x:c>
      <x:c r="I271" s="11" t="str">
        <x:v>Not stated on map.</x:v>
      </x:c>
      <x:c r="J271" s="10" t="n">
        <x:v>55.8336</x:v>
      </x:c>
      <x:c r="K271" s="10" t="n">
        <x:v>-113.3848</x:v>
      </x:c>
      <x:c r="L271" s="8" t="str">
        <x:v>NE9-79-22-W4</x:v>
      </x:c>
      <x:c r="M271" s="11" t="str">
        <x:v>Boat Launch</x:v>
      </x:c>
      <x:c r="N271" s="11" t="str">
        <x:v>The lake is accessable by a pavement road. There is one public boat launch for larger sized watercraft.</x:v>
      </x:c>
      <x:c r="O271" s="8" t="n">
        <x:v>0</x:v>
      </x:c>
      <x:c r="P271" s="8" t="n">
        <x:v>1</x:v>
      </x:c>
      <x:c r="Q271" s="8" t="str">
        <x:v>https://www.google.com/maps/dir/?api=1&amp;destination=55.833622,-113.384829</x:v>
      </x:c>
      <x:c r="R271" s="8" t="str">
        <x:v>https://albertaregulations.ca/fishingregs/nb3.html</x:v>
      </x:c>
    </x:row>
    <x:row r="272" ht="32" customHeight="1">
      <x:c r="A272" s="8" t="str">
        <x:v>Sardine Lake</x:v>
      </x:c>
      <x:c r="B272" s="8" t="str">
        <x:v>6695</x:v>
      </x:c>
      <x:c r="C272" s="8" t="str">
        <x:v>Drayton Valley</x:v>
      </x:c>
      <x:c r="D272" s="8" t="str">
        <x:v>PP2</x:v>
      </x:c>
      <x:c r="E272" s="16" t="n">
        <x:v>2.3</x:v>
      </x:c>
      <x:c r="F272" s="16" t="n">
        <x:v>7.6</x:v>
      </x:c>
      <x:c r="G272" s="16" t="str">
        <x:v>Unknown</x:v>
      </x:c>
      <x:c r="H272" s="17" t="str">
        <x:v>Not stated</x:v>
      </x:c>
      <x:c r="I272" s="11" t="str">
        <x:v>Not stated on map.</x:v>
      </x:c>
      <x:c r="J272" s="10" t="n">
        <x:v>53.1935</x:v>
      </x:c>
      <x:c r="K272" s="10" t="n">
        <x:v>-114.5512</x:v>
      </x:c>
      <x:c r="L272" s="8" t="str">
        <x:v>SW5-49-4-W5</x:v>
      </x:c>
      <x:c r="M272" s="11" t="str"/>
      <x:c r="N272" s="11" t="str">
        <x:v>Sardine Lake is stocked with rainbow trout but perch can also be caught here.</x:v>
      </x:c>
      <x:c r="O272" s="8" t="n">
        <x:v>11</x:v>
      </x:c>
      <x:c r="P272" s="8" t="n">
        <x:v>6</x:v>
      </x:c>
      <x:c r="Q272" s="8" t="str">
        <x:v>https://www.google.com/maps/dir/?api=1&amp;destination=53.193482,-114.551159</x:v>
      </x:c>
      <x:c r="R272" s="8" t="str">
        <x:v>https://albertaregulations.ca/fishingregs/pp2.html</x:v>
      </x:c>
    </x:row>
    <x:row r="273" ht="32" customHeight="1">
      <x:c r="A273" s="8" t="str">
        <x:v>Sauder (Rattlesnake) Reservoir</x:v>
      </x:c>
      <x:c r="B273" s="8" t="str">
        <x:v>5646</x:v>
      </x:c>
      <x:c r="C273" s="8" t="str">
        <x:v>Medicine Hat</x:v>
      </x:c>
      <x:c r="D273" s="8" t="str">
        <x:v>PP1</x:v>
      </x:c>
      <x:c r="E273" s="16" t="n">
        <x:v>987.8</x:v>
      </x:c>
      <x:c r="F273" s="16" t="str">
        <x:v>Unknown</x:v>
      </x:c>
      <x:c r="G273" s="16" t="str">
        <x:v>Unknown</x:v>
      </x:c>
      <x:c r="H273" s="17" t="str">
        <x:v>Not stated</x:v>
      </x:c>
      <x:c r="I273" s="11" t="str">
        <x:v>Not stated on map.</x:v>
      </x:c>
      <x:c r="J273" s="10" t="n">
        <x:v>49.9789</x:v>
      </x:c>
      <x:c r="K273" s="10" t="n">
        <x:v>-111.0606</x:v>
      </x:c>
      <x:c r="L273" s="8" t="str">
        <x:v>SE8-12-8-W4</x:v>
      </x:c>
      <x:c r="M273" s="11" t="str">
        <x:v>Camping; Toilets; Picnic; Fire Pits</x:v>
      </x:c>
      <x:c r="N273" s="11" t="str">
        <x:v>Camping area with serviced sites and a newly build boat launch.</x:v>
      </x:c>
      <x:c r="O273" s="8" t="n">
        <x:v>0</x:v>
      </x:c>
      <x:c r="P273" s="8" t="n">
        <x:v>4</x:v>
      </x:c>
      <x:c r="Q273" s="8" t="str">
        <x:v>https://www.google.com/maps/dir/?api=1&amp;destination=49.978878,-111.060632</x:v>
      </x:c>
      <x:c r="R273" s="8" t="str">
        <x:v>https://albertaregulations.ca/fishingregs/pp1.html</x:v>
      </x:c>
    </x:row>
    <x:row r="274" ht="42" customHeight="1">
      <x:c r="A274" s="8" t="str">
        <x:v>Sauer Lake</x:v>
      </x:c>
      <x:c r="B274" s="8" t="str">
        <x:v>5753</x:v>
      </x:c>
      <x:c r="C274" s="8" t="str">
        <x:v>Stony Plain</x:v>
      </x:c>
      <x:c r="D274" s="8" t="str">
        <x:v>PP2</x:v>
      </x:c>
      <x:c r="E274" s="16" t="n">
        <x:v>42</x:v>
      </x:c>
      <x:c r="F274" s="16" t="str">
        <x:v>Unknown</x:v>
      </x:c>
      <x:c r="G274" s="16" t="str">
        <x:v>Unknown</x:v>
      </x:c>
      <x:c r="H274" s="17" t="str">
        <x:v>Not stated</x:v>
      </x:c>
      <x:c r="I274" s="11" t="str">
        <x:v>Not stated on map.</x:v>
      </x:c>
      <x:c r="J274" s="10" t="n">
        <x:v>53.6129</x:v>
      </x:c>
      <x:c r="K274" s="10" t="n">
        <x:v>-114.0782</x:v>
      </x:c>
      <x:c r="L274" s="8" t="str">
        <x:v>NE28-53-1-W5</x:v>
      </x:c>
      <x:c r="M274" s="11" t="str"/>
      <x:c r="N274" s="11" t="str">
        <x:v>Sauer is a charming, tiny lake set among the rolling hills west of the city of Edmonton. It is a quiet spot for canoeing or fishing for rainbow trout.</x:v>
      </x:c>
      <x:c r="O274" s="8" t="n">
        <x:v>3</x:v>
      </x:c>
      <x:c r="P274" s="8" t="n">
        <x:v>6</x:v>
      </x:c>
      <x:c r="Q274" s="8" t="str">
        <x:v>https://www.google.com/maps/dir/?api=1&amp;destination=53.612875,-114.078152</x:v>
      </x:c>
      <x:c r="R274" s="8" t="str">
        <x:v>https://albertaregulations.ca/fishingregs/pp2.html</x:v>
      </x:c>
    </x:row>
    <x:row r="275" ht="42" customHeight="1">
      <x:c r="A275" s="8" t="str">
        <x:v>Schuman Lake</x:v>
      </x:c>
      <x:c r="B275" s="8" t="str">
        <x:v>5766</x:v>
      </x:c>
      <x:c r="C275" s="8" t="str">
        <x:v>Swan Hills</x:v>
      </x:c>
      <x:c r="D275" s="8" t="str">
        <x:v>NB2</x:v>
      </x:c>
      <x:c r="E275" s="16" t="n">
        <x:v>9.3</x:v>
      </x:c>
      <x:c r="F275" s="16" t="str">
        <x:v>Unknown</x:v>
      </x:c>
      <x:c r="G275" s="16" t="str">
        <x:v>Unknown</x:v>
      </x:c>
      <x:c r="H275" s="17" t="str">
        <x:v>Not stated</x:v>
      </x:c>
      <x:c r="I275" s="11" t="str">
        <x:v>Not stated on map.</x:v>
      </x:c>
      <x:c r="J275" s="10" t="n">
        <x:v>54.3181</x:v>
      </x:c>
      <x:c r="K275" s="10" t="n">
        <x:v>-115.0777</x:v>
      </x:c>
      <x:c r="L275" s="8" t="str">
        <x:v>SE35-61-8-W5</x:v>
      </x:c>
      <x:c r="M275" s="11" t="str">
        <x:v>Camping; Fire Pits; Picnic; Toilets; Day Use</x:v>
      </x:c>
      <x:c r="N275" s="11" t="str">
        <x:v>Only electric or non-motorized water crafts are permitted on lake. | Amenities notes: barbeque sites</x:v>
      </x:c>
      <x:c r="O275" s="8" t="n">
        <x:v>4</x:v>
      </x:c>
      <x:c r="P275" s="8" t="n">
        <x:v>17</x:v>
      </x:c>
      <x:c r="Q275" s="8" t="str">
        <x:v>https://www.google.com/maps/dir/?api=1&amp;destination=54.318086,-115.077728</x:v>
      </x:c>
      <x:c r="R275" s="8" t="str">
        <x:v>https://albertaregulations.ca/fishingregs/nb2.html</x:v>
      </x:c>
    </x:row>
    <x:row r="276" ht="42" customHeight="1">
      <x:c r="A276" s="8" t="str">
        <x:v>Severn Creek Reservoir</x:v>
      </x:c>
      <x:c r="B276" s="8" t="str">
        <x:v>6697</x:v>
      </x:c>
      <x:c r="C276" s="8" t="str">
        <x:v>Strathmore</x:v>
      </x:c>
      <x:c r="D276" s="8" t="str">
        <x:v>PP2</x:v>
      </x:c>
      <x:c r="E276" s="16" t="n">
        <x:v>22.1</x:v>
      </x:c>
      <x:c r="F276" s="16" t="n">
        <x:v>7</x:v>
      </x:c>
      <x:c r="G276" s="16" t="str">
        <x:v>Unknown</x:v>
      </x:c>
      <x:c r="H276" s="17" t="str">
        <x:v>Not stated</x:v>
      </x:c>
      <x:c r="I276" s="11" t="str">
        <x:v>Not stated on map.</x:v>
      </x:c>
      <x:c r="J276" s="10" t="n">
        <x:v>51.2083</x:v>
      </x:c>
      <x:c r="K276" s="10" t="n">
        <x:v>-112.9557</x:v>
      </x:c>
      <x:c r="L276" s="8" t="str">
        <x:v>NW12-26-22-W4</x:v>
      </x:c>
      <x:c r="M276" s="11" t="str">
        <x:v>Camping; Picnic; Fire Pits; Toilets</x:v>
      </x:c>
      <x:c r="N276" s="11" t="str">
        <x:v>This is a county owned camp site Camping is allowed for 14 days at a time. There are no hook ups and firewood for sale. | Amenities notes: trash cans</x:v>
      </x:c>
      <x:c r="O276" s="8" t="n">
        <x:v>1</x:v>
      </x:c>
      <x:c r="P276" s="8" t="n">
        <x:v>8</x:v>
      </x:c>
      <x:c r="Q276" s="8" t="str">
        <x:v>https://www.google.com/maps/dir/?api=1&amp;destination=51.208304,-112.955705</x:v>
      </x:c>
      <x:c r="R276" s="8" t="str">
        <x:v>https://albertaregulations.ca/fishingregs/pp2.html</x:v>
      </x:c>
    </x:row>
    <x:row r="277" ht="132" customHeight="1">
      <x:c r="A277" s="8" t="str">
        <x:v>Shark Lake</x:v>
      </x:c>
      <x:c r="B277" s="8" t="str">
        <x:v>5788</x:v>
      </x:c>
      <x:c r="C277" s="8" t="str">
        <x:v>Canmore</x:v>
      </x:c>
      <x:c r="D277" s="8" t="str">
        <x:v>ES1</x:v>
      </x:c>
      <x:c r="E277" s="16" t="n">
        <x:v>2.9</x:v>
      </x:c>
      <x:c r="F277" s="16" t="str">
        <x:v>Unknown</x:v>
      </x:c>
      <x:c r="G277" s="16" t="str">
        <x:v>Unknown</x:v>
      </x:c>
      <x:c r="H277" s="17" t="str">
        <x:v>Not stated</x:v>
      </x:c>
      <x:c r="I277" s="11" t="str">
        <x:v>Not stated on map.</x:v>
      </x:c>
      <x:c r="J277" s="10" t="n">
        <x:v>50.8408</x:v>
      </x:c>
      <x:c r="K277" s="10" t="n">
        <x:v>-115.3978</x:v>
      </x:c>
      <x:c r="L277" s="8" t="str">
        <x:v>NW1-22-11-W5</x:v>
      </x:c>
      <x:c r="M277" s="11" t="str"/>
      <x:c r="N277" s="11" t="str">
        <x:v>Shark Lake, also known as Marushka Lake, is a scenic hike suitable for both beginner and experienced hikers. The trail is well-compacted by frequent users, making it accessible year-round and an excellent option for snowshoeing during the winter months. The hike covers a 7.6-kilometer round trip with an elevation gain of approximately 170 meters and typically takes 2 to 2.5 hours one way. The trailhead is located at the end of Mount Shark Road in Spray Valley Provincial Park. Hikers should follow the white trail flags to reach the lake, where a faint path circles the shoreline, offering serene views and a peaceful natural setting.</x:v>
      </x:c>
      <x:c r="O277" s="8" t="n">
        <x:v>0</x:v>
      </x:c>
      <x:c r="P277" s="8" t="n">
        <x:v>2</x:v>
      </x:c>
      <x:c r="Q277" s="8" t="str">
        <x:v>https://www.google.com/maps/dir/?api=1&amp;destination=50.840833,-115.397778</x:v>
      </x:c>
      <x:c r="R277" s="8" t="str">
        <x:v>https://albertaregulations.ca/fishingregs/es1.html</x:v>
      </x:c>
    </x:row>
    <x:row r="278" ht="42" customHeight="1">
      <x:c r="A278" s="8" t="str">
        <x:v>Shell True North Pond</x:v>
      </x:c>
      <x:c r="B278" s="8" t="str">
        <x:v>328085</x:v>
      </x:c>
      <x:c r="C278" s="8" t="str">
        <x:v>Grande Prairie</x:v>
      </x:c>
      <x:c r="D278" s="8" t="str">
        <x:v>ES4</x:v>
      </x:c>
      <x:c r="E278" s="16" t="n">
        <x:v>8</x:v>
      </x:c>
      <x:c r="F278" s="16" t="str">
        <x:v>Unknown</x:v>
      </x:c>
      <x:c r="G278" s="16" t="str">
        <x:v>Unknown</x:v>
      </x:c>
      <x:c r="H278" s="17" t="str">
        <x:v>Not stated</x:v>
      </x:c>
      <x:c r="I278" s="11" t="str">
        <x:v>Not stated on map.</x:v>
      </x:c>
      <x:c r="J278" s="10" t="n">
        <x:v>55.8295</x:v>
      </x:c>
      <x:c r="K278" s="10" t="n">
        <x:v>-119.1676</x:v>
      </x:c>
      <x:c r="L278" s="8" t="str">
        <x:v>SW10-79-8-W6</x:v>
      </x:c>
      <x:c r="M278" s="11" t="str">
        <x:v>Day Use</x:v>
      </x:c>
      <x:c r="N278" s="11" t="str">
        <x:v>ACA annually stocks this 8-ha pond with trout. Permission is not required to access the pond for fishing. | Amenities notes: no open fires; foot access only.</x:v>
      </x:c>
      <x:c r="O278" s="8" t="n">
        <x:v>12</x:v>
      </x:c>
      <x:c r="P278" s="8" t="n">
        <x:v>12</x:v>
      </x:c>
      <x:c r="Q278" s="8" t="str">
        <x:v>https://www.google.com/maps/dir/?api=1&amp;destination=55.829544,-119.167595</x:v>
      </x:c>
      <x:c r="R278" s="8" t="str">
        <x:v>https://albertaregulations.ca/fishingregs/es4.html</x:v>
      </x:c>
    </x:row>
    <x:row r="279" ht="32" customHeight="1">
      <x:c r="A279" s="8" t="str">
        <x:v>Shemeluk Lake</x:v>
      </x:c>
      <x:c r="B279" s="8" t="str">
        <x:v>6699</x:v>
      </x:c>
      <x:c r="C279" s="8" t="str">
        <x:v>Smoky Lake</x:v>
      </x:c>
      <x:c r="D279" s="8" t="str">
        <x:v>NB1</x:v>
      </x:c>
      <x:c r="E279" s="16" t="n">
        <x:v>11</x:v>
      </x:c>
      <x:c r="F279" s="16" t="n">
        <x:v>7.6</x:v>
      </x:c>
      <x:c r="G279" s="16" t="n">
        <x:v>5</x:v>
      </x:c>
      <x:c r="H279" s="17" t="str">
        <x:v>Not stated</x:v>
      </x:c>
      <x:c r="I279" s="11" t="str">
        <x:v>Not stated on map.</x:v>
      </x:c>
      <x:c r="J279" s="10" t="n">
        <x:v>54.213</x:v>
      </x:c>
      <x:c r="K279" s="10" t="n">
        <x:v>-112.4231</x:v>
      </x:c>
      <x:c r="L279" s="8" t="str">
        <x:v>SW25-60-17-W4</x:v>
      </x:c>
      <x:c r="M279" s="11" t="str">
        <x:v>Day Use; Toilets; Picnic; Boat Launch</x:v>
      </x:c>
      <x:c r="N279" s="11" t="str">
        <x:v>This calm clearwater lake offers some of the best rainbow trout fishing in the area.</x:v>
      </x:c>
      <x:c r="O279" s="8" t="n">
        <x:v>2</x:v>
      </x:c>
      <x:c r="P279" s="8" t="n">
        <x:v>6</x:v>
      </x:c>
      <x:c r="Q279" s="8" t="str">
        <x:v>https://www.google.com/maps/dir/?api=1&amp;destination=54.212986,-112.423089</x:v>
      </x:c>
      <x:c r="R279" s="8" t="str">
        <x:v>https://albertaregulations.ca/fishingregs/nb1.html</x:v>
      </x:c>
    </x:row>
    <x:row r="280" ht="32" customHeight="1">
      <x:c r="A280" s="8" t="str">
        <x:v>Sherburne Reservoir</x:v>
      </x:c>
      <x:c r="B280" s="8" t="str">
        <x:v>5790</x:v>
      </x:c>
      <x:c r="C280" s="8" t="str">
        <x:v>Lethbridge</x:v>
      </x:c>
      <x:c r="D280" s="8" t="str">
        <x:v>Not stated</x:v>
      </x:c>
      <x:c r="E280" s="16" t="str">
        <x:v>Unknown</x:v>
      </x:c>
      <x:c r="F280" s="16" t="str">
        <x:v>Unknown</x:v>
      </x:c>
      <x:c r="G280" s="16" t="str">
        <x:v>Unknown</x:v>
      </x:c>
      <x:c r="H280" s="17" t="str">
        <x:v>Not stated</x:v>
      </x:c>
      <x:c r="I280" s="11" t="str">
        <x:v>Not stated on map.</x:v>
      </x:c>
      <x:c r="J280" s="10" t="n">
        <x:v>49.7555</x:v>
      </x:c>
      <x:c r="K280" s="10" t="n">
        <x:v>-111.7732</x:v>
      </x:c>
      <x:c r="L280" s="8" t="str">
        <x:v>NE24-9-14-W4</x:v>
      </x:c>
      <x:c r="M280" s="11" t="str"/>
      <x:c r="N280" s="11" t="str">
        <x:v>No description available.</x:v>
      </x:c>
      <x:c r="O280" s="8" t="n">
        <x:v>0</x:v>
      </x:c>
      <x:c r="P280" s="8" t="n">
        <x:v>1</x:v>
      </x:c>
      <x:c r="Q280" s="8" t="str">
        <x:v>https://www.google.com/maps/dir/?api=1&amp;destination=49.755479,-111.77318</x:v>
      </x:c>
      <x:c r="R280" s="8" t="str"/>
    </x:row>
    <x:row r="281" ht="32" customHeight="1">
      <x:c r="A281" s="8" t="str">
        <x:v>Shuster Lake</x:v>
      </x:c>
      <x:c r="B281" s="8" t="str">
        <x:v>6688</x:v>
      </x:c>
      <x:c r="C281" s="8" t="str">
        <x:v>Vermilion</x:v>
      </x:c>
      <x:c r="D281" s="8" t="str">
        <x:v>PP2</x:v>
      </x:c>
      <x:c r="E281" s="16" t="n">
        <x:v>10.6</x:v>
      </x:c>
      <x:c r="F281" s="16" t="str">
        <x:v>Unknown</x:v>
      </x:c>
      <x:c r="G281" s="16" t="str">
        <x:v>Unknown</x:v>
      </x:c>
      <x:c r="H281" s="17" t="str">
        <x:v>Not stated</x:v>
      </x:c>
      <x:c r="I281" s="11" t="str">
        <x:v>Not stated on map.</x:v>
      </x:c>
      <x:c r="J281" s="10" t="n">
        <x:v>52.7407</x:v>
      </x:c>
      <x:c r="K281" s="10" t="n">
        <x:v>-110.6091</x:v>
      </x:c>
      <x:c r="L281" s="8" t="str">
        <x:v>NE26-43-5-W4</x:v>
      </x:c>
      <x:c r="M281" s="11" t="str"/>
      <x:c r="N281" s="11" t="str">
        <x:v>This lake is stocked annually by EPA with trout.</x:v>
      </x:c>
      <x:c r="O281" s="8" t="n">
        <x:v>2</x:v>
      </x:c>
      <x:c r="P281" s="8" t="n">
        <x:v>8</x:v>
      </x:c>
      <x:c r="Q281" s="8" t="str">
        <x:v>https://www.google.com/maps/dir/?api=1&amp;destination=52.740747,-110.609119</x:v>
      </x:c>
      <x:c r="R281" s="8" t="str">
        <x:v>https://albertaregulations.ca/fishingregs/pp2.html</x:v>
      </x:c>
    </x:row>
    <x:row r="282" ht="42" customHeight="1">
      <x:c r="A282" s="8" t="str">
        <x:v>Sibbald Lake</x:v>
      </x:c>
      <x:c r="B282" s="8" t="str">
        <x:v>5805</x:v>
      </x:c>
      <x:c r="C282" s="8" t="str">
        <x:v>Canmore</x:v>
      </x:c>
      <x:c r="D282" s="8" t="str">
        <x:v>ES1</x:v>
      </x:c>
      <x:c r="E282" s="16" t="n">
        <x:v>2.2</x:v>
      </x:c>
      <x:c r="F282" s="16" t="str">
        <x:v>Unknown</x:v>
      </x:c>
      <x:c r="G282" s="16" t="str">
        <x:v>Unknown</x:v>
      </x:c>
      <x:c r="H282" s="17" t="str">
        <x:v>Not stated</x:v>
      </x:c>
      <x:c r="I282" s="11" t="str">
        <x:v>Not stated on map.</x:v>
      </x:c>
      <x:c r="J282" s="10" t="n">
        <x:v>51.0487</x:v>
      </x:c>
      <x:c r="K282" s="10" t="n">
        <x:v>-114.8667</x:v>
      </x:c>
      <x:c r="L282" s="8" t="str">
        <x:v>NE14-24-7-W5</x:v>
      </x:c>
      <x:c r="M282" s="11" t="str">
        <x:v>Shelter; Fire Pits; Boat Launch; Toilets; Playground</x:v>
      </x:c>
      <x:c r="N282" s="11" t="str">
        <x:v>The lake is a day use area.</x:v>
      </x:c>
      <x:c r="O282" s="8" t="n">
        <x:v>1</x:v>
      </x:c>
      <x:c r="P282" s="8" t="n">
        <x:v>4</x:v>
      </x:c>
      <x:c r="Q282" s="8" t="str">
        <x:v>https://www.google.com/maps/dir/?api=1&amp;destination=51.048693,-114.866712</x:v>
      </x:c>
      <x:c r="R282" s="8" t="str">
        <x:v>https://albertaregulations.ca/fishingregs/es1.html</x:v>
      </x:c>
    </x:row>
    <x:row r="283" ht="72" customHeight="1">
      <x:c r="A283" s="8" t="str">
        <x:v>Sibbald Meadows Pond</x:v>
      </x:c>
      <x:c r="B283" s="8" t="str">
        <x:v>3486</x:v>
      </x:c>
      <x:c r="C283" s="8" t="str">
        <x:v>Canmore</x:v>
      </x:c>
      <x:c r="D283" s="8" t="str">
        <x:v>ES1</x:v>
      </x:c>
      <x:c r="E283" s="16" t="n">
        <x:v>3.6</x:v>
      </x:c>
      <x:c r="F283" s="16" t="str">
        <x:v>Unknown</x:v>
      </x:c>
      <x:c r="G283" s="16" t="str">
        <x:v>Unknown</x:v>
      </x:c>
      <x:c r="H283" s="17" t="str">
        <x:v>Not stated</x:v>
      </x:c>
      <x:c r="I283" s="11" t="str">
        <x:v>Not stated on map.</x:v>
      </x:c>
      <x:c r="J283" s="10" t="n">
        <x:v>51.0546</x:v>
      </x:c>
      <x:c r="K283" s="10" t="n">
        <x:v>-114.9447</x:v>
      </x:c>
      <x:c r="L283" s="8" t="str">
        <x:v>SW20-24-7-W5</x:v>
      </x:c>
      <x:c r="M283" s="11" t="str">
        <x:v>Toilets; Day Use</x:v>
      </x:c>
      <x:c r="N283" s="11" t="str">
        <x:v>This small pond surrounded by aspen groves is named after Frank Sibbald, a long time rancher who settled in the area in 1875. It is a perfect place to stop, relax and enjoy the foothills environment. You can walk the easy trail along the shore to cast a line and try a little fishing, or simply sit and enjoy a snack at the picnic area.</x:v>
      </x:c>
      <x:c r="O283" s="8" t="n">
        <x:v>1</x:v>
      </x:c>
      <x:c r="P283" s="8" t="n">
        <x:v>14</x:v>
      </x:c>
      <x:c r="Q283" s="8" t="str">
        <x:v>https://www.google.com/maps/dir/?api=1&amp;destination=51.05457,-114.944741</x:v>
      </x:c>
      <x:c r="R283" s="8" t="str">
        <x:v>https://albertaregulations.ca/fishingregs/es1.html</x:v>
      </x:c>
    </x:row>
    <x:row r="284" ht="32" customHeight="1">
      <x:c r="A284" s="8" t="str">
        <x:v>Silkstone Lake</x:v>
      </x:c>
      <x:c r="B284" s="8" t="str">
        <x:v>6651</x:v>
      </x:c>
      <x:c r="C284" s="8" t="str">
        <x:v>Edson</x:v>
      </x:c>
      <x:c r="D284" s="8" t="str">
        <x:v>ES3</x:v>
      </x:c>
      <x:c r="E284" s="16" t="n">
        <x:v>5.1</x:v>
      </x:c>
      <x:c r="F284" s="16" t="str">
        <x:v>Unknown</x:v>
      </x:c>
      <x:c r="G284" s="16" t="str">
        <x:v>Unknown</x:v>
      </x:c>
      <x:c r="H284" s="17" t="str">
        <x:v>Not stated</x:v>
      </x:c>
      <x:c r="I284" s="11" t="str">
        <x:v>Not stated on map.</x:v>
      </x:c>
      <x:c r="J284" s="10" t="n">
        <x:v>53.0436</x:v>
      </x:c>
      <x:c r="K284" s="10" t="n">
        <x:v>-116.7174</x:v>
      </x:c>
      <x:c r="L284" s="8" t="str">
        <x:v>NE9-47-19-W5</x:v>
      </x:c>
      <x:c r="M284" s="11" t="str"/>
      <x:c r="N284" s="11" t="str">
        <x:v>This lake is a reclaimed mine site.</x:v>
      </x:c>
      <x:c r="O284" s="8" t="n">
        <x:v>2</x:v>
      </x:c>
      <x:c r="P284" s="8" t="n">
        <x:v>6</x:v>
      </x:c>
      <x:c r="Q284" s="8" t="str">
        <x:v>https://www.google.com/maps/dir/?api=1&amp;destination=53.0436,-116.717434</x:v>
      </x:c>
      <x:c r="R284" s="8" t="str">
        <x:v>https://albertaregulations.ca/fishingregs/es3.html</x:v>
      </x:c>
    </x:row>
    <x:row r="285" ht="42" customHeight="1">
      <x:c r="A285" s="8" t="str">
        <x:v>Skeleton Lake</x:v>
      </x:c>
      <x:c r="B285" s="8" t="str">
        <x:v>5820</x:v>
      </x:c>
      <x:c r="C285" s="8" t="str">
        <x:v>Barrhead</x:v>
      </x:c>
      <x:c r="D285" s="8" t="str">
        <x:v>NB1</x:v>
      </x:c>
      <x:c r="E285" s="16" t="n">
        <x:v>877.9</x:v>
      </x:c>
      <x:c r="F285" s="16" t="n">
        <x:v>16.8</x:v>
      </x:c>
      <x:c r="G285" s="16" t="str">
        <x:v>Unknown</x:v>
      </x:c>
      <x:c r="H285" s="17" t="str">
        <x:v>Not stated</x:v>
      </x:c>
      <x:c r="I285" s="11" t="str">
        <x:v>Not stated on map.</x:v>
      </x:c>
      <x:c r="J285" s="10" t="n">
        <x:v>54.614</x:v>
      </x:c>
      <x:c r="K285" s="10" t="n">
        <x:v>-112.7265</x:v>
      </x:c>
      <x:c r="L285" s="8" t="str">
        <x:v>NW7-65-18-W4</x:v>
      </x:c>
      <x:c r="M285" s="11" t="str">
        <x:v>Day Use; Camping; Laundry; Showers; Retail/Services</x:v>
      </x:c>
      <x:c r="N285" s="11" t="str">
        <x:v>There are public boat launches, and a private camping area.</x:v>
      </x:c>
      <x:c r="O285" s="8" t="n">
        <x:v>0</x:v>
      </x:c>
      <x:c r="P285" s="8" t="n">
        <x:v>1</x:v>
      </x:c>
      <x:c r="Q285" s="8" t="str">
        <x:v>https://www.google.com/maps/dir/?api=1&amp;destination=54.61404,-112.726508</x:v>
      </x:c>
      <x:c r="R285" s="8" t="str">
        <x:v>https://albertaregulations.ca/fishingregs/nb1.html</x:v>
      </x:c>
    </x:row>
    <x:row r="286" ht="72" customHeight="1">
      <x:c r="A286" s="8" t="str">
        <x:v>Slawuta Lake</x:v>
      </x:c>
      <x:c r="B286" s="8" t="str">
        <x:v>6890</x:v>
      </x:c>
      <x:c r="C286" s="8" t="str">
        <x:v>Bonnyville</x:v>
      </x:c>
      <x:c r="D286" s="8" t="str">
        <x:v>NB1</x:v>
      </x:c>
      <x:c r="E286" s="16" t="n">
        <x:v>6</x:v>
      </x:c>
      <x:c r="F286" s="16" t="n">
        <x:v>4</x:v>
      </x:c>
      <x:c r="G286" s="16" t="str">
        <x:v>Unknown</x:v>
      </x:c>
      <x:c r="H286" s="17" t="str">
        <x:v>Not stated</x:v>
      </x:c>
      <x:c r="I286" s="11" t="str">
        <x:v>Not stated on map.</x:v>
      </x:c>
      <x:c r="J286" s="10" t="n">
        <x:v>54.2657</x:v>
      </x:c>
      <x:c r="K286" s="10" t="n">
        <x:v>-110.7454</x:v>
      </x:c>
      <x:c r="L286" s="8" t="str">
        <x:v>NW7-61-5-W4</x:v>
      </x:c>
      <x:c r="M286" s="11" t="str"/>
      <x:c r="N286" s="11" t="str">
        <x:v>Located within the town of Bonnyville, this community pond provides convenient access for recreational fishing. The Alberta Conservation Association (ACA) stocks the pond annually with trout, typically prior to the May long weekend, ensuring excellent angling opportunities for both residents and visitors throughout the season.</x:v>
      </x:c>
      <x:c r="O286" s="8" t="n">
        <x:v>0</x:v>
      </x:c>
      <x:c r="P286" s="8" t="n">
        <x:v>5</x:v>
      </x:c>
      <x:c r="Q286" s="8" t="str">
        <x:v>https://www.google.com/maps/dir/?api=1&amp;destination=54.26572299999999,-110.745372</x:v>
      </x:c>
      <x:c r="R286" s="8" t="str">
        <x:v>https://albertaregulations.ca/fishingregs/nb1.html</x:v>
      </x:c>
    </x:row>
    <x:row r="287" ht="102" customHeight="1">
      <x:c r="A287" s="8" t="str">
        <x:v>South Heart Reservoir</x:v>
      </x:c>
      <x:c r="B287" s="8" t="str">
        <x:v>18014</x:v>
      </x:c>
      <x:c r="C287" s="8" t="str">
        <x:v>High Prairie</x:v>
      </x:c>
      <x:c r="D287" s="8" t="str">
        <x:v>NB2</x:v>
      </x:c>
      <x:c r="E287" s="16" t="str">
        <x:v>Unknown</x:v>
      </x:c>
      <x:c r="F287" s="16" t="str">
        <x:v>Unknown</x:v>
      </x:c>
      <x:c r="G287" s="16" t="str">
        <x:v>Unknown</x:v>
      </x:c>
      <x:c r="H287" s="17" t="str">
        <x:v>Not stated</x:v>
      </x:c>
      <x:c r="I287" s="11" t="str">
        <x:v>Not stated on map.</x:v>
      </x:c>
      <x:c r="J287" s="10" t="n">
        <x:v>55.6888</x:v>
      </x:c>
      <x:c r="K287" s="10" t="n">
        <x:v>-116.6027</x:v>
      </x:c>
      <x:c r="L287" s="8" t="str">
        <x:v>NW20-77-17-W5</x:v>
      </x:c>
      <x:c r="M287" s="11" t="str">
        <x:v>Toilets</x:v>
      </x:c>
      <x:c r="N287" s="11" t="str">
        <x:v>This little riverside campground is in Heart River Provincial Recreation Area, 20 km north of High Prairie on Hwy. 749, 8 km west on Hwy. 679 and 12 km north on an access road. Here you can go canoeing or boating from a hand launch. Fish in the many small bays and coves, or explore the adjacent Winagami Wildland Provincial Park, as well as Winagami Lake Provincial Park located about 18 km to the south and east. | Amenities notes: Firepits; handlauch</x:v>
      </x:c>
      <x:c r="O287" s="8" t="n">
        <x:v>0</x:v>
      </x:c>
      <x:c r="P287" s="8" t="n">
        <x:v>2</x:v>
      </x:c>
      <x:c r="Q287" s="8" t="str">
        <x:v>https://www.google.com/maps/dir/?api=1&amp;destination=55.688779,-116.602659</x:v>
      </x:c>
      <x:c r="R287" s="8" t="str">
        <x:v>https://albertaregulations.ca/fishingregs/nb2.html</x:v>
      </x:c>
    </x:row>
    <x:row r="288" ht="42" customHeight="1">
      <x:c r="A288" s="8" t="str">
        <x:v>South Sundance Lake</x:v>
      </x:c>
      <x:c r="B288" s="8" t="str">
        <x:v>6652</x:v>
      </x:c>
      <x:c r="C288" s="8" t="str">
        <x:v>Edson</x:v>
      </x:c>
      <x:c r="D288" s="8" t="str">
        <x:v>ES3</x:v>
      </x:c>
      <x:c r="E288" s="16" t="n">
        <x:v>149</x:v>
      </x:c>
      <x:c r="F288" s="16" t="str">
        <x:v>Unknown</x:v>
      </x:c>
      <x:c r="G288" s="16" t="str">
        <x:v>Unknown</x:v>
      </x:c>
      <x:c r="H288" s="17" t="str">
        <x:v>Not stated</x:v>
      </x:c>
      <x:c r="I288" s="11" t="str">
        <x:v>Not stated on map.</x:v>
      </x:c>
      <x:c r="J288" s="10" t="n">
        <x:v>53.7221</x:v>
      </x:c>
      <x:c r="K288" s="10" t="n">
        <x:v>-116.9798</x:v>
      </x:c>
      <x:c r="L288" s="8" t="str">
        <x:v>SE1-55-21-W5</x:v>
      </x:c>
      <x:c r="M288" s="11" t="str">
        <x:v>Camping; Fire Pits; Firewood; Toilets; Water</x:v>
      </x:c>
      <x:c r="N288" s="11" t="str">
        <x:v>The park is made up of two areas, the Sundance Valley along Sundance Creek and Emerson Lakes to the west.</x:v>
      </x:c>
      <x:c r="O288" s="8" t="n">
        <x:v>0</x:v>
      </x:c>
      <x:c r="P288" s="8" t="n">
        <x:v>2</x:v>
      </x:c>
      <x:c r="Q288" s="8" t="str">
        <x:v>https://www.google.com/maps/dir/?api=1&amp;destination=53.722144,-116.979844</x:v>
      </x:c>
      <x:c r="R288" s="8" t="str">
        <x:v>https://albertaregulations.ca/fishingregs/es3.html</x:v>
      </x:c>
    </x:row>
    <x:row r="289" ht="87" customHeight="1">
      <x:c r="A289" s="8" t="str">
        <x:v>South Two Lake</x:v>
      </x:c>
      <x:c r="B289" s="8" t="str">
        <x:v>6051</x:v>
      </x:c>
      <x:c r="C289" s="8" t="str">
        <x:v>Grande Prairie</x:v>
      </x:c>
      <x:c r="D289" s="8" t="str">
        <x:v>ES4</x:v>
      </x:c>
      <x:c r="E289" s="16" t="str">
        <x:v>Unknown</x:v>
      </x:c>
      <x:c r="F289" s="16" t="str">
        <x:v>Unknown</x:v>
      </x:c>
      <x:c r="G289" s="16" t="str">
        <x:v>Unknown</x:v>
      </x:c>
      <x:c r="H289" s="17" t="str">
        <x:v>Not stated</x:v>
      </x:c>
      <x:c r="I289" s="11" t="str">
        <x:v>Not stated on map.</x:v>
      </x:c>
      <x:c r="J289" s="10" t="n">
        <x:v>54.3521</x:v>
      </x:c>
      <x:c r="K289" s="10" t="n">
        <x:v>-119.7819</x:v>
      </x:c>
      <x:c r="L289" s="8" t="str">
        <x:v>NE7-62-12-W6</x:v>
      </x:c>
      <x:c r="M289" s="11" t="str">
        <x:v>Boat Launch; Fire Pits; Firewood; Fish Cleaning; Toilets; Water; Camping; Paddling; Paddling Canoe; Paddling Kayak; Trails; Trails Hiking; Fishing Access; Winter Recreation; Trails Biking; Boating; Boating Motorized; Wildlife Viewing</x:v>
      </x:c>
      <x:c r="N289" s="11" t="str">
        <x:v>A self-guided trail leads through forests and meadows between the two lakes. Three other more challenging trails lead to scenic views. The lakes are stocked with trout and boat speed is limited to 12 km/h.</x:v>
      </x:c>
      <x:c r="O289" s="8" t="n">
        <x:v>0</x:v>
      </x:c>
      <x:c r="P289" s="8" t="n">
        <x:v>8</x:v>
      </x:c>
      <x:c r="Q289" s="8" t="str">
        <x:v>https://www.google.com/maps/dir/?api=1&amp;destination=54.352053,-119.781862</x:v>
      </x:c>
      <x:c r="R289" s="8" t="str">
        <x:v>https://albertaregulations.ca/fishingregs/es4.html</x:v>
      </x:c>
    </x:row>
    <x:row r="290" ht="57" customHeight="1">
      <x:c r="A290" s="8" t="str">
        <x:v>Sparrow's Egg Lake</x:v>
      </x:c>
      <x:c r="B290" s="8" t="str">
        <x:v>5858</x:v>
      </x:c>
      <x:c r="C290" s="8" t="str">
        <x:v>Canmore</x:v>
      </x:c>
      <x:c r="D290" s="8" t="str">
        <x:v>ES1</x:v>
      </x:c>
      <x:c r="E290" s="16" t="n">
        <x:v>6</x:v>
      </x:c>
      <x:c r="F290" s="16" t="str">
        <x:v>Unknown</x:v>
      </x:c>
      <x:c r="G290" s="16" t="str">
        <x:v>Unknown</x:v>
      </x:c>
      <x:c r="H290" s="17" t="str">
        <x:v>Not stated</x:v>
      </x:c>
      <x:c r="I290" s="11" t="str">
        <x:v>Not stated on map.</x:v>
      </x:c>
      <x:c r="J290" s="10" t="n">
        <x:v>50.6734</x:v>
      </x:c>
      <x:c r="K290" s="10" t="n">
        <x:v>-115.1059</x:v>
      </x:c>
      <x:c r="L290" s="8" t="str">
        <x:v>NW6-20-8-W5</x:v>
      </x:c>
      <x:c r="M290" s="11" t="str"/>
      <x:c r="N290" s="11" t="str">
        <x:v>Sparrows Egg Lake was stocked in fall 2025 with 900 cutthroat trout. This remote lake, located west of Calgary in Kananaskis Country, is stocked by helicopter every two years. It’s a hike-in destination, offering anglers a pristine backcountry experience.</x:v>
      </x:c>
      <x:c r="O290" s="8" t="n">
        <x:v>1</x:v>
      </x:c>
      <x:c r="P290" s="8" t="n">
        <x:v>5</x:v>
      </x:c>
      <x:c r="Q290" s="8" t="str">
        <x:v>https://www.google.com/maps/dir/?api=1&amp;destination=50.673406,-115.105897</x:v>
      </x:c>
      <x:c r="R290" s="8" t="str">
        <x:v>https://albertaregulations.ca/fishingregs/es1.html</x:v>
      </x:c>
    </x:row>
    <x:row r="291" ht="42" customHeight="1">
      <x:c r="A291" s="8" t="str">
        <x:v>Spring Coulee Park Pond</x:v>
      </x:c>
      <x:c r="B291" s="8" t="str">
        <x:v>6692</x:v>
      </x:c>
      <x:c r="C291" s="8" t="str">
        <x:v>Cardston</x:v>
      </x:c>
      <x:c r="D291" s="8" t="str">
        <x:v>PP1</x:v>
      </x:c>
      <x:c r="E291" s="16" t="n">
        <x:v>49</x:v>
      </x:c>
      <x:c r="F291" s="16" t="str">
        <x:v>Unknown</x:v>
      </x:c>
      <x:c r="G291" s="16" t="str">
        <x:v>Unknown</x:v>
      </x:c>
      <x:c r="H291" s="17" t="str">
        <x:v>Not stated</x:v>
      </x:c>
      <x:c r="I291" s="11" t="str">
        <x:v>Not stated on map.</x:v>
      </x:c>
      <x:c r="J291" s="10" t="n">
        <x:v>49.3724</x:v>
      </x:c>
      <x:c r="K291" s="10" t="n">
        <x:v>-113.1086</x:v>
      </x:c>
      <x:c r="L291" s="8" t="str">
        <x:v>NE12-5-24-W4</x:v>
      </x:c>
      <x:c r="M291" s="11" t="str">
        <x:v>Toilets; Camping</x:v>
      </x:c>
      <x:c r="N291" s="11" t="str">
        <x:v>This park has camping on site with the basic camping amenities. The site is well taken care of. | Amenities notes: garbage receptacles</x:v>
      </x:c>
      <x:c r="O291" s="8" t="n">
        <x:v>3</x:v>
      </x:c>
      <x:c r="P291" s="8" t="n">
        <x:v>6</x:v>
      </x:c>
      <x:c r="Q291" s="8" t="str">
        <x:v>https://www.google.com/maps/dir/?api=1&amp;destination=49.372404,-113.108558</x:v>
      </x:c>
      <x:c r="R291" s="8" t="str">
        <x:v>https://albertaregulations.ca/fishingregs/pp1.html</x:v>
      </x:c>
    </x:row>
    <x:row r="292" ht="57" customHeight="1">
      <x:c r="A292" s="8" t="str">
        <x:v>Spring Lake</x:v>
      </x:c>
      <x:c r="B292" s="8" t="str">
        <x:v>6693</x:v>
      </x:c>
      <x:c r="C292" s="8" t="str">
        <x:v>Spirit River</x:v>
      </x:c>
      <x:c r="D292" s="8" t="str">
        <x:v>ES4</x:v>
      </x:c>
      <x:c r="E292" s="16" t="n">
        <x:v>40.1</x:v>
      </x:c>
      <x:c r="F292" s="16" t="str">
        <x:v>Unknown</x:v>
      </x:c>
      <x:c r="G292" s="16" t="str">
        <x:v>Unknown</x:v>
      </x:c>
      <x:c r="H292" s="17" t="str">
        <x:v>Not stated</x:v>
      </x:c>
      <x:c r="I292" s="11" t="str">
        <x:v>Not stated on map.</x:v>
      </x:c>
      <x:c r="J292" s="10" t="n">
        <x:v>55.5132</x:v>
      </x:c>
      <x:c r="K292" s="10" t="n">
        <x:v>-119.5838</x:v>
      </x:c>
      <x:c r="L292" s="8" t="str">
        <x:v>NE23-75-11-W6</x:v>
      </x:c>
      <x:c r="M292" s="11" t="str">
        <x:v>Camping; Winter Recreation; Trails; Trails Hiking; Dock/Pier; Boat Launch; Day Use; Picnic; Toilets; Swimming</x:v>
      </x:c>
      <x:c r="N292" s="11" t="str">
        <x:v>Spring Lake is a fairly small lake stocked with rainbow trout. No gas powered motors are permitted on the lake.</x:v>
      </x:c>
      <x:c r="O292" s="8" t="n">
        <x:v>0</x:v>
      </x:c>
      <x:c r="P292" s="8" t="n">
        <x:v>10</x:v>
      </x:c>
      <x:c r="Q292" s="8" t="str">
        <x:v>https://www.google.com/maps/dir/?api=1&amp;destination=55.51316199999999,-119.583801</x:v>
      </x:c>
      <x:c r="R292" s="8" t="str">
        <x:v>https://albertaregulations.ca/fishingregs/es4.html</x:v>
      </x:c>
    </x:row>
    <x:row r="293" ht="57" customHeight="1">
      <x:c r="A293" s="8" t="str">
        <x:v>Spruce Coulee Reservoir</x:v>
      </x:c>
      <x:c r="B293" s="8" t="str">
        <x:v>3534</x:v>
      </x:c>
      <x:c r="C293" s="8" t="str">
        <x:v>Medicine Hat</x:v>
      </x:c>
      <x:c r="D293" s="8" t="str">
        <x:v>PP1</x:v>
      </x:c>
      <x:c r="E293" s="16" t="n">
        <x:v>19.7</x:v>
      </x:c>
      <x:c r="F293" s="16" t="n">
        <x:v>5</x:v>
      </x:c>
      <x:c r="G293" s="16" t="n">
        <x:v>2</x:v>
      </x:c>
      <x:c r="H293" s="17" t="str">
        <x:v>Not stated</x:v>
      </x:c>
      <x:c r="I293" s="11" t="str">
        <x:v>Not stated on map.</x:v>
      </x:c>
      <x:c r="J293" s="10" t="n">
        <x:v>49.6737</x:v>
      </x:c>
      <x:c r="K293" s="10" t="n">
        <x:v>-110.1816</x:v>
      </x:c>
      <x:c r="L293" s="8" t="str">
        <x:v>SW26-8-2-W4</x:v>
      </x:c>
      <x:c r="M293" s="11" t="str">
        <x:v>Camping; Dock/Pier; Fishing Access; Fishing Access Dock; Toilets; Picnic; Shelter; Boat Launch; Water</x:v>
      </x:c>
      <x:c r="N293" s="11" t="str">
        <x:v>Foot access only all year around (weather permitting). After the September long weekend, the services offered at the campsite are reduced.</x:v>
      </x:c>
      <x:c r="O293" s="8" t="n">
        <x:v>3</x:v>
      </x:c>
      <x:c r="P293" s="8" t="n">
        <x:v>14</x:v>
      </x:c>
      <x:c r="Q293" s="8" t="str">
        <x:v>https://www.google.com/maps/dir/?api=1&amp;destination=49.673739,-110.181613</x:v>
      </x:c>
      <x:c r="R293" s="8" t="str">
        <x:v>https://albertaregulations.ca/fishingregs/pp1.html</x:v>
      </x:c>
    </x:row>
    <x:row r="294" ht="42" customHeight="1">
      <x:c r="A294" s="8" t="str">
        <x:v>St. Paul Fish Pond</x:v>
      </x:c>
      <x:c r="B294" s="8" t="str">
        <x:v>24702</x:v>
      </x:c>
      <x:c r="C294" s="8" t="str">
        <x:v>St Paul</x:v>
      </x:c>
      <x:c r="D294" s="8" t="str">
        <x:v>NB1</x:v>
      </x:c>
      <x:c r="E294" s="16" t="n">
        <x:v>0.3</x:v>
      </x:c>
      <x:c r="F294" s="16" t="n">
        <x:v>8</x:v>
      </x:c>
      <x:c r="G294" s="16" t="str">
        <x:v>Unknown</x:v>
      </x:c>
      <x:c r="H294" s="17" t="str">
        <x:v>Not stated</x:v>
      </x:c>
      <x:c r="I294" s="11" t="str">
        <x:v>Not stated on map.</x:v>
      </x:c>
      <x:c r="J294" s="10" t="n">
        <x:v>53.9954</x:v>
      </x:c>
      <x:c r="K294" s="10" t="n">
        <x:v>-111.2685</x:v>
      </x:c>
      <x:c r="L294" s="8" t="str">
        <x:v>SE9-58-9-W4</x:v>
      </x:c>
      <x:c r="M294" s="11" t="str">
        <x:v>Camping; Camping Power; Retail/Services</x:v>
      </x:c>
      <x:c r="N294" s="11" t="str">
        <x:v>The pond is flooded in the winter, where people can enjoy some outdoor skating. | Amenities notes: also amenities can be located within the town</x:v>
      </x:c>
      <x:c r="O294" s="8" t="n">
        <x:v>1</x:v>
      </x:c>
      <x:c r="P294" s="8" t="n">
        <x:v>28</x:v>
      </x:c>
      <x:c r="Q294" s="8" t="str">
        <x:v>https://www.google.com/maps/dir/?api=1&amp;destination=53.9954,-111.2685</x:v>
      </x:c>
      <x:c r="R294" s="8" t="str">
        <x:v>https://albertaregulations.ca/fishingregs/nb1.html</x:v>
      </x:c>
    </x:row>
    <x:row r="295" ht="57" customHeight="1">
      <x:c r="A295" s="8" t="str">
        <x:v>Stafford Lake</x:v>
      </x:c>
      <x:c r="B295" s="8" t="str">
        <x:v>3536</x:v>
      </x:c>
      <x:c r="C295" s="8" t="str">
        <x:v>Lethbridge</x:v>
      </x:c>
      <x:c r="D295" s="8" t="str">
        <x:v>PP1</x:v>
      </x:c>
      <x:c r="E295" s="16" t="n">
        <x:v>488.2</x:v>
      </x:c>
      <x:c r="F295" s="16" t="str">
        <x:v>Unknown</x:v>
      </x:c>
      <x:c r="G295" s="16" t="str">
        <x:v>Unknown</x:v>
      </x:c>
      <x:c r="H295" s="17" t="str">
        <x:v>Not stated</x:v>
      </x:c>
      <x:c r="I295" s="11" t="str">
        <x:v>Not stated on map.</x:v>
      </x:c>
      <x:c r="J295" s="10" t="n">
        <x:v>49.6831</x:v>
      </x:c>
      <x:c r="K295" s="10" t="n">
        <x:v>-112.3562</x:v>
      </x:c>
      <x:c r="L295" s="8" t="str">
        <x:v>NE27-8-18-W4</x:v>
      </x:c>
      <x:c r="M295" s="11" t="str">
        <x:v>Swimming; Picnic; Day Use; Camping</x:v>
      </x:c>
      <x:c r="N295" s="11" t="str">
        <x:v>Stafford Reservoir is a reservoir located just 45 miles from Chin; whether you’re spinning, fly fishing or bait casting your chances of getting a bite here. | Amenities notes: walk paths</x:v>
      </x:c>
      <x:c r="O295" s="8" t="n">
        <x:v>0</x:v>
      </x:c>
      <x:c r="P295" s="8" t="n">
        <x:v>3</x:v>
      </x:c>
      <x:c r="Q295" s="8" t="str">
        <x:v>https://www.google.com/maps/dir/?api=1&amp;destination=49.683103,-112.356181</x:v>
      </x:c>
      <x:c r="R295" s="8" t="str">
        <x:v>https://albertaregulations.ca/fishingregs/pp1.html</x:v>
      </x:c>
    </x:row>
    <x:row r="296" ht="42" customHeight="1">
      <x:c r="A296" s="8" t="str">
        <x:v>Star Lake</x:v>
      </x:c>
      <x:c r="B296" s="8" t="str">
        <x:v>5895</x:v>
      </x:c>
      <x:c r="C296" s="8" t="str">
        <x:v>Stony Plain</x:v>
      </x:c>
      <x:c r="D296" s="8" t="str">
        <x:v>PP2</x:v>
      </x:c>
      <x:c r="E296" s="16" t="n">
        <x:v>27</x:v>
      </x:c>
      <x:c r="F296" s="16" t="n">
        <x:v>7.6</x:v>
      </x:c>
      <x:c r="G296" s="16" t="n">
        <x:v>3</x:v>
      </x:c>
      <x:c r="H296" s="17" t="str">
        <x:v>Not stated</x:v>
      </x:c>
      <x:c r="I296" s="11" t="str">
        <x:v>Not stated on map.</x:v>
      </x:c>
      <x:c r="J296" s="10" t="n">
        <x:v>53.5101</x:v>
      </x:c>
      <x:c r="K296" s="10" t="n">
        <x:v>-114.2731</x:v>
      </x:c>
      <x:c r="L296" s="8" t="str">
        <x:v>NE19-52-2-W5</x:v>
      </x:c>
      <x:c r="M296" s="11" t="str">
        <x:v>Boat Launch; Picnic</x:v>
      </x:c>
      <x:c r="N296" s="11" t="str">
        <x:v>This lake has a few private cabins surrounding it. Yellow Perch are present in the lake.</x:v>
      </x:c>
      <x:c r="O296" s="8" t="n">
        <x:v>2</x:v>
      </x:c>
      <x:c r="P296" s="8" t="n">
        <x:v>21</x:v>
      </x:c>
      <x:c r="Q296" s="8" t="str">
        <x:v>https://www.google.com/maps/dir/?api=1&amp;destination=53.510057,-114.273086</x:v>
      </x:c>
      <x:c r="R296" s="8" t="str">
        <x:v>https://albertaregulations.ca/fishingregs/pp2.html</x:v>
      </x:c>
    </x:row>
    <x:row r="297" ht="162" customHeight="1">
      <x:c r="A297" s="8" t="str">
        <x:v>Stenton Lake</x:v>
      </x:c>
      <x:c r="B297" s="8" t="str">
        <x:v>5901</x:v>
      </x:c>
      <x:c r="C297" s="8" t="str">
        <x:v>Canmore</x:v>
      </x:c>
      <x:c r="D297" s="8" t="str">
        <x:v>ES1</x:v>
      </x:c>
      <x:c r="E297" s="16" t="n">
        <x:v>2.9</x:v>
      </x:c>
      <x:c r="F297" s="16" t="str">
        <x:v>Unknown</x:v>
      </x:c>
      <x:c r="G297" s="16" t="str">
        <x:v>Unknown</x:v>
      </x:c>
      <x:c r="H297" s="17" t="str">
        <x:v>Not stated</x:v>
      </x:c>
      <x:c r="I297" s="11" t="str">
        <x:v>Not stated on map.</x:v>
      </x:c>
      <x:c r="J297" s="10" t="n">
        <x:v>51.1761</x:v>
      </x:c>
      <x:c r="K297" s="10" t="n">
        <x:v>-115.2834</x:v>
      </x:c>
      <x:c r="L297" s="8" t="str">
        <x:v>SE35-25-10-W5</x:v>
      </x:c>
      <x:c r="M297" s="11" t="str"/>
      <x:c r="N297" s="11" t="str">
        <x:v>Stenton Lake is highly remote, requiring approximately 7 hours of horseback travel (21 km) along the South Ghost drainage, followed by a 5 km hike through alpine meadows and unmaintained trails with some route finding. The lake spans approximately 10 acres and is located at an elevation of 2,250 meters above sea level. From the Forestry Trunk Road via the TransAlta Road (unmarked trail; route finding required). Or from Canmore via Cougar Creek (approximately 24 km round trip).Travel methods include horseback, hiking, and limited ATV/UTV use; however, motorized vehicles are prohibited within Don Getty Provincial Park. The route involves significant elevation gain, river crossings, and challenging terrain. Total travel time typically requires an overnight stay, with a round-trip duration of 20–24 hours.</x:v>
      </x:c>
      <x:c r="O297" s="8" t="n">
        <x:v>3</x:v>
      </x:c>
      <x:c r="P297" s="8" t="n">
        <x:v>2</x:v>
      </x:c>
      <x:c r="Q297" s="8" t="str">
        <x:v>https://www.google.com/maps/dir/?api=1&amp;destination=51.17613,-115.283424</x:v>
      </x:c>
      <x:c r="R297" s="8" t="str">
        <x:v>https://albertaregulations.ca/fishingregs/es1.html</x:v>
      </x:c>
    </x:row>
    <x:row r="298" ht="42" customHeight="1">
      <x:c r="A298" s="8" t="str">
        <x:v>Stirling Children's Pond</x:v>
      </x:c>
      <x:c r="B298" s="8" t="str">
        <x:v>6682</x:v>
      </x:c>
      <x:c r="C298" s="8" t="str">
        <x:v>Lethbridge</x:v>
      </x:c>
      <x:c r="D298" s="8" t="str">
        <x:v>PP1</x:v>
      </x:c>
      <x:c r="E298" s="16" t="n">
        <x:v>1.9</x:v>
      </x:c>
      <x:c r="F298" s="16" t="str">
        <x:v>Unknown</x:v>
      </x:c>
      <x:c r="G298" s="16" t="str">
        <x:v>Unknown</x:v>
      </x:c>
      <x:c r="H298" s="17" t="str">
        <x:v>Not stated</x:v>
      </x:c>
      <x:c r="I298" s="11" t="str">
        <x:v>Not stated on map.</x:v>
      </x:c>
      <x:c r="J298" s="10" t="n">
        <x:v>49.5008</x:v>
      </x:c>
      <x:c r="K298" s="10" t="n">
        <x:v>-112.5376</x:v>
      </x:c>
      <x:c r="L298" s="8" t="str">
        <x:v>SW29-6-19-W4</x:v>
      </x:c>
      <x:c r="M298" s="11" t="str">
        <x:v>Day Use</x:v>
      </x:c>
      <x:c r="N298" s="11" t="str">
        <x:v>ACA annually stocks this pond with trout, typically before the May long weekend. | Amenities notes: no open fires; foot access only.</x:v>
      </x:c>
      <x:c r="O298" s="8" t="n">
        <x:v>0</x:v>
      </x:c>
      <x:c r="P298" s="8" t="n">
        <x:v>7</x:v>
      </x:c>
      <x:c r="Q298" s="8" t="str">
        <x:v>https://www.google.com/maps/dir/?api=1&amp;destination=49.50079299999999,-112.5376</x:v>
      </x:c>
      <x:c r="R298" s="8" t="str">
        <x:v>https://albertaregulations.ca/fishingregs/pp1.html</x:v>
      </x:c>
    </x:row>
    <x:row r="299" ht="42" customHeight="1">
      <x:c r="A299" s="8" t="str">
        <x:v>Stoney Lake</x:v>
      </x:c>
      <x:c r="B299" s="8" t="str">
        <x:v>6684</x:v>
      </x:c>
      <x:c r="C299" s="8" t="str">
        <x:v>Fairview</x:v>
      </x:c>
      <x:c r="D299" s="8" t="str">
        <x:v>ES4</x:v>
      </x:c>
      <x:c r="E299" s="16" t="n">
        <x:v>39.5</x:v>
      </x:c>
      <x:c r="F299" s="16" t="n">
        <x:v>6.3</x:v>
      </x:c>
      <x:c r="G299" s="16" t="str">
        <x:v>Unknown</x:v>
      </x:c>
      <x:c r="H299" s="17" t="str">
        <x:v>Not stated</x:v>
      </x:c>
      <x:c r="I299" s="11" t="str">
        <x:v>Not stated on map.</x:v>
      </x:c>
      <x:c r="J299" s="10" t="n">
        <x:v>56.5049</x:v>
      </x:c>
      <x:c r="K299" s="10" t="n">
        <x:v>-118.4613</x:v>
      </x:c>
      <x:c r="L299" s="8" t="str">
        <x:v>NE31-86-3-W6</x:v>
      </x:c>
      <x:c r="M299" s="11" t="str">
        <x:v>Camping; Picnic; Toilets</x:v>
      </x:c>
      <x:c r="N299" s="11" t="str">
        <x:v>This campground is user maintained campground bordering the shores of Montagneuse Lake. | Amenities notes: firepits</x:v>
      </x:c>
      <x:c r="O299" s="8" t="n">
        <x:v>2</x:v>
      </x:c>
      <x:c r="P299" s="8" t="n">
        <x:v>12</x:v>
      </x:c>
      <x:c r="Q299" s="8" t="str">
        <x:v>https://www.google.com/maps/dir/?api=1&amp;destination=56.504886,-118.461339</x:v>
      </x:c>
      <x:c r="R299" s="8" t="str">
        <x:v>https://albertaregulations.ca/fishingregs/es4.html</x:v>
      </x:c>
    </x:row>
    <x:row r="300" ht="42" customHeight="1">
      <x:c r="A300" s="8" t="str">
        <x:v>Strathmore Children's Pond</x:v>
      </x:c>
      <x:c r="B300" s="8" t="str">
        <x:v>6686</x:v>
      </x:c>
      <x:c r="C300" s="8" t="str">
        <x:v>Strathmore</x:v>
      </x:c>
      <x:c r="D300" s="8" t="str">
        <x:v>PP1</x:v>
      </x:c>
      <x:c r="E300" s="16" t="n">
        <x:v>1.9</x:v>
      </x:c>
      <x:c r="F300" s="16" t="str">
        <x:v>Unknown</x:v>
      </x:c>
      <x:c r="G300" s="16" t="str">
        <x:v>Unknown</x:v>
      </x:c>
      <x:c r="H300" s="17" t="str">
        <x:v>Not stated</x:v>
      </x:c>
      <x:c r="I300" s="11" t="str">
        <x:v>Not stated on map.</x:v>
      </x:c>
      <x:c r="J300" s="10" t="n">
        <x:v>51.0419</x:v>
      </x:c>
      <x:c r="K300" s="10" t="n">
        <x:v>-113.3908</x:v>
      </x:c>
      <x:c r="L300" s="8" t="str">
        <x:v>SW14-24-25-W4</x:v>
      </x:c>
      <x:c r="M300" s="11" t="str">
        <x:v>Day Use</x:v>
      </x:c>
      <x:c r="N300" s="11" t="str">
        <x:v>ACA annually stocks this pond with trout, typically before the May long weekend. | Amenities notes: no open fires; foot access only.</x:v>
      </x:c>
      <x:c r="O300" s="8" t="n">
        <x:v>0</x:v>
      </x:c>
      <x:c r="P300" s="8" t="n">
        <x:v>11</x:v>
      </x:c>
      <x:c r="Q300" s="8" t="str">
        <x:v>https://www.google.com/maps/dir/?api=1&amp;destination=51.041855,-113.390752</x:v>
      </x:c>
      <x:c r="R300" s="8" t="str">
        <x:v>https://albertaregulations.ca/fishingregs/pp1.html</x:v>
      </x:c>
    </x:row>
    <x:row r="301" ht="32" customHeight="1">
      <x:c r="A301" s="8" t="str">
        <x:v>Strubel Lake</x:v>
      </x:c>
      <x:c r="B301" s="8" t="str">
        <x:v>5919</x:v>
      </x:c>
      <x:c r="C301" s="8" t="str">
        <x:v>Rocky Mountain House</x:v>
      </x:c>
      <x:c r="D301" s="8" t="str">
        <x:v>ES2</x:v>
      </x:c>
      <x:c r="E301" s="16" t="n">
        <x:v>297</x:v>
      </x:c>
      <x:c r="F301" s="16" t="str">
        <x:v>Unknown</x:v>
      </x:c>
      <x:c r="G301" s="16" t="str">
        <x:v>Unknown</x:v>
      </x:c>
      <x:c r="H301" s="17" t="str">
        <x:v>Not stated</x:v>
      </x:c>
      <x:c r="I301" s="11" t="str">
        <x:v>Not stated on map.</x:v>
      </x:c>
      <x:c r="J301" s="10" t="n">
        <x:v>52.204</x:v>
      </x:c>
      <x:c r="K301" s="10" t="n">
        <x:v>-115.0014</x:v>
      </x:c>
      <x:c r="L301" s="8" t="str">
        <x:v>SW30-37-7-W5</x:v>
      </x:c>
      <x:c r="M301" s="11" t="str"/>
      <x:c r="N301" s="11" t="str">
        <x:v>This is a great lake for families or for beginner ice fishing.</x:v>
      </x:c>
      <x:c r="O301" s="8" t="n">
        <x:v>6</x:v>
      </x:c>
      <x:c r="P301" s="8" t="n">
        <x:v>10</x:v>
      </x:c>
      <x:c r="Q301" s="8" t="str">
        <x:v>https://www.google.com/maps/dir/?api=1&amp;destination=52.203976,-115.001395</x:v>
      </x:c>
      <x:c r="R301" s="8" t="str">
        <x:v>https://albertaregulations.ca/fishingregs/es2.html</x:v>
      </x:c>
    </x:row>
    <x:row r="302" ht="57" customHeight="1">
      <x:c r="A302" s="8" t="str">
        <x:v>Sulphur Lake</x:v>
      </x:c>
      <x:c r="B302" s="8" t="str">
        <x:v>5929</x:v>
      </x:c>
      <x:c r="C302" s="8" t="str">
        <x:v>Fairview</x:v>
      </x:c>
      <x:c r="D302" s="8" t="str">
        <x:v>NB3</x:v>
      </x:c>
      <x:c r="E302" s="16" t="n">
        <x:v>53</x:v>
      </x:c>
      <x:c r="F302" s="16" t="str">
        <x:v>Unknown</x:v>
      </x:c>
      <x:c r="G302" s="16" t="str">
        <x:v>Unknown</x:v>
      </x:c>
      <x:c r="H302" s="17" t="str">
        <x:v>Not stated</x:v>
      </x:c>
      <x:c r="I302" s="11" t="str">
        <x:v>Not stated on map.</x:v>
      </x:c>
      <x:c r="J302" s="10" t="n">
        <x:v>56.7064</x:v>
      </x:c>
      <x:c r="K302" s="10" t="n">
        <x:v>-118.3185</x:v>
      </x:c>
      <x:c r="L302" s="8" t="str">
        <x:v>NW7-89-2-W6</x:v>
      </x:c>
      <x:c r="M302" s="11" t="str">
        <x:v>Boat Launch; Fire Pits; Fish Cleaning; Dock/Pier; Toilets; Water</x:v>
      </x:c>
      <x:c r="N302" s="11" t="str">
        <x:v>Sulphur Lake Provincial Recreation area is located about an hour drive north of Peace River. There's a hand launch and a boat launch, as well as a fishing pier and fish cleaning station.</x:v>
      </x:c>
      <x:c r="O302" s="8" t="n">
        <x:v>1</x:v>
      </x:c>
      <x:c r="P302" s="8" t="n">
        <x:v>7</x:v>
      </x:c>
      <x:c r="Q302" s="8" t="str">
        <x:v>https://www.google.com/maps/dir/?api=1&amp;destination=56.706382,-118.318549</x:v>
      </x:c>
      <x:c r="R302" s="8" t="str">
        <x:v>https://albertaregulations.ca/fishingregs/nb3.html</x:v>
      </x:c>
    </x:row>
    <x:row r="303" ht="42" customHeight="1">
      <x:c r="A303" s="8" t="str">
        <x:v>Swan Lake</x:v>
      </x:c>
      <x:c r="B303" s="8" t="str">
        <x:v>5944</x:v>
      </x:c>
      <x:c r="C303" s="8" t="str">
        <x:v>Valleyview</x:v>
      </x:c>
      <x:c r="D303" s="8" t="str">
        <x:v>ES4</x:v>
      </x:c>
      <x:c r="E303" s="16" t="n">
        <x:v>162.7</x:v>
      </x:c>
      <x:c r="F303" s="16" t="str">
        <x:v>Unknown</x:v>
      </x:c>
      <x:c r="G303" s="16" t="str">
        <x:v>Unknown</x:v>
      </x:c>
      <x:c r="H303" s="17" t="str">
        <x:v>Not stated</x:v>
      </x:c>
      <x:c r="I303" s="11" t="str">
        <x:v>Not stated on map.</x:v>
      </x:c>
      <x:c r="J303" s="10" t="n">
        <x:v>55.0591</x:v>
      </x:c>
      <x:c r="K303" s="10" t="n">
        <x:v>-117.8137</x:v>
      </x:c>
      <x:c r="L303" s="8" t="str">
        <x:v>SW18-70-25-W5</x:v>
      </x:c>
      <x:c r="M303" s="11" t="str">
        <x:v>Toilets; Picnic; Fire Pits</x:v>
      </x:c>
      <x:c r="N303" s="11" t="str">
        <x:v>Most of the campsites are surrounded by pine and spruce trees that provide good privacy with a few choice sites located next to the lake for fishing.</x:v>
      </x:c>
      <x:c r="O303" s="8" t="n">
        <x:v>4</x:v>
      </x:c>
      <x:c r="P303" s="8" t="n">
        <x:v>14</x:v>
      </x:c>
      <x:c r="Q303" s="8" t="str">
        <x:v>https://www.google.com/maps/dir/?api=1&amp;destination=55.059122,-117.813668</x:v>
      </x:c>
      <x:c r="R303" s="8" t="str">
        <x:v>https://albertaregulations.ca/fishingregs/es4.html</x:v>
      </x:c>
    </x:row>
    <x:row r="304" ht="32" customHeight="1">
      <x:c r="A304" s="8" t="str">
        <x:v>Swan Lake</x:v>
      </x:c>
      <x:c r="B304" s="8" t="str">
        <x:v>5758</x:v>
      </x:c>
      <x:c r="C304" s="8" t="str">
        <x:v>Red Earth</x:v>
      </x:c>
      <x:c r="D304" s="8" t="str">
        <x:v>Not stated</x:v>
      </x:c>
      <x:c r="E304" s="16" t="str">
        <x:v>Unknown</x:v>
      </x:c>
      <x:c r="F304" s="16" t="str">
        <x:v>Unknown</x:v>
      </x:c>
      <x:c r="G304" s="16" t="str">
        <x:v>Unknown</x:v>
      </x:c>
      <x:c r="H304" s="17" t="str">
        <x:v>Not stated</x:v>
      </x:c>
      <x:c r="I304" s="11" t="str">
        <x:v>Not stated on map.</x:v>
      </x:c>
      <x:c r="J304" s="10" t="n">
        <x:v>56.9788</x:v>
      </x:c>
      <x:c r="K304" s="10" t="n">
        <x:v>-115.9155</x:v>
      </x:c>
      <x:c r="L304" s="8" t="str">
        <x:v>SE18-92-12-W5</x:v>
      </x:c>
      <x:c r="M304" s="11" t="str"/>
      <x:c r="N304" s="11" t="str">
        <x:v>No description available.</x:v>
      </x:c>
      <x:c r="O304" s="8" t="n">
        <x:v>0</x:v>
      </x:c>
      <x:c r="P304" s="8" t="n">
        <x:v>1</x:v>
      </x:c>
      <x:c r="Q304" s="8" t="str">
        <x:v>https://www.google.com/maps/dir/?api=1&amp;destination=56.978844,-115.915531</x:v>
      </x:c>
      <x:c r="R304" s="8" t="str"/>
    </x:row>
    <x:row r="305" ht="42" customHeight="1">
      <x:c r="A305" s="8" t="str">
        <x:v>Sylvan Lake</x:v>
      </x:c>
      <x:c r="B305" s="8" t="str">
        <x:v>5952</x:v>
      </x:c>
      <x:c r="C305" s="8" t="str">
        <x:v>Edmonton</x:v>
      </x:c>
      <x:c r="D305" s="8" t="str">
        <x:v>PP2</x:v>
      </x:c>
      <x:c r="E305" s="16" t="n">
        <x:v>5.3</x:v>
      </x:c>
      <x:c r="F305" s="16" t="str">
        <x:v>Unknown</x:v>
      </x:c>
      <x:c r="G305" s="16" t="str">
        <x:v>Unknown</x:v>
      </x:c>
      <x:c r="H305" s="17" t="str">
        <x:v>Not stated</x:v>
      </x:c>
      <x:c r="I305" s="11" t="str">
        <x:v>Not stated on map.</x:v>
      </x:c>
      <x:c r="J305" s="10" t="n">
        <x:v>52.3741</x:v>
      </x:c>
      <x:c r="K305" s="10" t="n">
        <x:v>-114.1877</x:v>
      </x:c>
      <x:c r="L305" s="8" t="str">
        <x:v>NW23-39-2-W5</x:v>
      </x:c>
      <x:c r="M305" s="11" t="str">
        <x:v>Swimming; Beach; Picnic</x:v>
      </x:c>
      <x:c r="N305" s="11" t="str">
        <x:v>Sylvan Lake offers swimming motorized and non motorized water activities and recreational fishing.</x:v>
      </x:c>
      <x:c r="O305" s="8" t="n">
        <x:v>1</x:v>
      </x:c>
      <x:c r="P305" s="8" t="n">
        <x:v>9</x:v>
      </x:c>
      <x:c r="Q305" s="8" t="str">
        <x:v>https://www.google.com/maps/dir/?api=1&amp;destination=52.374063,-114.187701</x:v>
      </x:c>
      <x:c r="R305" s="8" t="str">
        <x:v>https://albertaregulations.ca/fishingregs/pp2.html</x:v>
      </x:c>
    </x:row>
    <x:row r="306" ht="32" customHeight="1">
      <x:c r="A306" s="8" t="str">
        <x:v>Taber Trout Pond</x:v>
      </x:c>
      <x:c r="B306" s="8" t="str">
        <x:v>318138</x:v>
      </x:c>
      <x:c r="C306" s="8" t="str">
        <x:v>Medicine Hat</x:v>
      </x:c>
      <x:c r="D306" s="8" t="str">
        <x:v>PP2</x:v>
      </x:c>
      <x:c r="E306" s="16" t="n">
        <x:v>53</x:v>
      </x:c>
      <x:c r="F306" s="16" t="str">
        <x:v>Unknown</x:v>
      </x:c>
      <x:c r="G306" s="16" t="str">
        <x:v>Unknown</x:v>
      </x:c>
      <x:c r="H306" s="17" t="str">
        <x:v>Not stated</x:v>
      </x:c>
      <x:c r="I306" s="11" t="str">
        <x:v>Not stated on map.</x:v>
      </x:c>
      <x:c r="J306" s="10" t="n">
        <x:v>49.7947</x:v>
      </x:c>
      <x:c r="K306" s="10" t="n">
        <x:v>-112.1882</x:v>
      </x:c>
      <x:c r="L306" s="8" t="str">
        <x:v>NW1-10-17-W4</x:v>
      </x:c>
      <x:c r="M306" s="11" t="str">
        <x:v>Camping; Day Use; Picnic; Toilets</x:v>
      </x:c>
      <x:c r="N306" s="11" t="str">
        <x:v>Camp at the pond in one of the nine sites, and throw your line into the stocked pond.</x:v>
      </x:c>
      <x:c r="O306" s="8" t="n">
        <x:v>0</x:v>
      </x:c>
      <x:c r="P306" s="8" t="n">
        <x:v>12</x:v>
      </x:c>
      <x:c r="Q306" s="8" t="str">
        <x:v>https://www.google.com/maps/dir/?api=1&amp;destination=49.794747,-112.188165</x:v>
      </x:c>
      <x:c r="R306" s="8" t="str">
        <x:v>https://albertaregulations.ca/fishingregs/pp1.html</x:v>
      </x:c>
    </x:row>
    <x:row r="307" ht="32" customHeight="1">
      <x:c r="A307" s="8" t="str">
        <x:v>Talus Lake</x:v>
      </x:c>
      <x:c r="B307" s="8" t="str">
        <x:v>6632</x:v>
      </x:c>
      <x:c r="C307" s="8" t="str">
        <x:v>Cochrane</x:v>
      </x:c>
      <x:c r="D307" s="8" t="str">
        <x:v>Not stated</x:v>
      </x:c>
      <x:c r="E307" s="16" t="str">
        <x:v>Unknown</x:v>
      </x:c>
      <x:c r="F307" s="16" t="str">
        <x:v>Unknown</x:v>
      </x:c>
      <x:c r="G307" s="16" t="str">
        <x:v>Unknown</x:v>
      </x:c>
      <x:c r="H307" s="17" t="str">
        <x:v>Not stated</x:v>
      </x:c>
      <x:c r="I307" s="11" t="str">
        <x:v>Not stated on map.</x:v>
      </x:c>
      <x:c r="J307" s="10" t="n">
        <x:v>50.7225</x:v>
      </x:c>
      <x:c r="K307" s="10" t="n">
        <x:v>-114.9788</x:v>
      </x:c>
      <x:c r="L307" s="8" t="str">
        <x:v>SE25-20-8-W5</x:v>
      </x:c>
      <x:c r="M307" s="11" t="str"/>
      <x:c r="N307" s="11" t="str">
        <x:v>No description available.</x:v>
      </x:c>
      <x:c r="O307" s="8" t="n">
        <x:v>0</x:v>
      </x:c>
      <x:c r="P307" s="8" t="n">
        <x:v>1</x:v>
      </x:c>
      <x:c r="Q307" s="8" t="str">
        <x:v>https://www.google.com/maps/dir/?api=1&amp;destination=50.722474,-114.978777</x:v>
      </x:c>
      <x:c r="R307" s="8" t="str"/>
    </x:row>
    <x:row r="308" ht="42" customHeight="1">
      <x:c r="A308" s="8" t="str">
        <x:v>Tamarack Lake</x:v>
      </x:c>
      <x:c r="B308" s="8" t="str">
        <x:v>6635</x:v>
      </x:c>
      <x:c r="C308" s="8" t="str">
        <x:v>Swan Hills</x:v>
      </x:c>
      <x:c r="D308" s="8" t="str">
        <x:v>NB2</x:v>
      </x:c>
      <x:c r="E308" s="16" t="n">
        <x:v>19.6</x:v>
      </x:c>
      <x:c r="F308" s="16" t="str">
        <x:v>Unknown</x:v>
      </x:c>
      <x:c r="G308" s="16" t="str">
        <x:v>Unknown</x:v>
      </x:c>
      <x:c r="H308" s="17" t="str">
        <x:v>Not stated</x:v>
      </x:c>
      <x:c r="I308" s="11" t="str">
        <x:v>Not stated on map.</x:v>
      </x:c>
      <x:c r="J308" s="10" t="n">
        <x:v>54.7021</x:v>
      </x:c>
      <x:c r="K308" s="10" t="n">
        <x:v>-115.7179</x:v>
      </x:c>
      <x:c r="L308" s="8" t="str">
        <x:v>NE10-66-12-W5</x:v>
      </x:c>
      <x:c r="M308" s="11" t="str"/>
      <x:c r="N308" s="11" t="str">
        <x:v>Approximately 26 km's from Swan Hills via off road trails. Approximately 20 km's from Swan Hills to the staging area.</x:v>
      </x:c>
      <x:c r="O308" s="8" t="n">
        <x:v>0</x:v>
      </x:c>
      <x:c r="P308" s="8" t="n">
        <x:v>5</x:v>
      </x:c>
      <x:c r="Q308" s="8" t="str">
        <x:v>https://www.google.com/maps/dir/?api=1&amp;destination=54.70208299999999,-115.71791</x:v>
      </x:c>
      <x:c r="R308" s="8" t="str">
        <x:v>https://albertaregulations.ca/fishingregs/nb2.html</x:v>
      </x:c>
    </x:row>
    <x:row r="309" ht="32" customHeight="1">
      <x:c r="A309" s="8" t="str">
        <x:v>Tay Lake</x:v>
      </x:c>
      <x:c r="B309" s="8" t="str">
        <x:v>5968</x:v>
      </x:c>
      <x:c r="C309" s="8" t="str">
        <x:v>Rocky Mountain House</x:v>
      </x:c>
      <x:c r="D309" s="8" t="str">
        <x:v>ES2</x:v>
      </x:c>
      <x:c r="E309" s="16" t="n">
        <x:v>4.9</x:v>
      </x:c>
      <x:c r="F309" s="16" t="str">
        <x:v>Unknown</x:v>
      </x:c>
      <x:c r="G309" s="16" t="str">
        <x:v>Unknown</x:v>
      </x:c>
      <x:c r="H309" s="17" t="str">
        <x:v>Not stated</x:v>
      </x:c>
      <x:c r="I309" s="11" t="str">
        <x:v>Not stated on map.</x:v>
      </x:c>
      <x:c r="J309" s="10" t="n">
        <x:v>52.0614</x:v>
      </x:c>
      <x:c r="K309" s="10" t="n">
        <x:v>-115.1193</x:v>
      </x:c>
      <x:c r="L309" s="8" t="str">
        <x:v>SW5-36-8-W5</x:v>
      </x:c>
      <x:c r="M309" s="11" t="str"/>
      <x:c r="N309" s="11" t="str">
        <x:v>The lake can only be accessed by foot or off road vehicle.</x:v>
      </x:c>
      <x:c r="O309" s="8" t="n">
        <x:v>1</x:v>
      </x:c>
      <x:c r="P309" s="8" t="n">
        <x:v>6</x:v>
      </x:c>
      <x:c r="Q309" s="8" t="str">
        <x:v>https://www.google.com/maps/dir/?api=1&amp;destination=52.061406,-115.11934</x:v>
      </x:c>
      <x:c r="R309" s="8" t="str">
        <x:v>https://albertaregulations.ca/fishingregs/es2.html</x:v>
      </x:c>
    </x:row>
    <x:row r="310" ht="72" customHeight="1">
      <x:c r="A310" s="8" t="str">
        <x:v>Tea Lakes</x:v>
      </x:c>
      <x:c r="B310" s="8" t="str">
        <x:v>5971</x:v>
      </x:c>
      <x:c r="C310" s="8" t="str">
        <x:v>Slave Lake</x:v>
      </x:c>
      <x:c r="D310" s="8" t="str">
        <x:v>NB2</x:v>
      </x:c>
      <x:c r="E310" s="16" t="n">
        <x:v>114.4</x:v>
      </x:c>
      <x:c r="F310" s="16" t="str">
        <x:v>Unknown</x:v>
      </x:c>
      <x:c r="G310" s="16" t="str">
        <x:v>Unknown</x:v>
      </x:c>
      <x:c r="H310" s="17" t="str">
        <x:v>Not stated</x:v>
      </x:c>
      <x:c r="I310" s="11" t="str">
        <x:v>Not stated on map.</x:v>
      </x:c>
      <x:c r="J310" s="10" t="n">
        <x:v>54.7955</x:v>
      </x:c>
      <x:c r="K310" s="10" t="n">
        <x:v>-115.0153</x:v>
      </x:c>
      <x:c r="L310" s="8" t="str">
        <x:v>SW16-67-7-W5</x:v>
      </x:c>
      <x:c r="M310" s="11" t="str"/>
      <x:c r="N310" s="11" t="str">
        <x:v>Tea Lakes can be accessed from the parking lot at the end of Highway 888 or via the trailhead near Lesser Slave Lake Provincial Park, located at Highway 2 and Range Road 125A. | Amenities notes: Tea Lakes is one of our helicopter-stocked lakes and was freshly stocked in 2025; ensuring excellent fishing opportunities for visitors.</x:v>
      </x:c>
      <x:c r="O310" s="8" t="n">
        <x:v>0</x:v>
      </x:c>
      <x:c r="P310" s="8" t="n">
        <x:v>2</x:v>
      </x:c>
      <x:c r="Q310" s="8" t="str">
        <x:v>https://www.google.com/maps/dir/?api=1&amp;destination=54.795498,-115.015327</x:v>
      </x:c>
      <x:c r="R310" s="8" t="str">
        <x:v>https://albertaregulations.ca/fishingregs/nb2.html</x:v>
      </x:c>
    </x:row>
    <x:row r="311" ht="42" customHeight="1">
      <x:c r="A311" s="8" t="str">
        <x:v>Tees Fish Pond</x:v>
      </x:c>
      <x:c r="B311" s="8" t="str">
        <x:v>6718</x:v>
      </x:c>
      <x:c r="C311" s="8" t="str">
        <x:v>Ponoka</x:v>
      </x:c>
      <x:c r="D311" s="8" t="str">
        <x:v>PP2</x:v>
      </x:c>
      <x:c r="E311" s="16" t="n">
        <x:v>7</x:v>
      </x:c>
      <x:c r="F311" s="16" t="str">
        <x:v>Unknown</x:v>
      </x:c>
      <x:c r="G311" s="16" t="str">
        <x:v>Unknown</x:v>
      </x:c>
      <x:c r="H311" s="17" t="str">
        <x:v>Not stated</x:v>
      </x:c>
      <x:c r="I311" s="11" t="str">
        <x:v>Not stated on map.</x:v>
      </x:c>
      <x:c r="J311" s="10" t="n">
        <x:v>52.4719</x:v>
      </x:c>
      <x:c r="K311" s="10" t="n">
        <x:v>-113.3167</x:v>
      </x:c>
      <x:c r="L311" s="8" t="str">
        <x:v>NE25-40-24-W4</x:v>
      </x:c>
      <x:c r="M311" s="11" t="str">
        <x:v>Day Use</x:v>
      </x:c>
      <x:c r="N311" s="11" t="str">
        <x:v>ACA annually stocks this pond with trout, typically before the May long weekend. | Amenities notes: no open fires; foot access only.</x:v>
      </x:c>
      <x:c r="O311" s="8" t="n">
        <x:v>0</x:v>
      </x:c>
      <x:c r="P311" s="8" t="n">
        <x:v>6</x:v>
      </x:c>
      <x:c r="Q311" s="8" t="str">
        <x:v>https://www.google.com/maps/dir/?api=1&amp;destination=52.471946,-113.316718</x:v>
      </x:c>
      <x:c r="R311" s="8" t="str">
        <x:v>https://albertaregulations.ca/fishingregs/pp2.html</x:v>
      </x:c>
    </x:row>
    <x:row r="312" ht="57" customHeight="1">
      <x:c r="A312" s="8" t="str">
        <x:v>Telegraph Park Pond</x:v>
      </x:c>
      <x:c r="B312" s="8" t="str">
        <x:v>6674</x:v>
      </x:c>
      <x:c r="C312" s="8" t="str">
        <x:v>Camrose</x:v>
      </x:c>
      <x:c r="D312" s="8" t="str">
        <x:v>PP2</x:v>
      </x:c>
      <x:c r="E312" s="16" t="n">
        <x:v>2.4</x:v>
      </x:c>
      <x:c r="F312" s="16" t="str">
        <x:v>Unknown</x:v>
      </x:c>
      <x:c r="G312" s="16" t="str">
        <x:v>Unknown</x:v>
      </x:c>
      <x:c r="H312" s="17" t="str">
        <x:v>Not stated</x:v>
      </x:c>
      <x:c r="I312" s="11" t="str">
        <x:v>Not stated on map.</x:v>
      </x:c>
      <x:c r="J312" s="10" t="n">
        <x:v>53.1886</x:v>
      </x:c>
      <x:c r="K312" s="10" t="n">
        <x:v>-113.0443</x:v>
      </x:c>
      <x:c r="L312" s="8" t="str">
        <x:v>NW32-48-21-W4</x:v>
      </x:c>
      <x:c r="M312" s="11" t="str">
        <x:v>Camping; Camping Group; Picnic; Shelter; Day Use; Trails; Trails Hiking; Sports; Trails Interpretive; Playground</x:v>
      </x:c>
      <x:c r="N312" s="11" t="str">
        <x:v>ACA annually stocks this pond with trout, typically before the May long weekend.</x:v>
      </x:c>
      <x:c r="O312" s="8" t="n">
        <x:v>0</x:v>
      </x:c>
      <x:c r="P312" s="8" t="n">
        <x:v>33</x:v>
      </x:c>
      <x:c r="Q312" s="8" t="str">
        <x:v>https://www.google.com/maps/dir/?api=1&amp;destination=53.1886,-113.0443</x:v>
      </x:c>
      <x:c r="R312" s="8" t="str">
        <x:v>https://albertaregulations.ca/fishingregs/pp2.html</x:v>
      </x:c>
    </x:row>
    <x:row r="313" ht="42" customHeight="1">
      <x:c r="A313" s="8" t="str">
        <x:v>Texaco East Pond</x:v>
      </x:c>
      <x:c r="B313" s="8" t="str">
        <x:v>6636</x:v>
      </x:c>
      <x:c r="C313" s="8" t="str">
        <x:v>Fort McMurray</x:v>
      </x:c>
      <x:c r="D313" s="8" t="str">
        <x:v>NB4</x:v>
      </x:c>
      <x:c r="E313" s="16" t="n">
        <x:v>3.4</x:v>
      </x:c>
      <x:c r="F313" s="16" t="n">
        <x:v>6</x:v>
      </x:c>
      <x:c r="G313" s="16" t="n">
        <x:v>3</x:v>
      </x:c>
      <x:c r="H313" s="17" t="str">
        <x:v>Not stated</x:v>
      </x:c>
      <x:c r="I313" s="11" t="str">
        <x:v>Not stated on map.</x:v>
      </x:c>
      <x:c r="J313" s="10" t="n">
        <x:v>56.637</x:v>
      </x:c>
      <x:c r="K313" s="10" t="n">
        <x:v>-111.1913</x:v>
      </x:c>
      <x:c r="L313" s="8" t="str">
        <x:v>NW15-88-8-W4</x:v>
      </x:c>
      <x:c r="M313" s="11" t="str">
        <x:v>Day Use</x:v>
      </x:c>
      <x:c r="N313" s="11" t="str">
        <x:v>The pond is a short walk from the parking area. | Amenities notes: no open fires; foot access only.</x:v>
      </x:c>
      <x:c r="O313" s="8" t="n">
        <x:v>1</x:v>
      </x:c>
      <x:c r="P313" s="8" t="n">
        <x:v>6</x:v>
      </x:c>
      <x:c r="Q313" s="8" t="str">
        <x:v>https://www.google.com/maps/dir/?api=1&amp;destination=56.637029,-111.191296</x:v>
      </x:c>
      <x:c r="R313" s="8" t="str">
        <x:v>https://albertaregulations.ca/fishingregs/nb4.html</x:v>
      </x:c>
    </x:row>
    <x:row r="314" ht="42" customHeight="1">
      <x:c r="A314" s="8" t="str">
        <x:v>Texaco Pond</x:v>
      </x:c>
      <x:c r="B314" s="8" t="str">
        <x:v>6637</x:v>
      </x:c>
      <x:c r="C314" s="8" t="str">
        <x:v>Fort McMurray</x:v>
      </x:c>
      <x:c r="D314" s="8" t="str">
        <x:v>NB4</x:v>
      </x:c>
      <x:c r="E314" s="16" t="n">
        <x:v>2.7</x:v>
      </x:c>
      <x:c r="F314" s="16" t="str">
        <x:v>Unknown</x:v>
      </x:c>
      <x:c r="G314" s="16" t="str">
        <x:v>Unknown</x:v>
      </x:c>
      <x:c r="H314" s="17" t="str">
        <x:v>Not stated</x:v>
      </x:c>
      <x:c r="I314" s="11" t="str">
        <x:v>Not stated on map.</x:v>
      </x:c>
      <x:c r="J314" s="10" t="n">
        <x:v>56.6393</x:v>
      </x:c>
      <x:c r="K314" s="10" t="n">
        <x:v>-111.2485</x:v>
      </x:c>
      <x:c r="L314" s="8" t="str">
        <x:v>SW20-88-8-W4</x:v>
      </x:c>
      <x:c r="M314" s="11" t="str">
        <x:v>Day Use</x:v>
      </x:c>
      <x:c r="N314" s="11" t="str">
        <x:v>The pond is a short walk from the parking area. | Amenities notes: no open fires; foot access only.</x:v>
      </x:c>
      <x:c r="O314" s="8" t="n">
        <x:v>2</x:v>
      </x:c>
      <x:c r="P314" s="8" t="n">
        <x:v>6</x:v>
      </x:c>
      <x:c r="Q314" s="8" t="str">
        <x:v>https://www.google.com/maps/dir/?api=1&amp;destination=56.639271,-111.248523</x:v>
      </x:c>
      <x:c r="R314" s="8" t="str">
        <x:v>https://albertaregulations.ca/fishingregs/nb4.html</x:v>
      </x:c>
    </x:row>
    <x:row r="315" ht="72" customHeight="1">
      <x:c r="A315" s="8" t="str">
        <x:v>Three Isle Lake</x:v>
      </x:c>
      <x:c r="B315" s="8" t="str">
        <x:v>5990</x:v>
      </x:c>
      <x:c r="C315" s="8" t="str">
        <x:v>Canmore</x:v>
      </x:c>
      <x:c r="D315" s="8" t="str">
        <x:v>ES1</x:v>
      </x:c>
      <x:c r="E315" s="16" t="n">
        <x:v>33.2</x:v>
      </x:c>
      <x:c r="F315" s="16" t="str">
        <x:v>Unknown</x:v>
      </x:c>
      <x:c r="G315" s="16" t="str">
        <x:v>Unknown</x:v>
      </x:c>
      <x:c r="H315" s="17" t="str">
        <x:v>Not stated</x:v>
      </x:c>
      <x:c r="I315" s="11" t="str">
        <x:v>Not stated on map.</x:v>
      </x:c>
      <x:c r="J315" s="10" t="n">
        <x:v>50.6301</x:v>
      </x:c>
      <x:c r="K315" s="10" t="n">
        <x:v>-115.2775</x:v>
      </x:c>
      <x:c r="L315" s="8" t="str">
        <x:v>SE26-19-10-W5</x:v>
      </x:c>
      <x:c r="M315" s="11" t="str">
        <x:v>Toilets; Camping</x:v>
      </x:c>
      <x:c r="N315" s="11" t="str">
        <x:v>Due to the 2013 flood, some trails and bridges remain washed out and select trails are closed. Significant work has already been done to re-open access to trails and areas. Check before heading into the area for updated conditions. | Amenities notes: bear proof containers</x:v>
      </x:c>
      <x:c r="O315" s="8" t="n">
        <x:v>1</x:v>
      </x:c>
      <x:c r="P315" s="8" t="n">
        <x:v>2</x:v>
      </x:c>
      <x:c r="Q315" s="8" t="str">
        <x:v>https://www.google.com/maps/dir/?api=1&amp;destination=50.630121,-115.277514</x:v>
      </x:c>
      <x:c r="R315" s="8" t="str">
        <x:v>https://albertaregulations.ca/fishingregs/es1.html</x:v>
      </x:c>
    </x:row>
    <x:row r="316" ht="32" customHeight="1">
      <x:c r="A316" s="8" t="str">
        <x:v>Tim Horton Children's Pond</x:v>
      </x:c>
      <x:c r="B316" s="8" t="str">
        <x:v>6677</x:v>
      </x:c>
      <x:c r="C316" s="8" t="str">
        <x:v>Canmore</x:v>
      </x:c>
      <x:c r="D316" s="8" t="str">
        <x:v>Not stated</x:v>
      </x:c>
      <x:c r="E316" s="16" t="str">
        <x:v>Unknown</x:v>
      </x:c>
      <x:c r="F316" s="16" t="str">
        <x:v>Unknown</x:v>
      </x:c>
      <x:c r="G316" s="16" t="str">
        <x:v>Unknown</x:v>
      </x:c>
      <x:c r="H316" s="17" t="str">
        <x:v>Not stated</x:v>
      </x:c>
      <x:c r="I316" s="11" t="str">
        <x:v>Not stated on map.</x:v>
      </x:c>
      <x:c r="J316" s="10" t="n">
        <x:v>51.0462</x:v>
      </x:c>
      <x:c r="K316" s="10" t="n">
        <x:v>-115.0182</x:v>
      </x:c>
      <x:c r="L316" s="8" t="str">
        <x:v>NW14-24-8-W5</x:v>
      </x:c>
      <x:c r="M316" s="11" t="str"/>
      <x:c r="N316" s="11" t="str">
        <x:v>No description available.</x:v>
      </x:c>
      <x:c r="O316" s="8" t="n">
        <x:v>0</x:v>
      </x:c>
      <x:c r="P316" s="8" t="n">
        <x:v>7</x:v>
      </x:c>
      <x:c r="Q316" s="8" t="str">
        <x:v>https://www.google.com/maps/dir/?api=1&amp;destination=51.046185,-115.018195</x:v>
      </x:c>
      <x:c r="R316" s="8" t="str"/>
    </x:row>
    <x:row r="317" ht="32" customHeight="1">
      <x:c r="A317" s="8" t="str">
        <x:v>Trapper Lake</x:v>
      </x:c>
      <x:c r="B317" s="8" t="str">
        <x:v>6638</x:v>
      </x:c>
      <x:c r="C317" s="8" t="str">
        <x:v>Edson</x:v>
      </x:c>
      <x:c r="D317" s="8" t="str">
        <x:v>ES3</x:v>
      </x:c>
      <x:c r="E317" s="16" t="n">
        <x:v>2.4</x:v>
      </x:c>
      <x:c r="F317" s="16" t="n">
        <x:v>12</x:v>
      </x:c>
      <x:c r="G317" s="16" t="str">
        <x:v>Unknown</x:v>
      </x:c>
      <x:c r="H317" s="17" t="str">
        <x:v>Not stated</x:v>
      </x:c>
      <x:c r="I317" s="11" t="str">
        <x:v>Not stated on map.</x:v>
      </x:c>
      <x:c r="J317" s="10" t="n">
        <x:v>54.0227</x:v>
      </x:c>
      <x:c r="K317" s="10" t="n">
        <x:v>-116.3626</x:v>
      </x:c>
      <x:c r="L317" s="8" t="str">
        <x:v>SE19-58-16-W5</x:v>
      </x:c>
      <x:c r="M317" s="11" t="str"/>
      <x:c r="N317" s="11" t="str">
        <x:v>Trappers Lake is a lake located just 85 miles from Josephburg.</x:v>
      </x:c>
      <x:c r="O317" s="8" t="n">
        <x:v>0</x:v>
      </x:c>
      <x:c r="P317" s="8" t="n">
        <x:v>2</x:v>
      </x:c>
      <x:c r="Q317" s="8" t="str">
        <x:v>https://www.google.com/maps/dir/?api=1&amp;destination=54.022698,-116.362574</x:v>
      </x:c>
      <x:c r="R317" s="8" t="str">
        <x:v>https://albertaregulations.ca/fishingregs/es3.html</x:v>
      </x:c>
    </x:row>
    <x:row r="318" ht="32" customHeight="1">
      <x:c r="A318" s="8" t="str">
        <x:v>Travers Reservoir</x:v>
      </x:c>
      <x:c r="B318" s="8" t="str">
        <x:v>3537</x:v>
      </x:c>
      <x:c r="C318" s="8" t="str">
        <x:v>Lethbridge</x:v>
      </x:c>
      <x:c r="D318" s="8" t="str">
        <x:v>PP1</x:v>
      </x:c>
      <x:c r="E318" s="16" t="n">
        <x:v>2239.2</x:v>
      </x:c>
      <x:c r="F318" s="16" t="str">
        <x:v>Unknown</x:v>
      </x:c>
      <x:c r="G318" s="16" t="str">
        <x:v>Unknown</x:v>
      </x:c>
      <x:c r="H318" s="17" t="str">
        <x:v>Not stated</x:v>
      </x:c>
      <x:c r="I318" s="11" t="str">
        <x:v>Not stated on map.</x:v>
      </x:c>
      <x:c r="J318" s="10" t="n">
        <x:v>50.2084</x:v>
      </x:c>
      <x:c r="K318" s="10" t="n">
        <x:v>-112.8157</x:v>
      </x:c>
      <x:c r="L318" s="8" t="str">
        <x:v>SW33-14-21-W4</x:v>
      </x:c>
      <x:c r="M318" s="11" t="str">
        <x:v>Paddling; Paddling Canoe; Boating; Camping</x:v>
      </x:c>
      <x:c r="N318" s="11" t="str">
        <x:v>Travers Dam campground is in Travers Reservoir Provincial Recreation Area.</x:v>
      </x:c>
      <x:c r="O318" s="8" t="n">
        <x:v>1</x:v>
      </x:c>
      <x:c r="P318" s="8" t="n">
        <x:v>11</x:v>
      </x:c>
      <x:c r="Q318" s="8" t="str">
        <x:v>https://www.google.com/maps/dir/?api=1&amp;destination=50.208359,-112.815741</x:v>
      </x:c>
      <x:c r="R318" s="8" t="str">
        <x:v>https://albertaregulations.ca/fishingregs/pp1.html</x:v>
      </x:c>
    </x:row>
    <x:row r="319" ht="57" customHeight="1">
      <x:c r="A319" s="8" t="str">
        <x:v>Twin Lakes</x:v>
      </x:c>
      <x:c r="B319" s="8" t="str">
        <x:v>6039</x:v>
      </x:c>
      <x:c r="C319" s="8" t="str">
        <x:v>Rocky Mountain House</x:v>
      </x:c>
      <x:c r="D319" s="8" t="str">
        <x:v>ES2</x:v>
      </x:c>
      <x:c r="E319" s="16" t="n">
        <x:v>27.5</x:v>
      </x:c>
      <x:c r="F319" s="16" t="str">
        <x:v>Unknown</x:v>
      </x:c>
      <x:c r="G319" s="16" t="str">
        <x:v>Unknown</x:v>
      </x:c>
      <x:c r="H319" s="17" t="str">
        <x:v>Not stated</x:v>
      </x:c>
      <x:c r="I319" s="11" t="str">
        <x:v>Not stated on map.</x:v>
      </x:c>
      <x:c r="J319" s="10" t="n">
        <x:v>52.4139</x:v>
      </x:c>
      <x:c r="K319" s="10" t="n">
        <x:v>-115.0018</x:v>
      </x:c>
      <x:c r="L319" s="8" t="str">
        <x:v>SW6-40-7-W5</x:v>
      </x:c>
      <x:c r="M319" s="11" t="str">
        <x:v>Water; Toilets; Firewood; Playground; Boat Launch; Fish Cleaning; Wildlife Viewing; Accessibility</x:v>
      </x:c>
      <x:c r="N319" s="11" t="str">
        <x:v>Twin Lakes Campground is a popular campground for fishing enthusiasts. The boat launch makes it easy to get into the lake for fishing trout and perch, and the wheelchair-accessible pier is great for those looking to cast from shore.</x:v>
      </x:c>
      <x:c r="O319" s="8" t="n">
        <x:v>2</x:v>
      </x:c>
      <x:c r="P319" s="8" t="n">
        <x:v>12</x:v>
      </x:c>
      <x:c r="Q319" s="8" t="str">
        <x:v>https://www.google.com/maps/dir/?api=1&amp;destination=52.413889,-115.001806</x:v>
      </x:c>
      <x:c r="R319" s="8" t="str">
        <x:v>https://albertaregulations.ca/fishingregs/es2.html</x:v>
      </x:c>
    </x:row>
    <x:row r="320" ht="32" customHeight="1">
      <x:c r="A320" s="8" t="str">
        <x:v>Twin Valley Reservoir</x:v>
      </x:c>
      <x:c r="B320" s="8" t="str">
        <x:v>23327</x:v>
      </x:c>
      <x:c r="C320" s="8" t="str">
        <x:v>Vulcan</x:v>
      </x:c>
      <x:c r="D320" s="8" t="str">
        <x:v>Not stated</x:v>
      </x:c>
      <x:c r="E320" s="16" t="str">
        <x:v>Unknown</x:v>
      </x:c>
      <x:c r="F320" s="16" t="str">
        <x:v>Unknown</x:v>
      </x:c>
      <x:c r="G320" s="16" t="str">
        <x:v>Unknown</x:v>
      </x:c>
      <x:c r="H320" s="17" t="str">
        <x:v>Not stated</x:v>
      </x:c>
      <x:c r="I320" s="11" t="str">
        <x:v>Not stated on map.</x:v>
      </x:c>
      <x:c r="J320" s="10" t="n">
        <x:v>50.247</x:v>
      </x:c>
      <x:c r="K320" s="10" t="n">
        <x:v>-113.4226</x:v>
      </x:c>
      <x:c r="L320" s="8" t="str">
        <x:v>NE7-15-25-W4</x:v>
      </x:c>
      <x:c r="M320" s="11" t="str"/>
      <x:c r="N320" s="11" t="str">
        <x:v>No description available.</x:v>
      </x:c>
      <x:c r="O320" s="8" t="n">
        <x:v>0</x:v>
      </x:c>
      <x:c r="P320" s="8" t="n">
        <x:v>4</x:v>
      </x:c>
      <x:c r="Q320" s="8" t="str">
        <x:v>https://www.google.com/maps/dir/?api=1&amp;destination=50.247046,-113.422586</x:v>
      </x:c>
      <x:c r="R320" s="8" t="str"/>
    </x:row>
    <x:row r="321" ht="42" customHeight="1">
      <x:c r="A321" s="8" t="str">
        <x:v>Two Hills Pond</x:v>
      </x:c>
      <x:c r="B321" s="8" t="str">
        <x:v>6670</x:v>
      </x:c>
      <x:c r="C321" s="8" t="str">
        <x:v>Vegreville</x:v>
      </x:c>
      <x:c r="D321" s="8" t="str">
        <x:v>PP2</x:v>
      </x:c>
      <x:c r="E321" s="16" t="n">
        <x:v>1.4</x:v>
      </x:c>
      <x:c r="F321" s="16" t="str">
        <x:v>Unknown</x:v>
      </x:c>
      <x:c r="G321" s="16" t="str">
        <x:v>Unknown</x:v>
      </x:c>
      <x:c r="H321" s="17" t="str">
        <x:v>Not stated</x:v>
      </x:c>
      <x:c r="I321" s="11" t="str">
        <x:v>Not stated on map.</x:v>
      </x:c>
      <x:c r="J321" s="10" t="n">
        <x:v>53.7033</x:v>
      </x:c>
      <x:c r="K321" s="10" t="n">
        <x:v>-111.7449</x:v>
      </x:c>
      <x:c r="L321" s="8" t="str">
        <x:v>SW32-54-12-W4</x:v>
      </x:c>
      <x:c r="M321" s="11" t="str">
        <x:v>Day Use</x:v>
      </x:c>
      <x:c r="N321" s="11" t="str">
        <x:v>ACA annually stocks this pond with trout, typically before the May long weekend. | Amenities notes: no open fires; foot access only.</x:v>
      </x:c>
      <x:c r="O321" s="8" t="n">
        <x:v>0</x:v>
      </x:c>
      <x:c r="P321" s="8" t="n">
        <x:v>4</x:v>
      </x:c>
      <x:c r="Q321" s="8" t="str">
        <x:v>https://www.google.com/maps/dir/?api=1&amp;destination=53.703308,-111.744946</x:v>
      </x:c>
      <x:c r="R321" s="8" t="str">
        <x:v>https://albertaregulations.ca/fishingregs/pp2.html</x:v>
      </x:c>
    </x:row>
    <x:row r="322" ht="117" customHeight="1">
      <x:c r="A322" s="8" t="str">
        <x:v>Upper Burstall Lake</x:v>
      </x:c>
      <x:c r="B322" s="8" t="str">
        <x:v>4167</x:v>
      </x:c>
      <x:c r="C322" s="8" t="str">
        <x:v>Canmore</x:v>
      </x:c>
      <x:c r="D322" s="8" t="str">
        <x:v>ES1</x:v>
      </x:c>
      <x:c r="E322" s="16" t="n">
        <x:v>9.3</x:v>
      </x:c>
      <x:c r="F322" s="16" t="str">
        <x:v>Unknown</x:v>
      </x:c>
      <x:c r="G322" s="16" t="str">
        <x:v>Unknown</x:v>
      </x:c>
      <x:c r="H322" s="17" t="str">
        <x:v>Not stated</x:v>
      </x:c>
      <x:c r="I322" s="11" t="str">
        <x:v>Not stated on map.</x:v>
      </x:c>
      <x:c r="J322" s="10" t="n">
        <x:v>50.7819</x:v>
      </x:c>
      <x:c r="K322" s="10" t="n">
        <x:v>-115.3359</x:v>
      </x:c>
      <x:c r="L322" s="8" t="str">
        <x:v>SW16-21-10-W5</x:v>
      </x:c>
      <x:c r="M322" s="11" t="str"/>
      <x:c r="N322" s="11" t="str">
        <x:v>The hike to Burstall Lakes is an all-season adventure, with winter being a favorite time for many visitors. The trail is relatively flat and easy, making it ideal for snowshoeing or cross-country skiing. Most of the route winds through forested terrain, but expect stronger winds as you approach the lake where tree cover thins. At the trailhead, you’ll find a large parking lot and an outhouse for convenience. | Amenities notes: The upper and lower lakes helicopter stocked. These lakes have recently been stocked in the fall of 2025.</x:v>
      </x:c>
      <x:c r="O322" s="8" t="n">
        <x:v>0</x:v>
      </x:c>
      <x:c r="P322" s="8" t="n">
        <x:v>2</x:v>
      </x:c>
      <x:c r="Q322" s="8" t="str">
        <x:v>https://www.google.com/maps/dir/?api=1&amp;destination=50.781856,-115.335866</x:v>
      </x:c>
      <x:c r="R322" s="8" t="str">
        <x:v>https://albertaregulations.ca/fishingregs/es1.html</x:v>
      </x:c>
    </x:row>
    <x:row r="323" ht="57" customHeight="1">
      <x:c r="A323" s="8" t="str">
        <x:v>Upper Champion Lake</x:v>
      </x:c>
      <x:c r="B323" s="8" t="str">
        <x:v>6607</x:v>
      </x:c>
      <x:c r="C323" s="8" t="str">
        <x:v>Cochrane</x:v>
      </x:c>
      <x:c r="D323" s="8" t="str">
        <x:v>ES1</x:v>
      </x:c>
      <x:c r="E323" s="16" t="n">
        <x:v>0.4</x:v>
      </x:c>
      <x:c r="F323" s="16" t="str">
        <x:v>Unknown</x:v>
      </x:c>
      <x:c r="G323" s="16" t="str">
        <x:v>Unknown</x:v>
      </x:c>
      <x:c r="H323" s="17" t="str">
        <x:v>Not stated</x:v>
      </x:c>
      <x:c r="I323" s="11" t="str">
        <x:v>Not stated on map.</x:v>
      </x:c>
      <x:c r="J323" s="10" t="n">
        <x:v>50.8153</x:v>
      </x:c>
      <x:c r="K323" s="10" t="n">
        <x:v>-114.5999</x:v>
      </x:c>
      <x:c r="L323" s="8" t="str">
        <x:v>NW26-21-5-W5</x:v>
      </x:c>
      <x:c r="M323" s="11" t="str"/>
      <x:c r="N323" s="11" t="str">
        <x:v>This site is stocked by helicopter. Foot or off-road vehicle access only. The hike in is very steep, and hiking may be difficult in muddy conditions. This lake has a high probability of winter kill.</x:v>
      </x:c>
      <x:c r="O323" s="8" t="n">
        <x:v>2</x:v>
      </x:c>
      <x:c r="P323" s="8" t="n">
        <x:v>5</x:v>
      </x:c>
      <x:c r="Q323" s="8" t="str">
        <x:v>https://www.google.com/maps/dir/?api=1&amp;destination=50.815306,-114.599941</x:v>
      </x:c>
      <x:c r="R323" s="8" t="str">
        <x:v>https://albertaregulations.ca/fishingregs/es1.html</x:v>
      </x:c>
    </x:row>
    <x:row r="324" ht="32" customHeight="1">
      <x:c r="A324" s="8" t="str">
        <x:v>Upper Headwall Lake</x:v>
      </x:c>
      <x:c r="B324" s="8" t="str">
        <x:v>4806</x:v>
      </x:c>
      <x:c r="C324" s="8" t="str">
        <x:v>Canmore</x:v>
      </x:c>
      <x:c r="D324" s="8" t="str">
        <x:v>Not stated</x:v>
      </x:c>
      <x:c r="E324" s="16" t="str">
        <x:v>Unknown</x:v>
      </x:c>
      <x:c r="F324" s="16" t="str">
        <x:v>Unknown</x:v>
      </x:c>
      <x:c r="G324" s="16" t="str">
        <x:v>Unknown</x:v>
      </x:c>
      <x:c r="H324" s="17" t="str">
        <x:v>Not stated</x:v>
      </x:c>
      <x:c r="I324" s="11" t="str">
        <x:v>Not stated on map.</x:v>
      </x:c>
      <x:c r="J324" s="10" t="n">
        <x:v>50.8075</x:v>
      </x:c>
      <x:c r="K324" s="10" t="n">
        <x:v>-115.2451</x:v>
      </x:c>
      <x:c r="L324" s="8" t="str">
        <x:v>SW30-21-9-W5</x:v>
      </x:c>
      <x:c r="M324" s="11" t="str"/>
      <x:c r="N324" s="11" t="str">
        <x:v>No description available.</x:v>
      </x:c>
      <x:c r="O324" s="8" t="n">
        <x:v>0</x:v>
      </x:c>
      <x:c r="P324" s="8" t="n">
        <x:v>1</x:v>
      </x:c>
      <x:c r="Q324" s="8" t="str">
        <x:v>https://www.google.com/maps/dir/?api=1&amp;destination=50.807542,-115.245079</x:v>
      </x:c>
      <x:c r="R324" s="8" t="str"/>
    </x:row>
    <x:row r="325" ht="87" customHeight="1">
      <x:c r="A325" s="8" t="str">
        <x:v>Upper Hogarth Lake</x:v>
      </x:c>
      <x:c r="B325" s="8" t="str">
        <x:v>4837</x:v>
      </x:c>
      <x:c r="C325" s="8" t="str">
        <x:v>Canmore</x:v>
      </x:c>
      <x:c r="D325" s="8" t="str">
        <x:v>ES1</x:v>
      </x:c>
      <x:c r="E325" s="16" t="n">
        <x:v>2.9</x:v>
      </x:c>
      <x:c r="F325" s="16" t="str">
        <x:v>Unknown</x:v>
      </x:c>
      <x:c r="G325" s="16" t="str">
        <x:v>Unknown</x:v>
      </x:c>
      <x:c r="H325" s="17" t="str">
        <x:v>Not stated</x:v>
      </x:c>
      <x:c r="I325" s="11" t="str">
        <x:v>Not stated on map.</x:v>
      </x:c>
      <x:c r="J325" s="10" t="n">
        <x:v>50.793</x:v>
      </x:c>
      <x:c r="K325" s="10" t="n">
        <x:v>-115.3188</x:v>
      </x:c>
      <x:c r="L325" s="8" t="str">
        <x:v>SE21-21-10-W5</x:v>
      </x:c>
      <x:c r="M325" s="11" t="str"/>
      <x:c r="N325" s="11" t="str">
        <x:v>This lake is one of our helicopter stocked lakes. The lower lake was stocked in the fall of 2025 with 1,200 cutthroat trout. Hogarth Lakes Trail is a scenic 4.2-kilometer loop near Kananaskis Improvement District that features beautiful lakes and is suitable for all skill levels. The trail is best enjoyed from March through October and is dog-friendly, provided pets are kept on a leash.</x:v>
      </x:c>
      <x:c r="O325" s="8" t="n">
        <x:v>0</x:v>
      </x:c>
      <x:c r="P325" s="8" t="n">
        <x:v>2</x:v>
      </x:c>
      <x:c r="Q325" s="8" t="str">
        <x:v>https://www.google.com/maps/dir/?api=1&amp;destination=50.793015,-115.318769</x:v>
      </x:c>
      <x:c r="R325" s="8" t="str">
        <x:v>https://albertaregulations.ca/fishingregs/es1.html</x:v>
      </x:c>
    </x:row>
    <x:row r="326" ht="117" customHeight="1">
      <x:c r="A326" s="8" t="str">
        <x:v>Upper Kananaskis Lake</x:v>
      </x:c>
      <x:c r="B326" s="8" t="str">
        <x:v>6061</x:v>
      </x:c>
      <x:c r="C326" s="8" t="str">
        <x:v>Canmore</x:v>
      </x:c>
      <x:c r="D326" s="8" t="str">
        <x:v>ES1</x:v>
      </x:c>
      <x:c r="E326" s="16" t="n">
        <x:v>846.4</x:v>
      </x:c>
      <x:c r="F326" s="16" t="str">
        <x:v>Unknown</x:v>
      </x:c>
      <x:c r="G326" s="16" t="str">
        <x:v>Unknown</x:v>
      </x:c>
      <x:c r="H326" s="17" t="str">
        <x:v>Not stated</x:v>
      </x:c>
      <x:c r="I326" s="11" t="str">
        <x:v>Not stated on map.</x:v>
      </x:c>
      <x:c r="J326" s="10" t="n">
        <x:v>50.625</x:v>
      </x:c>
      <x:c r="K326" s="10" t="n">
        <x:v>-115.15</x:v>
      </x:c>
      <x:c r="L326" s="8" t="str">
        <x:v>NW23-19-9-W5</x:v>
      </x:c>
      <x:c r="M326" s="11" t="str">
        <x:v>Boat Launch; Water; Trails; Trails Hiking; Toilets</x:v>
      </x:c>
      <x:c r="N326" s="11" t="str">
        <x:v>Upper Kananaskis Lake is located within Peter Lougheed Provincial Park and offers stunning mountain scenery and recreational opportunities. Visitors can access the lake by parking at the Upper Kananaskis Lake Day Use Area; please note that a Kananaskis Conservation Pass is required for parking. The main hiking loop around the lake is approximately 15.8 kilometers in length, with an elevation gain of 296 meters. This route typically takes 4 to 6 hours to complete and is considered an easy to moderate hike, providing panoramic views of the lake and surrounding peaks.</x:v>
      </x:c>
      <x:c r="O326" s="8" t="n">
        <x:v>2</x:v>
      </x:c>
      <x:c r="P326" s="8" t="n">
        <x:v>5</x:v>
      </x:c>
      <x:c r="Q326" s="8" t="str">
        <x:v>https://www.google.com/maps/dir/?api=1&amp;destination=50.625,-115.15</x:v>
      </x:c>
      <x:c r="R326" s="8" t="str">
        <x:v>https://albertaregulations.ca/fishingregs/es1.html</x:v>
      </x:c>
    </x:row>
    <x:row r="327" ht="42" customHeight="1">
      <x:c r="A327" s="8" t="str">
        <x:v>Upper Pierre Greys Lake</x:v>
      </x:c>
      <x:c r="B327" s="8" t="str">
        <x:v>5572</x:v>
      </x:c>
      <x:c r="C327" s="8" t="str">
        <x:v>Grande Cache</x:v>
      </x:c>
      <x:c r="D327" s="8" t="str">
        <x:v>ES4</x:v>
      </x:c>
      <x:c r="E327" s="16" t="n">
        <x:v>53.4</x:v>
      </x:c>
      <x:c r="F327" s="16" t="str">
        <x:v>Unknown</x:v>
      </x:c>
      <x:c r="G327" s="16" t="str">
        <x:v>Unknown</x:v>
      </x:c>
      <x:c r="H327" s="17" t="str">
        <x:v>Not stated</x:v>
      </x:c>
      <x:c r="I327" s="11" t="str">
        <x:v>Not stated on map.</x:v>
      </x:c>
      <x:c r="J327" s="10" t="n">
        <x:v>53.9085</x:v>
      </x:c>
      <x:c r="K327" s="10" t="n">
        <x:v>-118.5857</x:v>
      </x:c>
      <x:c r="L327" s="8" t="str">
        <x:v>SW7-57-4-W6</x:v>
      </x:c>
      <x:c r="M327" s="11" t="str">
        <x:v>Dock/Pier; Water; Boat Launch; Shelter; Fire Pits; Firewood; Fish Cleaning; Toilets</x:v>
      </x:c>
      <x:c r="N327" s="11" t="str">
        <x:v>Electric motor or hand launch boats allowed on the lake.</x:v>
      </x:c>
      <x:c r="O327" s="8" t="n">
        <x:v>0</x:v>
      </x:c>
      <x:c r="P327" s="8" t="n">
        <x:v>15</x:v>
      </x:c>
      <x:c r="Q327" s="8" t="str">
        <x:v>https://www.google.com/maps/dir/?api=1&amp;destination=53.908548,-118.585692</x:v>
      </x:c>
      <x:c r="R327" s="8" t="str">
        <x:v>https://albertaregulations.ca/fishingregs/es4.html</x:v>
      </x:c>
    </x:row>
    <x:row r="328" ht="32" customHeight="1">
      <x:c r="A328" s="8" t="str">
        <x:v>Upper Smuts Lake</x:v>
      </x:c>
      <x:c r="B328" s="8" t="str">
        <x:v>6606</x:v>
      </x:c>
      <x:c r="C328" s="8" t="str">
        <x:v>Canmore</x:v>
      </x:c>
      <x:c r="D328" s="8" t="str">
        <x:v>ES1</x:v>
      </x:c>
      <x:c r="E328" s="16" t="n">
        <x:v>2.2</x:v>
      </x:c>
      <x:c r="F328" s="16" t="str">
        <x:v>Unknown</x:v>
      </x:c>
      <x:c r="G328" s="16" t="str">
        <x:v>Unknown</x:v>
      </x:c>
      <x:c r="H328" s="17" t="str">
        <x:v>Not stated</x:v>
      </x:c>
      <x:c r="I328" s="11" t="str">
        <x:v>Not stated on map.</x:v>
      </x:c>
      <x:c r="J328" s="10" t="n">
        <x:v>50.7961</x:v>
      </x:c>
      <x:c r="K328" s="10" t="n">
        <x:v>-115.3929</x:v>
      </x:c>
      <x:c r="L328" s="8" t="str">
        <x:v>SE24-21-11-W5</x:v>
      </x:c>
      <x:c r="M328" s="11" t="str"/>
      <x:c r="N328" s="11" t="str">
        <x:v>This waterbody is stocked by helicopter and is a hike in lake only.</x:v>
      </x:c>
      <x:c r="O328" s="8" t="n">
        <x:v>1</x:v>
      </x:c>
      <x:c r="P328" s="8" t="n">
        <x:v>1</x:v>
      </x:c>
      <x:c r="Q328" s="8" t="str">
        <x:v>https://www.google.com/maps/dir/?api=1&amp;destination=50.796149,-115.39287</x:v>
      </x:c>
      <x:c r="R328" s="8" t="str">
        <x:v>https://albertaregulations.ca/fishingregs/es1.html</x:v>
      </x:c>
    </x:row>
    <x:row r="329" ht="57" customHeight="1">
      <x:c r="A329" s="8" t="str">
        <x:v>Upper Wildhorse Lake</x:v>
      </x:c>
      <x:c r="B329" s="8" t="str">
        <x:v>6160</x:v>
      </x:c>
      <x:c r="C329" s="8" t="str">
        <x:v>Hinton</x:v>
      </x:c>
      <x:c r="D329" s="8" t="str">
        <x:v>ES3</x:v>
      </x:c>
      <x:c r="E329" s="16" t="n">
        <x:v>2.6</x:v>
      </x:c>
      <x:c r="F329" s="16" t="n">
        <x:v>5</x:v>
      </x:c>
      <x:c r="G329" s="16" t="n">
        <x:v>3.2</x:v>
      </x:c>
      <x:c r="H329" s="17" t="str">
        <x:v>Not stated</x:v>
      </x:c>
      <x:c r="I329" s="11" t="str">
        <x:v>Not stated on map.</x:v>
      </x:c>
      <x:c r="J329" s="10" t="n">
        <x:v>53.2713</x:v>
      </x:c>
      <x:c r="K329" s="10" t="n">
        <x:v>-117.8015</x:v>
      </x:c>
      <x:c r="L329" s="8" t="str">
        <x:v>SW31-49-26-W5</x:v>
      </x:c>
      <x:c r="M329" s="11" t="str">
        <x:v>Boat Launch; Fire Pits; Firewood; Fish Cleaning; Dock/Pier; Fishing Access; Fishing Access Pier; Toilets</x:v>
      </x:c>
      <x:c r="N329" s="11" t="str">
        <x:v>Hand launching is provided at the lake, larger vessels may be more challenging.</x:v>
      </x:c>
      <x:c r="O329" s="8" t="n">
        <x:v>0</x:v>
      </x:c>
      <x:c r="P329" s="8" t="n">
        <x:v>5</x:v>
      </x:c>
      <x:c r="Q329" s="8" t="str">
        <x:v>https://www.google.com/maps/dir/?api=1&amp;destination=53.271338,-117.80152</x:v>
      </x:c>
      <x:c r="R329" s="8" t="str">
        <x:v>https://albertaregulations.ca/fishingregs/es3.html</x:v>
      </x:c>
    </x:row>
    <x:row r="330" ht="32" customHeight="1">
      <x:c r="A330" s="8" t="str">
        <x:v>Valleyview Children's Pond</x:v>
      </x:c>
      <x:c r="B330" s="8" t="str">
        <x:v>6618</x:v>
      </x:c>
      <x:c r="C330" s="8" t="str">
        <x:v>Valleyview</x:v>
      </x:c>
      <x:c r="D330" s="8" t="str">
        <x:v>Not stated</x:v>
      </x:c>
      <x:c r="E330" s="16" t="str">
        <x:v>Unknown</x:v>
      </x:c>
      <x:c r="F330" s="16" t="str">
        <x:v>Unknown</x:v>
      </x:c>
      <x:c r="G330" s="16" t="str">
        <x:v>Unknown</x:v>
      </x:c>
      <x:c r="H330" s="17" t="str">
        <x:v>Not stated</x:v>
      </x:c>
      <x:c r="I330" s="11" t="str">
        <x:v>Not stated on map.</x:v>
      </x:c>
      <x:c r="J330" s="10" t="n">
        <x:v>55.0766</x:v>
      </x:c>
      <x:c r="K330" s="10" t="n">
        <x:v>-117.2845</x:v>
      </x:c>
      <x:c r="L330" s="8" t="str">
        <x:v>NE21-70-22-W5</x:v>
      </x:c>
      <x:c r="M330" s="11" t="str"/>
      <x:c r="N330" s="11" t="str">
        <x:v>No description available.</x:v>
      </x:c>
      <x:c r="O330" s="8" t="n">
        <x:v>0</x:v>
      </x:c>
      <x:c r="P330" s="8" t="n">
        <x:v>6</x:v>
      </x:c>
      <x:c r="Q330" s="8" t="str">
        <x:v>https://www.google.com/maps/dir/?api=1&amp;destination=55.076591,-117.284529</x:v>
      </x:c>
      <x:c r="R330" s="8" t="str"/>
    </x:row>
    <x:row r="331" ht="57" customHeight="1">
      <x:c r="A331" s="8" t="str">
        <x:v>Vegreville Children's Pond</x:v>
      </x:c>
      <x:c r="B331" s="8" t="str">
        <x:v>6619</x:v>
      </x:c>
      <x:c r="C331" s="8" t="str">
        <x:v>Vegreville</x:v>
      </x:c>
      <x:c r="D331" s="8" t="str">
        <x:v>PP2</x:v>
      </x:c>
      <x:c r="E331" s="16" t="n">
        <x:v>1.3</x:v>
      </x:c>
      <x:c r="F331" s="16" t="str">
        <x:v>Unknown</x:v>
      </x:c>
      <x:c r="G331" s="16" t="str">
        <x:v>Unknown</x:v>
      </x:c>
      <x:c r="H331" s="17" t="str">
        <x:v>Not stated</x:v>
      </x:c>
      <x:c r="I331" s="11" t="str">
        <x:v>Not stated on map.</x:v>
      </x:c>
      <x:c r="J331" s="10" t="n">
        <x:v>53.4923</x:v>
      </x:c>
      <x:c r="K331" s="10" t="n">
        <x:v>-112.0355</x:v>
      </x:c>
      <x:c r="L331" s="8" t="str">
        <x:v>NW17-52-14-W4</x:v>
      </x:c>
      <x:c r="M331" s="11" t="str">
        <x:v>Day Use</x:v>
      </x:c>
      <x:c r="N331" s="11" t="str">
        <x:v>This pond is in Vegreville right beside the iconic "World's Largest Easter Egg". ACA stocks this pond annually with trout, typically before the May long weekend. | Amenities notes: no open fires; foot access only.</x:v>
      </x:c>
      <x:c r="O331" s="8" t="n">
        <x:v>0</x:v>
      </x:c>
      <x:c r="P331" s="8" t="n">
        <x:v>6</x:v>
      </x:c>
      <x:c r="Q331" s="8" t="str">
        <x:v>https://www.google.com/maps/dir/?api=1&amp;destination=53.492329,-112.035539</x:v>
      </x:c>
      <x:c r="R331" s="8" t="str">
        <x:v>https://albertaregulations.ca/fishingregs/pp2.html</x:v>
      </x:c>
    </x:row>
    <x:row r="332" ht="57" customHeight="1">
      <x:c r="A332" s="8" t="str">
        <x:v>Vegreville Trout Pond</x:v>
      </x:c>
      <x:c r="B332" s="8" t="str">
        <x:v>6620</x:v>
      </x:c>
      <x:c r="C332" s="8" t="str">
        <x:v>Vegreville</x:v>
      </x:c>
      <x:c r="D332" s="8" t="str">
        <x:v>PP2</x:v>
      </x:c>
      <x:c r="E332" s="16" t="n">
        <x:v>1.3</x:v>
      </x:c>
      <x:c r="F332" s="16" t="n">
        <x:v>3</x:v>
      </x:c>
      <x:c r="G332" s="16" t="str">
        <x:v>Unknown</x:v>
      </x:c>
      <x:c r="H332" s="17" t="str">
        <x:v>Not stated</x:v>
      </x:c>
      <x:c r="I332" s="11" t="str">
        <x:v>Not stated on map.</x:v>
      </x:c>
      <x:c r="J332" s="10" t="n">
        <x:v>53.4743</x:v>
      </x:c>
      <x:c r="K332" s="10" t="n">
        <x:v>-112.0599</x:v>
      </x:c>
      <x:c r="L332" s="8" t="str">
        <x:v>SW7-52-14-W4</x:v>
      </x:c>
      <x:c r="M332" s="11" t="str">
        <x:v>Day Use; Toilets</x:v>
      </x:c>
      <x:c r="N332" s="11" t="str">
        <x:v>This pond is located right outside of Vegreville. On the east side of the pond fishing is more accessible, due to a cleaner shoreline that is free from debris. | Amenities notes: no open fires; foot access only</x:v>
      </x:c>
      <x:c r="O332" s="8" t="n">
        <x:v>0</x:v>
      </x:c>
      <x:c r="P332" s="8" t="n">
        <x:v>13</x:v>
      </x:c>
      <x:c r="Q332" s="8" t="str">
        <x:v>https://www.google.com/maps/dir/?api=1&amp;destination=53.474312,-112.05988</x:v>
      </x:c>
      <x:c r="R332" s="8" t="str">
        <x:v>https://albertaregulations.ca/fishingregs/pp2.html</x:v>
      </x:c>
    </x:row>
    <x:row r="333" ht="42" customHeight="1">
      <x:c r="A333" s="8" t="str">
        <x:v>Vermilion Park Pond</x:v>
      </x:c>
      <x:c r="B333" s="8" t="str">
        <x:v>6082</x:v>
      </x:c>
      <x:c r="C333" s="8" t="str">
        <x:v>Vermilion</x:v>
      </x:c>
      <x:c r="D333" s="8" t="str">
        <x:v>PP2</x:v>
      </x:c>
      <x:c r="E333" s="16" t="n">
        <x:v>1.9</x:v>
      </x:c>
      <x:c r="F333" s="16" t="str">
        <x:v>Unknown</x:v>
      </x:c>
      <x:c r="G333" s="16" t="str">
        <x:v>Unknown</x:v>
      </x:c>
      <x:c r="H333" s="17" t="str">
        <x:v>Not stated</x:v>
      </x:c>
      <x:c r="I333" s="11" t="str">
        <x:v>Not stated on map.</x:v>
      </x:c>
      <x:c r="J333" s="10" t="n">
        <x:v>53.3645</x:v>
      </x:c>
      <x:c r="K333" s="10" t="n">
        <x:v>-110.8849</x:v>
      </x:c>
      <x:c r="L333" s="8" t="str">
        <x:v>NE36-50-7-W4</x:v>
      </x:c>
      <x:c r="M333" s="11" t="str"/>
      <x:c r="N333" s="11" t="str">
        <x:v>This pond is in Vermilion Provincial Park. Users are subject to Vermilion Provincial Park restrictions.</x:v>
      </x:c>
      <x:c r="O333" s="8" t="n">
        <x:v>0</x:v>
      </x:c>
      <x:c r="P333" s="8" t="n">
        <x:v>6</x:v>
      </x:c>
      <x:c r="Q333" s="8" t="str">
        <x:v>https://www.google.com/maps/dir/?api=1&amp;destination=53.364531,-110.884936</x:v>
      </x:c>
      <x:c r="R333" s="8" t="str">
        <x:v>https://albertaregulations.ca/fishingregs/pp2.html</x:v>
      </x:c>
    </x:row>
    <x:row r="334" ht="42" customHeight="1">
      <x:c r="A334" s="8" t="str">
        <x:v>Victor Lake</x:v>
      </x:c>
      <x:c r="B334" s="8" t="str">
        <x:v>6086</x:v>
      </x:c>
      <x:c r="C334" s="8" t="str">
        <x:v>Grande Cache</x:v>
      </x:c>
      <x:c r="D334" s="8" t="str">
        <x:v>NB1</x:v>
      </x:c>
      <x:c r="E334" s="16" t="n">
        <x:v>72.4</x:v>
      </x:c>
      <x:c r="F334" s="16" t="str">
        <x:v>Unknown</x:v>
      </x:c>
      <x:c r="G334" s="16" t="str">
        <x:v>Unknown</x:v>
      </x:c>
      <x:c r="H334" s="17" t="str">
        <x:v>Not stated</x:v>
      </x:c>
      <x:c r="I334" s="11" t="str">
        <x:v>Not stated on map.</x:v>
      </x:c>
      <x:c r="J334" s="10" t="n">
        <x:v>53.882</x:v>
      </x:c>
      <x:c r="K334" s="10" t="n">
        <x:v>-119.0902</x:v>
      </x:c>
      <x:c r="L334" s="8" t="str">
        <x:v>SW35-56-8-W6</x:v>
      </x:c>
      <x:c r="M334" s="11" t="str">
        <x:v>Paddling; Paddling Kayak; Paddling Canoe; Fishing Access</x:v>
      </x:c>
      <x:c r="N334" s="11" t="str">
        <x:v>No motorized boats are permitted on this waterbody.</x:v>
      </x:c>
      <x:c r="O334" s="8" t="n">
        <x:v>2</x:v>
      </x:c>
      <x:c r="P334" s="8" t="n">
        <x:v>8</x:v>
      </x:c>
      <x:c r="Q334" s="8" t="str">
        <x:v>https://www.google.com/maps/dir/?api=1&amp;destination=53.882014,-119.090207</x:v>
      </x:c>
      <x:c r="R334" s="8" t="str">
        <x:v>https://albertaregulations.ca/fishingregs/nb1.html</x:v>
      </x:c>
    </x:row>
    <x:row r="335" ht="57" customHeight="1">
      <x:c r="A335" s="8" t="str">
        <x:v>Wadlin Lake</x:v>
      </x:c>
      <x:c r="B335" s="8" t="str">
        <x:v>6097</x:v>
      </x:c>
      <x:c r="C335" s="8" t="str">
        <x:v>Peace River</x:v>
      </x:c>
      <x:c r="D335" s="8" t="str">
        <x:v>NB3</x:v>
      </x:c>
      <x:c r="E335" s="16" t="n">
        <x:v>1924.3</x:v>
      </x:c>
      <x:c r="F335" s="16" t="n">
        <x:v>11.9</x:v>
      </x:c>
      <x:c r="G335" s="16" t="n">
        <x:v>6.5</x:v>
      </x:c>
      <x:c r="H335" s="17" t="str">
        <x:v>Not stated</x:v>
      </x:c>
      <x:c r="I335" s="11" t="str">
        <x:v>Not stated on map.</x:v>
      </x:c>
      <x:c r="J335" s="10" t="n">
        <x:v>57.7371</x:v>
      </x:c>
      <x:c r="K335" s="10" t="n">
        <x:v>-115.5847</x:v>
      </x:c>
      <x:c r="L335" s="8" t="str">
        <x:v>SW4-101-10-W5</x:v>
      </x:c>
      <x:c r="M335" s="11" t="str">
        <x:v>Day Use; Camping; Fire Pits; Firewood; Toilets; Playground; Boat Launch; Dock/Pier</x:v>
      </x:c>
      <x:c r="N335" s="11" t="str">
        <x:v>This is an ideal destination for tenting or in your RV. Open and wooded sites are available. There is a playground, groupcamping, swimming and a beach for lounging. There is limited reception at the camping area and no WiFi available.</x:v>
      </x:c>
      <x:c r="O335" s="8" t="n">
        <x:v>0</x:v>
      </x:c>
      <x:c r="P335" s="8" t="n">
        <x:v>2</x:v>
      </x:c>
      <x:c r="Q335" s="8" t="str">
        <x:v>https://www.google.com/maps/dir/?api=1&amp;destination=57.737141,-115.584729</x:v>
      </x:c>
      <x:c r="R335" s="8" t="str">
        <x:v>https://albertaregulations.ca/fishingregs/nb3.html</x:v>
      </x:c>
    </x:row>
    <x:row r="336" ht="42" customHeight="1">
      <x:c r="A336" s="8" t="str">
        <x:v>Wallace Park Pond</x:v>
      </x:c>
      <x:c r="B336" s="8" t="str">
        <x:v>6622</x:v>
      </x:c>
      <x:c r="C336" s="8" t="str">
        <x:v>Vermilion</x:v>
      </x:c>
      <x:c r="D336" s="8" t="str">
        <x:v>PP2</x:v>
      </x:c>
      <x:c r="E336" s="16" t="n">
        <x:v>5</x:v>
      </x:c>
      <x:c r="F336" s="16" t="str">
        <x:v>Unknown</x:v>
      </x:c>
      <x:c r="G336" s="16" t="str">
        <x:v>Unknown</x:v>
      </x:c>
      <x:c r="H336" s="17" t="str">
        <x:v>Not stated</x:v>
      </x:c>
      <x:c r="I336" s="11" t="str">
        <x:v>Not stated on map.</x:v>
      </x:c>
      <x:c r="J336" s="10" t="n">
        <x:v>52.8425</x:v>
      </x:c>
      <x:c r="K336" s="10" t="n">
        <x:v>-110.8565</x:v>
      </x:c>
      <x:c r="L336" s="8" t="str">
        <x:v>NE31-44-6-W4</x:v>
      </x:c>
      <x:c r="M336" s="11" t="str">
        <x:v>Day Use</x:v>
      </x:c>
      <x:c r="N336" s="11" t="str">
        <x:v>ACA stocks this pond annually with trout, typically before the May long weekend. | Amenities notes: no open fires; foot access only.</x:v>
      </x:c>
      <x:c r="O336" s="8" t="n">
        <x:v>0</x:v>
      </x:c>
      <x:c r="P336" s="8" t="n">
        <x:v>6</x:v>
      </x:c>
      <x:c r="Q336" s="8" t="str">
        <x:v>https://www.google.com/maps/dir/?api=1&amp;destination=52.8425,-110.85653</x:v>
      </x:c>
      <x:c r="R336" s="8" t="str">
        <x:v>https://albertaregulations.ca/fishingregs/pp2.html</x:v>
      </x:c>
    </x:row>
    <x:row r="337" ht="42" customHeight="1">
      <x:c r="A337" s="8" t="str">
        <x:v>Waskasoo Park Pond</x:v>
      </x:c>
      <x:c r="B337" s="8" t="str">
        <x:v>6623</x:v>
      </x:c>
      <x:c r="C337" s="8" t="str">
        <x:v>Hanna</x:v>
      </x:c>
      <x:c r="D337" s="8" t="str">
        <x:v>PP2</x:v>
      </x:c>
      <x:c r="E337" s="16" t="n">
        <x:v>2.2</x:v>
      </x:c>
      <x:c r="F337" s="16" t="str">
        <x:v>Unknown</x:v>
      </x:c>
      <x:c r="G337" s="16" t="str">
        <x:v>Unknown</x:v>
      </x:c>
      <x:c r="H337" s="17" t="str">
        <x:v>Not stated</x:v>
      </x:c>
      <x:c r="I337" s="11" t="str">
        <x:v>Not stated on map.</x:v>
      </x:c>
      <x:c r="J337" s="10" t="n">
        <x:v>52.2695</x:v>
      </x:c>
      <x:c r="K337" s="10" t="n">
        <x:v>-113.8534</x:v>
      </x:c>
      <x:c r="L337" s="8" t="str">
        <x:v>NW18-38-27-W4</x:v>
      </x:c>
      <x:c r="M337" s="11" t="str">
        <x:v>Day Use; Trails; Trails Hiking</x:v>
      </x:c>
      <x:c r="N337" s="11" t="str">
        <x:v>This stocked trout pond has everything to make a family outing enjoyable. | Amenities notes: foot access only</x:v>
      </x:c>
      <x:c r="O337" s="8" t="n">
        <x:v>0</x:v>
      </x:c>
      <x:c r="P337" s="8" t="n">
        <x:v>11</x:v>
      </x:c>
      <x:c r="Q337" s="8" t="str">
        <x:v>https://www.google.com/maps/dir/?api=1&amp;destination=52.269458,-113.853351</x:v>
      </x:c>
      <x:c r="R337" s="8" t="str">
        <x:v>https://albertaregulations.ca/fishingregs/pp2.html</x:v>
      </x:c>
    </x:row>
    <x:row r="338" ht="32" customHeight="1">
      <x:c r="A338" s="8" t="str">
        <x:v>Watridge Lake</x:v>
      </x:c>
      <x:c r="B338" s="8" t="str">
        <x:v>6120</x:v>
      </x:c>
      <x:c r="C338" s="8" t="str">
        <x:v>Canmore</x:v>
      </x:c>
      <x:c r="D338" s="8" t="str">
        <x:v>Not stated</x:v>
      </x:c>
      <x:c r="E338" s="16" t="str">
        <x:v>Unknown</x:v>
      </x:c>
      <x:c r="F338" s="16" t="str">
        <x:v>Unknown</x:v>
      </x:c>
      <x:c r="G338" s="16" t="str">
        <x:v>Unknown</x:v>
      </x:c>
      <x:c r="H338" s="17" t="str">
        <x:v>Not stated</x:v>
      </x:c>
      <x:c r="I338" s="11" t="str">
        <x:v>Not stated on map.</x:v>
      </x:c>
      <x:c r="J338" s="10" t="n">
        <x:v>50.8708</x:v>
      </x:c>
      <x:c r="K338" s="10" t="n">
        <x:v>-113.4265</x:v>
      </x:c>
      <x:c r="L338" s="8" t="str">
        <x:v>SW11-22-11-W5</x:v>
      </x:c>
      <x:c r="M338" s="11" t="str"/>
      <x:c r="N338" s="11" t="str">
        <x:v>No description available.</x:v>
      </x:c>
      <x:c r="O338" s="8" t="n">
        <x:v>0</x:v>
      </x:c>
      <x:c r="P338" s="8" t="n">
        <x:v>2</x:v>
      </x:c>
      <x:c r="Q338" s="8" t="str">
        <x:v>https://www.google.com/maps/dir/?api=1&amp;destination=50.870814,-113.426458</x:v>
      </x:c>
      <x:c r="R338" s="8" t="str"/>
    </x:row>
    <x:row r="339" ht="42" customHeight="1">
      <x:c r="A339" s="8" t="str">
        <x:v>Weberville Pond</x:v>
      </x:c>
      <x:c r="B339" s="8" t="str">
        <x:v>6609</x:v>
      </x:c>
      <x:c r="C339" s="8" t="str">
        <x:v>Peace River</x:v>
      </x:c>
      <x:c r="D339" s="8" t="str">
        <x:v>NB3</x:v>
      </x:c>
      <x:c r="E339" s="16" t="n">
        <x:v>1.3</x:v>
      </x:c>
      <x:c r="F339" s="16" t="n">
        <x:v>4</x:v>
      </x:c>
      <x:c r="G339" s="16" t="str">
        <x:v>Unknown</x:v>
      </x:c>
      <x:c r="H339" s="17" t="str">
        <x:v>Not stated</x:v>
      </x:c>
      <x:c r="I339" s="11" t="str">
        <x:v>Not stated on map.</x:v>
      </x:c>
      <x:c r="J339" s="10" t="n">
        <x:v>56.361</x:v>
      </x:c>
      <x:c r="K339" s="10" t="n">
        <x:v>-117.3112</x:v>
      </x:c>
      <x:c r="L339" s="8" t="str">
        <x:v>NW7-85-21-W5</x:v>
      </x:c>
      <x:c r="M339" s="11" t="str">
        <x:v>Day Use; Picnic; Toilets</x:v>
      </x:c>
      <x:c r="N339" s="11" t="str">
        <x:v>This 150-acre site is approximately 21 km N of Peace River. The pond is stocked annually by EPA with trout. | Amenities notes: garbage receptacles</x:v>
      </x:c>
      <x:c r="O339" s="8" t="n">
        <x:v>2</x:v>
      </x:c>
      <x:c r="P339" s="8" t="n">
        <x:v>6</x:v>
      </x:c>
      <x:c r="Q339" s="8" t="str">
        <x:v>https://www.google.com/maps/dir/?api=1&amp;destination=56.360995,-117.311159</x:v>
      </x:c>
      <x:c r="R339" s="8" t="str">
        <x:v>https://albertaregulations.ca/fishingregs/nb3.html</x:v>
      </x:c>
    </x:row>
    <x:row r="340" ht="72" customHeight="1">
      <x:c r="A340" s="8" t="str">
        <x:v>West Dollar Lake</x:v>
      </x:c>
      <x:c r="B340" s="8" t="str">
        <x:v>6524</x:v>
      </x:c>
      <x:c r="C340" s="8" t="str">
        <x:v>Valleyview</x:v>
      </x:c>
      <x:c r="D340" s="8" t="str">
        <x:v>ES4</x:v>
      </x:c>
      <x:c r="E340" s="16" t="n">
        <x:v>7.3</x:v>
      </x:c>
      <x:c r="F340" s="16" t="str">
        <x:v>Unknown</x:v>
      </x:c>
      <x:c r="G340" s="16" t="str">
        <x:v>Unknown</x:v>
      </x:c>
      <x:c r="H340" s="17" t="str">
        <x:v>Yes</x:v>
      </x:c>
      <x:c r="I340" s="11" t="str">
        <x:v>These lakes are stocked annually by EPA with trout and aerated (October - April) through ACA’s Lake Aeration Program.</x:v>
      </x:c>
      <x:c r="J340" s="10" t="n">
        <x:v>55.3173</x:v>
      </x:c>
      <x:c r="K340" s="10" t="n">
        <x:v>-117.2092</x:v>
      </x:c>
      <x:c r="L340" s="8" t="str">
        <x:v>SE18-73-21-W5</x:v>
      </x:c>
      <x:c r="M340" s="11" t="str">
        <x:v>Day Use</x:v>
      </x:c>
      <x:c r="N340" s="11" t="str">
        <x:v>This 50-acre site is approximately 30 km N of Valleyview. These lakes are stocked annually by EPA with trout and aerated (October - April) through ACA’s Lake Aeration Program. The gravel boat launch is in fair condition and day-use facilities are available. | Amenities notes: no open fires; foot access only.</x:v>
      </x:c>
      <x:c r="O340" s="8" t="n">
        <x:v>11</x:v>
      </x:c>
      <x:c r="P340" s="8" t="n">
        <x:v>12</x:v>
      </x:c>
      <x:c r="Q340" s="8" t="str">
        <x:v>https://www.google.com/maps/dir/?api=1&amp;destination=55.317308,-117.209194</x:v>
      </x:c>
      <x:c r="R340" s="8" t="str">
        <x:v>https://albertaregulations.ca/fishingregs/es4.html</x:v>
      </x:c>
    </x:row>
    <x:row r="341" ht="32" customHeight="1">
      <x:c r="A341" s="8" t="str">
        <x:v>West Memorial Lake</x:v>
      </x:c>
      <x:c r="B341" s="8" t="str">
        <x:v>6610</x:v>
      </x:c>
      <x:c r="C341" s="8" t="str">
        <x:v>Canmore</x:v>
      </x:c>
      <x:c r="D341" s="8" t="str">
        <x:v>Not stated</x:v>
      </x:c>
      <x:c r="E341" s="16" t="str">
        <x:v>Unknown</x:v>
      </x:c>
      <x:c r="F341" s="16" t="str">
        <x:v>Unknown</x:v>
      </x:c>
      <x:c r="G341" s="16" t="str">
        <x:v>Unknown</x:v>
      </x:c>
      <x:c r="H341" s="17" t="str">
        <x:v>Not stated</x:v>
      </x:c>
      <x:c r="I341" s="11" t="str">
        <x:v>Not stated on map.</x:v>
      </x:c>
      <x:c r="J341" s="10" t="n">
        <x:v>50.9266</x:v>
      </x:c>
      <x:c r="K341" s="10" t="n">
        <x:v>-115.2425</x:v>
      </x:c>
      <x:c r="L341" s="8" t="str">
        <x:v>SE6-23-9-W5</x:v>
      </x:c>
      <x:c r="M341" s="11" t="str"/>
      <x:c r="N341" s="11" t="str">
        <x:v>No description available.</x:v>
      </x:c>
      <x:c r="O341" s="8" t="n">
        <x:v>0</x:v>
      </x:c>
      <x:c r="P341" s="8" t="n">
        <x:v>1</x:v>
      </x:c>
      <x:c r="Q341" s="8" t="str">
        <x:v>https://www.google.com/maps/dir/?api=1&amp;destination=50.926586,-115.242495</x:v>
      </x:c>
      <x:c r="R341" s="8" t="str"/>
    </x:row>
    <x:row r="342" ht="42" customHeight="1">
      <x:c r="A342" s="8" t="str">
        <x:v>Westlock Recreation Pond</x:v>
      </x:c>
      <x:c r="B342" s="8" t="str">
        <x:v>6613</x:v>
      </x:c>
      <x:c r="C342" s="8" t="str">
        <x:v>Barrhead</x:v>
      </x:c>
      <x:c r="D342" s="8" t="str">
        <x:v>NB2</x:v>
      </x:c>
      <x:c r="E342" s="16" t="n">
        <x:v>1.1</x:v>
      </x:c>
      <x:c r="F342" s="16" t="n">
        <x:v>4.9</x:v>
      </x:c>
      <x:c r="G342" s="16" t="str">
        <x:v>Unknown</x:v>
      </x:c>
      <x:c r="H342" s="17" t="str">
        <x:v>Not stated</x:v>
      </x:c>
      <x:c r="I342" s="11" t="str">
        <x:v>Not stated on map.</x:v>
      </x:c>
      <x:c r="J342" s="10" t="n">
        <x:v>54.1457</x:v>
      </x:c>
      <x:c r="K342" s="10" t="n">
        <x:v>-113.7275</x:v>
      </x:c>
      <x:c r="L342" s="8" t="str">
        <x:v>NE31-59-25-W4</x:v>
      </x:c>
      <x:c r="M342" s="11" t="str">
        <x:v>Day Use</x:v>
      </x:c>
      <x:c r="N342" s="11" t="str">
        <x:v>ACA stocks this pond annually with trout, typically before the May long weekend. | Amenities notes: no open fires; foot access only.</x:v>
      </x:c>
      <x:c r="O342" s="8" t="n">
        <x:v>0</x:v>
      </x:c>
      <x:c r="P342" s="8" t="n">
        <x:v>8</x:v>
      </x:c>
      <x:c r="Q342" s="8" t="str">
        <x:v>https://www.google.com/maps/dir/?api=1&amp;destination=54.145706,-113.727525</x:v>
      </x:c>
      <x:c r="R342" s="8" t="str">
        <x:v>https://albertaregulations.ca/fishingregs/nb2.html</x:v>
      </x:c>
    </x:row>
    <x:row r="343" ht="42" customHeight="1">
      <x:c r="A343" s="8" t="str">
        <x:v>Wetaskiwin Pond</x:v>
      </x:c>
      <x:c r="B343" s="8" t="str">
        <x:v>18019</x:v>
      </x:c>
      <x:c r="C343" s="8" t="str">
        <x:v>Wetaskiwin</x:v>
      </x:c>
      <x:c r="D343" s="8" t="str">
        <x:v>PP2</x:v>
      </x:c>
      <x:c r="E343" s="16" t="n">
        <x:v>3</x:v>
      </x:c>
      <x:c r="F343" s="16" t="str">
        <x:v>Unknown</x:v>
      </x:c>
      <x:c r="G343" s="16" t="str">
        <x:v>Unknown</x:v>
      </x:c>
      <x:c r="H343" s="17" t="str">
        <x:v>Not stated</x:v>
      </x:c>
      <x:c r="I343" s="11" t="str">
        <x:v>Not stated on map.</x:v>
      </x:c>
      <x:c r="J343" s="10" t="n">
        <x:v>52.9872</x:v>
      </x:c>
      <x:c r="K343" s="10" t="n">
        <x:v>-113.3533</x:v>
      </x:c>
      <x:c r="L343" s="8" t="str">
        <x:v>NE24-46-24-W4</x:v>
      </x:c>
      <x:c r="M343" s="11" t="str">
        <x:v>Day Use; Picnic; Toilets</x:v>
      </x:c>
      <x:c r="N343" s="11" t="str">
        <x:v>This pond is on the north east side of Wetaskiwin. ACA stocks this pond annually with trout, typically before the May long weekend. | Amenities notes: garbage receptacles</x:v>
      </x:c>
      <x:c r="O343" s="8" t="n">
        <x:v>0</x:v>
      </x:c>
      <x:c r="P343" s="8" t="n">
        <x:v>13</x:v>
      </x:c>
      <x:c r="Q343" s="8" t="str">
        <x:v>https://www.google.com/maps/dir/?api=1&amp;destination=52.987222,-113.353311</x:v>
      </x:c>
      <x:c r="R343" s="8" t="str">
        <x:v>https://albertaregulations.ca/fishingregs/pp2.html</x:v>
      </x:c>
    </x:row>
    <x:row r="344" ht="72" customHeight="1">
      <x:c r="A344" s="8" t="str">
        <x:v>Whitecourt Town Pond</x:v>
      </x:c>
      <x:c r="B344" s="8" t="str">
        <x:v>21137</x:v>
      </x:c>
      <x:c r="C344" s="8" t="str">
        <x:v>Whitecourt</x:v>
      </x:c>
      <x:c r="D344" s="8" t="str">
        <x:v>ES3</x:v>
      </x:c>
      <x:c r="E344" s="16" t="n">
        <x:v>5</x:v>
      </x:c>
      <x:c r="F344" s="16" t="n">
        <x:v>6</x:v>
      </x:c>
      <x:c r="G344" s="16" t="str">
        <x:v>Unknown</x:v>
      </x:c>
      <x:c r="H344" s="17" t="str">
        <x:v>Not stated</x:v>
      </x:c>
      <x:c r="I344" s="11" t="str">
        <x:v>Not stated on map.</x:v>
      </x:c>
      <x:c r="J344" s="10" t="n">
        <x:v>54.1492</x:v>
      </x:c>
      <x:c r="K344" s="10" t="n">
        <x:v>-115.6853</x:v>
      </x:c>
      <x:c r="L344" s="8" t="str">
        <x:v>NE35-59-12-W5</x:v>
      </x:c>
      <x:c r="M344" s="11" t="str">
        <x:v>Trails; Playground; Picnic</x:v>
      </x:c>
      <x:c r="N344" s="11" t="str">
        <x:v>Grab your fishing rod and tackle, and take your family fishing at Rotary Park. Fishing is limited to people under the age of 16 years, or those accompanied by one or more people under the age of 16 years. | Amenities notes: sports fields; off-leash dog park; river slide attraction</x:v>
      </x:c>
      <x:c r="O344" s="8" t="n">
        <x:v>0</x:v>
      </x:c>
      <x:c r="P344" s="8" t="n">
        <x:v>6</x:v>
      </x:c>
      <x:c r="Q344" s="8" t="str">
        <x:v>https://www.google.com/maps/dir/?api=1&amp;destination=54.149158,-115.685342</x:v>
      </x:c>
      <x:c r="R344" s="8" t="str">
        <x:v>https://albertaregulations.ca/fishingregs/es3.html</x:v>
      </x:c>
    </x:row>
    <x:row r="345" ht="42" customHeight="1">
      <x:c r="A345" s="8" t="str">
        <x:v>Wildwood Pond</x:v>
      </x:c>
      <x:c r="B345" s="8" t="str">
        <x:v>6625</x:v>
      </x:c>
      <x:c r="C345" s="8" t="str">
        <x:v>Evansburg</x:v>
      </x:c>
      <x:c r="D345" s="8" t="str">
        <x:v>ES3</x:v>
      </x:c>
      <x:c r="E345" s="16" t="n">
        <x:v>1.5</x:v>
      </x:c>
      <x:c r="F345" s="16" t="n">
        <x:v>6</x:v>
      </x:c>
      <x:c r="G345" s="16" t="str">
        <x:v>Unknown</x:v>
      </x:c>
      <x:c r="H345" s="17" t="str">
        <x:v>Not stated</x:v>
      </x:c>
      <x:c r="I345" s="11" t="str">
        <x:v>Not stated on map.</x:v>
      </x:c>
      <x:c r="J345" s="10" t="n">
        <x:v>53.6013</x:v>
      </x:c>
      <x:c r="K345" s="10" t="n">
        <x:v>-115.3189</x:v>
      </x:c>
      <x:c r="L345" s="8" t="str">
        <x:v>SW30-53-9-W5</x:v>
      </x:c>
      <x:c r="M345" s="11" t="str">
        <x:v>Day Use</x:v>
      </x:c>
      <x:c r="N345" s="11" t="str">
        <x:v>The pond is open to public fishing year round. A great place to bring the family. | Amenities notes: no open fires; foot access only.</x:v>
      </x:c>
      <x:c r="O345" s="8" t="n">
        <x:v>1</x:v>
      </x:c>
      <x:c r="P345" s="8" t="n">
        <x:v>6</x:v>
      </x:c>
      <x:c r="Q345" s="8" t="str">
        <x:v>https://www.google.com/maps/dir/?api=1&amp;destination=53.601291,-115.318904</x:v>
      </x:c>
      <x:c r="R345" s="8" t="str">
        <x:v>https://albertaregulations.ca/fishingregs/es3.html</x:v>
      </x:c>
    </x:row>
    <x:row r="346" ht="102" customHeight="1">
      <x:c r="A346" s="8" t="str">
        <x:v>Winagami Lake</x:v>
      </x:c>
      <x:c r="B346" s="8" t="str">
        <x:v>6169</x:v>
      </x:c>
      <x:c r="C346" s="8" t="str">
        <x:v>Valleyview</x:v>
      </x:c>
      <x:c r="D346" s="8" t="str">
        <x:v>NB2</x:v>
      </x:c>
      <x:c r="E346" s="16" t="n">
        <x:v>4586.3</x:v>
      </x:c>
      <x:c r="F346" s="16" t="n">
        <x:v>3.9</x:v>
      </x:c>
      <x:c r="G346" s="16" t="n">
        <x:v>2.2</x:v>
      </x:c>
      <x:c r="H346" s="17" t="str">
        <x:v>Not stated</x:v>
      </x:c>
      <x:c r="I346" s="11" t="str">
        <x:v>Not stated on map.</x:v>
      </x:c>
      <x:c r="J346" s="10" t="n">
        <x:v>55.6253</x:v>
      </x:c>
      <x:c r="K346" s="10" t="n">
        <x:v>-116.7353</x:v>
      </x:c>
      <x:c r="L346" s="8" t="str">
        <x:v>SW33-76-18-W5</x:v>
      </x:c>
      <x:c r="M346" s="11" t="str">
        <x:v>Day Use; Fishing Access; Boating; Trails; Trails Hiking</x:v>
      </x:c>
      <x:c r="N346" s="11" t="str">
        <x:v>The lake provides opportunities for fishing, ice fishing, boating, windsurfing, paddling, and birdwatching. A wading pool in the day use area allows your little ones to cool down on a hot summer day. Approximately 2km of trail provide opportunities for hiking and cycling in the warmer months, and skiing and snowshoeing in the winter. Just a 15-minute drive away, the O’Mahony Conservation Area adds over 8 additional kilometres of trail for you to explore.</x:v>
      </x:c>
      <x:c r="O346" s="8" t="n">
        <x:v>0</x:v>
      </x:c>
      <x:c r="P346" s="8" t="n">
        <x:v>7</x:v>
      </x:c>
      <x:c r="Q346" s="8" t="str">
        <x:v>https://www.google.com/maps/dir/?api=1&amp;destination=55.625326,-116.735302</x:v>
      </x:c>
      <x:c r="R346" s="8" t="str">
        <x:v>https://albertaregulations.ca/fishingregs/nb2.html</x:v>
      </x:c>
    </x:row>
    <x:row r="347" ht="87" customHeight="1">
      <x:c r="A347" s="8" t="str">
        <x:v>Winchell Lake</x:v>
      </x:c>
      <x:c r="B347" s="8" t="str">
        <x:v>6617</x:v>
      </x:c>
      <x:c r="C347" s="8" t="str">
        <x:v>Sundre</x:v>
      </x:c>
      <x:c r="D347" s="8" t="str">
        <x:v>ES2</x:v>
      </x:c>
      <x:c r="E347" s="16" t="n">
        <x:v>4.7</x:v>
      </x:c>
      <x:c r="F347" s="16" t="str">
        <x:v>Unknown</x:v>
      </x:c>
      <x:c r="G347" s="16" t="str">
        <x:v>Unknown</x:v>
      </x:c>
      <x:c r="H347" s="17" t="str">
        <x:v>Yes</x:v>
      </x:c>
      <x:c r="I347" s="11" t="str">
        <x:v>The lake is stocked annually by EPA with trout and aerated in the winter through ACA’s Lake Aeration Program.</x:v>
      </x:c>
      <x:c r="J347" s="10" t="n">
        <x:v>51.4549</x:v>
      </x:c>
      <x:c r="K347" s="10" t="n">
        <x:v>-114.6094</x:v>
      </x:c>
      <x:c r="L347" s="8" t="str">
        <x:v>NW2-29-5-W5</x:v>
      </x:c>
      <x:c r="M347" s="11" t="str">
        <x:v>Day Use</x:v>
      </x:c>
      <x:c r="N347" s="11" t="str">
        <x:v>This 12-acre lake is approximately 30 km north west of Cochrane. Consists of a small day-use area that provides access to good sport fishing opportunities. A boat launch is available for public use. The lake is stocked annually by EPA with trout and aerated in the winter through ACA’s Lake Aeration Program. | Amenities notes: no open fires; foot access only.</x:v>
      </x:c>
      <x:c r="O347" s="8" t="n">
        <x:v>8</x:v>
      </x:c>
      <x:c r="P347" s="8" t="n">
        <x:v>8</x:v>
      </x:c>
      <x:c r="Q347" s="8" t="str">
        <x:v>https://www.google.com/maps/dir/?api=1&amp;destination=51.454862,-114.609375</x:v>
      </x:c>
      <x:c r="R347" s="8" t="str">
        <x:v>https://albertaregulations.ca/fishingregs/es2.html</x:v>
      </x:c>
    </x:row>
    <x:row r="348" ht="57" customHeight="1">
      <x:c r="A348" s="8" t="str">
        <x:v>Windsor Lake</x:v>
      </x:c>
      <x:c r="B348" s="8" t="str">
        <x:v>6173</x:v>
      </x:c>
      <x:c r="C348" s="8" t="str">
        <x:v>Ponoka</x:v>
      </x:c>
      <x:c r="D348" s="8" t="str">
        <x:v>PP2</x:v>
      </x:c>
      <x:c r="E348" s="16" t="n">
        <x:v>1.6</x:v>
      </x:c>
      <x:c r="F348" s="16" t="str">
        <x:v>Unknown</x:v>
      </x:c>
      <x:c r="G348" s="16" t="str">
        <x:v>Unknown</x:v>
      </x:c>
      <x:c r="H348" s="17" t="str">
        <x:v>Not stated</x:v>
      </x:c>
      <x:c r="I348" s="11" t="str">
        <x:v>Not stated on map.</x:v>
      </x:c>
      <x:c r="J348" s="10" t="n">
        <x:v>52.5958</x:v>
      </x:c>
      <x:c r="K348" s="10" t="n">
        <x:v>-113.0937</x:v>
      </x:c>
      <x:c r="L348" s="8" t="str">
        <x:v>SW10-42-22-W4</x:v>
      </x:c>
      <x:c r="M348" s="11" t="str">
        <x:v>Day Use</x:v>
      </x:c>
      <x:c r="N348" s="11" t="str">
        <x:v>ACA stocks this pond annually with trout, typically before the May long weekend. A boat launch, dock, outhouse and garbage bins are available for public use. | Amenities notes: no open fires; foot access only.</x:v>
      </x:c>
      <x:c r="O348" s="8" t="n">
        <x:v>0</x:v>
      </x:c>
      <x:c r="P348" s="8" t="n">
        <x:v>8</x:v>
      </x:c>
      <x:c r="Q348" s="8" t="str">
        <x:v>https://www.google.com/maps/dir/?api=1&amp;destination=52.595848,-113.093667</x:v>
      </x:c>
      <x:c r="R348" s="8" t="str">
        <x:v>https://albertaregulations.ca/fishingregs/pp2.html</x:v>
      </x:c>
    </x:row>
    <x:row r="349" ht="42" customHeight="1">
      <x:c r="A349" s="8" t="str">
        <x:v>Wolf Creek Pond</x:v>
      </x:c>
      <x:c r="B349" s="8" t="str">
        <x:v>6626</x:v>
      </x:c>
      <x:c r="C349" s="8" t="str">
        <x:v>Edson</x:v>
      </x:c>
      <x:c r="D349" s="8" t="str">
        <x:v>ES3</x:v>
      </x:c>
      <x:c r="E349" s="16" t="n">
        <x:v>0.9</x:v>
      </x:c>
      <x:c r="F349" s="16" t="str">
        <x:v>Unknown</x:v>
      </x:c>
      <x:c r="G349" s="16" t="str">
        <x:v>Unknown</x:v>
      </x:c>
      <x:c r="H349" s="17" t="str">
        <x:v>Not stated</x:v>
      </x:c>
      <x:c r="I349" s="11" t="str">
        <x:v>Not stated on map.</x:v>
      </x:c>
      <x:c r="J349" s="10" t="n">
        <x:v>53.5745</x:v>
      </x:c>
      <x:c r="K349" s="10" t="n">
        <x:v>-116.2285</x:v>
      </x:c>
      <x:c r="L349" s="8" t="str">
        <x:v>SW13-53-16-W5</x:v>
      </x:c>
      <x:c r="M349" s="11" t="str">
        <x:v>Day Use</x:v>
      </x:c>
      <x:c r="N349" s="11" t="str">
        <x:v>This pond is off nestled in the trees just of the highway. | Amenities notes: no open fires; foot access only.</x:v>
      </x:c>
      <x:c r="O349" s="8" t="n">
        <x:v>1</x:v>
      </x:c>
      <x:c r="P349" s="8" t="n">
        <x:v>6</x:v>
      </x:c>
      <x:c r="Q349" s="8" t="str">
        <x:v>https://www.google.com/maps/dir/?api=1&amp;destination=53.574507,-116.2285</x:v>
      </x:c>
      <x:c r="R349" s="8" t="str">
        <x:v>https://albertaregulations.ca/fishingregs/es3.html</x:v>
      </x:c>
    </x:row>
    <x:row r="350" ht="57" customHeight="1">
      <x:c r="A350" s="8" t="str">
        <x:v>Yellowhead Lake</x:v>
      </x:c>
      <x:c r="B350" s="8" t="str">
        <x:v>6601</x:v>
      </x:c>
      <x:c r="C350" s="8" t="str">
        <x:v>Sundre</x:v>
      </x:c>
      <x:c r="D350" s="8" t="str">
        <x:v>ES2</x:v>
      </x:c>
      <x:c r="E350" s="16" t="n">
        <x:v>24.5</x:v>
      </x:c>
      <x:c r="F350" s="16" t="str">
        <x:v>Unknown</x:v>
      </x:c>
      <x:c r="G350" s="16" t="str">
        <x:v>Unknown</x:v>
      </x:c>
      <x:c r="H350" s="17" t="str">
        <x:v>Not stated</x:v>
      </x:c>
      <x:c r="I350" s="11" t="str">
        <x:v>Not stated on map.</x:v>
      </x:c>
      <x:c r="J350" s="10" t="n">
        <x:v>51.9578</x:v>
      </x:c>
      <x:c r="K350" s="10" t="n">
        <x:v>-114.8023</x:v>
      </x:c>
      <x:c r="L350" s="8" t="str">
        <x:v>SW33-34-6-W5</x:v>
      </x:c>
      <x:c r="M350" s="11" t="str"/>
      <x:c r="N350" s="11" t="str">
        <x:v>There is a low risk of winter kill at this lake. Access roads are poor at all times of the year. An off-road vehicle is mandatory and you must walk the last 200m to the lake. Electric motors only. No overnight camping permitted.</x:v>
      </x:c>
      <x:c r="O350" s="8" t="n">
        <x:v>1</x:v>
      </x:c>
      <x:c r="P350" s="8" t="n">
        <x:v>6</x:v>
      </x:c>
      <x:c r="Q350" s="8" t="str">
        <x:v>https://www.google.com/maps/dir/?api=1&amp;destination=51.957774,-114.802334</x:v>
      </x:c>
      <x:c r="R350" s="8" t="str">
        <x:v>https://albertaregulations.ca/fishingregs/es2.html</x:v>
      </x:c>
    </x:row>
    <x:row r="351" ht="42" customHeight="1">
      <x:c r="A351" s="8" t="str">
        <x:v>Zama Community Pond</x:v>
      </x:c>
      <x:c r="B351" s="8" t="str">
        <x:v>6598</x:v>
      </x:c>
      <x:c r="C351" s="8" t="str">
        <x:v>High Level</x:v>
      </x:c>
      <x:c r="D351" s="8" t="str">
        <x:v>NB3</x:v>
      </x:c>
      <x:c r="E351" s="16" t="str">
        <x:v>Unknown</x:v>
      </x:c>
      <x:c r="F351" s="16" t="str">
        <x:v>Unknown</x:v>
      </x:c>
      <x:c r="G351" s="16" t="str">
        <x:v>Unknown</x:v>
      </x:c>
      <x:c r="H351" s="17" t="str">
        <x:v>Not stated</x:v>
      </x:c>
      <x:c r="I351" s="11" t="str">
        <x:v>Not stated on map.</x:v>
      </x:c>
      <x:c r="J351" s="10" t="n">
        <x:v>59.161</x:v>
      </x:c>
      <x:c r="K351" s="10" t="n">
        <x:v>-118.6811</x:v>
      </x:c>
      <x:c r="L351" s="8" t="str">
        <x:v>SW18-117-4-W6</x:v>
      </x:c>
      <x:c r="M351" s="11" t="str">
        <x:v>Swimming; Camping; Day Use</x:v>
      </x:c>
      <x:c r="N351" s="11" t="str">
        <x:v>This pond is located in the town of Zama. There is a swimming pond, camping area and a day use area near the fishing pond.</x:v>
      </x:c>
      <x:c r="O351" s="8" t="n">
        <x:v>0</x:v>
      </x:c>
      <x:c r="P351" s="8" t="n">
        <x:v>3</x:v>
      </x:c>
      <x:c r="Q351" s="8" t="str">
        <x:v>https://www.google.com/maps/dir/?api=1&amp;destination=59.161004,-118.681101</x:v>
      </x:c>
      <x:c r="R351" s="8" t="str">
        <x:v>https://albertaregulations.ca/fishingregs/nb3.html</x:v>
      </x:c>
    </x:row>
  </x:sheetData>
  <x:pageMargins left="0.7" right="0.7" top="0.75" bottom="0.75" header="0.3" footer="0.3"/>
  <x:tableParts count="1">
    <x:tablePart xmlns:r="http://schemas.openxmlformats.org/officeDocument/2006/relationships" r:id="R891df273f8564815"/>
  </x:tableParts>
</x:worksheet>
</file>

<file path=xl/worksheets/sheet2.xml><?xml version="1.0" encoding="utf-8"?>
<x:worksheet xmlns:x="http://schemas.openxmlformats.org/spreadsheetml/2006/main">
  <x:sheetPr>
    <x:tabColor rgb="FF7595AA"/>
  </x:sheetPr>
  <x:sheetViews>
    <x:sheetView showGridLines="0" workbookViewId="0">
      <x:pane ySplit="5" topLeftCell="A6" activePane="bottomLeft" state="frozen"/>
    </x:sheetView>
  </x:sheetViews>
  <x:sheetFormatPr defaultRowHeight="15"/>
  <x:cols>
    <x:col min="1" max="1" width="35" hidden="0" customWidth="1"/>
    <x:col min="2" max="2" width="12" hidden="0" customWidth="1"/>
    <x:col min="3" max="3" width="10" hidden="0" customWidth="1"/>
    <x:col min="4" max="4" width="24" hidden="0" customWidth="1"/>
    <x:col min="5" max="5" width="22" hidden="0" customWidth="1"/>
    <x:col min="6" max="6" width="20" hidden="0" customWidth="1"/>
    <x:col min="7" max="7" width="38" hidden="0" customWidth="1"/>
  </x:cols>
  <x:sheetData>
    <x:row r="1">
      <x:c r="A1" s="1"/>
      <x:c r="B1" s="1"/>
      <x:c r="C1" s="1"/>
      <x:c r="D1" s="1"/>
      <x:c r="E1" s="1"/>
      <x:c r="F1" s="1"/>
      <x:c r="G1" s="1"/>
    </x:row>
    <x:row r="2">
      <x:c r="A2" s="2" t="str">
        <x:v>Stocking totals by lake, year and species</x:v>
      </x:c>
      <x:c r="B2" s="1"/>
      <x:c r="C2" s="1"/>
      <x:c r="D2" s="1"/>
      <x:c r="E2" s="1"/>
      <x:c r="F2" s="1"/>
      <x:c r="G2" s="1"/>
    </x:row>
    <x:row r="3">
      <x:c r="A3" s="1" t="str">
        <x:v>Totals sum the source records. 2026 is a partial year snapshot. Filter Year to compare seasons.</x:v>
      </x:c>
      <x:c r="B3" s="1"/>
      <x:c r="C3" s="1"/>
      <x:c r="D3" s="1"/>
      <x:c r="E3" s="1"/>
      <x:c r="F3" s="1"/>
      <x:c r="G3" s="1"/>
    </x:row>
    <x:row r="4">
      <x:c r="A4" s="1"/>
      <x:c r="B4" s="1"/>
      <x:c r="C4" s="1"/>
      <x:c r="D4" s="1"/>
      <x:c r="E4" s="1"/>
      <x:c r="F4" s="1"/>
      <x:c r="G4" s="1"/>
    </x:row>
    <x:row r="5" ht="32" customHeight="1">
      <x:c r="A5" s="7" t="str">
        <x:v>Waterbody name</x:v>
      </x:c>
      <x:c r="B5" s="7" t="str">
        <x:v>Lake ID</x:v>
      </x:c>
      <x:c r="C5" s="7" t="str">
        <x:v>Year</x:v>
      </x:c>
      <x:c r="D5" s="7" t="str">
        <x:v>Species</x:v>
      </x:c>
      <x:c r="E5" s="7" t="str">
        <x:v>Total fish stocked</x:v>
      </x:c>
      <x:c r="F5" s="7" t="str">
        <x:v>Stocking events</x:v>
      </x:c>
      <x:c r="G5" s="7" t="str">
        <x:v>Lake-year-species</x:v>
      </x:c>
    </x:row>
    <x:row r="6" ht="23" customHeight="1">
      <x:c r="A6" s="8" t="str">
        <x:v>Acadia Valley Reservoir</x:v>
      </x:c>
      <x:c r="B6" s="8" t="str">
        <x:v>6900</x:v>
      </x:c>
      <x:c r="C6" s="17" t="n">
        <x:v>2026</x:v>
      </x:c>
      <x:c r="D6" s="8" t="str">
        <x:v>BROOK TROUT</x:v>
      </x:c>
      <x:c r="E6" s="13" t="n">
        <x:f>SUMIFS('Stocking details'!$F$6:$F$3307,'Stocking details'!$I$6:$I$3307,G6)</x:f>
        <x:v>2000</x:v>
      </x:c>
      <x:c r="F6" s="13" t="n">
        <x:f>COUNTIFS('Stocking details'!$I$6:$I$3307,G6)</x:f>
        <x:v>1</x:v>
      </x:c>
      <x:c r="G6" s="8" t="str">
        <x:f>B6&amp;" / "&amp;C6&amp;" / "&amp;D6</x:f>
        <x:v>6900 / 2026 / BROOK TROUT</x:v>
      </x:c>
    </x:row>
    <x:row r="7" ht="23" customHeight="1">
      <x:c r="A7" s="8" t="str">
        <x:v>Acadia Valley Reservoir</x:v>
      </x:c>
      <x:c r="B7" s="8" t="str">
        <x:v>6900</x:v>
      </x:c>
      <x:c r="C7" s="17" t="n">
        <x:v>2026</x:v>
      </x:c>
      <x:c r="D7" s="8" t="str">
        <x:v>RAINBOW TROUT</x:v>
      </x:c>
      <x:c r="E7" s="13" t="n">
        <x:f>SUMIFS('Stocking details'!$F$6:$F$3307,'Stocking details'!$I$6:$I$3307,G7)</x:f>
        <x:v>5000</x:v>
      </x:c>
      <x:c r="F7" s="13" t="n">
        <x:f>COUNTIFS('Stocking details'!$I$6:$I$3307,G7)</x:f>
        <x:v>1</x:v>
      </x:c>
      <x:c r="G7" s="8" t="str">
        <x:f>B7&amp;" / "&amp;C7&amp;" / "&amp;D7</x:f>
        <x:v>6900 / 2026 / RAINBOW TROUT</x:v>
      </x:c>
    </x:row>
    <x:row r="8" ht="23" customHeight="1">
      <x:c r="A8" s="8" t="str">
        <x:v>Acadia Valley Reservoir</x:v>
      </x:c>
      <x:c r="B8" s="8" t="str">
        <x:v>6900</x:v>
      </x:c>
      <x:c r="C8" s="17" t="n">
        <x:v>2025</x:v>
      </x:c>
      <x:c r="D8" s="8" t="str">
        <x:v>BROOK TROUT</x:v>
      </x:c>
      <x:c r="E8" s="13" t="n">
        <x:f>SUMIFS('Stocking details'!$F$6:$F$3307,'Stocking details'!$I$6:$I$3307,G8)</x:f>
        <x:v>4000</x:v>
      </x:c>
      <x:c r="F8" s="13" t="n">
        <x:f>COUNTIFS('Stocking details'!$I$6:$I$3307,G8)</x:f>
        <x:v>2</x:v>
      </x:c>
      <x:c r="G8" s="8" t="str">
        <x:f>B8&amp;" / "&amp;C8&amp;" / "&amp;D8</x:f>
        <x:v>6900 / 2025 / BROOK TROUT</x:v>
      </x:c>
    </x:row>
    <x:row r="9" ht="23" customHeight="1">
      <x:c r="A9" s="8" t="str">
        <x:v>Acadia Valley Reservoir</x:v>
      </x:c>
      <x:c r="B9" s="8" t="str">
        <x:v>6900</x:v>
      </x:c>
      <x:c r="C9" s="17" t="n">
        <x:v>2025</x:v>
      </x:c>
      <x:c r="D9" s="8" t="str">
        <x:v>RAINBOW TROUT</x:v>
      </x:c>
      <x:c r="E9" s="13" t="n">
        <x:f>SUMIFS('Stocking details'!$F$6:$F$3307,'Stocking details'!$I$6:$I$3307,G9)</x:f>
        <x:v>10000</x:v>
      </x:c>
      <x:c r="F9" s="13" t="n">
        <x:f>COUNTIFS('Stocking details'!$I$6:$I$3307,G9)</x:f>
        <x:v>2</x:v>
      </x:c>
      <x:c r="G9" s="8" t="str">
        <x:f>B9&amp;" / "&amp;C9&amp;" / "&amp;D9</x:f>
        <x:v>6900 / 2025 / RAINBOW TROUT</x:v>
      </x:c>
    </x:row>
    <x:row r="10" ht="23" customHeight="1">
      <x:c r="A10" s="8" t="str">
        <x:v>Acadia Valley Reservoir</x:v>
      </x:c>
      <x:c r="B10" s="8" t="str">
        <x:v>6900</x:v>
      </x:c>
      <x:c r="C10" s="17" t="n">
        <x:v>2024</x:v>
      </x:c>
      <x:c r="D10" s="8" t="str">
        <x:v>BROOK TROUT</x:v>
      </x:c>
      <x:c r="E10" s="13" t="n">
        <x:f>SUMIFS('Stocking details'!$F$6:$F$3307,'Stocking details'!$I$6:$I$3307,G10)</x:f>
        <x:v>2000</x:v>
      </x:c>
      <x:c r="F10" s="13" t="n">
        <x:f>COUNTIFS('Stocking details'!$I$6:$I$3307,G10)</x:f>
        <x:v>1</x:v>
      </x:c>
      <x:c r="G10" s="8" t="str">
        <x:f>B10&amp;" / "&amp;C10&amp;" / "&amp;D10</x:f>
        <x:v>6900 / 2024 / BROOK TROUT</x:v>
      </x:c>
    </x:row>
    <x:row r="11" ht="23" customHeight="1">
      <x:c r="A11" s="8" t="str">
        <x:v>Acadia Valley Reservoir</x:v>
      </x:c>
      <x:c r="B11" s="8" t="str">
        <x:v>6900</x:v>
      </x:c>
      <x:c r="C11" s="17" t="n">
        <x:v>2024</x:v>
      </x:c>
      <x:c r="D11" s="8" t="str">
        <x:v>RAINBOW TROUT</x:v>
      </x:c>
      <x:c r="E11" s="13" t="n">
        <x:f>SUMIFS('Stocking details'!$F$6:$F$3307,'Stocking details'!$I$6:$I$3307,G11)</x:f>
        <x:v>2000</x:v>
      </x:c>
      <x:c r="F11" s="13" t="n">
        <x:f>COUNTIFS('Stocking details'!$I$6:$I$3307,G11)</x:f>
        <x:v>1</x:v>
      </x:c>
      <x:c r="G11" s="8" t="str">
        <x:f>B11&amp;" / "&amp;C11&amp;" / "&amp;D11</x:f>
        <x:v>6900 / 2024 / RAINBOW TROUT</x:v>
      </x:c>
    </x:row>
    <x:row r="12" ht="23" customHeight="1">
      <x:c r="A12" s="8" t="str">
        <x:v>Acadia Valley Reservoir</x:v>
      </x:c>
      <x:c r="B12" s="8" t="str">
        <x:v>6900</x:v>
      </x:c>
      <x:c r="C12" s="17" t="n">
        <x:v>2023</x:v>
      </x:c>
      <x:c r="D12" s="8" t="str">
        <x:v>BROOK TROUT</x:v>
      </x:c>
      <x:c r="E12" s="13" t="n">
        <x:f>SUMIFS('Stocking details'!$F$6:$F$3307,'Stocking details'!$I$6:$I$3307,G12)</x:f>
        <x:v>2000</x:v>
      </x:c>
      <x:c r="F12" s="13" t="n">
        <x:f>COUNTIFS('Stocking details'!$I$6:$I$3307,G12)</x:f>
        <x:v>1</x:v>
      </x:c>
      <x:c r="G12" s="8" t="str">
        <x:f>B12&amp;" / "&amp;C12&amp;" / "&amp;D12</x:f>
        <x:v>6900 / 2023 / BROOK TROUT</x:v>
      </x:c>
    </x:row>
    <x:row r="13" ht="23" customHeight="1">
      <x:c r="A13" s="8" t="str">
        <x:v>Acadia Valley Reservoir</x:v>
      </x:c>
      <x:c r="B13" s="8" t="str">
        <x:v>6900</x:v>
      </x:c>
      <x:c r="C13" s="17" t="n">
        <x:v>2023</x:v>
      </x:c>
      <x:c r="D13" s="8" t="str">
        <x:v>RAINBOW TROUT</x:v>
      </x:c>
      <x:c r="E13" s="13" t="n">
        <x:f>SUMIFS('Stocking details'!$F$6:$F$3307,'Stocking details'!$I$6:$I$3307,G13)</x:f>
        <x:v>1995</x:v>
      </x:c>
      <x:c r="F13" s="13" t="n">
        <x:f>COUNTIFS('Stocking details'!$I$6:$I$3307,G13)</x:f>
        <x:v>1</x:v>
      </x:c>
      <x:c r="G13" s="8" t="str">
        <x:f>B13&amp;" / "&amp;C13&amp;" / "&amp;D13</x:f>
        <x:v>6900 / 2023 / RAINBOW TROUT</x:v>
      </x:c>
    </x:row>
    <x:row r="14" ht="23" customHeight="1">
      <x:c r="A14" s="8" t="str">
        <x:v>Acadia Valley Reservoir</x:v>
      </x:c>
      <x:c r="B14" s="8" t="str">
        <x:v>6900</x:v>
      </x:c>
      <x:c r="C14" s="17" t="n">
        <x:v>2022</x:v>
      </x:c>
      <x:c r="D14" s="8" t="str">
        <x:v>BROOK TROUT</x:v>
      </x:c>
      <x:c r="E14" s="13" t="n">
        <x:f>SUMIFS('Stocking details'!$F$6:$F$3307,'Stocking details'!$I$6:$I$3307,G14)</x:f>
        <x:v>4000</x:v>
      </x:c>
      <x:c r="F14" s="13" t="n">
        <x:f>COUNTIFS('Stocking details'!$I$6:$I$3307,G14)</x:f>
        <x:v>2</x:v>
      </x:c>
      <x:c r="G14" s="8" t="str">
        <x:f>B14&amp;" / "&amp;C14&amp;" / "&amp;D14</x:f>
        <x:v>6900 / 2022 / BROOK TROUT</x:v>
      </x:c>
    </x:row>
    <x:row r="15" ht="23" customHeight="1">
      <x:c r="A15" s="8" t="str">
        <x:v>Acadia Valley Reservoir</x:v>
      </x:c>
      <x:c r="B15" s="8" t="str">
        <x:v>6900</x:v>
      </x:c>
      <x:c r="C15" s="17" t="n">
        <x:v>2022</x:v>
      </x:c>
      <x:c r="D15" s="8" t="str">
        <x:v>RAINBOW TROUT</x:v>
      </x:c>
      <x:c r="E15" s="13" t="n">
        <x:f>SUMIFS('Stocking details'!$F$6:$F$3307,'Stocking details'!$I$6:$I$3307,G15)</x:f>
        <x:v>5000</x:v>
      </x:c>
      <x:c r="F15" s="13" t="n">
        <x:f>COUNTIFS('Stocking details'!$I$6:$I$3307,G15)</x:f>
        <x:v>1</x:v>
      </x:c>
      <x:c r="G15" s="8" t="str">
        <x:f>B15&amp;" / "&amp;C15&amp;" / "&amp;D15</x:f>
        <x:v>6900 / 2022 / RAINBOW TROUT</x:v>
      </x:c>
    </x:row>
    <x:row r="16" ht="23" customHeight="1">
      <x:c r="A16" s="8" t="str">
        <x:v>Acadia Valley Reservoir</x:v>
      </x:c>
      <x:c r="B16" s="8" t="str">
        <x:v>6900</x:v>
      </x:c>
      <x:c r="C16" s="17" t="n">
        <x:v>2021</x:v>
      </x:c>
      <x:c r="D16" s="8" t="str">
        <x:v>BROOK TROUT</x:v>
      </x:c>
      <x:c r="E16" s="13" t="n">
        <x:f>SUMIFS('Stocking details'!$F$6:$F$3307,'Stocking details'!$I$6:$I$3307,G16)</x:f>
        <x:v>2000</x:v>
      </x:c>
      <x:c r="F16" s="13" t="n">
        <x:f>COUNTIFS('Stocking details'!$I$6:$I$3307,G16)</x:f>
        <x:v>1</x:v>
      </x:c>
      <x:c r="G16" s="8" t="str">
        <x:f>B16&amp;" / "&amp;C16&amp;" / "&amp;D16</x:f>
        <x:v>6900 / 2021 / BROOK TROUT</x:v>
      </x:c>
    </x:row>
    <x:row r="17" ht="23" customHeight="1">
      <x:c r="A17" s="8" t="str">
        <x:v>Acadia Valley Reservoir</x:v>
      </x:c>
      <x:c r="B17" s="8" t="str">
        <x:v>6900</x:v>
      </x:c>
      <x:c r="C17" s="17" t="n">
        <x:v>2021</x:v>
      </x:c>
      <x:c r="D17" s="8" t="str">
        <x:v>RAINBOW TROUT</x:v>
      </x:c>
      <x:c r="E17" s="13" t="n">
        <x:f>SUMIFS('Stocking details'!$F$6:$F$3307,'Stocking details'!$I$6:$I$3307,G17)</x:f>
        <x:v>5000</x:v>
      </x:c>
      <x:c r="F17" s="13" t="n">
        <x:f>COUNTIFS('Stocking details'!$I$6:$I$3307,G17)</x:f>
        <x:v>1</x:v>
      </x:c>
      <x:c r="G17" s="8" t="str">
        <x:f>B17&amp;" / "&amp;C17&amp;" / "&amp;D17</x:f>
        <x:v>6900 / 2021 / RAINBOW TROUT</x:v>
      </x:c>
    </x:row>
    <x:row r="18" ht="23" customHeight="1">
      <x:c r="A18" s="8" t="str">
        <x:v>Alexander Hamilton Pond</x:v>
      </x:c>
      <x:c r="B18" s="8" t="str">
        <x:v>19760</x:v>
      </x:c>
      <x:c r="C18" s="17" t="n">
        <x:v>2026</x:v>
      </x:c>
      <x:c r="D18" s="8" t="str">
        <x:v>RAINBOW TROUT</x:v>
      </x:c>
      <x:c r="E18" s="13" t="n">
        <x:f>SUMIFS('Stocking details'!$F$6:$F$3307,'Stocking details'!$I$6:$I$3307,G18)</x:f>
        <x:v>600</x:v>
      </x:c>
      <x:c r="F18" s="13" t="n">
        <x:f>COUNTIFS('Stocking details'!$I$6:$I$3307,G18)</x:f>
        <x:v>1</x:v>
      </x:c>
      <x:c r="G18" s="8" t="str">
        <x:f>B18&amp;" / "&amp;C18&amp;" / "&amp;D18</x:f>
        <x:v>19760 / 2026 / RAINBOW TROUT</x:v>
      </x:c>
    </x:row>
    <x:row r="19" ht="23" customHeight="1">
      <x:c r="A19" s="8" t="str">
        <x:v>Alexander Hamilton Pond</x:v>
      </x:c>
      <x:c r="B19" s="8" t="str">
        <x:v>19760</x:v>
      </x:c>
      <x:c r="C19" s="17" t="n">
        <x:v>2025</x:v>
      </x:c>
      <x:c r="D19" s="8" t="str">
        <x:v>RAINBOW TROUT</x:v>
      </x:c>
      <x:c r="E19" s="13" t="n">
        <x:f>SUMIFS('Stocking details'!$F$6:$F$3307,'Stocking details'!$I$6:$I$3307,G19)</x:f>
        <x:v>1200</x:v>
      </x:c>
      <x:c r="F19" s="13" t="n">
        <x:f>COUNTIFS('Stocking details'!$I$6:$I$3307,G19)</x:f>
        <x:v>2</x:v>
      </x:c>
      <x:c r="G19" s="8" t="str">
        <x:f>B19&amp;" / "&amp;C19&amp;" / "&amp;D19</x:f>
        <x:v>19760 / 2025 / RAINBOW TROUT</x:v>
      </x:c>
    </x:row>
    <x:row r="20" ht="23" customHeight="1">
      <x:c r="A20" s="8" t="str">
        <x:v>Alexander Hamilton Pond</x:v>
      </x:c>
      <x:c r="B20" s="8" t="str">
        <x:v>19760</x:v>
      </x:c>
      <x:c r="C20" s="17" t="n">
        <x:v>2024</x:v>
      </x:c>
      <x:c r="D20" s="8" t="str">
        <x:v>RAINBOW TROUT</x:v>
      </x:c>
      <x:c r="E20" s="13" t="n">
        <x:f>SUMIFS('Stocking details'!$F$6:$F$3307,'Stocking details'!$I$6:$I$3307,G20)</x:f>
        <x:v>840</x:v>
      </x:c>
      <x:c r="F20" s="13" t="n">
        <x:f>COUNTIFS('Stocking details'!$I$6:$I$3307,G20)</x:f>
        <x:v>2</x:v>
      </x:c>
      <x:c r="G20" s="8" t="str">
        <x:f>B20&amp;" / "&amp;C20&amp;" / "&amp;D20</x:f>
        <x:v>19760 / 2024 / RAINBOW TROUT</x:v>
      </x:c>
    </x:row>
    <x:row r="21" ht="23" customHeight="1">
      <x:c r="A21" s="8" t="str">
        <x:v>Alexander Hamilton Pond</x:v>
      </x:c>
      <x:c r="B21" s="8" t="str">
        <x:v>19760</x:v>
      </x:c>
      <x:c r="C21" s="17" t="n">
        <x:v>2023</x:v>
      </x:c>
      <x:c r="D21" s="8" t="str">
        <x:v>RAINBOW TROUT</x:v>
      </x:c>
      <x:c r="E21" s="13" t="n">
        <x:f>SUMIFS('Stocking details'!$F$6:$F$3307,'Stocking details'!$I$6:$I$3307,G21)</x:f>
        <x:v>549</x:v>
      </x:c>
      <x:c r="F21" s="13" t="n">
        <x:f>COUNTIFS('Stocking details'!$I$6:$I$3307,G21)</x:f>
        <x:v>2</x:v>
      </x:c>
      <x:c r="G21" s="8" t="str">
        <x:f>B21&amp;" / "&amp;C21&amp;" / "&amp;D21</x:f>
        <x:v>19760 / 2023 / RAINBOW TROUT</x:v>
      </x:c>
    </x:row>
    <x:row r="22" ht="23" customHeight="1">
      <x:c r="A22" s="8" t="str">
        <x:v>Alexander Hamilton Pond</x:v>
      </x:c>
      <x:c r="B22" s="8" t="str">
        <x:v>19760</x:v>
      </x:c>
      <x:c r="C22" s="17" t="n">
        <x:v>2022</x:v>
      </x:c>
      <x:c r="D22" s="8" t="str">
        <x:v>RAINBOW TROUT</x:v>
      </x:c>
      <x:c r="E22" s="13" t="n">
        <x:f>SUMIFS('Stocking details'!$F$6:$F$3307,'Stocking details'!$I$6:$I$3307,G22)</x:f>
        <x:v>1200</x:v>
      </x:c>
      <x:c r="F22" s="13" t="n">
        <x:f>COUNTIFS('Stocking details'!$I$6:$I$3307,G22)</x:f>
        <x:v>2</x:v>
      </x:c>
      <x:c r="G22" s="8" t="str">
        <x:f>B22&amp;" / "&amp;C22&amp;" / "&amp;D22</x:f>
        <x:v>19760 / 2022 / RAINBOW TROUT</x:v>
      </x:c>
    </x:row>
    <x:row r="23" ht="23" customHeight="1">
      <x:c r="A23" s="8" t="str">
        <x:v>Alexander Hamilton Pond</x:v>
      </x:c>
      <x:c r="B23" s="8" t="str">
        <x:v>19760</x:v>
      </x:c>
      <x:c r="C23" s="17" t="n">
        <x:v>2021</x:v>
      </x:c>
      <x:c r="D23" s="8" t="str">
        <x:v>RAINBOW TROUT</x:v>
      </x:c>
      <x:c r="E23" s="13" t="n">
        <x:f>SUMIFS('Stocking details'!$F$6:$F$3307,'Stocking details'!$I$6:$I$3307,G23)</x:f>
        <x:v>1200</x:v>
      </x:c>
      <x:c r="F23" s="13" t="n">
        <x:f>COUNTIFS('Stocking details'!$I$6:$I$3307,G23)</x:f>
        <x:v>2</x:v>
      </x:c>
      <x:c r="G23" s="8" t="str">
        <x:f>B23&amp;" / "&amp;C23&amp;" / "&amp;D23</x:f>
        <x:v>19760 / 2021 / RAINBOW TROUT</x:v>
      </x:c>
    </x:row>
    <x:row r="24" ht="23" customHeight="1">
      <x:c r="A24" s="8" t="str">
        <x:v>Alford Lake</x:v>
      </x:c>
      <x:c r="B24" s="8" t="str">
        <x:v>3899</x:v>
      </x:c>
      <x:c r="C24" s="17" t="n">
        <x:v>2026</x:v>
      </x:c>
      <x:c r="D24" s="8" t="str">
        <x:v>RAINBOW TROUT</x:v>
      </x:c>
      <x:c r="E24" s="13" t="n">
        <x:f>SUMIFS('Stocking details'!$F$6:$F$3307,'Stocking details'!$I$6:$I$3307,G24)</x:f>
        <x:v>3000</x:v>
      </x:c>
      <x:c r="F24" s="13" t="n">
        <x:f>COUNTIFS('Stocking details'!$I$6:$I$3307,G24)</x:f>
        <x:v>1</x:v>
      </x:c>
      <x:c r="G24" s="8" t="str">
        <x:f>B24&amp;" / "&amp;C24&amp;" / "&amp;D24</x:f>
        <x:v>3899 / 2026 / RAINBOW TROUT</x:v>
      </x:c>
    </x:row>
    <x:row r="25" ht="23" customHeight="1">
      <x:c r="A25" s="8" t="str">
        <x:v>Alford Lake</x:v>
      </x:c>
      <x:c r="B25" s="8" t="str">
        <x:v>3899</x:v>
      </x:c>
      <x:c r="C25" s="17" t="n">
        <x:v>2025</x:v>
      </x:c>
      <x:c r="D25" s="8" t="str">
        <x:v>RAINBOW TROUT</x:v>
      </x:c>
      <x:c r="E25" s="13" t="n">
        <x:f>SUMIFS('Stocking details'!$F$6:$F$3307,'Stocking details'!$I$6:$I$3307,G25)</x:f>
        <x:v>3000</x:v>
      </x:c>
      <x:c r="F25" s="13" t="n">
        <x:f>COUNTIFS('Stocking details'!$I$6:$I$3307,G25)</x:f>
        <x:v>1</x:v>
      </x:c>
      <x:c r="G25" s="8" t="str">
        <x:f>B25&amp;" / "&amp;C25&amp;" / "&amp;D25</x:f>
        <x:v>3899 / 2025 / RAINBOW TROUT</x:v>
      </x:c>
    </x:row>
    <x:row r="26" ht="23" customHeight="1">
      <x:c r="A26" s="8" t="str">
        <x:v>Alford Lake</x:v>
      </x:c>
      <x:c r="B26" s="8" t="str">
        <x:v>3899</x:v>
      </x:c>
      <x:c r="C26" s="17" t="n">
        <x:v>2024</x:v>
      </x:c>
      <x:c r="D26" s="8" t="str">
        <x:v>RAINBOW TROUT</x:v>
      </x:c>
      <x:c r="E26" s="13" t="n">
        <x:f>SUMIFS('Stocking details'!$F$6:$F$3307,'Stocking details'!$I$6:$I$3307,G26)</x:f>
        <x:v>2050</x:v>
      </x:c>
      <x:c r="F26" s="13" t="n">
        <x:f>COUNTIFS('Stocking details'!$I$6:$I$3307,G26)</x:f>
        <x:v>3</x:v>
      </x:c>
      <x:c r="G26" s="8" t="str">
        <x:f>B26&amp;" / "&amp;C26&amp;" / "&amp;D26</x:f>
        <x:v>3899 / 2024 / RAINBOW TROUT</x:v>
      </x:c>
    </x:row>
    <x:row r="27" ht="23" customHeight="1">
      <x:c r="A27" s="8" t="str">
        <x:v>Alford Lake</x:v>
      </x:c>
      <x:c r="B27" s="8" t="str">
        <x:v>3899</x:v>
      </x:c>
      <x:c r="C27" s="17" t="n">
        <x:v>2023</x:v>
      </x:c>
      <x:c r="D27" s="8" t="str">
        <x:v>RAINBOW TROUT</x:v>
      </x:c>
      <x:c r="E27" s="13" t="n">
        <x:f>SUMIFS('Stocking details'!$F$6:$F$3307,'Stocking details'!$I$6:$I$3307,G27)</x:f>
        <x:v>3000</x:v>
      </x:c>
      <x:c r="F27" s="13" t="n">
        <x:f>COUNTIFS('Stocking details'!$I$6:$I$3307,G27)</x:f>
        <x:v>2</x:v>
      </x:c>
      <x:c r="G27" s="8" t="str">
        <x:f>B27&amp;" / "&amp;C27&amp;" / "&amp;D27</x:f>
        <x:v>3899 / 2023 / RAINBOW TROUT</x:v>
      </x:c>
    </x:row>
    <x:row r="28" ht="23" customHeight="1">
      <x:c r="A28" s="8" t="str">
        <x:v>Alford Lake</x:v>
      </x:c>
      <x:c r="B28" s="8" t="str">
        <x:v>3899</x:v>
      </x:c>
      <x:c r="C28" s="17" t="n">
        <x:v>2022</x:v>
      </x:c>
      <x:c r="D28" s="8" t="str">
        <x:v>RAINBOW TROUT</x:v>
      </x:c>
      <x:c r="E28" s="13" t="n">
        <x:f>SUMIFS('Stocking details'!$F$6:$F$3307,'Stocking details'!$I$6:$I$3307,G28)</x:f>
        <x:v>3000</x:v>
      </x:c>
      <x:c r="F28" s="13" t="n">
        <x:f>COUNTIFS('Stocking details'!$I$6:$I$3307,G28)</x:f>
        <x:v>1</x:v>
      </x:c>
      <x:c r="G28" s="8" t="str">
        <x:f>B28&amp;" / "&amp;C28&amp;" / "&amp;D28</x:f>
        <x:v>3899 / 2022 / RAINBOW TROUT</x:v>
      </x:c>
    </x:row>
    <x:row r="29" ht="23" customHeight="1">
      <x:c r="A29" s="8" t="str">
        <x:v>Alford Lake</x:v>
      </x:c>
      <x:c r="B29" s="8" t="str">
        <x:v>3899</x:v>
      </x:c>
      <x:c r="C29" s="17" t="n">
        <x:v>2021</x:v>
      </x:c>
      <x:c r="D29" s="8" t="str">
        <x:v>RAINBOW TROUT</x:v>
      </x:c>
      <x:c r="E29" s="13" t="n">
        <x:f>SUMIFS('Stocking details'!$F$6:$F$3307,'Stocking details'!$I$6:$I$3307,G29)</x:f>
        <x:v>3000</x:v>
      </x:c>
      <x:c r="F29" s="13" t="n">
        <x:f>COUNTIFS('Stocking details'!$I$6:$I$3307,G29)</x:f>
        <x:v>1</x:v>
      </x:c>
      <x:c r="G29" s="8" t="str">
        <x:f>B29&amp;" / "&amp;C29&amp;" / "&amp;D29</x:f>
        <x:v>3899 / 2021 / RAINBOW TROUT</x:v>
      </x:c>
    </x:row>
    <x:row r="30" ht="23" customHeight="1">
      <x:c r="A30" s="8" t="str">
        <x:v>Allison Lake</x:v>
      </x:c>
      <x:c r="B30" s="8" t="str">
        <x:v>6902</x:v>
      </x:c>
      <x:c r="C30" s="17" t="n">
        <x:v>2026</x:v>
      </x:c>
      <x:c r="D30" s="8" t="str">
        <x:v>WESTSLOPE CUTTHROAT TROUT</x:v>
      </x:c>
      <x:c r="E30" s="13" t="n">
        <x:f>SUMIFS('Stocking details'!$F$6:$F$3307,'Stocking details'!$I$6:$I$3307,G30)</x:f>
        <x:v>4000</x:v>
      </x:c>
      <x:c r="F30" s="13" t="n">
        <x:f>COUNTIFS('Stocking details'!$I$6:$I$3307,G30)</x:f>
        <x:v>2</x:v>
      </x:c>
      <x:c r="G30" s="8" t="str">
        <x:f>B30&amp;" / "&amp;C30&amp;" / "&amp;D30</x:f>
        <x:v>6902 / 2026 / WESTSLOPE CUTTHROAT TROUT</x:v>
      </x:c>
    </x:row>
    <x:row r="31" ht="23" customHeight="1">
      <x:c r="A31" s="8" t="str">
        <x:v>Allison Lake</x:v>
      </x:c>
      <x:c r="B31" s="8" t="str">
        <x:v>6902</x:v>
      </x:c>
      <x:c r="C31" s="17" t="n">
        <x:v>2025</x:v>
      </x:c>
      <x:c r="D31" s="8" t="str">
        <x:v>CUTTHROAT TROUT</x:v>
      </x:c>
      <x:c r="E31" s="13" t="n">
        <x:f>SUMIFS('Stocking details'!$F$6:$F$3307,'Stocking details'!$I$6:$I$3307,G31)</x:f>
        <x:v>3609</x:v>
      </x:c>
      <x:c r="F31" s="13" t="n">
        <x:f>COUNTIFS('Stocking details'!$I$6:$I$3307,G31)</x:f>
        <x:v>3</x:v>
      </x:c>
      <x:c r="G31" s="8" t="str">
        <x:f>B31&amp;" / "&amp;C31&amp;" / "&amp;D31</x:f>
        <x:v>6902 / 2025 / CUTTHROAT TROUT</x:v>
      </x:c>
    </x:row>
    <x:row r="32" ht="23" customHeight="1">
      <x:c r="A32" s="8" t="str">
        <x:v>Allison Lake</x:v>
      </x:c>
      <x:c r="B32" s="8" t="str">
        <x:v>6902</x:v>
      </x:c>
      <x:c r="C32" s="17" t="n">
        <x:v>2024</x:v>
      </x:c>
      <x:c r="D32" s="8" t="str">
        <x:v>RAINBOW TROUT</x:v>
      </x:c>
      <x:c r="E32" s="13" t="n">
        <x:f>SUMIFS('Stocking details'!$F$6:$F$3307,'Stocking details'!$I$6:$I$3307,G32)</x:f>
        <x:v>3740</x:v>
      </x:c>
      <x:c r="F32" s="13" t="n">
        <x:f>COUNTIFS('Stocking details'!$I$6:$I$3307,G32)</x:f>
        <x:v>1</x:v>
      </x:c>
      <x:c r="G32" s="8" t="str">
        <x:f>B32&amp;" / "&amp;C32&amp;" / "&amp;D32</x:f>
        <x:v>6902 / 2024 / RAINBOW TROUT</x:v>
      </x:c>
    </x:row>
    <x:row r="33" ht="23" customHeight="1">
      <x:c r="A33" s="8" t="str">
        <x:v>Allison Lake</x:v>
      </x:c>
      <x:c r="B33" s="8" t="str">
        <x:v>6902</x:v>
      </x:c>
      <x:c r="C33" s="17" t="n">
        <x:v>2023</x:v>
      </x:c>
      <x:c r="D33" s="8" t="str">
        <x:v>CUTTHROAT TROUT</x:v>
      </x:c>
      <x:c r="E33" s="13" t="n">
        <x:f>SUMIFS('Stocking details'!$F$6:$F$3307,'Stocking details'!$I$6:$I$3307,G33)</x:f>
        <x:v>3740</x:v>
      </x:c>
      <x:c r="F33" s="13" t="n">
        <x:f>COUNTIFS('Stocking details'!$I$6:$I$3307,G33)</x:f>
        <x:v>1</x:v>
      </x:c>
      <x:c r="G33" s="8" t="str">
        <x:f>B33&amp;" / "&amp;C33&amp;" / "&amp;D33</x:f>
        <x:v>6902 / 2023 / CUTTHROAT TROUT</x:v>
      </x:c>
    </x:row>
    <x:row r="34" ht="23" customHeight="1">
      <x:c r="A34" s="8" t="str">
        <x:v>Allison Lake</x:v>
      </x:c>
      <x:c r="B34" s="8" t="str">
        <x:v>6902</x:v>
      </x:c>
      <x:c r="C34" s="17" t="n">
        <x:v>2022</x:v>
      </x:c>
      <x:c r="D34" s="8" t="str">
        <x:v>CUTTHROAT TROUT</x:v>
      </x:c>
      <x:c r="E34" s="13" t="n">
        <x:f>SUMIFS('Stocking details'!$F$6:$F$3307,'Stocking details'!$I$6:$I$3307,G34)</x:f>
        <x:v>3375</x:v>
      </x:c>
      <x:c r="F34" s="13" t="n">
        <x:f>COUNTIFS('Stocking details'!$I$6:$I$3307,G34)</x:f>
        <x:v>2</x:v>
      </x:c>
      <x:c r="G34" s="8" t="str">
        <x:f>B34&amp;" / "&amp;C34&amp;" / "&amp;D34</x:f>
        <x:v>6902 / 2022 / CUTTHROAT TROUT</x:v>
      </x:c>
    </x:row>
    <x:row r="35" ht="23" customHeight="1">
      <x:c r="A35" s="8" t="str">
        <x:v>Allison Lake</x:v>
      </x:c>
      <x:c r="B35" s="8" t="str">
        <x:v>6902</x:v>
      </x:c>
      <x:c r="C35" s="17" t="n">
        <x:v>2021</x:v>
      </x:c>
      <x:c r="D35" s="8" t="str">
        <x:v>RAINBOW TROUT</x:v>
      </x:c>
      <x:c r="E35" s="13" t="n">
        <x:f>SUMIFS('Stocking details'!$F$6:$F$3307,'Stocking details'!$I$6:$I$3307,G35)</x:f>
        <x:v>3740</x:v>
      </x:c>
      <x:c r="F35" s="13" t="n">
        <x:f>COUNTIFS('Stocking details'!$I$6:$I$3307,G35)</x:f>
        <x:v>1</x:v>
      </x:c>
      <x:c r="G35" s="8" t="str">
        <x:f>B35&amp;" / "&amp;C35&amp;" / "&amp;D35</x:f>
        <x:v>6902 / 2021 / RAINBOW TROUT</x:v>
      </x:c>
    </x:row>
    <x:row r="36" ht="23" customHeight="1">
      <x:c r="A36" s="8" t="str">
        <x:v>Allstones Lake</x:v>
      </x:c>
      <x:c r="B36" s="8" t="str">
        <x:v>3909</x:v>
      </x:c>
      <x:c r="C36" s="17" t="n">
        <x:v>2025</x:v>
      </x:c>
      <x:c r="D36" s="8" t="str">
        <x:v>BROOK TROUT</x:v>
      </x:c>
      <x:c r="E36" s="13" t="n">
        <x:f>SUMIFS('Stocking details'!$F$6:$F$3307,'Stocking details'!$I$6:$I$3307,G36)</x:f>
        <x:v>650</x:v>
      </x:c>
      <x:c r="F36" s="13" t="n">
        <x:f>COUNTIFS('Stocking details'!$I$6:$I$3307,G36)</x:f>
        <x:v>1</x:v>
      </x:c>
      <x:c r="G36" s="8" t="str">
        <x:f>B36&amp;" / "&amp;C36&amp;" / "&amp;D36</x:f>
        <x:v>3909 / 2025 / BROOK TROUT</x:v>
      </x:c>
    </x:row>
    <x:row r="37" ht="23" customHeight="1">
      <x:c r="A37" s="8" t="str">
        <x:v>Allstones Lake</x:v>
      </x:c>
      <x:c r="B37" s="8" t="str">
        <x:v>3909</x:v>
      </x:c>
      <x:c r="C37" s="17" t="n">
        <x:v>2023</x:v>
      </x:c>
      <x:c r="D37" s="8" t="str">
        <x:v>BROOK TROUT</x:v>
      </x:c>
      <x:c r="E37" s="13" t="n">
        <x:f>SUMIFS('Stocking details'!$F$6:$F$3307,'Stocking details'!$I$6:$I$3307,G37)</x:f>
        <x:v>650</x:v>
      </x:c>
      <x:c r="F37" s="13" t="n">
        <x:f>COUNTIFS('Stocking details'!$I$6:$I$3307,G37)</x:f>
        <x:v>1</x:v>
      </x:c>
      <x:c r="G37" s="8" t="str">
        <x:f>B37&amp;" / "&amp;C37&amp;" / "&amp;D37</x:f>
        <x:v>3909 / 2023 / BROOK TROUT</x:v>
      </x:c>
    </x:row>
    <x:row r="38" ht="23" customHeight="1">
      <x:c r="A38" s="8" t="str">
        <x:v>Allstones Lake</x:v>
      </x:c>
      <x:c r="B38" s="8" t="str">
        <x:v>3909</x:v>
      </x:c>
      <x:c r="C38" s="17" t="n">
        <x:v>2021</x:v>
      </x:c>
      <x:c r="D38" s="8" t="str">
        <x:v>BROOK TROUT</x:v>
      </x:c>
      <x:c r="E38" s="13" t="n">
        <x:f>SUMIFS('Stocking details'!$F$6:$F$3307,'Stocking details'!$I$6:$I$3307,G38)</x:f>
        <x:v>650</x:v>
      </x:c>
      <x:c r="F38" s="13" t="n">
        <x:f>COUNTIFS('Stocking details'!$I$6:$I$3307,G38)</x:f>
        <x:v>1</x:v>
      </x:c>
      <x:c r="G38" s="8" t="str">
        <x:f>B38&amp;" / "&amp;C38&amp;" / "&amp;D38</x:f>
        <x:v>3909 / 2021 / BROOK TROUT</x:v>
      </x:c>
    </x:row>
    <x:row r="39" ht="23" customHeight="1">
      <x:c r="A39" s="8" t="str">
        <x:v>Anderson Dam</x:v>
      </x:c>
      <x:c r="B39" s="8" t="str">
        <x:v>17894</x:v>
      </x:c>
      <x:c r="C39" s="17" t="n">
        <x:v>2025</x:v>
      </x:c>
      <x:c r="D39" s="8" t="str">
        <x:v>RAINBOW TROUT</x:v>
      </x:c>
      <x:c r="E39" s="13" t="n">
        <x:f>SUMIFS('Stocking details'!$F$6:$F$3307,'Stocking details'!$I$6:$I$3307,G39)</x:f>
        <x:v>900</x:v>
      </x:c>
      <x:c r="F39" s="13" t="n">
        <x:f>COUNTIFS('Stocking details'!$I$6:$I$3307,G39)</x:f>
        <x:v>1</x:v>
      </x:c>
      <x:c r="G39" s="8" t="str">
        <x:f>B39&amp;" / "&amp;C39&amp;" / "&amp;D39</x:f>
        <x:v>17894 / 2025 / RAINBOW TROUT</x:v>
      </x:c>
    </x:row>
    <x:row r="40" ht="23" customHeight="1">
      <x:c r="A40" s="8" t="str">
        <x:v>Anderson Dam</x:v>
      </x:c>
      <x:c r="B40" s="8" t="str">
        <x:v>17894</x:v>
      </x:c>
      <x:c r="C40" s="17" t="n">
        <x:v>2024</x:v>
      </x:c>
      <x:c r="D40" s="8" t="str">
        <x:v>RAINBOW TROUT</x:v>
      </x:c>
      <x:c r="E40" s="13" t="n">
        <x:f>SUMIFS('Stocking details'!$F$6:$F$3307,'Stocking details'!$I$6:$I$3307,G40)</x:f>
        <x:v>900</x:v>
      </x:c>
      <x:c r="F40" s="13" t="n">
        <x:f>COUNTIFS('Stocking details'!$I$6:$I$3307,G40)</x:f>
        <x:v>1</x:v>
      </x:c>
      <x:c r="G40" s="8" t="str">
        <x:f>B40&amp;" / "&amp;C40&amp;" / "&amp;D40</x:f>
        <x:v>17894 / 2024 / RAINBOW TROUT</x:v>
      </x:c>
    </x:row>
    <x:row r="41" ht="23" customHeight="1">
      <x:c r="A41" s="8" t="str">
        <x:v>Anderson Dam</x:v>
      </x:c>
      <x:c r="B41" s="8" t="str">
        <x:v>17894</x:v>
      </x:c>
      <x:c r="C41" s="17" t="n">
        <x:v>2023</x:v>
      </x:c>
      <x:c r="D41" s="8" t="str">
        <x:v>RAINBOW TROUT</x:v>
      </x:c>
      <x:c r="E41" s="13" t="n">
        <x:f>SUMIFS('Stocking details'!$F$6:$F$3307,'Stocking details'!$I$6:$I$3307,G41)</x:f>
        <x:v>1000</x:v>
      </x:c>
      <x:c r="F41" s="13" t="n">
        <x:f>COUNTIFS('Stocking details'!$I$6:$I$3307,G41)</x:f>
        <x:v>1</x:v>
      </x:c>
      <x:c r="G41" s="8" t="str">
        <x:f>B41&amp;" / "&amp;C41&amp;" / "&amp;D41</x:f>
        <x:v>17894 / 2023 / RAINBOW TROUT</x:v>
      </x:c>
    </x:row>
    <x:row r="42" ht="23" customHeight="1">
      <x:c r="A42" s="8" t="str">
        <x:v>Anderson Dam</x:v>
      </x:c>
      <x:c r="B42" s="8" t="str">
        <x:v>17894</x:v>
      </x:c>
      <x:c r="C42" s="17" t="n">
        <x:v>2021</x:v>
      </x:c>
      <x:c r="D42" s="8" t="str">
        <x:v>RAINBOW TROUT</x:v>
      </x:c>
      <x:c r="E42" s="13" t="n">
        <x:f>SUMIFS('Stocking details'!$F$6:$F$3307,'Stocking details'!$I$6:$I$3307,G42)</x:f>
        <x:v>1000</x:v>
      </x:c>
      <x:c r="F42" s="13" t="n">
        <x:f>COUNTIFS('Stocking details'!$I$6:$I$3307,G42)</x:f>
        <x:v>1</x:v>
      </x:c>
      <x:c r="G42" s="8" t="str">
        <x:f>B42&amp;" / "&amp;C42&amp;" / "&amp;D42</x:f>
        <x:v>17894 / 2021 / RAINBOW TROUT</x:v>
      </x:c>
    </x:row>
    <x:row r="43" ht="23" customHeight="1">
      <x:c r="A43" s="8" t="str">
        <x:v>Ardmore Community Pond</x:v>
      </x:c>
      <x:c r="B43" s="8" t="str">
        <x:v>21353</x:v>
      </x:c>
      <x:c r="C43" s="17" t="n">
        <x:v>2026</x:v>
      </x:c>
      <x:c r="D43" s="8" t="str">
        <x:v>RAINBOW TROUT</x:v>
      </x:c>
      <x:c r="E43" s="13" t="n">
        <x:f>SUMIFS('Stocking details'!$F$6:$F$3307,'Stocking details'!$I$6:$I$3307,G43)</x:f>
        <x:v>400</x:v>
      </x:c>
      <x:c r="F43" s="13" t="n">
        <x:f>COUNTIFS('Stocking details'!$I$6:$I$3307,G43)</x:f>
        <x:v>1</x:v>
      </x:c>
      <x:c r="G43" s="8" t="str">
        <x:f>B43&amp;" / "&amp;C43&amp;" / "&amp;D43</x:f>
        <x:v>21353 / 2026 / RAINBOW TROUT</x:v>
      </x:c>
    </x:row>
    <x:row r="44" ht="23" customHeight="1">
      <x:c r="A44" s="8" t="str">
        <x:v>Ardmore Community Pond</x:v>
      </x:c>
      <x:c r="B44" s="8" t="str">
        <x:v>21353</x:v>
      </x:c>
      <x:c r="C44" s="17" t="n">
        <x:v>2025</x:v>
      </x:c>
      <x:c r="D44" s="8" t="str">
        <x:v>RAINBOW TROUT</x:v>
      </x:c>
      <x:c r="E44" s="13" t="n">
        <x:f>SUMIFS('Stocking details'!$F$6:$F$3307,'Stocking details'!$I$6:$I$3307,G44)</x:f>
        <x:v>600</x:v>
      </x:c>
      <x:c r="F44" s="13" t="n">
        <x:f>COUNTIFS('Stocking details'!$I$6:$I$3307,G44)</x:f>
        <x:v>2</x:v>
      </x:c>
      <x:c r="G44" s="8" t="str">
        <x:f>B44&amp;" / "&amp;C44&amp;" / "&amp;D44</x:f>
        <x:v>21353 / 2025 / RAINBOW TROUT</x:v>
      </x:c>
    </x:row>
    <x:row r="45" ht="23" customHeight="1">
      <x:c r="A45" s="8" t="str">
        <x:v>Ardmore Community Pond</x:v>
      </x:c>
      <x:c r="B45" s="8" t="str">
        <x:v>21353</x:v>
      </x:c>
      <x:c r="C45" s="17" t="n">
        <x:v>2024</x:v>
      </x:c>
      <x:c r="D45" s="8" t="str">
        <x:v>RAINBOW TROUT</x:v>
      </x:c>
      <x:c r="E45" s="13" t="n">
        <x:f>SUMIFS('Stocking details'!$F$6:$F$3307,'Stocking details'!$I$6:$I$3307,G45)</x:f>
        <x:v>160</x:v>
      </x:c>
      <x:c r="F45" s="13" t="n">
        <x:f>COUNTIFS('Stocking details'!$I$6:$I$3307,G45)</x:f>
        <x:v>1</x:v>
      </x:c>
      <x:c r="G45" s="8" t="str">
        <x:f>B45&amp;" / "&amp;C45&amp;" / "&amp;D45</x:f>
        <x:v>21353 / 2024 / RAINBOW TROUT</x:v>
      </x:c>
    </x:row>
    <x:row r="46" ht="23" customHeight="1">
      <x:c r="A46" s="8" t="str">
        <x:v>Ardmore Community Pond</x:v>
      </x:c>
      <x:c r="B46" s="8" t="str">
        <x:v>21353</x:v>
      </x:c>
      <x:c r="C46" s="17" t="n">
        <x:v>2023</x:v>
      </x:c>
      <x:c r="D46" s="8" t="str">
        <x:v>RAINBOW TROUT</x:v>
      </x:c>
      <x:c r="E46" s="13" t="n">
        <x:f>SUMIFS('Stocking details'!$F$6:$F$3307,'Stocking details'!$I$6:$I$3307,G46)</x:f>
        <x:v>160</x:v>
      </x:c>
      <x:c r="F46" s="13" t="n">
        <x:f>COUNTIFS('Stocking details'!$I$6:$I$3307,G46)</x:f>
        <x:v>1</x:v>
      </x:c>
      <x:c r="G46" s="8" t="str">
        <x:f>B46&amp;" / "&amp;C46&amp;" / "&amp;D46</x:f>
        <x:v>21353 / 2023 / RAINBOW TROUT</x:v>
      </x:c>
    </x:row>
    <x:row r="47" ht="23" customHeight="1">
      <x:c r="A47" s="8" t="str">
        <x:v>Ardmore Community Pond</x:v>
      </x:c>
      <x:c r="B47" s="8" t="str">
        <x:v>21353</x:v>
      </x:c>
      <x:c r="C47" s="17" t="n">
        <x:v>2022</x:v>
      </x:c>
      <x:c r="D47" s="8" t="str">
        <x:v>RAINBOW TROUT</x:v>
      </x:c>
      <x:c r="E47" s="13" t="n">
        <x:f>SUMIFS('Stocking details'!$F$6:$F$3307,'Stocking details'!$I$6:$I$3307,G47)</x:f>
        <x:v>400</x:v>
      </x:c>
      <x:c r="F47" s="13" t="n">
        <x:f>COUNTIFS('Stocking details'!$I$6:$I$3307,G47)</x:f>
        <x:v>1</x:v>
      </x:c>
      <x:c r="G47" s="8" t="str">
        <x:f>B47&amp;" / "&amp;C47&amp;" / "&amp;D47</x:f>
        <x:v>21353 / 2022 / RAINBOW TROUT</x:v>
      </x:c>
    </x:row>
    <x:row r="48" ht="23" customHeight="1">
      <x:c r="A48" s="8" t="str">
        <x:v>Ardmore Community Pond</x:v>
      </x:c>
      <x:c r="B48" s="8" t="str">
        <x:v>21353</x:v>
      </x:c>
      <x:c r="C48" s="17" t="n">
        <x:v>2021</x:v>
      </x:c>
      <x:c r="D48" s="8" t="str">
        <x:v>RAINBOW TROUT</x:v>
      </x:c>
      <x:c r="E48" s="13" t="n">
        <x:f>SUMIFS('Stocking details'!$F$6:$F$3307,'Stocking details'!$I$6:$I$3307,G48)</x:f>
        <x:v>400</x:v>
      </x:c>
      <x:c r="F48" s="13" t="n">
        <x:f>COUNTIFS('Stocking details'!$I$6:$I$3307,G48)</x:f>
        <x:v>2</x:v>
      </x:c>
      <x:c r="G48" s="8" t="str">
        <x:f>B48&amp;" / "&amp;C48&amp;" / "&amp;D48</x:f>
        <x:v>21353 / 2021 / RAINBOW TROUT</x:v>
      </x:c>
    </x:row>
    <x:row r="49" ht="23" customHeight="1">
      <x:c r="A49" s="8" t="str">
        <x:v>Ashland Reservoir</x:v>
      </x:c>
      <x:c r="B49" s="8" t="str">
        <x:v>6903</x:v>
      </x:c>
      <x:c r="C49" s="17" t="n">
        <x:v>2026</x:v>
      </x:c>
      <x:c r="D49" s="8" t="str">
        <x:v>RAINBOW TROUT</x:v>
      </x:c>
      <x:c r="E49" s="13" t="n">
        <x:f>SUMIFS('Stocking details'!$F$6:$F$3307,'Stocking details'!$I$6:$I$3307,G49)</x:f>
        <x:v>8000</x:v>
      </x:c>
      <x:c r="F49" s="13" t="n">
        <x:f>COUNTIFS('Stocking details'!$I$6:$I$3307,G49)</x:f>
        <x:v>1</x:v>
      </x:c>
      <x:c r="G49" s="8" t="str">
        <x:f>B49&amp;" / "&amp;C49&amp;" / "&amp;D49</x:f>
        <x:v>6903 / 2026 / RAINBOW TROUT</x:v>
      </x:c>
    </x:row>
    <x:row r="50" ht="23" customHeight="1">
      <x:c r="A50" s="8" t="str">
        <x:v>Ashland Reservoir</x:v>
      </x:c>
      <x:c r="B50" s="8" t="str">
        <x:v>6903</x:v>
      </x:c>
      <x:c r="C50" s="17" t="n">
        <x:v>2025</x:v>
      </x:c>
      <x:c r="D50" s="8" t="str">
        <x:v>RAINBOW TROUT</x:v>
      </x:c>
      <x:c r="E50" s="13" t="n">
        <x:f>SUMIFS('Stocking details'!$F$6:$F$3307,'Stocking details'!$I$6:$I$3307,G50)</x:f>
        <x:v>8000</x:v>
      </x:c>
      <x:c r="F50" s="13" t="n">
        <x:f>COUNTIFS('Stocking details'!$I$6:$I$3307,G50)</x:f>
        <x:v>1</x:v>
      </x:c>
      <x:c r="G50" s="8" t="str">
        <x:f>B50&amp;" / "&amp;C50&amp;" / "&amp;D50</x:f>
        <x:v>6903 / 2025 / RAINBOW TROUT</x:v>
      </x:c>
    </x:row>
    <x:row r="51" ht="23" customHeight="1">
      <x:c r="A51" s="8" t="str">
        <x:v>Ashland Reservoir</x:v>
      </x:c>
      <x:c r="B51" s="8" t="str">
        <x:v>6903</x:v>
      </x:c>
      <x:c r="C51" s="17" t="n">
        <x:v>2024</x:v>
      </x:c>
      <x:c r="D51" s="8" t="str">
        <x:v>RAINBOW TROUT</x:v>
      </x:c>
      <x:c r="E51" s="13" t="n">
        <x:f>SUMIFS('Stocking details'!$F$6:$F$3307,'Stocking details'!$I$6:$I$3307,G51)</x:f>
        <x:v>3200</x:v>
      </x:c>
      <x:c r="F51" s="13" t="n">
        <x:f>COUNTIFS('Stocking details'!$I$6:$I$3307,G51)</x:f>
        <x:v>1</x:v>
      </x:c>
      <x:c r="G51" s="8" t="str">
        <x:f>B51&amp;" / "&amp;C51&amp;" / "&amp;D51</x:f>
        <x:v>6903 / 2024 / RAINBOW TROUT</x:v>
      </x:c>
    </x:row>
    <x:row r="52" ht="23" customHeight="1">
      <x:c r="A52" s="8" t="str">
        <x:v>Ashland Reservoir</x:v>
      </x:c>
      <x:c r="B52" s="8" t="str">
        <x:v>6903</x:v>
      </x:c>
      <x:c r="C52" s="17" t="n">
        <x:v>2023</x:v>
      </x:c>
      <x:c r="D52" s="8" t="str">
        <x:v>RAINBOW TROUT</x:v>
      </x:c>
      <x:c r="E52" s="13" t="n">
        <x:f>SUMIFS('Stocking details'!$F$6:$F$3307,'Stocking details'!$I$6:$I$3307,G52)</x:f>
        <x:v>7192</x:v>
      </x:c>
      <x:c r="F52" s="13" t="n">
        <x:f>COUNTIFS('Stocking details'!$I$6:$I$3307,G52)</x:f>
        <x:v>2</x:v>
      </x:c>
      <x:c r="G52" s="8" t="str">
        <x:f>B52&amp;" / "&amp;C52&amp;" / "&amp;D52</x:f>
        <x:v>6903 / 2023 / RAINBOW TROUT</x:v>
      </x:c>
    </x:row>
    <x:row r="53" ht="23" customHeight="1">
      <x:c r="A53" s="8" t="str">
        <x:v>Ashland Reservoir</x:v>
      </x:c>
      <x:c r="B53" s="8" t="str">
        <x:v>6903</x:v>
      </x:c>
      <x:c r="C53" s="17" t="n">
        <x:v>2022</x:v>
      </x:c>
      <x:c r="D53" s="8" t="str">
        <x:v>RAINBOW TROUT</x:v>
      </x:c>
      <x:c r="E53" s="13" t="n">
        <x:f>SUMIFS('Stocking details'!$F$6:$F$3307,'Stocking details'!$I$6:$I$3307,G53)</x:f>
        <x:v>9500</x:v>
      </x:c>
      <x:c r="F53" s="13" t="n">
        <x:f>COUNTIFS('Stocking details'!$I$6:$I$3307,G53)</x:f>
        <x:v>2</x:v>
      </x:c>
      <x:c r="G53" s="8" t="str">
        <x:f>B53&amp;" / "&amp;C53&amp;" / "&amp;D53</x:f>
        <x:v>6903 / 2022 / RAINBOW TROUT</x:v>
      </x:c>
    </x:row>
    <x:row r="54" ht="23" customHeight="1">
      <x:c r="A54" s="8" t="str">
        <x:v>Ashland Reservoir</x:v>
      </x:c>
      <x:c r="B54" s="8" t="str">
        <x:v>6903</x:v>
      </x:c>
      <x:c r="C54" s="17" t="n">
        <x:v>2021</x:v>
      </x:c>
      <x:c r="D54" s="8" t="str">
        <x:v>RAINBOW TROUT</x:v>
      </x:c>
      <x:c r="E54" s="13" t="n">
        <x:f>SUMIFS('Stocking details'!$F$6:$F$3307,'Stocking details'!$I$6:$I$3307,G54)</x:f>
        <x:v>10000</x:v>
      </x:c>
      <x:c r="F54" s="13" t="n">
        <x:f>COUNTIFS('Stocking details'!$I$6:$I$3307,G54)</x:f>
        <x:v>2</x:v>
      </x:c>
      <x:c r="G54" s="8" t="str">
        <x:f>B54&amp;" / "&amp;C54&amp;" / "&amp;D54</x:f>
        <x:v>6903 / 2021 / RAINBOW TROUT</x:v>
      </x:c>
    </x:row>
    <x:row r="55" ht="23" customHeight="1">
      <x:c r="A55" s="8" t="str">
        <x:v>Aster Lake</x:v>
      </x:c>
      <x:c r="B55" s="8" t="str">
        <x:v>3948</x:v>
      </x:c>
      <x:c r="C55" s="17" t="n">
        <x:v>2025</x:v>
      </x:c>
      <x:c r="D55" s="8" t="str">
        <x:v>CUTTHROAT TROUT</x:v>
      </x:c>
      <x:c r="E55" s="13" t="n">
        <x:f>SUMIFS('Stocking details'!$F$6:$F$3307,'Stocking details'!$I$6:$I$3307,G55)</x:f>
        <x:v>1300</x:v>
      </x:c>
      <x:c r="F55" s="13" t="n">
        <x:f>COUNTIFS('Stocking details'!$I$6:$I$3307,G55)</x:f>
        <x:v>1</x:v>
      </x:c>
      <x:c r="G55" s="8" t="str">
        <x:f>B55&amp;" / "&amp;C55&amp;" / "&amp;D55</x:f>
        <x:v>3948 / 2025 / CUTTHROAT TROUT</x:v>
      </x:c>
    </x:row>
    <x:row r="56" ht="23" customHeight="1">
      <x:c r="A56" s="8" t="str">
        <x:v>Aster Lake</x:v>
      </x:c>
      <x:c r="B56" s="8" t="str">
        <x:v>3948</x:v>
      </x:c>
      <x:c r="C56" s="17" t="n">
        <x:v>2021</x:v>
      </x:c>
      <x:c r="D56" s="8" t="str">
        <x:v>CUTTHROAT TROUT</x:v>
      </x:c>
      <x:c r="E56" s="13" t="n">
        <x:f>SUMIFS('Stocking details'!$F$6:$F$3307,'Stocking details'!$I$6:$I$3307,G56)</x:f>
        <x:v>1300</x:v>
      </x:c>
      <x:c r="F56" s="13" t="n">
        <x:f>COUNTIFS('Stocking details'!$I$6:$I$3307,G56)</x:f>
        <x:v>1</x:v>
      </x:c>
      <x:c r="G56" s="8" t="str">
        <x:f>B56&amp;" / "&amp;C56&amp;" / "&amp;D56</x:f>
        <x:v>3948 / 2021 / CUTTHROAT TROUT</x:v>
      </x:c>
    </x:row>
    <x:row r="57" ht="23" customHeight="1">
      <x:c r="A57" s="8" t="str">
        <x:v>Atlantic Richfield Reservoir</x:v>
      </x:c>
      <x:c r="B57" s="8" t="str">
        <x:v>6904</x:v>
      </x:c>
      <x:c r="C57" s="17" t="n">
        <x:v>2026</x:v>
      </x:c>
      <x:c r="D57" s="8" t="str">
        <x:v>RAINBOW TROUT</x:v>
      </x:c>
      <x:c r="E57" s="13" t="n">
        <x:f>SUMIFS('Stocking details'!$F$6:$F$3307,'Stocking details'!$I$6:$I$3307,G57)</x:f>
        <x:v>1800</x:v>
      </x:c>
      <x:c r="F57" s="13" t="n">
        <x:f>COUNTIFS('Stocking details'!$I$6:$I$3307,G57)</x:f>
        <x:v>1</x:v>
      </x:c>
      <x:c r="G57" s="8" t="str">
        <x:f>B57&amp;" / "&amp;C57&amp;" / "&amp;D57</x:f>
        <x:v>6904 / 2026 / RAINBOW TROUT</x:v>
      </x:c>
    </x:row>
    <x:row r="58" ht="23" customHeight="1">
      <x:c r="A58" s="8" t="str">
        <x:v>Atlantic Richfield Reservoir</x:v>
      </x:c>
      <x:c r="B58" s="8" t="str">
        <x:v>6904</x:v>
      </x:c>
      <x:c r="C58" s="17" t="n">
        <x:v>2025</x:v>
      </x:c>
      <x:c r="D58" s="8" t="str">
        <x:v>RAINBOW TROUT</x:v>
      </x:c>
      <x:c r="E58" s="13" t="n">
        <x:f>SUMIFS('Stocking details'!$F$6:$F$3307,'Stocking details'!$I$6:$I$3307,G58)</x:f>
        <x:v>1800</x:v>
      </x:c>
      <x:c r="F58" s="13" t="n">
        <x:f>COUNTIFS('Stocking details'!$I$6:$I$3307,G58)</x:f>
        <x:v>1</x:v>
      </x:c>
      <x:c r="G58" s="8" t="str">
        <x:f>B58&amp;" / "&amp;C58&amp;" / "&amp;D58</x:f>
        <x:v>6904 / 2025 / RAINBOW TROUT</x:v>
      </x:c>
    </x:row>
    <x:row r="59" ht="23" customHeight="1">
      <x:c r="A59" s="8" t="str">
        <x:v>Atlantic Richfield Reservoir</x:v>
      </x:c>
      <x:c r="B59" s="8" t="str">
        <x:v>6904</x:v>
      </x:c>
      <x:c r="C59" s="17" t="n">
        <x:v>2024</x:v>
      </x:c>
      <x:c r="D59" s="8" t="str">
        <x:v>RAINBOW TROUT</x:v>
      </x:c>
      <x:c r="E59" s="13" t="n">
        <x:f>SUMIFS('Stocking details'!$F$6:$F$3307,'Stocking details'!$I$6:$I$3307,G59)</x:f>
        <x:v>1220</x:v>
      </x:c>
      <x:c r="F59" s="13" t="n">
        <x:f>COUNTIFS('Stocking details'!$I$6:$I$3307,G59)</x:f>
        <x:v>1</x:v>
      </x:c>
      <x:c r="G59" s="8" t="str">
        <x:f>B59&amp;" / "&amp;C59&amp;" / "&amp;D59</x:f>
        <x:v>6904 / 2024 / RAINBOW TROUT</x:v>
      </x:c>
    </x:row>
    <x:row r="60" ht="23" customHeight="1">
      <x:c r="A60" s="8" t="str">
        <x:v>Atlantic Richfield Reservoir</x:v>
      </x:c>
      <x:c r="B60" s="8" t="str">
        <x:v>6904</x:v>
      </x:c>
      <x:c r="C60" s="17" t="n">
        <x:v>2023</x:v>
      </x:c>
      <x:c r="D60" s="8" t="str">
        <x:v>RAINBOW TROUT</x:v>
      </x:c>
      <x:c r="E60" s="13" t="n">
        <x:f>SUMIFS('Stocking details'!$F$6:$F$3307,'Stocking details'!$I$6:$I$3307,G60)</x:f>
        <x:v>2702</x:v>
      </x:c>
      <x:c r="F60" s="13" t="n">
        <x:f>COUNTIFS('Stocking details'!$I$6:$I$3307,G60)</x:f>
        <x:v>2</x:v>
      </x:c>
      <x:c r="G60" s="8" t="str">
        <x:f>B60&amp;" / "&amp;C60&amp;" / "&amp;D60</x:f>
        <x:v>6904 / 2023 / RAINBOW TROUT</x:v>
      </x:c>
    </x:row>
    <x:row r="61" ht="23" customHeight="1">
      <x:c r="A61" s="8" t="str">
        <x:v>Atlantic Richfield Reservoir</x:v>
      </x:c>
      <x:c r="B61" s="8" t="str">
        <x:v>6904</x:v>
      </x:c>
      <x:c r="C61" s="17" t="n">
        <x:v>2022</x:v>
      </x:c>
      <x:c r="D61" s="8" t="str">
        <x:v>RAINBOW TROUT</x:v>
      </x:c>
      <x:c r="E61" s="13" t="n">
        <x:f>SUMIFS('Stocking details'!$F$6:$F$3307,'Stocking details'!$I$6:$I$3307,G61)</x:f>
        <x:v>1800</x:v>
      </x:c>
      <x:c r="F61" s="13" t="n">
        <x:f>COUNTIFS('Stocking details'!$I$6:$I$3307,G61)</x:f>
        <x:v>1</x:v>
      </x:c>
      <x:c r="G61" s="8" t="str">
        <x:f>B61&amp;" / "&amp;C61&amp;" / "&amp;D61</x:f>
        <x:v>6904 / 2022 / RAINBOW TROUT</x:v>
      </x:c>
    </x:row>
    <x:row r="62" ht="23" customHeight="1">
      <x:c r="A62" s="8" t="str">
        <x:v>Atlantic Richfield Reservoir</x:v>
      </x:c>
      <x:c r="B62" s="8" t="str">
        <x:v>6904</x:v>
      </x:c>
      <x:c r="C62" s="17" t="n">
        <x:v>2021</x:v>
      </x:c>
      <x:c r="D62" s="8" t="str">
        <x:v>RAINBOW TROUT</x:v>
      </x:c>
      <x:c r="E62" s="13" t="n">
        <x:f>SUMIFS('Stocking details'!$F$6:$F$3307,'Stocking details'!$I$6:$I$3307,G62)</x:f>
        <x:v>1800</x:v>
      </x:c>
      <x:c r="F62" s="13" t="n">
        <x:f>COUNTIFS('Stocking details'!$I$6:$I$3307,G62)</x:f>
        <x:v>1</x:v>
      </x:c>
      <x:c r="G62" s="8" t="str">
        <x:f>B62&amp;" / "&amp;C62&amp;" / "&amp;D62</x:f>
        <x:v>6904 / 2021 / RAINBOW TROUT</x:v>
      </x:c>
    </x:row>
    <x:row r="63" ht="23" customHeight="1">
      <x:c r="A63" s="8" t="str">
        <x:v>Badger Lake Reservoir</x:v>
      </x:c>
      <x:c r="B63" s="8" t="str">
        <x:v>3959</x:v>
      </x:c>
      <x:c r="C63" s="17" t="n">
        <x:v>2023</x:v>
      </x:c>
      <x:c r="D63" s="8" t="str">
        <x:v>WALLEYE</x:v>
      </x:c>
      <x:c r="E63" s="13" t="n">
        <x:f>SUMIFS('Stocking details'!$F$6:$F$3307,'Stocking details'!$I$6:$I$3307,G63)</x:f>
        <x:v>213000</x:v>
      </x:c>
      <x:c r="F63" s="13" t="n">
        <x:f>COUNTIFS('Stocking details'!$I$6:$I$3307,G63)</x:f>
        <x:v>1</x:v>
      </x:c>
      <x:c r="G63" s="8" t="str">
        <x:f>B63&amp;" / "&amp;C63&amp;" / "&amp;D63</x:f>
        <x:v>3959 / 2023 / WALLEYE</x:v>
      </x:c>
    </x:row>
    <x:row r="64" ht="23" customHeight="1">
      <x:c r="A64" s="8" t="str">
        <x:v>Bashaw Pond</x:v>
      </x:c>
      <x:c r="B64" s="8" t="str">
        <x:v>6905</x:v>
      </x:c>
      <x:c r="C64" s="17" t="n">
        <x:v>2026</x:v>
      </x:c>
      <x:c r="D64" s="8" t="str">
        <x:v>BROOK TROUT</x:v>
      </x:c>
      <x:c r="E64" s="13" t="n">
        <x:f>SUMIFS('Stocking details'!$F$6:$F$3307,'Stocking details'!$I$6:$I$3307,G64)</x:f>
        <x:v>200</x:v>
      </x:c>
      <x:c r="F64" s="13" t="n">
        <x:f>COUNTIFS('Stocking details'!$I$6:$I$3307,G64)</x:f>
        <x:v>1</x:v>
      </x:c>
      <x:c r="G64" s="8" t="str">
        <x:f>B64&amp;" / "&amp;C64&amp;" / "&amp;D64</x:f>
        <x:v>6905 / 2026 / BROOK TROUT</x:v>
      </x:c>
    </x:row>
    <x:row r="65" ht="23" customHeight="1">
      <x:c r="A65" s="8" t="str">
        <x:v>Bashaw Pond</x:v>
      </x:c>
      <x:c r="B65" s="8" t="str">
        <x:v>6905</x:v>
      </x:c>
      <x:c r="C65" s="17" t="n">
        <x:v>2026</x:v>
      </x:c>
      <x:c r="D65" s="8" t="str">
        <x:v>RAINBOW TROUT</x:v>
      </x:c>
      <x:c r="E65" s="13" t="n">
        <x:f>SUMIFS('Stocking details'!$F$6:$F$3307,'Stocking details'!$I$6:$I$3307,G65)</x:f>
        <x:v>500</x:v>
      </x:c>
      <x:c r="F65" s="13" t="n">
        <x:f>COUNTIFS('Stocking details'!$I$6:$I$3307,G65)</x:f>
        <x:v>1</x:v>
      </x:c>
      <x:c r="G65" s="8" t="str">
        <x:f>B65&amp;" / "&amp;C65&amp;" / "&amp;D65</x:f>
        <x:v>6905 / 2026 / RAINBOW TROUT</x:v>
      </x:c>
    </x:row>
    <x:row r="66" ht="23" customHeight="1">
      <x:c r="A66" s="8" t="str">
        <x:v>Bashaw Pond</x:v>
      </x:c>
      <x:c r="B66" s="8" t="str">
        <x:v>6905</x:v>
      </x:c>
      <x:c r="C66" s="17" t="n">
        <x:v>2025</x:v>
      </x:c>
      <x:c r="D66" s="8" t="str">
        <x:v>BROOK TROUT</x:v>
      </x:c>
      <x:c r="E66" s="13" t="n">
        <x:f>SUMIFS('Stocking details'!$F$6:$F$3307,'Stocking details'!$I$6:$I$3307,G66)</x:f>
        <x:v>200</x:v>
      </x:c>
      <x:c r="F66" s="13" t="n">
        <x:f>COUNTIFS('Stocking details'!$I$6:$I$3307,G66)</x:f>
        <x:v>1</x:v>
      </x:c>
      <x:c r="G66" s="8" t="str">
        <x:f>B66&amp;" / "&amp;C66&amp;" / "&amp;D66</x:f>
        <x:v>6905 / 2025 / BROOK TROUT</x:v>
      </x:c>
    </x:row>
    <x:row r="67" ht="23" customHeight="1">
      <x:c r="A67" s="8" t="str">
        <x:v>Bashaw Pond</x:v>
      </x:c>
      <x:c r="B67" s="8" t="str">
        <x:v>6905</x:v>
      </x:c>
      <x:c r="C67" s="17" t="n">
        <x:v>2025</x:v>
      </x:c>
      <x:c r="D67" s="8" t="str">
        <x:v>RAINBOW TROUT</x:v>
      </x:c>
      <x:c r="E67" s="13" t="n">
        <x:f>SUMIFS('Stocking details'!$F$6:$F$3307,'Stocking details'!$I$6:$I$3307,G67)</x:f>
        <x:v>500</x:v>
      </x:c>
      <x:c r="F67" s="13" t="n">
        <x:f>COUNTIFS('Stocking details'!$I$6:$I$3307,G67)</x:f>
        <x:v>1</x:v>
      </x:c>
      <x:c r="G67" s="8" t="str">
        <x:f>B67&amp;" / "&amp;C67&amp;" / "&amp;D67</x:f>
        <x:v>6905 / 2025 / RAINBOW TROUT</x:v>
      </x:c>
    </x:row>
    <x:row r="68" ht="23" customHeight="1">
      <x:c r="A68" s="8" t="str">
        <x:v>Bashaw Pond</x:v>
      </x:c>
      <x:c r="B68" s="8" t="str">
        <x:v>6905</x:v>
      </x:c>
      <x:c r="C68" s="17" t="n">
        <x:v>2024</x:v>
      </x:c>
      <x:c r="D68" s="8" t="str">
        <x:v>BROOK TROUT</x:v>
      </x:c>
      <x:c r="E68" s="13" t="n">
        <x:f>SUMIFS('Stocking details'!$F$6:$F$3307,'Stocking details'!$I$6:$I$3307,G68)</x:f>
        <x:v>200</x:v>
      </x:c>
      <x:c r="F68" s="13" t="n">
        <x:f>COUNTIFS('Stocking details'!$I$6:$I$3307,G68)</x:f>
        <x:v>1</x:v>
      </x:c>
      <x:c r="G68" s="8" t="str">
        <x:f>B68&amp;" / "&amp;C68&amp;" / "&amp;D68</x:f>
        <x:v>6905 / 2024 / BROOK TROUT</x:v>
      </x:c>
    </x:row>
    <x:row r="69" ht="23" customHeight="1">
      <x:c r="A69" s="8" t="str">
        <x:v>Bashaw Pond</x:v>
      </x:c>
      <x:c r="B69" s="8" t="str">
        <x:v>6905</x:v>
      </x:c>
      <x:c r="C69" s="17" t="n">
        <x:v>2024</x:v>
      </x:c>
      <x:c r="D69" s="8" t="str">
        <x:v>RAINBOW TROUT</x:v>
      </x:c>
      <x:c r="E69" s="13" t="n">
        <x:f>SUMIFS('Stocking details'!$F$6:$F$3307,'Stocking details'!$I$6:$I$3307,G69)</x:f>
        <x:v>500</x:v>
      </x:c>
      <x:c r="F69" s="13" t="n">
        <x:f>COUNTIFS('Stocking details'!$I$6:$I$3307,G69)</x:f>
        <x:v>1</x:v>
      </x:c>
      <x:c r="G69" s="8" t="str">
        <x:f>B69&amp;" / "&amp;C69&amp;" / "&amp;D69</x:f>
        <x:v>6905 / 2024 / RAINBOW TROUT</x:v>
      </x:c>
    </x:row>
    <x:row r="70" ht="23" customHeight="1">
      <x:c r="A70" s="8" t="str">
        <x:v>Bashaw Pond</x:v>
      </x:c>
      <x:c r="B70" s="8" t="str">
        <x:v>6905</x:v>
      </x:c>
      <x:c r="C70" s="17" t="n">
        <x:v>2023</x:v>
      </x:c>
      <x:c r="D70" s="8" t="str">
        <x:v>BROOK TROUT</x:v>
      </x:c>
      <x:c r="E70" s="13" t="n">
        <x:f>SUMIFS('Stocking details'!$F$6:$F$3307,'Stocking details'!$I$6:$I$3307,G70)</x:f>
        <x:v>200</x:v>
      </x:c>
      <x:c r="F70" s="13" t="n">
        <x:f>COUNTIFS('Stocking details'!$I$6:$I$3307,G70)</x:f>
        <x:v>1</x:v>
      </x:c>
      <x:c r="G70" s="8" t="str">
        <x:f>B70&amp;" / "&amp;C70&amp;" / "&amp;D70</x:f>
        <x:v>6905 / 2023 / BROOK TROUT</x:v>
      </x:c>
    </x:row>
    <x:row r="71" ht="23" customHeight="1">
      <x:c r="A71" s="8" t="str">
        <x:v>Bashaw Pond</x:v>
      </x:c>
      <x:c r="B71" s="8" t="str">
        <x:v>6905</x:v>
      </x:c>
      <x:c r="C71" s="17" t="n">
        <x:v>2023</x:v>
      </x:c>
      <x:c r="D71" s="8" t="str">
        <x:v>RAINBOW TROUT</x:v>
      </x:c>
      <x:c r="E71" s="13" t="n">
        <x:f>SUMIFS('Stocking details'!$F$6:$F$3307,'Stocking details'!$I$6:$I$3307,G71)</x:f>
        <x:v>500</x:v>
      </x:c>
      <x:c r="F71" s="13" t="n">
        <x:f>COUNTIFS('Stocking details'!$I$6:$I$3307,G71)</x:f>
        <x:v>1</x:v>
      </x:c>
      <x:c r="G71" s="8" t="str">
        <x:f>B71&amp;" / "&amp;C71&amp;" / "&amp;D71</x:f>
        <x:v>6905 / 2023 / RAINBOW TROUT</x:v>
      </x:c>
    </x:row>
    <x:row r="72" ht="23" customHeight="1">
      <x:c r="A72" s="8" t="str">
        <x:v>Bashaw Pond</x:v>
      </x:c>
      <x:c r="B72" s="8" t="str">
        <x:v>6905</x:v>
      </x:c>
      <x:c r="C72" s="17" t="n">
        <x:v>2022</x:v>
      </x:c>
      <x:c r="D72" s="8" t="str">
        <x:v>BROOK TROUT</x:v>
      </x:c>
      <x:c r="E72" s="13" t="n">
        <x:f>SUMIFS('Stocking details'!$F$6:$F$3307,'Stocking details'!$I$6:$I$3307,G72)</x:f>
        <x:v>200</x:v>
      </x:c>
      <x:c r="F72" s="13" t="n">
        <x:f>COUNTIFS('Stocking details'!$I$6:$I$3307,G72)</x:f>
        <x:v>1</x:v>
      </x:c>
      <x:c r="G72" s="8" t="str">
        <x:f>B72&amp;" / "&amp;C72&amp;" / "&amp;D72</x:f>
        <x:v>6905 / 2022 / BROOK TROUT</x:v>
      </x:c>
    </x:row>
    <x:row r="73" ht="23" customHeight="1">
      <x:c r="A73" s="8" t="str">
        <x:v>Bashaw Pond</x:v>
      </x:c>
      <x:c r="B73" s="8" t="str">
        <x:v>6905</x:v>
      </x:c>
      <x:c r="C73" s="17" t="n">
        <x:v>2022</x:v>
      </x:c>
      <x:c r="D73" s="8" t="str">
        <x:v>RAINBOW TROUT</x:v>
      </x:c>
      <x:c r="E73" s="13" t="n">
        <x:f>SUMIFS('Stocking details'!$F$6:$F$3307,'Stocking details'!$I$6:$I$3307,G73)</x:f>
        <x:v>500</x:v>
      </x:c>
      <x:c r="F73" s="13" t="n">
        <x:f>COUNTIFS('Stocking details'!$I$6:$I$3307,G73)</x:f>
        <x:v>1</x:v>
      </x:c>
      <x:c r="G73" s="8" t="str">
        <x:f>B73&amp;" / "&amp;C73&amp;" / "&amp;D73</x:f>
        <x:v>6905 / 2022 / RAINBOW TROUT</x:v>
      </x:c>
    </x:row>
    <x:row r="74" ht="23" customHeight="1">
      <x:c r="A74" s="8" t="str">
        <x:v>Bashaw Pond</x:v>
      </x:c>
      <x:c r="B74" s="8" t="str">
        <x:v>6905</x:v>
      </x:c>
      <x:c r="C74" s="17" t="n">
        <x:v>2021</x:v>
      </x:c>
      <x:c r="D74" s="8" t="str">
        <x:v>BROOK TROUT</x:v>
      </x:c>
      <x:c r="E74" s="13" t="n">
        <x:f>SUMIFS('Stocking details'!$F$6:$F$3307,'Stocking details'!$I$6:$I$3307,G74)</x:f>
        <x:v>200</x:v>
      </x:c>
      <x:c r="F74" s="13" t="n">
        <x:f>COUNTIFS('Stocking details'!$I$6:$I$3307,G74)</x:f>
        <x:v>1</x:v>
      </x:c>
      <x:c r="G74" s="8" t="str">
        <x:f>B74&amp;" / "&amp;C74&amp;" / "&amp;D74</x:f>
        <x:v>6905 / 2021 / BROOK TROUT</x:v>
      </x:c>
    </x:row>
    <x:row r="75" ht="23" customHeight="1">
      <x:c r="A75" s="8" t="str">
        <x:v>Bashaw Pond</x:v>
      </x:c>
      <x:c r="B75" s="8" t="str">
        <x:v>6905</x:v>
      </x:c>
      <x:c r="C75" s="17" t="n">
        <x:v>2021</x:v>
      </x:c>
      <x:c r="D75" s="8" t="str">
        <x:v>RAINBOW TROUT</x:v>
      </x:c>
      <x:c r="E75" s="13" t="n">
        <x:f>SUMIFS('Stocking details'!$F$6:$F$3307,'Stocking details'!$I$6:$I$3307,G75)</x:f>
        <x:v>500</x:v>
      </x:c>
      <x:c r="F75" s="13" t="n">
        <x:f>COUNTIFS('Stocking details'!$I$6:$I$3307,G75)</x:f>
        <x:v>1</x:v>
      </x:c>
      <x:c r="G75" s="8" t="str">
        <x:f>B75&amp;" / "&amp;C75&amp;" / "&amp;D75</x:f>
        <x:v>6905 / 2021 / RAINBOW TROUT</x:v>
      </x:c>
    </x:row>
    <x:row r="76" ht="23" customHeight="1">
      <x:c r="A76" s="8" t="str">
        <x:v>Bathing Lake</x:v>
      </x:c>
      <x:c r="B76" s="8" t="str">
        <x:v>6892</x:v>
      </x:c>
      <x:c r="C76" s="17" t="n">
        <x:v>2026</x:v>
      </x:c>
      <x:c r="D76" s="8" t="str">
        <x:v>RAINBOW TROUT</x:v>
      </x:c>
      <x:c r="E76" s="13" t="n">
        <x:f>SUMIFS('Stocking details'!$F$6:$F$3307,'Stocking details'!$I$6:$I$3307,G76)</x:f>
        <x:v>500</x:v>
      </x:c>
      <x:c r="F76" s="13" t="n">
        <x:f>COUNTIFS('Stocking details'!$I$6:$I$3307,G76)</x:f>
        <x:v>1</x:v>
      </x:c>
      <x:c r="G76" s="8" t="str">
        <x:f>B76&amp;" / "&amp;C76&amp;" / "&amp;D76</x:f>
        <x:v>6892 / 2026 / RAINBOW TROUT</x:v>
      </x:c>
    </x:row>
    <x:row r="77" ht="23" customHeight="1">
      <x:c r="A77" s="8" t="str">
        <x:v>Bathing Lake</x:v>
      </x:c>
      <x:c r="B77" s="8" t="str">
        <x:v>6892</x:v>
      </x:c>
      <x:c r="C77" s="17" t="n">
        <x:v>2026</x:v>
      </x:c>
      <x:c r="D77" s="8" t="str">
        <x:v>WESTSLOPE CUTTHROAT TROUT</x:v>
      </x:c>
      <x:c r="E77" s="13" t="n">
        <x:f>SUMIFS('Stocking details'!$F$6:$F$3307,'Stocking details'!$I$6:$I$3307,G77)</x:f>
        <x:v>500</x:v>
      </x:c>
      <x:c r="F77" s="13" t="n">
        <x:f>COUNTIFS('Stocking details'!$I$6:$I$3307,G77)</x:f>
        <x:v>1</x:v>
      </x:c>
      <x:c r="G77" s="8" t="str">
        <x:f>B77&amp;" / "&amp;C77&amp;" / "&amp;D77</x:f>
        <x:v>6892 / 2026 / WESTSLOPE CUTTHROAT TROUT</x:v>
      </x:c>
    </x:row>
    <x:row r="78" ht="23" customHeight="1">
      <x:c r="A78" s="8" t="str">
        <x:v>Bathing Lake</x:v>
      </x:c>
      <x:c r="B78" s="8" t="str">
        <x:v>6892</x:v>
      </x:c>
      <x:c r="C78" s="17" t="n">
        <x:v>2025</x:v>
      </x:c>
      <x:c r="D78" s="8" t="str">
        <x:v>CUTTHROAT TROUT</x:v>
      </x:c>
      <x:c r="E78" s="13" t="n">
        <x:f>SUMIFS('Stocking details'!$F$6:$F$3307,'Stocking details'!$I$6:$I$3307,G78)</x:f>
        <x:v>1000</x:v>
      </x:c>
      <x:c r="F78" s="13" t="n">
        <x:f>COUNTIFS('Stocking details'!$I$6:$I$3307,G78)</x:f>
        <x:v>1</x:v>
      </x:c>
      <x:c r="G78" s="8" t="str">
        <x:f>B78&amp;" / "&amp;C78&amp;" / "&amp;D78</x:f>
        <x:v>6892 / 2025 / CUTTHROAT TROUT</x:v>
      </x:c>
    </x:row>
    <x:row r="79" ht="23" customHeight="1">
      <x:c r="A79" s="8" t="str">
        <x:v>Bathing Lake</x:v>
      </x:c>
      <x:c r="B79" s="8" t="str">
        <x:v>6892</x:v>
      </x:c>
      <x:c r="C79" s="17" t="n">
        <x:v>2024</x:v>
      </x:c>
      <x:c r="D79" s="8" t="str">
        <x:v>RAINBOW TROUT</x:v>
      </x:c>
      <x:c r="E79" s="13" t="n">
        <x:f>SUMIFS('Stocking details'!$F$6:$F$3307,'Stocking details'!$I$6:$I$3307,G79)</x:f>
        <x:v>775</x:v>
      </x:c>
      <x:c r="F79" s="13" t="n">
        <x:f>COUNTIFS('Stocking details'!$I$6:$I$3307,G79)</x:f>
        <x:v>1</x:v>
      </x:c>
      <x:c r="G79" s="8" t="str">
        <x:f>B79&amp;" / "&amp;C79&amp;" / "&amp;D79</x:f>
        <x:v>6892 / 2024 / RAINBOW TROUT</x:v>
      </x:c>
    </x:row>
    <x:row r="80" ht="23" customHeight="1">
      <x:c r="A80" s="8" t="str">
        <x:v>Bathing Lake</x:v>
      </x:c>
      <x:c r="B80" s="8" t="str">
        <x:v>6892</x:v>
      </x:c>
      <x:c r="C80" s="17" t="n">
        <x:v>2023</x:v>
      </x:c>
      <x:c r="D80" s="8" t="str">
        <x:v>CUTTHROAT TROUT</x:v>
      </x:c>
      <x:c r="E80" s="13" t="n">
        <x:f>SUMIFS('Stocking details'!$F$6:$F$3307,'Stocking details'!$I$6:$I$3307,G80)</x:f>
        <x:v>775</x:v>
      </x:c>
      <x:c r="F80" s="13" t="n">
        <x:f>COUNTIFS('Stocking details'!$I$6:$I$3307,G80)</x:f>
        <x:v>1</x:v>
      </x:c>
      <x:c r="G80" s="8" t="str">
        <x:f>B80&amp;" / "&amp;C80&amp;" / "&amp;D80</x:f>
        <x:v>6892 / 2023 / CUTTHROAT TROUT</x:v>
      </x:c>
    </x:row>
    <x:row r="81" ht="23" customHeight="1">
      <x:c r="A81" s="8" t="str">
        <x:v>Bathing Lake</x:v>
      </x:c>
      <x:c r="B81" s="8" t="str">
        <x:v>6892</x:v>
      </x:c>
      <x:c r="C81" s="17" t="n">
        <x:v>2022</x:v>
      </x:c>
      <x:c r="D81" s="8" t="str">
        <x:v>CUTTHROAT TROUT</x:v>
      </x:c>
      <x:c r="E81" s="13" t="n">
        <x:f>SUMIFS('Stocking details'!$F$6:$F$3307,'Stocking details'!$I$6:$I$3307,G81)</x:f>
        <x:v>775</x:v>
      </x:c>
      <x:c r="F81" s="13" t="n">
        <x:f>COUNTIFS('Stocking details'!$I$6:$I$3307,G81)</x:f>
        <x:v>1</x:v>
      </x:c>
      <x:c r="G81" s="8" t="str">
        <x:f>B81&amp;" / "&amp;C81&amp;" / "&amp;D81</x:f>
        <x:v>6892 / 2022 / CUTTHROAT TROUT</x:v>
      </x:c>
    </x:row>
    <x:row r="82" ht="23" customHeight="1">
      <x:c r="A82" s="8" t="str">
        <x:v>Bathing Lake</x:v>
      </x:c>
      <x:c r="B82" s="8" t="str">
        <x:v>6892</x:v>
      </x:c>
      <x:c r="C82" s="17" t="n">
        <x:v>2021</x:v>
      </x:c>
      <x:c r="D82" s="8" t="str">
        <x:v>RAINBOW TROUT</x:v>
      </x:c>
      <x:c r="E82" s="13" t="n">
        <x:f>SUMIFS('Stocking details'!$F$6:$F$3307,'Stocking details'!$I$6:$I$3307,G82)</x:f>
        <x:v>775</x:v>
      </x:c>
      <x:c r="F82" s="13" t="n">
        <x:f>COUNTIFS('Stocking details'!$I$6:$I$3307,G82)</x:f>
        <x:v>1</x:v>
      </x:c>
      <x:c r="G82" s="8" t="str">
        <x:f>B82&amp;" / "&amp;C82&amp;" / "&amp;D82</x:f>
        <x:v>6892 / 2021 / RAINBOW TROUT</x:v>
      </x:c>
    </x:row>
    <x:row r="83" ht="23" customHeight="1">
      <x:c r="A83" s="8" t="str">
        <x:v>Bear Pond</x:v>
      </x:c>
      <x:c r="B83" s="8" t="str">
        <x:v>4005</x:v>
      </x:c>
      <x:c r="C83" s="17" t="n">
        <x:v>2026</x:v>
      </x:c>
      <x:c r="D83" s="8" t="str">
        <x:v>TIGER TROUT</x:v>
      </x:c>
      <x:c r="E83" s="13" t="n">
        <x:f>SUMIFS('Stocking details'!$F$6:$F$3307,'Stocking details'!$I$6:$I$3307,G83)</x:f>
        <x:v>750</x:v>
      </x:c>
      <x:c r="F83" s="13" t="n">
        <x:f>COUNTIFS('Stocking details'!$I$6:$I$3307,G83)</x:f>
        <x:v>1</x:v>
      </x:c>
      <x:c r="G83" s="8" t="str">
        <x:f>B83&amp;" / "&amp;C83&amp;" / "&amp;D83</x:f>
        <x:v>4005 / 2026 / TIGER TROUT</x:v>
      </x:c>
    </x:row>
    <x:row r="84" ht="23" customHeight="1">
      <x:c r="A84" s="8" t="str">
        <x:v>Bear Pond</x:v>
      </x:c>
      <x:c r="B84" s="8" t="str">
        <x:v>4005</x:v>
      </x:c>
      <x:c r="C84" s="17" t="n">
        <x:v>2025</x:v>
      </x:c>
      <x:c r="D84" s="8" t="str">
        <x:v>TIGER TROUT</x:v>
      </x:c>
      <x:c r="E84" s="13" t="n">
        <x:f>SUMIFS('Stocking details'!$F$6:$F$3307,'Stocking details'!$I$6:$I$3307,G84)</x:f>
        <x:v>750</x:v>
      </x:c>
      <x:c r="F84" s="13" t="n">
        <x:f>COUNTIFS('Stocking details'!$I$6:$I$3307,G84)</x:f>
        <x:v>1</x:v>
      </x:c>
      <x:c r="G84" s="8" t="str">
        <x:f>B84&amp;" / "&amp;C84&amp;" / "&amp;D84</x:f>
        <x:v>4005 / 2025 / TIGER TROUT</x:v>
      </x:c>
    </x:row>
    <x:row r="85" ht="23" customHeight="1">
      <x:c r="A85" s="8" t="str">
        <x:v>Bear Pond</x:v>
      </x:c>
      <x:c r="B85" s="8" t="str">
        <x:v>4005</x:v>
      </x:c>
      <x:c r="C85" s="17" t="n">
        <x:v>2024</x:v>
      </x:c>
      <x:c r="D85" s="8" t="str">
        <x:v>TIGER TROUT</x:v>
      </x:c>
      <x:c r="E85" s="13" t="n">
        <x:f>SUMIFS('Stocking details'!$F$6:$F$3307,'Stocking details'!$I$6:$I$3307,G85)</x:f>
        <x:v>750</x:v>
      </x:c>
      <x:c r="F85" s="13" t="n">
        <x:f>COUNTIFS('Stocking details'!$I$6:$I$3307,G85)</x:f>
        <x:v>1</x:v>
      </x:c>
      <x:c r="G85" s="8" t="str">
        <x:f>B85&amp;" / "&amp;C85&amp;" / "&amp;D85</x:f>
        <x:v>4005 / 2024 / TIGER TROUT</x:v>
      </x:c>
    </x:row>
    <x:row r="86" ht="23" customHeight="1">
      <x:c r="A86" s="8" t="str">
        <x:v>Bear Pond</x:v>
      </x:c>
      <x:c r="B86" s="8" t="str">
        <x:v>4005</x:v>
      </x:c>
      <x:c r="C86" s="17" t="n">
        <x:v>2023</x:v>
      </x:c>
      <x:c r="D86" s="8" t="str">
        <x:v>TIGER TROUT</x:v>
      </x:c>
      <x:c r="E86" s="13" t="n">
        <x:f>SUMIFS('Stocking details'!$F$6:$F$3307,'Stocking details'!$I$6:$I$3307,G86)</x:f>
        <x:v>750</x:v>
      </x:c>
      <x:c r="F86" s="13" t="n">
        <x:f>COUNTIFS('Stocking details'!$I$6:$I$3307,G86)</x:f>
        <x:v>1</x:v>
      </x:c>
      <x:c r="G86" s="8" t="str">
        <x:f>B86&amp;" / "&amp;C86&amp;" / "&amp;D86</x:f>
        <x:v>4005 / 2023 / TIGER TROUT</x:v>
      </x:c>
    </x:row>
    <x:row r="87" ht="23" customHeight="1">
      <x:c r="A87" s="8" t="str">
        <x:v>Bear Pond</x:v>
      </x:c>
      <x:c r="B87" s="8" t="str">
        <x:v>4005</x:v>
      </x:c>
      <x:c r="C87" s="17" t="n">
        <x:v>2022</x:v>
      </x:c>
      <x:c r="D87" s="8" t="str">
        <x:v>TIGER TROUT</x:v>
      </x:c>
      <x:c r="E87" s="13" t="n">
        <x:f>SUMIFS('Stocking details'!$F$6:$F$3307,'Stocking details'!$I$6:$I$3307,G87)</x:f>
        <x:v>750</x:v>
      </x:c>
      <x:c r="F87" s="13" t="n">
        <x:f>COUNTIFS('Stocking details'!$I$6:$I$3307,G87)</x:f>
        <x:v>1</x:v>
      </x:c>
      <x:c r="G87" s="8" t="str">
        <x:f>B87&amp;" / "&amp;C87&amp;" / "&amp;D87</x:f>
        <x:v>4005 / 2022 / TIGER TROUT</x:v>
      </x:c>
    </x:row>
    <x:row r="88" ht="23" customHeight="1">
      <x:c r="A88" s="8" t="str">
        <x:v>Bear Pond</x:v>
      </x:c>
      <x:c r="B88" s="8" t="str">
        <x:v>4005</x:v>
      </x:c>
      <x:c r="C88" s="17" t="n">
        <x:v>2021</x:v>
      </x:c>
      <x:c r="D88" s="8" t="str">
        <x:v>TIGER TROUT</x:v>
      </x:c>
      <x:c r="E88" s="13" t="n">
        <x:f>SUMIFS('Stocking details'!$F$6:$F$3307,'Stocking details'!$I$6:$I$3307,G88)</x:f>
        <x:v>750</x:v>
      </x:c>
      <x:c r="F88" s="13" t="n">
        <x:f>COUNTIFS('Stocking details'!$I$6:$I$3307,G88)</x:f>
        <x:v>1</x:v>
      </x:c>
      <x:c r="G88" s="8" t="str">
        <x:f>B88&amp;" / "&amp;C88&amp;" / "&amp;D88</x:f>
        <x:v>4005 / 2021 / TIGER TROUT</x:v>
      </x:c>
    </x:row>
    <x:row r="89" ht="23" customHeight="1">
      <x:c r="A89" s="8" t="str">
        <x:v>Beaumont Pond</x:v>
      </x:c>
      <x:c r="B89" s="8" t="str">
        <x:v>6893</x:v>
      </x:c>
      <x:c r="C89" s="17" t="n">
        <x:v>2026</x:v>
      </x:c>
      <x:c r="D89" s="8" t="str">
        <x:v>BROWN TROUT</x:v>
      </x:c>
      <x:c r="E89" s="13" t="n">
        <x:f>SUMIFS('Stocking details'!$F$6:$F$3307,'Stocking details'!$I$6:$I$3307,G89)</x:f>
        <x:v>1141</x:v>
      </x:c>
      <x:c r="F89" s="13" t="n">
        <x:f>COUNTIFS('Stocking details'!$I$6:$I$3307,G89)</x:f>
        <x:v>1</x:v>
      </x:c>
      <x:c r="G89" s="8" t="str">
        <x:f>B89&amp;" / "&amp;C89&amp;" / "&amp;D89</x:f>
        <x:v>6893 / 2026 / BROWN TROUT</x:v>
      </x:c>
    </x:row>
    <x:row r="90" ht="23" customHeight="1">
      <x:c r="A90" s="8" t="str">
        <x:v>Beaumont Pond</x:v>
      </x:c>
      <x:c r="B90" s="8" t="str">
        <x:v>6893</x:v>
      </x:c>
      <x:c r="C90" s="17" t="n">
        <x:v>2026</x:v>
      </x:c>
      <x:c r="D90" s="8" t="str">
        <x:v>TIGER TROUT</x:v>
      </x:c>
      <x:c r="E90" s="13" t="n">
        <x:f>SUMIFS('Stocking details'!$F$6:$F$3307,'Stocking details'!$I$6:$I$3307,G90)</x:f>
        <x:v>200</x:v>
      </x:c>
      <x:c r="F90" s="13" t="n">
        <x:f>COUNTIFS('Stocking details'!$I$6:$I$3307,G90)</x:f>
        <x:v>1</x:v>
      </x:c>
      <x:c r="G90" s="8" t="str">
        <x:f>B90&amp;" / "&amp;C90&amp;" / "&amp;D90</x:f>
        <x:v>6893 / 2026 / TIGER TROUT</x:v>
      </x:c>
    </x:row>
    <x:row r="91" ht="23" customHeight="1">
      <x:c r="A91" s="8" t="str">
        <x:v>Beaumont Pond</x:v>
      </x:c>
      <x:c r="B91" s="8" t="str">
        <x:v>6893</x:v>
      </x:c>
      <x:c r="C91" s="17" t="n">
        <x:v>2025</x:v>
      </x:c>
      <x:c r="D91" s="8" t="str">
        <x:v>BROWN TROUT</x:v>
      </x:c>
      <x:c r="E91" s="13" t="n">
        <x:f>SUMIFS('Stocking details'!$F$6:$F$3307,'Stocking details'!$I$6:$I$3307,G91)</x:f>
        <x:v>241</x:v>
      </x:c>
      <x:c r="F91" s="13" t="n">
        <x:f>COUNTIFS('Stocking details'!$I$6:$I$3307,G91)</x:f>
        <x:v>1</x:v>
      </x:c>
      <x:c r="G91" s="8" t="str">
        <x:f>B91&amp;" / "&amp;C91&amp;" / "&amp;D91</x:f>
        <x:v>6893 / 2025 / BROWN TROUT</x:v>
      </x:c>
    </x:row>
    <x:row r="92" ht="23" customHeight="1">
      <x:c r="A92" s="8" t="str">
        <x:v>Beaumont Pond</x:v>
      </x:c>
      <x:c r="B92" s="8" t="str">
        <x:v>6893</x:v>
      </x:c>
      <x:c r="C92" s="17" t="n">
        <x:v>2025</x:v>
      </x:c>
      <x:c r="D92" s="8" t="str">
        <x:v>RAINBOW TROUT</x:v>
      </x:c>
      <x:c r="E92" s="13" t="n">
        <x:f>SUMIFS('Stocking details'!$F$6:$F$3307,'Stocking details'!$I$6:$I$3307,G92)</x:f>
        <x:v>1000</x:v>
      </x:c>
      <x:c r="F92" s="13" t="n">
        <x:f>COUNTIFS('Stocking details'!$I$6:$I$3307,G92)</x:f>
        <x:v>1</x:v>
      </x:c>
      <x:c r="G92" s="8" t="str">
        <x:f>B92&amp;" / "&amp;C92&amp;" / "&amp;D92</x:f>
        <x:v>6893 / 2025 / RAINBOW TROUT</x:v>
      </x:c>
    </x:row>
    <x:row r="93" ht="23" customHeight="1">
      <x:c r="A93" s="8" t="str">
        <x:v>Beaumont Pond</x:v>
      </x:c>
      <x:c r="B93" s="8" t="str">
        <x:v>6893</x:v>
      </x:c>
      <x:c r="C93" s="17" t="n">
        <x:v>2025</x:v>
      </x:c>
      <x:c r="D93" s="8" t="str">
        <x:v>TIGER TROUT</x:v>
      </x:c>
      <x:c r="E93" s="13" t="n">
        <x:f>SUMIFS('Stocking details'!$F$6:$F$3307,'Stocking details'!$I$6:$I$3307,G93)</x:f>
        <x:v>200</x:v>
      </x:c>
      <x:c r="F93" s="13" t="n">
        <x:f>COUNTIFS('Stocking details'!$I$6:$I$3307,G93)</x:f>
        <x:v>1</x:v>
      </x:c>
      <x:c r="G93" s="8" t="str">
        <x:f>B93&amp;" / "&amp;C93&amp;" / "&amp;D93</x:f>
        <x:v>6893 / 2025 / TIGER TROUT</x:v>
      </x:c>
    </x:row>
    <x:row r="94" ht="23" customHeight="1">
      <x:c r="A94" s="8" t="str">
        <x:v>Beaumont Pond</x:v>
      </x:c>
      <x:c r="B94" s="8" t="str">
        <x:v>6893</x:v>
      </x:c>
      <x:c r="C94" s="17" t="n">
        <x:v>2024</x:v>
      </x:c>
      <x:c r="D94" s="8" t="str">
        <x:v>BROWN TROUT</x:v>
      </x:c>
      <x:c r="E94" s="13" t="n">
        <x:f>SUMIFS('Stocking details'!$F$6:$F$3307,'Stocking details'!$I$6:$I$3307,G94)</x:f>
        <x:v>241</x:v>
      </x:c>
      <x:c r="F94" s="13" t="n">
        <x:f>COUNTIFS('Stocking details'!$I$6:$I$3307,G94)</x:f>
        <x:v>1</x:v>
      </x:c>
      <x:c r="G94" s="8" t="str">
        <x:f>B94&amp;" / "&amp;C94&amp;" / "&amp;D94</x:f>
        <x:v>6893 / 2024 / BROWN TROUT</x:v>
      </x:c>
    </x:row>
    <x:row r="95" ht="23" customHeight="1">
      <x:c r="A95" s="8" t="str">
        <x:v>Beaumont Pond</x:v>
      </x:c>
      <x:c r="B95" s="8" t="str">
        <x:v>6893</x:v>
      </x:c>
      <x:c r="C95" s="17" t="n">
        <x:v>2024</x:v>
      </x:c>
      <x:c r="D95" s="8" t="str">
        <x:v>RAINBOW TROUT</x:v>
      </x:c>
      <x:c r="E95" s="13" t="n">
        <x:f>SUMIFS('Stocking details'!$F$6:$F$3307,'Stocking details'!$I$6:$I$3307,G95)</x:f>
        <x:v>2000</x:v>
      </x:c>
      <x:c r="F95" s="13" t="n">
        <x:f>COUNTIFS('Stocking details'!$I$6:$I$3307,G95)</x:f>
        <x:v>1</x:v>
      </x:c>
      <x:c r="G95" s="8" t="str">
        <x:f>B95&amp;" / "&amp;C95&amp;" / "&amp;D95</x:f>
        <x:v>6893 / 2024 / RAINBOW TROUT</x:v>
      </x:c>
    </x:row>
    <x:row r="96" ht="23" customHeight="1">
      <x:c r="A96" s="8" t="str">
        <x:v>Beaumont Pond</x:v>
      </x:c>
      <x:c r="B96" s="8" t="str">
        <x:v>6893</x:v>
      </x:c>
      <x:c r="C96" s="17" t="n">
        <x:v>2024</x:v>
      </x:c>
      <x:c r="D96" s="8" t="str">
        <x:v>TIGER TROUT</x:v>
      </x:c>
      <x:c r="E96" s="13" t="n">
        <x:f>SUMIFS('Stocking details'!$F$6:$F$3307,'Stocking details'!$I$6:$I$3307,G96)</x:f>
        <x:v>200</x:v>
      </x:c>
      <x:c r="F96" s="13" t="n">
        <x:f>COUNTIFS('Stocking details'!$I$6:$I$3307,G96)</x:f>
        <x:v>1</x:v>
      </x:c>
      <x:c r="G96" s="8" t="str">
        <x:f>B96&amp;" / "&amp;C96&amp;" / "&amp;D96</x:f>
        <x:v>6893 / 2024 / TIGER TROUT</x:v>
      </x:c>
    </x:row>
    <x:row r="97" ht="23" customHeight="1">
      <x:c r="A97" s="8" t="str">
        <x:v>Beaumont Pond</x:v>
      </x:c>
      <x:c r="B97" s="8" t="str">
        <x:v>6893</x:v>
      </x:c>
      <x:c r="C97" s="17" t="n">
        <x:v>2023</x:v>
      </x:c>
      <x:c r="D97" s="8" t="str">
        <x:v>BROWN TROUT</x:v>
      </x:c>
      <x:c r="E97" s="13" t="n">
        <x:f>SUMIFS('Stocking details'!$F$6:$F$3307,'Stocking details'!$I$6:$I$3307,G97)</x:f>
        <x:v>241</x:v>
      </x:c>
      <x:c r="F97" s="13" t="n">
        <x:f>COUNTIFS('Stocking details'!$I$6:$I$3307,G97)</x:f>
        <x:v>1</x:v>
      </x:c>
      <x:c r="G97" s="8" t="str">
        <x:f>B97&amp;" / "&amp;C97&amp;" / "&amp;D97</x:f>
        <x:v>6893 / 2023 / BROWN TROUT</x:v>
      </x:c>
    </x:row>
    <x:row r="98" ht="23" customHeight="1">
      <x:c r="A98" s="8" t="str">
        <x:v>Beaumont Pond</x:v>
      </x:c>
      <x:c r="B98" s="8" t="str">
        <x:v>6893</x:v>
      </x:c>
      <x:c r="C98" s="17" t="n">
        <x:v>2023</x:v>
      </x:c>
      <x:c r="D98" s="8" t="str">
        <x:v>RAINBOW TROUT</x:v>
      </x:c>
      <x:c r="E98" s="13" t="n">
        <x:f>SUMIFS('Stocking details'!$F$6:$F$3307,'Stocking details'!$I$6:$I$3307,G98)</x:f>
        <x:v>2000</x:v>
      </x:c>
      <x:c r="F98" s="13" t="n">
        <x:f>COUNTIFS('Stocking details'!$I$6:$I$3307,G98)</x:f>
        <x:v>1</x:v>
      </x:c>
      <x:c r="G98" s="8" t="str">
        <x:f>B98&amp;" / "&amp;C98&amp;" / "&amp;D98</x:f>
        <x:v>6893 / 2023 / RAINBOW TROUT</x:v>
      </x:c>
    </x:row>
    <x:row r="99" ht="23" customHeight="1">
      <x:c r="A99" s="8" t="str">
        <x:v>Beaumont Pond</x:v>
      </x:c>
      <x:c r="B99" s="8" t="str">
        <x:v>6893</x:v>
      </x:c>
      <x:c r="C99" s="17" t="n">
        <x:v>2023</x:v>
      </x:c>
      <x:c r="D99" s="8" t="str">
        <x:v>TIGER TROUT</x:v>
      </x:c>
      <x:c r="E99" s="13" t="n">
        <x:f>SUMIFS('Stocking details'!$F$6:$F$3307,'Stocking details'!$I$6:$I$3307,G99)</x:f>
        <x:v>200</x:v>
      </x:c>
      <x:c r="F99" s="13" t="n">
        <x:f>COUNTIFS('Stocking details'!$I$6:$I$3307,G99)</x:f>
        <x:v>1</x:v>
      </x:c>
      <x:c r="G99" s="8" t="str">
        <x:f>B99&amp;" / "&amp;C99&amp;" / "&amp;D99</x:f>
        <x:v>6893 / 2023 / TIGER TROUT</x:v>
      </x:c>
    </x:row>
    <x:row r="100" ht="23" customHeight="1">
      <x:c r="A100" s="8" t="str">
        <x:v>Beaumont Pond</x:v>
      </x:c>
      <x:c r="B100" s="8" t="str">
        <x:v>6893</x:v>
      </x:c>
      <x:c r="C100" s="17" t="n">
        <x:v>2022</x:v>
      </x:c>
      <x:c r="D100" s="8" t="str">
        <x:v>BROWN TROUT</x:v>
      </x:c>
      <x:c r="E100" s="13" t="n">
        <x:f>SUMIFS('Stocking details'!$F$6:$F$3307,'Stocking details'!$I$6:$I$3307,G100)</x:f>
        <x:v>241</x:v>
      </x:c>
      <x:c r="F100" s="13" t="n">
        <x:f>COUNTIFS('Stocking details'!$I$6:$I$3307,G100)</x:f>
        <x:v>1</x:v>
      </x:c>
      <x:c r="G100" s="8" t="str">
        <x:f>B100&amp;" / "&amp;C100&amp;" / "&amp;D100</x:f>
        <x:v>6893 / 2022 / BROWN TROUT</x:v>
      </x:c>
    </x:row>
    <x:row r="101" ht="23" customHeight="1">
      <x:c r="A101" s="8" t="str">
        <x:v>Beaumont Pond</x:v>
      </x:c>
      <x:c r="B101" s="8" t="str">
        <x:v>6893</x:v>
      </x:c>
      <x:c r="C101" s="17" t="n">
        <x:v>2022</x:v>
      </x:c>
      <x:c r="D101" s="8" t="str">
        <x:v>RAINBOW TROUT</x:v>
      </x:c>
      <x:c r="E101" s="13" t="n">
        <x:f>SUMIFS('Stocking details'!$F$6:$F$3307,'Stocking details'!$I$6:$I$3307,G101)</x:f>
        <x:v>2000</x:v>
      </x:c>
      <x:c r="F101" s="13" t="n">
        <x:f>COUNTIFS('Stocking details'!$I$6:$I$3307,G101)</x:f>
        <x:v>1</x:v>
      </x:c>
      <x:c r="G101" s="8" t="str">
        <x:f>B101&amp;" / "&amp;C101&amp;" / "&amp;D101</x:f>
        <x:v>6893 / 2022 / RAINBOW TROUT</x:v>
      </x:c>
    </x:row>
    <x:row r="102" ht="23" customHeight="1">
      <x:c r="A102" s="8" t="str">
        <x:v>Beaumont Pond</x:v>
      </x:c>
      <x:c r="B102" s="8" t="str">
        <x:v>6893</x:v>
      </x:c>
      <x:c r="C102" s="17" t="n">
        <x:v>2022</x:v>
      </x:c>
      <x:c r="D102" s="8" t="str">
        <x:v>TIGER TROUT</x:v>
      </x:c>
      <x:c r="E102" s="13" t="n">
        <x:f>SUMIFS('Stocking details'!$F$6:$F$3307,'Stocking details'!$I$6:$I$3307,G102)</x:f>
        <x:v>200</x:v>
      </x:c>
      <x:c r="F102" s="13" t="n">
        <x:f>COUNTIFS('Stocking details'!$I$6:$I$3307,G102)</x:f>
        <x:v>1</x:v>
      </x:c>
      <x:c r="G102" s="8" t="str">
        <x:f>B102&amp;" / "&amp;C102&amp;" / "&amp;D102</x:f>
        <x:v>6893 / 2022 / TIGER TROUT</x:v>
      </x:c>
    </x:row>
    <x:row r="103" ht="23" customHeight="1">
      <x:c r="A103" s="8" t="str">
        <x:v>Beaumont Pond</x:v>
      </x:c>
      <x:c r="B103" s="8" t="str">
        <x:v>6893</x:v>
      </x:c>
      <x:c r="C103" s="17" t="n">
        <x:v>2021</x:v>
      </x:c>
      <x:c r="D103" s="8" t="str">
        <x:v>BROWN TROUT</x:v>
      </x:c>
      <x:c r="E103" s="13" t="n">
        <x:f>SUMIFS('Stocking details'!$F$6:$F$3307,'Stocking details'!$I$6:$I$3307,G103)</x:f>
        <x:v>241</x:v>
      </x:c>
      <x:c r="F103" s="13" t="n">
        <x:f>COUNTIFS('Stocking details'!$I$6:$I$3307,G103)</x:f>
        <x:v>1</x:v>
      </x:c>
      <x:c r="G103" s="8" t="str">
        <x:f>B103&amp;" / "&amp;C103&amp;" / "&amp;D103</x:f>
        <x:v>6893 / 2021 / BROWN TROUT</x:v>
      </x:c>
    </x:row>
    <x:row r="104" ht="23" customHeight="1">
      <x:c r="A104" s="8" t="str">
        <x:v>Beaumont Pond</x:v>
      </x:c>
      <x:c r="B104" s="8" t="str">
        <x:v>6893</x:v>
      </x:c>
      <x:c r="C104" s="17" t="n">
        <x:v>2021</x:v>
      </x:c>
      <x:c r="D104" s="8" t="str">
        <x:v>RAINBOW TROUT</x:v>
      </x:c>
      <x:c r="E104" s="13" t="n">
        <x:f>SUMIFS('Stocking details'!$F$6:$F$3307,'Stocking details'!$I$6:$I$3307,G104)</x:f>
        <x:v>1950</x:v>
      </x:c>
      <x:c r="F104" s="13" t="n">
        <x:f>COUNTIFS('Stocking details'!$I$6:$I$3307,G104)</x:f>
        <x:v>2</x:v>
      </x:c>
      <x:c r="G104" s="8" t="str">
        <x:f>B104&amp;" / "&amp;C104&amp;" / "&amp;D104</x:f>
        <x:v>6893 / 2021 / RAINBOW TROUT</x:v>
      </x:c>
    </x:row>
    <x:row r="105" ht="23" customHeight="1">
      <x:c r="A105" s="8" t="str">
        <x:v>Beaumont Pond</x:v>
      </x:c>
      <x:c r="B105" s="8" t="str">
        <x:v>6893</x:v>
      </x:c>
      <x:c r="C105" s="17" t="n">
        <x:v>2021</x:v>
      </x:c>
      <x:c r="D105" s="8" t="str">
        <x:v>TIGER TROUT</x:v>
      </x:c>
      <x:c r="E105" s="13" t="n">
        <x:f>SUMIFS('Stocking details'!$F$6:$F$3307,'Stocking details'!$I$6:$I$3307,G105)</x:f>
        <x:v>200</x:v>
      </x:c>
      <x:c r="F105" s="13" t="n">
        <x:f>COUNTIFS('Stocking details'!$I$6:$I$3307,G105)</x:f>
        <x:v>1</x:v>
      </x:c>
      <x:c r="G105" s="8" t="str">
        <x:f>B105&amp;" / "&amp;C105&amp;" / "&amp;D105</x:f>
        <x:v>6893 / 2021 / TIGER TROUT</x:v>
      </x:c>
    </x:row>
    <x:row r="106" ht="23" customHeight="1">
      <x:c r="A106" s="8" t="str">
        <x:v>Beauvais Lake</x:v>
      </x:c>
      <x:c r="B106" s="8" t="str">
        <x:v>4011</x:v>
      </x:c>
      <x:c r="C106" s="17" t="n">
        <x:v>2026</x:v>
      </x:c>
      <x:c r="D106" s="8" t="str">
        <x:v>WESTSLOPE CUTTHROAT TROUT</x:v>
      </x:c>
      <x:c r="E106" s="13" t="n">
        <x:f>SUMIFS('Stocking details'!$F$6:$F$3307,'Stocking details'!$I$6:$I$3307,G106)</x:f>
        <x:v>18000</x:v>
      </x:c>
      <x:c r="F106" s="13" t="n">
        <x:f>COUNTIFS('Stocking details'!$I$6:$I$3307,G106)</x:f>
        <x:v>2</x:v>
      </x:c>
      <x:c r="G106" s="8" t="str">
        <x:f>B106&amp;" / "&amp;C106&amp;" / "&amp;D106</x:f>
        <x:v>4011 / 2026 / WESTSLOPE CUTTHROAT TROUT</x:v>
      </x:c>
    </x:row>
    <x:row r="107" ht="23" customHeight="1">
      <x:c r="A107" s="8" t="str">
        <x:v>Beauvais Lake</x:v>
      </x:c>
      <x:c r="B107" s="8" t="str">
        <x:v>4011</x:v>
      </x:c>
      <x:c r="C107" s="17" t="n">
        <x:v>2025</x:v>
      </x:c>
      <x:c r="D107" s="8" t="str">
        <x:v>CUTTHROAT TROUT</x:v>
      </x:c>
      <x:c r="E107" s="13" t="n">
        <x:f>SUMIFS('Stocking details'!$F$6:$F$3307,'Stocking details'!$I$6:$I$3307,G107)</x:f>
        <x:v>16000</x:v>
      </x:c>
      <x:c r="F107" s="13" t="n">
        <x:f>COUNTIFS('Stocking details'!$I$6:$I$3307,G107)</x:f>
        <x:v>1</x:v>
      </x:c>
      <x:c r="G107" s="8" t="str">
        <x:f>B107&amp;" / "&amp;C107&amp;" / "&amp;D107</x:f>
        <x:v>4011 / 2025 / CUTTHROAT TROUT</x:v>
      </x:c>
    </x:row>
    <x:row r="108" ht="23" customHeight="1">
      <x:c r="A108" s="8" t="str">
        <x:v>Beauvais Lake</x:v>
      </x:c>
      <x:c r="B108" s="8" t="str">
        <x:v>4011</x:v>
      </x:c>
      <x:c r="C108" s="17" t="n">
        <x:v>2024</x:v>
      </x:c>
      <x:c r="D108" s="8" t="str">
        <x:v>RAINBOW TROUT</x:v>
      </x:c>
      <x:c r="E108" s="13" t="n">
        <x:f>SUMIFS('Stocking details'!$F$6:$F$3307,'Stocking details'!$I$6:$I$3307,G108)</x:f>
        <x:v>43000</x:v>
      </x:c>
      <x:c r="F108" s="13" t="n">
        <x:f>COUNTIFS('Stocking details'!$I$6:$I$3307,G108)</x:f>
        <x:v>3</x:v>
      </x:c>
      <x:c r="G108" s="8" t="str">
        <x:f>B108&amp;" / "&amp;C108&amp;" / "&amp;D108</x:f>
        <x:v>4011 / 2024 / RAINBOW TROUT</x:v>
      </x:c>
    </x:row>
    <x:row r="109" ht="23" customHeight="1">
      <x:c r="A109" s="8" t="str">
        <x:v>Beauvais Lake</x:v>
      </x:c>
      <x:c r="B109" s="8" t="str">
        <x:v>4011</x:v>
      </x:c>
      <x:c r="C109" s="17" t="n">
        <x:v>2023</x:v>
      </x:c>
      <x:c r="D109" s="8" t="str">
        <x:v>CUTTHROAT TROUT</x:v>
      </x:c>
      <x:c r="E109" s="13" t="n">
        <x:f>SUMIFS('Stocking details'!$F$6:$F$3307,'Stocking details'!$I$6:$I$3307,G109)</x:f>
        <x:v>22803</x:v>
      </x:c>
      <x:c r="F109" s="13" t="n">
        <x:f>COUNTIFS('Stocking details'!$I$6:$I$3307,G109)</x:f>
        <x:v>2</x:v>
      </x:c>
      <x:c r="G109" s="8" t="str">
        <x:f>B109&amp;" / "&amp;C109&amp;" / "&amp;D109</x:f>
        <x:v>4011 / 2023 / CUTTHROAT TROUT</x:v>
      </x:c>
    </x:row>
    <x:row r="110" ht="23" customHeight="1">
      <x:c r="A110" s="8" t="str">
        <x:v>Beauvais Lake</x:v>
      </x:c>
      <x:c r="B110" s="8" t="str">
        <x:v>4011</x:v>
      </x:c>
      <x:c r="C110" s="17" t="n">
        <x:v>2022</x:v>
      </x:c>
      <x:c r="D110" s="8" t="str">
        <x:v>RAINBOW TROUT</x:v>
      </x:c>
      <x:c r="E110" s="13" t="n">
        <x:f>SUMIFS('Stocking details'!$F$6:$F$3307,'Stocking details'!$I$6:$I$3307,G110)</x:f>
        <x:v>23000</x:v>
      </x:c>
      <x:c r="F110" s="13" t="n">
        <x:f>COUNTIFS('Stocking details'!$I$6:$I$3307,G110)</x:f>
        <x:v>1</x:v>
      </x:c>
      <x:c r="G110" s="8" t="str">
        <x:f>B110&amp;" / "&amp;C110&amp;" / "&amp;D110</x:f>
        <x:v>4011 / 2022 / RAINBOW TROUT</x:v>
      </x:c>
    </x:row>
    <x:row r="111" ht="23" customHeight="1">
      <x:c r="A111" s="8" t="str">
        <x:v>Beauvais Lake</x:v>
      </x:c>
      <x:c r="B111" s="8" t="str">
        <x:v>4011</x:v>
      </x:c>
      <x:c r="C111" s="17" t="n">
        <x:v>2021</x:v>
      </x:c>
      <x:c r="D111" s="8" t="str">
        <x:v>RAINBOW TROUT</x:v>
      </x:c>
      <x:c r="E111" s="13" t="n">
        <x:f>SUMIFS('Stocking details'!$F$6:$F$3307,'Stocking details'!$I$6:$I$3307,G111)</x:f>
        <x:v>23000</x:v>
      </x:c>
      <x:c r="F111" s="13" t="n">
        <x:f>COUNTIFS('Stocking details'!$I$6:$I$3307,G111)</x:f>
        <x:v>1</x:v>
      </x:c>
      <x:c r="G111" s="8" t="str">
        <x:f>B111&amp;" / "&amp;C111&amp;" / "&amp;D111</x:f>
        <x:v>4011 / 2021 / RAINBOW TROUT</x:v>
      </x:c>
    </x:row>
    <x:row r="112" ht="23" customHeight="1">
      <x:c r="A112" s="8" t="str">
        <x:v>Beaver Lake</x:v>
      </x:c>
      <x:c r="B112" s="8" t="str">
        <x:v>4014</x:v>
      </x:c>
      <x:c r="C112" s="17" t="n">
        <x:v>2026</x:v>
      </x:c>
      <x:c r="D112" s="8" t="str">
        <x:v>RAINBOW TROUT</x:v>
      </x:c>
      <x:c r="E112" s="13" t="n">
        <x:f>SUMIFS('Stocking details'!$F$6:$F$3307,'Stocking details'!$I$6:$I$3307,G112)</x:f>
        <x:v>2500</x:v>
      </x:c>
      <x:c r="F112" s="13" t="n">
        <x:f>COUNTIFS('Stocking details'!$I$6:$I$3307,G112)</x:f>
        <x:v>1</x:v>
      </x:c>
      <x:c r="G112" s="8" t="str">
        <x:f>B112&amp;" / "&amp;C112&amp;" / "&amp;D112</x:f>
        <x:v>4014 / 2026 / RAINBOW TROUT</x:v>
      </x:c>
    </x:row>
    <x:row r="113" ht="23" customHeight="1">
      <x:c r="A113" s="8" t="str">
        <x:v>Beaver Lake</x:v>
      </x:c>
      <x:c r="B113" s="8" t="str">
        <x:v>4014</x:v>
      </x:c>
      <x:c r="C113" s="17" t="n">
        <x:v>2025</x:v>
      </x:c>
      <x:c r="D113" s="8" t="str">
        <x:v>RAINBOW TROUT</x:v>
      </x:c>
      <x:c r="E113" s="13" t="n">
        <x:f>SUMIFS('Stocking details'!$F$6:$F$3307,'Stocking details'!$I$6:$I$3307,G113)</x:f>
        <x:v>2500</x:v>
      </x:c>
      <x:c r="F113" s="13" t="n">
        <x:f>COUNTIFS('Stocking details'!$I$6:$I$3307,G113)</x:f>
        <x:v>1</x:v>
      </x:c>
      <x:c r="G113" s="8" t="str">
        <x:f>B113&amp;" / "&amp;C113&amp;" / "&amp;D113</x:f>
        <x:v>4014 / 2025 / RAINBOW TROUT</x:v>
      </x:c>
    </x:row>
    <x:row r="114" ht="23" customHeight="1">
      <x:c r="A114" s="8" t="str">
        <x:v>Beaver Lake</x:v>
      </x:c>
      <x:c r="B114" s="8" t="str">
        <x:v>4014</x:v>
      </x:c>
      <x:c r="C114" s="17" t="n">
        <x:v>2025</x:v>
      </x:c>
      <x:c r="D114" s="8" t="str">
        <x:v>TIGER TROUT</x:v>
      </x:c>
      <x:c r="E114" s="13" t="n">
        <x:f>SUMIFS('Stocking details'!$F$6:$F$3307,'Stocking details'!$I$6:$I$3307,G114)</x:f>
        <x:v>1800</x:v>
      </x:c>
      <x:c r="F114" s="13" t="n">
        <x:f>COUNTIFS('Stocking details'!$I$6:$I$3307,G114)</x:f>
        <x:v>2</x:v>
      </x:c>
      <x:c r="G114" s="8" t="str">
        <x:f>B114&amp;" / "&amp;C114&amp;" / "&amp;D114</x:f>
        <x:v>4014 / 2025 / TIGER TROUT</x:v>
      </x:c>
    </x:row>
    <x:row r="115" ht="23" customHeight="1">
      <x:c r="A115" s="8" t="str">
        <x:v>Beaver Lake</x:v>
      </x:c>
      <x:c r="B115" s="8" t="str">
        <x:v>4014</x:v>
      </x:c>
      <x:c r="C115" s="17" t="n">
        <x:v>2024</x:v>
      </x:c>
      <x:c r="D115" s="8" t="str">
        <x:v>RAINBOW TROUT</x:v>
      </x:c>
      <x:c r="E115" s="13" t="n">
        <x:f>SUMIFS('Stocking details'!$F$6:$F$3307,'Stocking details'!$I$6:$I$3307,G115)</x:f>
        <x:v>2750</x:v>
      </x:c>
      <x:c r="F115" s="13" t="n">
        <x:f>COUNTIFS('Stocking details'!$I$6:$I$3307,G115)</x:f>
        <x:v>2</x:v>
      </x:c>
      <x:c r="G115" s="8" t="str">
        <x:f>B115&amp;" / "&amp;C115&amp;" / "&amp;D115</x:f>
        <x:v>4014 / 2024 / RAINBOW TROUT</x:v>
      </x:c>
    </x:row>
    <x:row r="116" ht="23" customHeight="1">
      <x:c r="A116" s="8" t="str">
        <x:v>Beaver Lake</x:v>
      </x:c>
      <x:c r="B116" s="8" t="str">
        <x:v>4014</x:v>
      </x:c>
      <x:c r="C116" s="17" t="n">
        <x:v>2024</x:v>
      </x:c>
      <x:c r="D116" s="8" t="str">
        <x:v>TIGER TROUT</x:v>
      </x:c>
      <x:c r="E116" s="13" t="n">
        <x:f>SUMIFS('Stocking details'!$F$6:$F$3307,'Stocking details'!$I$6:$I$3307,G116)</x:f>
        <x:v>1000</x:v>
      </x:c>
      <x:c r="F116" s="13" t="n">
        <x:f>COUNTIFS('Stocking details'!$I$6:$I$3307,G116)</x:f>
        <x:v>1</x:v>
      </x:c>
      <x:c r="G116" s="8" t="str">
        <x:f>B116&amp;" / "&amp;C116&amp;" / "&amp;D116</x:f>
        <x:v>4014 / 2024 / TIGER TROUT</x:v>
      </x:c>
    </x:row>
    <x:row r="117" ht="23" customHeight="1">
      <x:c r="A117" s="8" t="str">
        <x:v>Beaver Lake</x:v>
      </x:c>
      <x:c r="B117" s="8" t="str">
        <x:v>4014</x:v>
      </x:c>
      <x:c r="C117" s="17" t="n">
        <x:v>2023</x:v>
      </x:c>
      <x:c r="D117" s="8" t="str">
        <x:v>RAINBOW TROUT</x:v>
      </x:c>
      <x:c r="E117" s="13" t="n">
        <x:f>SUMIFS('Stocking details'!$F$6:$F$3307,'Stocking details'!$I$6:$I$3307,G117)</x:f>
        <x:v>1185</x:v>
      </x:c>
      <x:c r="F117" s="13" t="n">
        <x:f>COUNTIFS('Stocking details'!$I$6:$I$3307,G117)</x:f>
        <x:v>1</x:v>
      </x:c>
      <x:c r="G117" s="8" t="str">
        <x:f>B117&amp;" / "&amp;C117&amp;" / "&amp;D117</x:f>
        <x:v>4014 / 2023 / RAINBOW TROUT</x:v>
      </x:c>
    </x:row>
    <x:row r="118" ht="23" customHeight="1">
      <x:c r="A118" s="8" t="str">
        <x:v>Beaver Lake</x:v>
      </x:c>
      <x:c r="B118" s="8" t="str">
        <x:v>4014</x:v>
      </x:c>
      <x:c r="C118" s="17" t="n">
        <x:v>2023</x:v>
      </x:c>
      <x:c r="D118" s="8" t="str">
        <x:v>TIGER TROUT</x:v>
      </x:c>
      <x:c r="E118" s="13" t="n">
        <x:f>SUMIFS('Stocking details'!$F$6:$F$3307,'Stocking details'!$I$6:$I$3307,G118)</x:f>
        <x:v>1000</x:v>
      </x:c>
      <x:c r="F118" s="13" t="n">
        <x:f>COUNTIFS('Stocking details'!$I$6:$I$3307,G118)</x:f>
        <x:v>1</x:v>
      </x:c>
      <x:c r="G118" s="8" t="str">
        <x:f>B118&amp;" / "&amp;C118&amp;" / "&amp;D118</x:f>
        <x:v>4014 / 2023 / TIGER TROUT</x:v>
      </x:c>
    </x:row>
    <x:row r="119" ht="23" customHeight="1">
      <x:c r="A119" s="8" t="str">
        <x:v>Beaver Lake</x:v>
      </x:c>
      <x:c r="B119" s="8" t="str">
        <x:v>4014</x:v>
      </x:c>
      <x:c r="C119" s="17" t="n">
        <x:v>2022</x:v>
      </x:c>
      <x:c r="D119" s="8" t="str">
        <x:v>RAINBOW TROUT</x:v>
      </x:c>
      <x:c r="E119" s="13" t="n">
        <x:f>SUMIFS('Stocking details'!$F$6:$F$3307,'Stocking details'!$I$6:$I$3307,G119)</x:f>
        <x:v>2500</x:v>
      </x:c>
      <x:c r="F119" s="13" t="n">
        <x:f>COUNTIFS('Stocking details'!$I$6:$I$3307,G119)</x:f>
        <x:v>1</x:v>
      </x:c>
      <x:c r="G119" s="8" t="str">
        <x:f>B119&amp;" / "&amp;C119&amp;" / "&amp;D119</x:f>
        <x:v>4014 / 2022 / RAINBOW TROUT</x:v>
      </x:c>
    </x:row>
    <x:row r="120" ht="23" customHeight="1">
      <x:c r="A120" s="8" t="str">
        <x:v>Beaver Lake</x:v>
      </x:c>
      <x:c r="B120" s="8" t="str">
        <x:v>4014</x:v>
      </x:c>
      <x:c r="C120" s="17" t="n">
        <x:v>2022</x:v>
      </x:c>
      <x:c r="D120" s="8" t="str">
        <x:v>TIGER TROUT</x:v>
      </x:c>
      <x:c r="E120" s="13" t="n">
        <x:f>SUMIFS('Stocking details'!$F$6:$F$3307,'Stocking details'!$I$6:$I$3307,G120)</x:f>
        <x:v>1000</x:v>
      </x:c>
      <x:c r="F120" s="13" t="n">
        <x:f>COUNTIFS('Stocking details'!$I$6:$I$3307,G120)</x:f>
        <x:v>1</x:v>
      </x:c>
      <x:c r="G120" s="8" t="str">
        <x:f>B120&amp;" / "&amp;C120&amp;" / "&amp;D120</x:f>
        <x:v>4014 / 2022 / TIGER TROUT</x:v>
      </x:c>
    </x:row>
    <x:row r="121" ht="23" customHeight="1">
      <x:c r="A121" s="8" t="str">
        <x:v>Beaver Lake</x:v>
      </x:c>
      <x:c r="B121" s="8" t="str">
        <x:v>4014</x:v>
      </x:c>
      <x:c r="C121" s="17" t="n">
        <x:v>2021</x:v>
      </x:c>
      <x:c r="D121" s="8" t="str">
        <x:v>RAINBOW TROUT</x:v>
      </x:c>
      <x:c r="E121" s="13" t="n">
        <x:f>SUMIFS('Stocking details'!$F$6:$F$3307,'Stocking details'!$I$6:$I$3307,G121)</x:f>
        <x:v>2500</x:v>
      </x:c>
      <x:c r="F121" s="13" t="n">
        <x:f>COUNTIFS('Stocking details'!$I$6:$I$3307,G121)</x:f>
        <x:v>1</x:v>
      </x:c>
      <x:c r="G121" s="8" t="str">
        <x:f>B121&amp;" / "&amp;C121&amp;" / "&amp;D121</x:f>
        <x:v>4014 / 2021 / RAINBOW TROUT</x:v>
      </x:c>
    </x:row>
    <x:row r="122" ht="23" customHeight="1">
      <x:c r="A122" s="8" t="str">
        <x:v>Beaver Lake</x:v>
      </x:c>
      <x:c r="B122" s="8" t="str">
        <x:v>4014</x:v>
      </x:c>
      <x:c r="C122" s="17" t="n">
        <x:v>2021</x:v>
      </x:c>
      <x:c r="D122" s="8" t="str">
        <x:v>TIGER TROUT</x:v>
      </x:c>
      <x:c r="E122" s="13" t="n">
        <x:f>SUMIFS('Stocking details'!$F$6:$F$3307,'Stocking details'!$I$6:$I$3307,G122)</x:f>
        <x:v>1000</x:v>
      </x:c>
      <x:c r="F122" s="13" t="n">
        <x:f>COUNTIFS('Stocking details'!$I$6:$I$3307,G122)</x:f>
        <x:v>1</x:v>
      </x:c>
      <x:c r="G122" s="8" t="str">
        <x:f>B122&amp;" / "&amp;C122&amp;" / "&amp;D122</x:f>
        <x:v>4014 / 2021 / TIGER TROUT</x:v>
      </x:c>
    </x:row>
    <x:row r="123" ht="23" customHeight="1">
      <x:c r="A123" s="8" t="str">
        <x:v>Beaver Mines Lake</x:v>
      </x:c>
      <x:c r="B123" s="8" t="str">
        <x:v>4018</x:v>
      </x:c>
      <x:c r="C123" s="17" t="n">
        <x:v>2026</x:v>
      </x:c>
      <x:c r="D123" s="8" t="str">
        <x:v>WESTSLOPE CUTTHROAT TROUT</x:v>
      </x:c>
      <x:c r="E123" s="13" t="n">
        <x:f>SUMIFS('Stocking details'!$F$6:$F$3307,'Stocking details'!$I$6:$I$3307,G123)</x:f>
        <x:v>18000</x:v>
      </x:c>
      <x:c r="F123" s="13" t="n">
        <x:f>COUNTIFS('Stocking details'!$I$6:$I$3307,G123)</x:f>
        <x:v>2</x:v>
      </x:c>
      <x:c r="G123" s="8" t="str">
        <x:f>B123&amp;" / "&amp;C123&amp;" / "&amp;D123</x:f>
        <x:v>4018 / 2026 / WESTSLOPE CUTTHROAT TROUT</x:v>
      </x:c>
    </x:row>
    <x:row r="124" ht="23" customHeight="1">
      <x:c r="A124" s="8" t="str">
        <x:v>Beaver Mines Lake</x:v>
      </x:c>
      <x:c r="B124" s="8" t="str">
        <x:v>4018</x:v>
      </x:c>
      <x:c r="C124" s="17" t="n">
        <x:v>2025</x:v>
      </x:c>
      <x:c r="D124" s="8" t="str">
        <x:v>CUTTHROAT TROUT</x:v>
      </x:c>
      <x:c r="E124" s="13" t="n">
        <x:f>SUMIFS('Stocking details'!$F$6:$F$3307,'Stocking details'!$I$6:$I$3307,G124)</x:f>
        <x:v>16200</x:v>
      </x:c>
      <x:c r="F124" s="13" t="n">
        <x:f>COUNTIFS('Stocking details'!$I$6:$I$3307,G124)</x:f>
        <x:v>2</x:v>
      </x:c>
      <x:c r="G124" s="8" t="str">
        <x:f>B124&amp;" / "&amp;C124&amp;" / "&amp;D124</x:f>
        <x:v>4018 / 2025 / CUTTHROAT TROUT</x:v>
      </x:c>
    </x:row>
    <x:row r="125" ht="23" customHeight="1">
      <x:c r="A125" s="8" t="str">
        <x:v>Beaver Mines Lake</x:v>
      </x:c>
      <x:c r="B125" s="8" t="str">
        <x:v>4018</x:v>
      </x:c>
      <x:c r="C125" s="17" t="n">
        <x:v>2024</x:v>
      </x:c>
      <x:c r="D125" s="8" t="str">
        <x:v>RAINBOW TROUT</x:v>
      </x:c>
      <x:c r="E125" s="13" t="n">
        <x:f>SUMIFS('Stocking details'!$F$6:$F$3307,'Stocking details'!$I$6:$I$3307,G125)</x:f>
        <x:v>49000</x:v>
      </x:c>
      <x:c r="F125" s="13" t="n">
        <x:f>COUNTIFS('Stocking details'!$I$6:$I$3307,G125)</x:f>
        <x:v>4</x:v>
      </x:c>
      <x:c r="G125" s="8" t="str">
        <x:f>B125&amp;" / "&amp;C125&amp;" / "&amp;D125</x:f>
        <x:v>4018 / 2024 / RAINBOW TROUT</x:v>
      </x:c>
    </x:row>
    <x:row r="126" ht="23" customHeight="1">
      <x:c r="A126" s="8" t="str">
        <x:v>Beaver Mines Lake</x:v>
      </x:c>
      <x:c r="B126" s="8" t="str">
        <x:v>4018</x:v>
      </x:c>
      <x:c r="C126" s="17" t="n">
        <x:v>2023</x:v>
      </x:c>
      <x:c r="D126" s="8" t="str">
        <x:v>RAINBOW TROUT</x:v>
      </x:c>
      <x:c r="E126" s="13" t="n">
        <x:f>SUMIFS('Stocking details'!$F$6:$F$3307,'Stocking details'!$I$6:$I$3307,G126)</x:f>
        <x:v>20902</x:v>
      </x:c>
      <x:c r="F126" s="13" t="n">
        <x:f>COUNTIFS('Stocking details'!$I$6:$I$3307,G126)</x:f>
        <x:v>2</x:v>
      </x:c>
      <x:c r="G126" s="8" t="str">
        <x:f>B126&amp;" / "&amp;C126&amp;" / "&amp;D126</x:f>
        <x:v>4018 / 2023 / RAINBOW TROUT</x:v>
      </x:c>
    </x:row>
    <x:row r="127" ht="23" customHeight="1">
      <x:c r="A127" s="8" t="str">
        <x:v>Beaver Mines Lake</x:v>
      </x:c>
      <x:c r="B127" s="8" t="str">
        <x:v>4018</x:v>
      </x:c>
      <x:c r="C127" s="17" t="n">
        <x:v>2022</x:v>
      </x:c>
      <x:c r="D127" s="8" t="str">
        <x:v>RAINBOW TROUT</x:v>
      </x:c>
      <x:c r="E127" s="13" t="n">
        <x:f>SUMIFS('Stocking details'!$F$6:$F$3307,'Stocking details'!$I$6:$I$3307,G127)</x:f>
        <x:v>23000</x:v>
      </x:c>
      <x:c r="F127" s="13" t="n">
        <x:f>COUNTIFS('Stocking details'!$I$6:$I$3307,G127)</x:f>
        <x:v>1</x:v>
      </x:c>
      <x:c r="G127" s="8" t="str">
        <x:f>B127&amp;" / "&amp;C127&amp;" / "&amp;D127</x:f>
        <x:v>4018 / 2022 / RAINBOW TROUT</x:v>
      </x:c>
    </x:row>
    <x:row r="128" ht="23" customHeight="1">
      <x:c r="A128" s="8" t="str">
        <x:v>Beaver Mines Lake</x:v>
      </x:c>
      <x:c r="B128" s="8" t="str">
        <x:v>4018</x:v>
      </x:c>
      <x:c r="C128" s="17" t="n">
        <x:v>2021</x:v>
      </x:c>
      <x:c r="D128" s="8" t="str">
        <x:v>RAINBOW TROUT</x:v>
      </x:c>
      <x:c r="E128" s="13" t="n">
        <x:f>SUMIFS('Stocking details'!$F$6:$F$3307,'Stocking details'!$I$6:$I$3307,G128)</x:f>
        <x:v>23000</x:v>
      </x:c>
      <x:c r="F128" s="13" t="n">
        <x:f>COUNTIFS('Stocking details'!$I$6:$I$3307,G128)</x:f>
        <x:v>1</x:v>
      </x:c>
      <x:c r="G128" s="8" t="str">
        <x:f>B128&amp;" / "&amp;C128&amp;" / "&amp;D128</x:f>
        <x:v>4018 / 2021 / RAINBOW TROUT</x:v>
      </x:c>
    </x:row>
    <x:row r="129" ht="23" customHeight="1">
      <x:c r="A129" s="8" t="str">
        <x:v>Bellis Beach Lake</x:v>
      </x:c>
      <x:c r="B129" s="8" t="str">
        <x:v>6894</x:v>
      </x:c>
      <x:c r="C129" s="17" t="n">
        <x:v>2026</x:v>
      </x:c>
      <x:c r="D129" s="8" t="str">
        <x:v>RAINBOW TROUT</x:v>
      </x:c>
      <x:c r="E129" s="13" t="n">
        <x:f>SUMIFS('Stocking details'!$F$6:$F$3307,'Stocking details'!$I$6:$I$3307,G129)</x:f>
        <x:v>14000</x:v>
      </x:c>
      <x:c r="F129" s="13" t="n">
        <x:f>COUNTIFS('Stocking details'!$I$6:$I$3307,G129)</x:f>
        <x:v>2</x:v>
      </x:c>
      <x:c r="G129" s="8" t="str">
        <x:f>B129&amp;" / "&amp;C129&amp;" / "&amp;D129</x:f>
        <x:v>6894 / 2026 / RAINBOW TROUT</x:v>
      </x:c>
    </x:row>
    <x:row r="130" ht="23" customHeight="1">
      <x:c r="A130" s="8" t="str">
        <x:v>Bellis Beach Lake</x:v>
      </x:c>
      <x:c r="B130" s="8" t="str">
        <x:v>6894</x:v>
      </x:c>
      <x:c r="C130" s="17" t="n">
        <x:v>2025</x:v>
      </x:c>
      <x:c r="D130" s="8" t="str">
        <x:v>RAINBOW TROUT</x:v>
      </x:c>
      <x:c r="E130" s="13" t="n">
        <x:f>SUMIFS('Stocking details'!$F$6:$F$3307,'Stocking details'!$I$6:$I$3307,G130)</x:f>
        <x:v>14000</x:v>
      </x:c>
      <x:c r="F130" s="13" t="n">
        <x:f>COUNTIFS('Stocking details'!$I$6:$I$3307,G130)</x:f>
        <x:v>1</x:v>
      </x:c>
      <x:c r="G130" s="8" t="str">
        <x:f>B130&amp;" / "&amp;C130&amp;" / "&amp;D130</x:f>
        <x:v>6894 / 2025 / RAINBOW TROUT</x:v>
      </x:c>
    </x:row>
    <x:row r="131" ht="23" customHeight="1">
      <x:c r="A131" s="8" t="str">
        <x:v>Bellis Beach Lake</x:v>
      </x:c>
      <x:c r="B131" s="8" t="str">
        <x:v>6894</x:v>
      </x:c>
      <x:c r="C131" s="17" t="n">
        <x:v>2024</x:v>
      </x:c>
      <x:c r="D131" s="8" t="str">
        <x:v>RAINBOW TROUT</x:v>
      </x:c>
      <x:c r="E131" s="13" t="n">
        <x:f>SUMIFS('Stocking details'!$F$6:$F$3307,'Stocking details'!$I$6:$I$3307,G131)</x:f>
        <x:v>5600</x:v>
      </x:c>
      <x:c r="F131" s="13" t="n">
        <x:f>COUNTIFS('Stocking details'!$I$6:$I$3307,G131)</x:f>
        <x:v>1</x:v>
      </x:c>
      <x:c r="G131" s="8" t="str">
        <x:f>B131&amp;" / "&amp;C131&amp;" / "&amp;D131</x:f>
        <x:v>6894 / 2024 / RAINBOW TROUT</x:v>
      </x:c>
    </x:row>
    <x:row r="132" ht="23" customHeight="1">
      <x:c r="A132" s="8" t="str">
        <x:v>Bellis Beach Lake</x:v>
      </x:c>
      <x:c r="B132" s="8" t="str">
        <x:v>6894</x:v>
      </x:c>
      <x:c r="C132" s="17" t="n">
        <x:v>2023</x:v>
      </x:c>
      <x:c r="D132" s="8" t="str">
        <x:v>RAINBOW TROUT</x:v>
      </x:c>
      <x:c r="E132" s="13" t="n">
        <x:f>SUMIFS('Stocking details'!$F$6:$F$3307,'Stocking details'!$I$6:$I$3307,G132)</x:f>
        <x:v>5586</x:v>
      </x:c>
      <x:c r="F132" s="13" t="n">
        <x:f>COUNTIFS('Stocking details'!$I$6:$I$3307,G132)</x:f>
        <x:v>1</x:v>
      </x:c>
      <x:c r="G132" s="8" t="str">
        <x:f>B132&amp;" / "&amp;C132&amp;" / "&amp;D132</x:f>
        <x:v>6894 / 2023 / RAINBOW TROUT</x:v>
      </x:c>
    </x:row>
    <x:row r="133" ht="23" customHeight="1">
      <x:c r="A133" s="8" t="str">
        <x:v>Bellis Beach Lake</x:v>
      </x:c>
      <x:c r="B133" s="8" t="str">
        <x:v>6894</x:v>
      </x:c>
      <x:c r="C133" s="17" t="n">
        <x:v>2022</x:v>
      </x:c>
      <x:c r="D133" s="8" t="str">
        <x:v>RAINBOW TROUT</x:v>
      </x:c>
      <x:c r="E133" s="13" t="n">
        <x:f>SUMIFS('Stocking details'!$F$6:$F$3307,'Stocking details'!$I$6:$I$3307,G133)</x:f>
        <x:v>14000</x:v>
      </x:c>
      <x:c r="F133" s="13" t="n">
        <x:f>COUNTIFS('Stocking details'!$I$6:$I$3307,G133)</x:f>
        <x:v>1</x:v>
      </x:c>
      <x:c r="G133" s="8" t="str">
        <x:f>B133&amp;" / "&amp;C133&amp;" / "&amp;D133</x:f>
        <x:v>6894 / 2022 / RAINBOW TROUT</x:v>
      </x:c>
    </x:row>
    <x:row r="134" ht="23" customHeight="1">
      <x:c r="A134" s="8" t="str">
        <x:v>Bellis Beach Lake</x:v>
      </x:c>
      <x:c r="B134" s="8" t="str">
        <x:v>6894</x:v>
      </x:c>
      <x:c r="C134" s="17" t="n">
        <x:v>2021</x:v>
      </x:c>
      <x:c r="D134" s="8" t="str">
        <x:v>RAINBOW TROUT</x:v>
      </x:c>
      <x:c r="E134" s="13" t="n">
        <x:f>SUMIFS('Stocking details'!$F$6:$F$3307,'Stocking details'!$I$6:$I$3307,G134)</x:f>
        <x:v>14000</x:v>
      </x:c>
      <x:c r="F134" s="13" t="n">
        <x:f>COUNTIFS('Stocking details'!$I$6:$I$3307,G134)</x:f>
        <x:v>2</x:v>
      </x:c>
      <x:c r="G134" s="8" t="str">
        <x:f>B134&amp;" / "&amp;C134&amp;" / "&amp;D134</x:f>
        <x:v>6894 / 2021 / RAINBOW TROUT</x:v>
      </x:c>
    </x:row>
    <x:row r="135" ht="23" customHeight="1">
      <x:c r="A135" s="8" t="str">
        <x:v>Big Iron Lake</x:v>
      </x:c>
      <x:c r="B135" s="8" t="str">
        <x:v>6897</x:v>
      </x:c>
      <x:c r="C135" s="17" t="n">
        <x:v>2026</x:v>
      </x:c>
      <x:c r="D135" s="8" t="str">
        <x:v>TIGER TROUT</x:v>
      </x:c>
      <x:c r="E135" s="13" t="n">
        <x:f>SUMIFS('Stocking details'!$F$6:$F$3307,'Stocking details'!$I$6:$I$3307,G135)</x:f>
        <x:v>750</x:v>
      </x:c>
      <x:c r="F135" s="13" t="n">
        <x:f>COUNTIFS('Stocking details'!$I$6:$I$3307,G135)</x:f>
        <x:v>1</x:v>
      </x:c>
      <x:c r="G135" s="8" t="str">
        <x:f>B135&amp;" / "&amp;C135&amp;" / "&amp;D135</x:f>
        <x:v>6897 / 2026 / TIGER TROUT</x:v>
      </x:c>
    </x:row>
    <x:row r="136" ht="23" customHeight="1">
      <x:c r="A136" s="8" t="str">
        <x:v>Big Iron Lake</x:v>
      </x:c>
      <x:c r="B136" s="8" t="str">
        <x:v>6897</x:v>
      </x:c>
      <x:c r="C136" s="17" t="n">
        <x:v>2025</x:v>
      </x:c>
      <x:c r="D136" s="8" t="str">
        <x:v>TIGER TROUT</x:v>
      </x:c>
      <x:c r="E136" s="13" t="n">
        <x:f>SUMIFS('Stocking details'!$F$6:$F$3307,'Stocking details'!$I$6:$I$3307,G136)</x:f>
        <x:v>750</x:v>
      </x:c>
      <x:c r="F136" s="13" t="n">
        <x:f>COUNTIFS('Stocking details'!$I$6:$I$3307,G136)</x:f>
        <x:v>1</x:v>
      </x:c>
      <x:c r="G136" s="8" t="str">
        <x:f>B136&amp;" / "&amp;C136&amp;" / "&amp;D136</x:f>
        <x:v>6897 / 2025 / TIGER TROUT</x:v>
      </x:c>
    </x:row>
    <x:row r="137" ht="23" customHeight="1">
      <x:c r="A137" s="8" t="str">
        <x:v>Big Iron Lake</x:v>
      </x:c>
      <x:c r="B137" s="8" t="str">
        <x:v>6897</x:v>
      </x:c>
      <x:c r="C137" s="17" t="n">
        <x:v>2024</x:v>
      </x:c>
      <x:c r="D137" s="8" t="str">
        <x:v>TIGER TROUT</x:v>
      </x:c>
      <x:c r="E137" s="13" t="n">
        <x:f>SUMIFS('Stocking details'!$F$6:$F$3307,'Stocking details'!$I$6:$I$3307,G137)</x:f>
        <x:v>750</x:v>
      </x:c>
      <x:c r="F137" s="13" t="n">
        <x:f>COUNTIFS('Stocking details'!$I$6:$I$3307,G137)</x:f>
        <x:v>1</x:v>
      </x:c>
      <x:c r="G137" s="8" t="str">
        <x:f>B137&amp;" / "&amp;C137&amp;" / "&amp;D137</x:f>
        <x:v>6897 / 2024 / TIGER TROUT</x:v>
      </x:c>
    </x:row>
    <x:row r="138" ht="23" customHeight="1">
      <x:c r="A138" s="8" t="str">
        <x:v>Big Iron Lake</x:v>
      </x:c>
      <x:c r="B138" s="8" t="str">
        <x:v>6897</x:v>
      </x:c>
      <x:c r="C138" s="17" t="n">
        <x:v>2023</x:v>
      </x:c>
      <x:c r="D138" s="8" t="str">
        <x:v>TIGER TROUT</x:v>
      </x:c>
      <x:c r="E138" s="13" t="n">
        <x:f>SUMIFS('Stocking details'!$F$6:$F$3307,'Stocking details'!$I$6:$I$3307,G138)</x:f>
        <x:v>750</x:v>
      </x:c>
      <x:c r="F138" s="13" t="n">
        <x:f>COUNTIFS('Stocking details'!$I$6:$I$3307,G138)</x:f>
        <x:v>1</x:v>
      </x:c>
      <x:c r="G138" s="8" t="str">
        <x:f>B138&amp;" / "&amp;C138&amp;" / "&amp;D138</x:f>
        <x:v>6897 / 2023 / TIGER TROUT</x:v>
      </x:c>
    </x:row>
    <x:row r="139" ht="23" customHeight="1">
      <x:c r="A139" s="8" t="str">
        <x:v>Big Iron Lake</x:v>
      </x:c>
      <x:c r="B139" s="8" t="str">
        <x:v>6897</x:v>
      </x:c>
      <x:c r="C139" s="17" t="n">
        <x:v>2022</x:v>
      </x:c>
      <x:c r="D139" s="8" t="str">
        <x:v>TIGER TROUT</x:v>
      </x:c>
      <x:c r="E139" s="13" t="n">
        <x:f>SUMIFS('Stocking details'!$F$6:$F$3307,'Stocking details'!$I$6:$I$3307,G139)</x:f>
        <x:v>750</x:v>
      </x:c>
      <x:c r="F139" s="13" t="n">
        <x:f>COUNTIFS('Stocking details'!$I$6:$I$3307,G139)</x:f>
        <x:v>1</x:v>
      </x:c>
      <x:c r="G139" s="8" t="str">
        <x:f>B139&amp;" / "&amp;C139&amp;" / "&amp;D139</x:f>
        <x:v>6897 / 2022 / TIGER TROUT</x:v>
      </x:c>
    </x:row>
    <x:row r="140" ht="23" customHeight="1">
      <x:c r="A140" s="8" t="str">
        <x:v>Big Iron Lake</x:v>
      </x:c>
      <x:c r="B140" s="8" t="str">
        <x:v>6897</x:v>
      </x:c>
      <x:c r="C140" s="17" t="n">
        <x:v>2021</x:v>
      </x:c>
      <x:c r="D140" s="8" t="str">
        <x:v>TIGER TROUT</x:v>
      </x:c>
      <x:c r="E140" s="13" t="n">
        <x:f>SUMIFS('Stocking details'!$F$6:$F$3307,'Stocking details'!$I$6:$I$3307,G140)</x:f>
        <x:v>750</x:v>
      </x:c>
      <x:c r="F140" s="13" t="n">
        <x:f>COUNTIFS('Stocking details'!$I$6:$I$3307,G140)</x:f>
        <x:v>1</x:v>
      </x:c>
      <x:c r="G140" s="8" t="str">
        <x:f>B140&amp;" / "&amp;C140&amp;" / "&amp;D140</x:f>
        <x:v>6897 / 2021 / TIGER TROUT</x:v>
      </x:c>
    </x:row>
    <x:row r="141" ht="23" customHeight="1">
      <x:c r="A141" s="8" t="str">
        <x:v>Birch Lake</x:v>
      </x:c>
      <x:c r="B141" s="8" t="str">
        <x:v>4061</x:v>
      </x:c>
      <x:c r="C141" s="17" t="n">
        <x:v>2026</x:v>
      </x:c>
      <x:c r="D141" s="8" t="str">
        <x:v>BROOK TROUT</x:v>
      </x:c>
      <x:c r="E141" s="13" t="n">
        <x:f>SUMIFS('Stocking details'!$F$6:$F$3307,'Stocking details'!$I$6:$I$3307,G141)</x:f>
        <x:v>5000</x:v>
      </x:c>
      <x:c r="F141" s="13" t="n">
        <x:f>COUNTIFS('Stocking details'!$I$6:$I$3307,G141)</x:f>
        <x:v>1</x:v>
      </x:c>
      <x:c r="G141" s="8" t="str">
        <x:f>B141&amp;" / "&amp;C141&amp;" / "&amp;D141</x:f>
        <x:v>4061 / 2026 / BROOK TROUT</x:v>
      </x:c>
    </x:row>
    <x:row r="142" ht="23" customHeight="1">
      <x:c r="A142" s="8" t="str">
        <x:v>Birch Lake</x:v>
      </x:c>
      <x:c r="B142" s="8" t="str">
        <x:v>4061</x:v>
      </x:c>
      <x:c r="C142" s="17" t="n">
        <x:v>2026</x:v>
      </x:c>
      <x:c r="D142" s="8" t="str">
        <x:v>BROWN TROUT</x:v>
      </x:c>
      <x:c r="E142" s="13" t="n">
        <x:f>SUMIFS('Stocking details'!$F$6:$F$3307,'Stocking details'!$I$6:$I$3307,G142)</x:f>
        <x:v>500</x:v>
      </x:c>
      <x:c r="F142" s="13" t="n">
        <x:f>COUNTIFS('Stocking details'!$I$6:$I$3307,G142)</x:f>
        <x:v>1</x:v>
      </x:c>
      <x:c r="G142" s="8" t="str">
        <x:f>B142&amp;" / "&amp;C142&amp;" / "&amp;D142</x:f>
        <x:v>4061 / 2026 / BROWN TROUT</x:v>
      </x:c>
    </x:row>
    <x:row r="143" ht="23" customHeight="1">
      <x:c r="A143" s="8" t="str">
        <x:v>Birch Lake</x:v>
      </x:c>
      <x:c r="B143" s="8" t="str">
        <x:v>4061</x:v>
      </x:c>
      <x:c r="C143" s="17" t="n">
        <x:v>2026</x:v>
      </x:c>
      <x:c r="D143" s="8" t="str">
        <x:v>RAINBOW TROUT</x:v>
      </x:c>
      <x:c r="E143" s="13" t="n">
        <x:f>SUMIFS('Stocking details'!$F$6:$F$3307,'Stocking details'!$I$6:$I$3307,G143)</x:f>
        <x:v>3500</x:v>
      </x:c>
      <x:c r="F143" s="13" t="n">
        <x:f>COUNTIFS('Stocking details'!$I$6:$I$3307,G143)</x:f>
        <x:v>1</x:v>
      </x:c>
      <x:c r="G143" s="8" t="str">
        <x:f>B143&amp;" / "&amp;C143&amp;" / "&amp;D143</x:f>
        <x:v>4061 / 2026 / RAINBOW TROUT</x:v>
      </x:c>
    </x:row>
    <x:row r="144" ht="23" customHeight="1">
      <x:c r="A144" s="8" t="str">
        <x:v>Birch Lake</x:v>
      </x:c>
      <x:c r="B144" s="8" t="str">
        <x:v>4061</x:v>
      </x:c>
      <x:c r="C144" s="17" t="n">
        <x:v>2025</x:v>
      </x:c>
      <x:c r="D144" s="8" t="str">
        <x:v>BROOK TROUT</x:v>
      </x:c>
      <x:c r="E144" s="13" t="n">
        <x:f>SUMIFS('Stocking details'!$F$6:$F$3307,'Stocking details'!$I$6:$I$3307,G144)</x:f>
        <x:v>5000</x:v>
      </x:c>
      <x:c r="F144" s="13" t="n">
        <x:f>COUNTIFS('Stocking details'!$I$6:$I$3307,G144)</x:f>
        <x:v>1</x:v>
      </x:c>
      <x:c r="G144" s="8" t="str">
        <x:f>B144&amp;" / "&amp;C144&amp;" / "&amp;D144</x:f>
        <x:v>4061 / 2025 / BROOK TROUT</x:v>
      </x:c>
    </x:row>
    <x:row r="145" ht="23" customHeight="1">
      <x:c r="A145" s="8" t="str">
        <x:v>Birch Lake</x:v>
      </x:c>
      <x:c r="B145" s="8" t="str">
        <x:v>4061</x:v>
      </x:c>
      <x:c r="C145" s="17" t="n">
        <x:v>2025</x:v>
      </x:c>
      <x:c r="D145" s="8" t="str">
        <x:v>BROWN TROUT</x:v>
      </x:c>
      <x:c r="E145" s="13" t="n">
        <x:f>SUMIFS('Stocking details'!$F$6:$F$3307,'Stocking details'!$I$6:$I$3307,G145)</x:f>
        <x:v>500</x:v>
      </x:c>
      <x:c r="F145" s="13" t="n">
        <x:f>COUNTIFS('Stocking details'!$I$6:$I$3307,G145)</x:f>
        <x:v>1</x:v>
      </x:c>
      <x:c r="G145" s="8" t="str">
        <x:f>B145&amp;" / "&amp;C145&amp;" / "&amp;D145</x:f>
        <x:v>4061 / 2025 / BROWN TROUT</x:v>
      </x:c>
    </x:row>
    <x:row r="146" ht="23" customHeight="1">
      <x:c r="A146" s="8" t="str">
        <x:v>Birch Lake</x:v>
      </x:c>
      <x:c r="B146" s="8" t="str">
        <x:v>4061</x:v>
      </x:c>
      <x:c r="C146" s="17" t="n">
        <x:v>2025</x:v>
      </x:c>
      <x:c r="D146" s="8" t="str">
        <x:v>RAINBOW TROUT</x:v>
      </x:c>
      <x:c r="E146" s="13" t="n">
        <x:f>SUMIFS('Stocking details'!$F$6:$F$3307,'Stocking details'!$I$6:$I$3307,G146)</x:f>
        <x:v>3500</x:v>
      </x:c>
      <x:c r="F146" s="13" t="n">
        <x:f>COUNTIFS('Stocking details'!$I$6:$I$3307,G146)</x:f>
        <x:v>1</x:v>
      </x:c>
      <x:c r="G146" s="8" t="str">
        <x:f>B146&amp;" / "&amp;C146&amp;" / "&amp;D146</x:f>
        <x:v>4061 / 2025 / RAINBOW TROUT</x:v>
      </x:c>
    </x:row>
    <x:row r="147" ht="23" customHeight="1">
      <x:c r="A147" s="8" t="str">
        <x:v>Birch Lake</x:v>
      </x:c>
      <x:c r="B147" s="8" t="str">
        <x:v>4061</x:v>
      </x:c>
      <x:c r="C147" s="17" t="n">
        <x:v>2024</x:v>
      </x:c>
      <x:c r="D147" s="8" t="str">
        <x:v>BROOK TROUT</x:v>
      </x:c>
      <x:c r="E147" s="13" t="n">
        <x:f>SUMIFS('Stocking details'!$F$6:$F$3307,'Stocking details'!$I$6:$I$3307,G147)</x:f>
        <x:v>4000</x:v>
      </x:c>
      <x:c r="F147" s="13" t="n">
        <x:f>COUNTIFS('Stocking details'!$I$6:$I$3307,G147)</x:f>
        <x:v>1</x:v>
      </x:c>
      <x:c r="G147" s="8" t="str">
        <x:f>B147&amp;" / "&amp;C147&amp;" / "&amp;D147</x:f>
        <x:v>4061 / 2024 / BROOK TROUT</x:v>
      </x:c>
    </x:row>
    <x:row r="148" ht="23" customHeight="1">
      <x:c r="A148" s="8" t="str">
        <x:v>Birch Lake</x:v>
      </x:c>
      <x:c r="B148" s="8" t="str">
        <x:v>4061</x:v>
      </x:c>
      <x:c r="C148" s="17" t="n">
        <x:v>2024</x:v>
      </x:c>
      <x:c r="D148" s="8" t="str">
        <x:v>BROWN TROUT</x:v>
      </x:c>
      <x:c r="E148" s="13" t="n">
        <x:f>SUMIFS('Stocking details'!$F$6:$F$3307,'Stocking details'!$I$6:$I$3307,G148)</x:f>
        <x:v>500</x:v>
      </x:c>
      <x:c r="F148" s="13" t="n">
        <x:f>COUNTIFS('Stocking details'!$I$6:$I$3307,G148)</x:f>
        <x:v>1</x:v>
      </x:c>
      <x:c r="G148" s="8" t="str">
        <x:f>B148&amp;" / "&amp;C148&amp;" / "&amp;D148</x:f>
        <x:v>4061 / 2024 / BROWN TROUT</x:v>
      </x:c>
    </x:row>
    <x:row r="149" ht="23" customHeight="1">
      <x:c r="A149" s="8" t="str">
        <x:v>Birch Lake</x:v>
      </x:c>
      <x:c r="B149" s="8" t="str">
        <x:v>4061</x:v>
      </x:c>
      <x:c r="C149" s="17" t="n">
        <x:v>2024</x:v>
      </x:c>
      <x:c r="D149" s="8" t="str">
        <x:v>RAINBOW TROUT</x:v>
      </x:c>
      <x:c r="E149" s="13" t="n">
        <x:f>SUMIFS('Stocking details'!$F$6:$F$3307,'Stocking details'!$I$6:$I$3307,G149)</x:f>
        <x:v>1750</x:v>
      </x:c>
      <x:c r="F149" s="13" t="n">
        <x:f>COUNTIFS('Stocking details'!$I$6:$I$3307,G149)</x:f>
        <x:v>1</x:v>
      </x:c>
      <x:c r="G149" s="8" t="str">
        <x:f>B149&amp;" / "&amp;C149&amp;" / "&amp;D149</x:f>
        <x:v>4061 / 2024 / RAINBOW TROUT</x:v>
      </x:c>
    </x:row>
    <x:row r="150" ht="23" customHeight="1">
      <x:c r="A150" s="8" t="str">
        <x:v>Birch Lake</x:v>
      </x:c>
      <x:c r="B150" s="8" t="str">
        <x:v>4061</x:v>
      </x:c>
      <x:c r="C150" s="17" t="n">
        <x:v>2023</x:v>
      </x:c>
      <x:c r="D150" s="8" t="str">
        <x:v>BROOK TROUT</x:v>
      </x:c>
      <x:c r="E150" s="13" t="n">
        <x:f>SUMIFS('Stocking details'!$F$6:$F$3307,'Stocking details'!$I$6:$I$3307,G150)</x:f>
        <x:v>8000</x:v>
      </x:c>
      <x:c r="F150" s="13" t="n">
        <x:f>COUNTIFS('Stocking details'!$I$6:$I$3307,G150)</x:f>
        <x:v>2</x:v>
      </x:c>
      <x:c r="G150" s="8" t="str">
        <x:f>B150&amp;" / "&amp;C150&amp;" / "&amp;D150</x:f>
        <x:v>4061 / 2023 / BROOK TROUT</x:v>
      </x:c>
    </x:row>
    <x:row r="151" ht="23" customHeight="1">
      <x:c r="A151" s="8" t="str">
        <x:v>Birch Lake</x:v>
      </x:c>
      <x:c r="B151" s="8" t="str">
        <x:v>4061</x:v>
      </x:c>
      <x:c r="C151" s="17" t="n">
        <x:v>2023</x:v>
      </x:c>
      <x:c r="D151" s="8" t="str">
        <x:v>BROWN TROUT</x:v>
      </x:c>
      <x:c r="E151" s="13" t="n">
        <x:f>SUMIFS('Stocking details'!$F$6:$F$3307,'Stocking details'!$I$6:$I$3307,G151)</x:f>
        <x:v>500</x:v>
      </x:c>
      <x:c r="F151" s="13" t="n">
        <x:f>COUNTIFS('Stocking details'!$I$6:$I$3307,G151)</x:f>
        <x:v>1</x:v>
      </x:c>
      <x:c r="G151" s="8" t="str">
        <x:f>B151&amp;" / "&amp;C151&amp;" / "&amp;D151</x:f>
        <x:v>4061 / 2023 / BROWN TROUT</x:v>
      </x:c>
    </x:row>
    <x:row r="152" ht="23" customHeight="1">
      <x:c r="A152" s="8" t="str">
        <x:v>Birch Lake</x:v>
      </x:c>
      <x:c r="B152" s="8" t="str">
        <x:v>4061</x:v>
      </x:c>
      <x:c r="C152" s="17" t="n">
        <x:v>2023</x:v>
      </x:c>
      <x:c r="D152" s="8" t="str">
        <x:v>RAINBOW TROUT</x:v>
      </x:c>
      <x:c r="E152" s="13" t="n">
        <x:f>SUMIFS('Stocking details'!$F$6:$F$3307,'Stocking details'!$I$6:$I$3307,G152)</x:f>
        <x:v>1659</x:v>
      </x:c>
      <x:c r="F152" s="13" t="n">
        <x:f>COUNTIFS('Stocking details'!$I$6:$I$3307,G152)</x:f>
        <x:v>1</x:v>
      </x:c>
      <x:c r="G152" s="8" t="str">
        <x:f>B152&amp;" / "&amp;C152&amp;" / "&amp;D152</x:f>
        <x:v>4061 / 2023 / RAINBOW TROUT</x:v>
      </x:c>
    </x:row>
    <x:row r="153" ht="23" customHeight="1">
      <x:c r="A153" s="8" t="str">
        <x:v>Birch Lake</x:v>
      </x:c>
      <x:c r="B153" s="8" t="str">
        <x:v>4061</x:v>
      </x:c>
      <x:c r="C153" s="17" t="n">
        <x:v>2022</x:v>
      </x:c>
      <x:c r="D153" s="8" t="str">
        <x:v>BROOK TROUT</x:v>
      </x:c>
      <x:c r="E153" s="13" t="n">
        <x:f>SUMIFS('Stocking details'!$F$6:$F$3307,'Stocking details'!$I$6:$I$3307,G153)</x:f>
        <x:v>8400</x:v>
      </x:c>
      <x:c r="F153" s="13" t="n">
        <x:f>COUNTIFS('Stocking details'!$I$6:$I$3307,G153)</x:f>
        <x:v>2</x:v>
      </x:c>
      <x:c r="G153" s="8" t="str">
        <x:f>B153&amp;" / "&amp;C153&amp;" / "&amp;D153</x:f>
        <x:v>4061 / 2022 / BROOK TROUT</x:v>
      </x:c>
    </x:row>
    <x:row r="154" ht="23" customHeight="1">
      <x:c r="A154" s="8" t="str">
        <x:v>Birch Lake</x:v>
      </x:c>
      <x:c r="B154" s="8" t="str">
        <x:v>4061</x:v>
      </x:c>
      <x:c r="C154" s="17" t="n">
        <x:v>2022</x:v>
      </x:c>
      <x:c r="D154" s="8" t="str">
        <x:v>BROWN TROUT</x:v>
      </x:c>
      <x:c r="E154" s="13" t="n">
        <x:f>SUMIFS('Stocking details'!$F$6:$F$3307,'Stocking details'!$I$6:$I$3307,G154)</x:f>
        <x:v>500</x:v>
      </x:c>
      <x:c r="F154" s="13" t="n">
        <x:f>COUNTIFS('Stocking details'!$I$6:$I$3307,G154)</x:f>
        <x:v>1</x:v>
      </x:c>
      <x:c r="G154" s="8" t="str">
        <x:f>B154&amp;" / "&amp;C154&amp;" / "&amp;D154</x:f>
        <x:v>4061 / 2022 / BROWN TROUT</x:v>
      </x:c>
    </x:row>
    <x:row r="155" ht="23" customHeight="1">
      <x:c r="A155" s="8" t="str">
        <x:v>Birch Lake</x:v>
      </x:c>
      <x:c r="B155" s="8" t="str">
        <x:v>4061</x:v>
      </x:c>
      <x:c r="C155" s="17" t="n">
        <x:v>2022</x:v>
      </x:c>
      <x:c r="D155" s="8" t="str">
        <x:v>RAINBOW TROUT</x:v>
      </x:c>
      <x:c r="E155" s="13" t="n">
        <x:f>SUMIFS('Stocking details'!$F$6:$F$3307,'Stocking details'!$I$6:$I$3307,G155)</x:f>
        <x:v>3500</x:v>
      </x:c>
      <x:c r="F155" s="13" t="n">
        <x:f>COUNTIFS('Stocking details'!$I$6:$I$3307,G155)</x:f>
        <x:v>1</x:v>
      </x:c>
      <x:c r="G155" s="8" t="str">
        <x:f>B155&amp;" / "&amp;C155&amp;" / "&amp;D155</x:f>
        <x:v>4061 / 2022 / RAINBOW TROUT</x:v>
      </x:c>
    </x:row>
    <x:row r="156" ht="23" customHeight="1">
      <x:c r="A156" s="8" t="str">
        <x:v>Birch Lake</x:v>
      </x:c>
      <x:c r="B156" s="8" t="str">
        <x:v>4061</x:v>
      </x:c>
      <x:c r="C156" s="17" t="n">
        <x:v>2021</x:v>
      </x:c>
      <x:c r="D156" s="8" t="str">
        <x:v>BROOK TROUT</x:v>
      </x:c>
      <x:c r="E156" s="13" t="n">
        <x:f>SUMIFS('Stocking details'!$F$6:$F$3307,'Stocking details'!$I$6:$I$3307,G156)</x:f>
        <x:v>5000</x:v>
      </x:c>
      <x:c r="F156" s="13" t="n">
        <x:f>COUNTIFS('Stocking details'!$I$6:$I$3307,G156)</x:f>
        <x:v>1</x:v>
      </x:c>
      <x:c r="G156" s="8" t="str">
        <x:f>B156&amp;" / "&amp;C156&amp;" / "&amp;D156</x:f>
        <x:v>4061 / 2021 / BROOK TROUT</x:v>
      </x:c>
    </x:row>
    <x:row r="157" ht="23" customHeight="1">
      <x:c r="A157" s="8" t="str">
        <x:v>Birch Lake</x:v>
      </x:c>
      <x:c r="B157" s="8" t="str">
        <x:v>4061</x:v>
      </x:c>
      <x:c r="C157" s="17" t="n">
        <x:v>2021</x:v>
      </x:c>
      <x:c r="D157" s="8" t="str">
        <x:v>BROWN TROUT</x:v>
      </x:c>
      <x:c r="E157" s="13" t="n">
        <x:f>SUMIFS('Stocking details'!$F$6:$F$3307,'Stocking details'!$I$6:$I$3307,G157)</x:f>
        <x:v>500</x:v>
      </x:c>
      <x:c r="F157" s="13" t="n">
        <x:f>COUNTIFS('Stocking details'!$I$6:$I$3307,G157)</x:f>
        <x:v>1</x:v>
      </x:c>
      <x:c r="G157" s="8" t="str">
        <x:f>B157&amp;" / "&amp;C157&amp;" / "&amp;D157</x:f>
        <x:v>4061 / 2021 / BROWN TROUT</x:v>
      </x:c>
    </x:row>
    <x:row r="158" ht="23" customHeight="1">
      <x:c r="A158" s="8" t="str">
        <x:v>Birch Lake</x:v>
      </x:c>
      <x:c r="B158" s="8" t="str">
        <x:v>4061</x:v>
      </x:c>
      <x:c r="C158" s="17" t="n">
        <x:v>2021</x:v>
      </x:c>
      <x:c r="D158" s="8" t="str">
        <x:v>RAINBOW TROUT</x:v>
      </x:c>
      <x:c r="E158" s="13" t="n">
        <x:f>SUMIFS('Stocking details'!$F$6:$F$3307,'Stocking details'!$I$6:$I$3307,G158)</x:f>
        <x:v>3500</x:v>
      </x:c>
      <x:c r="F158" s="13" t="n">
        <x:f>COUNTIFS('Stocking details'!$I$6:$I$3307,G158)</x:f>
        <x:v>1</x:v>
      </x:c>
      <x:c r="G158" s="8" t="str">
        <x:f>B158&amp;" / "&amp;C158&amp;" / "&amp;D158</x:f>
        <x:v>4061 / 2021 / RAINBOW TROUT</x:v>
      </x:c>
    </x:row>
    <x:row r="159" ht="23" customHeight="1">
      <x:c r="A159" s="8" t="str">
        <x:v>Birdwood Lake</x:v>
      </x:c>
      <x:c r="B159" s="8" t="str">
        <x:v>4318</x:v>
      </x:c>
      <x:c r="C159" s="17" t="n">
        <x:v>2025</x:v>
      </x:c>
      <x:c r="D159" s="8" t="str">
        <x:v>CUTTHROAT TROUT</x:v>
      </x:c>
      <x:c r="E159" s="13" t="n">
        <x:f>SUMIFS('Stocking details'!$F$6:$F$3307,'Stocking details'!$I$6:$I$3307,G159)</x:f>
        <x:v>400</x:v>
      </x:c>
      <x:c r="F159" s="13" t="n">
        <x:f>COUNTIFS('Stocking details'!$I$6:$I$3307,G159)</x:f>
        <x:v>1</x:v>
      </x:c>
      <x:c r="G159" s="8" t="str">
        <x:f>B159&amp;" / "&amp;C159&amp;" / "&amp;D159</x:f>
        <x:v>4318 / 2025 / CUTTHROAT TROUT</x:v>
      </x:c>
    </x:row>
    <x:row r="160" ht="23" customHeight="1">
      <x:c r="A160" s="8" t="str">
        <x:v>Birdwood Lake</x:v>
      </x:c>
      <x:c r="B160" s="8" t="str">
        <x:v>4318</x:v>
      </x:c>
      <x:c r="C160" s="17" t="n">
        <x:v>2021</x:v>
      </x:c>
      <x:c r="D160" s="8" t="str">
        <x:v>CUTTHROAT TROUT</x:v>
      </x:c>
      <x:c r="E160" s="13" t="n">
        <x:f>SUMIFS('Stocking details'!$F$6:$F$3307,'Stocking details'!$I$6:$I$3307,G160)</x:f>
        <x:v>400</x:v>
      </x:c>
      <x:c r="F160" s="13" t="n">
        <x:f>COUNTIFS('Stocking details'!$I$6:$I$3307,G160)</x:f>
        <x:v>1</x:v>
      </x:c>
      <x:c r="G160" s="8" t="str">
        <x:f>B160&amp;" / "&amp;C160&amp;" / "&amp;D160</x:f>
        <x:v>4318 / 2021 / CUTTHROAT TROUT</x:v>
      </x:c>
    </x:row>
    <x:row r="161" ht="23" customHeight="1">
      <x:c r="A161" s="8" t="str">
        <x:v>Black Nugget Mine Pit</x:v>
      </x:c>
      <x:c r="B161" s="8" t="str">
        <x:v>6923</x:v>
      </x:c>
      <x:c r="C161" s="17" t="n">
        <x:v>2026</x:v>
      </x:c>
      <x:c r="D161" s="8" t="str">
        <x:v>RAINBOW TROUT</x:v>
      </x:c>
      <x:c r="E161" s="13" t="n">
        <x:f>SUMIFS('Stocking details'!$F$6:$F$3307,'Stocking details'!$I$6:$I$3307,G161)</x:f>
        <x:v>12500</x:v>
      </x:c>
      <x:c r="F161" s="13" t="n">
        <x:f>COUNTIFS('Stocking details'!$I$6:$I$3307,G161)</x:f>
        <x:v>2</x:v>
      </x:c>
      <x:c r="G161" s="8" t="str">
        <x:f>B161&amp;" / "&amp;C161&amp;" / "&amp;D161</x:f>
        <x:v>6923 / 2026 / RAINBOW TROUT</x:v>
      </x:c>
    </x:row>
    <x:row r="162" ht="23" customHeight="1">
      <x:c r="A162" s="8" t="str">
        <x:v>Black Nugget Mine Pit</x:v>
      </x:c>
      <x:c r="B162" s="8" t="str">
        <x:v>6923</x:v>
      </x:c>
      <x:c r="C162" s="17" t="n">
        <x:v>2026</x:v>
      </x:c>
      <x:c r="D162" s="8" t="str">
        <x:v>TIGER TROUT</x:v>
      </x:c>
      <x:c r="E162" s="13" t="n">
        <x:f>SUMIFS('Stocking details'!$F$6:$F$3307,'Stocking details'!$I$6:$I$3307,G162)</x:f>
        <x:v>5000</x:v>
      </x:c>
      <x:c r="F162" s="13" t="n">
        <x:f>COUNTIFS('Stocking details'!$I$6:$I$3307,G162)</x:f>
        <x:v>1</x:v>
      </x:c>
      <x:c r="G162" s="8" t="str">
        <x:f>B162&amp;" / "&amp;C162&amp;" / "&amp;D162</x:f>
        <x:v>6923 / 2026 / TIGER TROUT</x:v>
      </x:c>
    </x:row>
    <x:row r="163" ht="23" customHeight="1">
      <x:c r="A163" s="8" t="str">
        <x:v>Black Nugget Mine Pit</x:v>
      </x:c>
      <x:c r="B163" s="8" t="str">
        <x:v>6923</x:v>
      </x:c>
      <x:c r="C163" s="17" t="n">
        <x:v>2025</x:v>
      </x:c>
      <x:c r="D163" s="8" t="str">
        <x:v>RAINBOW TROUT</x:v>
      </x:c>
      <x:c r="E163" s="13" t="n">
        <x:f>SUMIFS('Stocking details'!$F$6:$F$3307,'Stocking details'!$I$6:$I$3307,G163)</x:f>
        <x:v>12500</x:v>
      </x:c>
      <x:c r="F163" s="13" t="n">
        <x:f>COUNTIFS('Stocking details'!$I$6:$I$3307,G163)</x:f>
        <x:v>2</x:v>
      </x:c>
      <x:c r="G163" s="8" t="str">
        <x:f>B163&amp;" / "&amp;C163&amp;" / "&amp;D163</x:f>
        <x:v>6923 / 2025 / RAINBOW TROUT</x:v>
      </x:c>
    </x:row>
    <x:row r="164" ht="23" customHeight="1">
      <x:c r="A164" s="8" t="str">
        <x:v>Black Nugget Mine Pit</x:v>
      </x:c>
      <x:c r="B164" s="8" t="str">
        <x:v>6923</x:v>
      </x:c>
      <x:c r="C164" s="17" t="n">
        <x:v>2025</x:v>
      </x:c>
      <x:c r="D164" s="8" t="str">
        <x:v>TIGER TROUT</x:v>
      </x:c>
      <x:c r="E164" s="13" t="n">
        <x:f>SUMIFS('Stocking details'!$F$6:$F$3307,'Stocking details'!$I$6:$I$3307,G164)</x:f>
        <x:v>5000</x:v>
      </x:c>
      <x:c r="F164" s="13" t="n">
        <x:f>COUNTIFS('Stocking details'!$I$6:$I$3307,G164)</x:f>
        <x:v>1</x:v>
      </x:c>
      <x:c r="G164" s="8" t="str">
        <x:f>B164&amp;" / "&amp;C164&amp;" / "&amp;D164</x:f>
        <x:v>6923 / 2025 / TIGER TROUT</x:v>
      </x:c>
    </x:row>
    <x:row r="165" ht="23" customHeight="1">
      <x:c r="A165" s="8" t="str">
        <x:v>Black Nugget Mine Pit</x:v>
      </x:c>
      <x:c r="B165" s="8" t="str">
        <x:v>6923</x:v>
      </x:c>
      <x:c r="C165" s="17" t="n">
        <x:v>2024</x:v>
      </x:c>
      <x:c r="D165" s="8" t="str">
        <x:v>RAINBOW TROUT</x:v>
      </x:c>
      <x:c r="E165" s="13" t="n">
        <x:f>SUMIFS('Stocking details'!$F$6:$F$3307,'Stocking details'!$I$6:$I$3307,G165)</x:f>
        <x:v>15000</x:v>
      </x:c>
      <x:c r="F165" s="13" t="n">
        <x:f>COUNTIFS('Stocking details'!$I$6:$I$3307,G165)</x:f>
        <x:v>2</x:v>
      </x:c>
      <x:c r="G165" s="8" t="str">
        <x:f>B165&amp;" / "&amp;C165&amp;" / "&amp;D165</x:f>
        <x:v>6923 / 2024 / RAINBOW TROUT</x:v>
      </x:c>
    </x:row>
    <x:row r="166" ht="23" customHeight="1">
      <x:c r="A166" s="8" t="str">
        <x:v>Black Nugget Mine Pit</x:v>
      </x:c>
      <x:c r="B166" s="8" t="str">
        <x:v>6923</x:v>
      </x:c>
      <x:c r="C166" s="17" t="n">
        <x:v>2024</x:v>
      </x:c>
      <x:c r="D166" s="8" t="str">
        <x:v>TIGER TROUT</x:v>
      </x:c>
      <x:c r="E166" s="13" t="n">
        <x:f>SUMIFS('Stocking details'!$F$6:$F$3307,'Stocking details'!$I$6:$I$3307,G166)</x:f>
        <x:v>4000</x:v>
      </x:c>
      <x:c r="F166" s="13" t="n">
        <x:f>COUNTIFS('Stocking details'!$I$6:$I$3307,G166)</x:f>
        <x:v>1</x:v>
      </x:c>
      <x:c r="G166" s="8" t="str">
        <x:f>B166&amp;" / "&amp;C166&amp;" / "&amp;D166</x:f>
        <x:v>6923 / 2024 / TIGER TROUT</x:v>
      </x:c>
    </x:row>
    <x:row r="167" ht="23" customHeight="1">
      <x:c r="A167" s="8" t="str">
        <x:v>Black Nugget Mine Pit</x:v>
      </x:c>
      <x:c r="B167" s="8" t="str">
        <x:v>6923</x:v>
      </x:c>
      <x:c r="C167" s="17" t="n">
        <x:v>2023</x:v>
      </x:c>
      <x:c r="D167" s="8" t="str">
        <x:v>RAINBOW TROUT</x:v>
      </x:c>
      <x:c r="E167" s="13" t="n">
        <x:f>SUMIFS('Stocking details'!$F$6:$F$3307,'Stocking details'!$I$6:$I$3307,G167)</x:f>
        <x:v>4988</x:v>
      </x:c>
      <x:c r="F167" s="13" t="n">
        <x:f>COUNTIFS('Stocking details'!$I$6:$I$3307,G167)</x:f>
        <x:v>1</x:v>
      </x:c>
      <x:c r="G167" s="8" t="str">
        <x:f>B167&amp;" / "&amp;C167&amp;" / "&amp;D167</x:f>
        <x:v>6923 / 2023 / RAINBOW TROUT</x:v>
      </x:c>
    </x:row>
    <x:row r="168" ht="23" customHeight="1">
      <x:c r="A168" s="8" t="str">
        <x:v>Black Nugget Mine Pit</x:v>
      </x:c>
      <x:c r="B168" s="8" t="str">
        <x:v>6923</x:v>
      </x:c>
      <x:c r="C168" s="17" t="n">
        <x:v>2023</x:v>
      </x:c>
      <x:c r="D168" s="8" t="str">
        <x:v>TIGER TROUT</x:v>
      </x:c>
      <x:c r="E168" s="13" t="n">
        <x:f>SUMIFS('Stocking details'!$F$6:$F$3307,'Stocking details'!$I$6:$I$3307,G168)</x:f>
        <x:v>5000</x:v>
      </x:c>
      <x:c r="F168" s="13" t="n">
        <x:f>COUNTIFS('Stocking details'!$I$6:$I$3307,G168)</x:f>
        <x:v>1</x:v>
      </x:c>
      <x:c r="G168" s="8" t="str">
        <x:f>B168&amp;" / "&amp;C168&amp;" / "&amp;D168</x:f>
        <x:v>6923 / 2023 / TIGER TROUT</x:v>
      </x:c>
    </x:row>
    <x:row r="169" ht="23" customHeight="1">
      <x:c r="A169" s="8" t="str">
        <x:v>Black Nugget Mine Pit</x:v>
      </x:c>
      <x:c r="B169" s="8" t="str">
        <x:v>6923</x:v>
      </x:c>
      <x:c r="C169" s="17" t="n">
        <x:v>2022</x:v>
      </x:c>
      <x:c r="D169" s="8" t="str">
        <x:v>RAINBOW TROUT</x:v>
      </x:c>
      <x:c r="E169" s="13" t="n">
        <x:f>SUMIFS('Stocking details'!$F$6:$F$3307,'Stocking details'!$I$6:$I$3307,G169)</x:f>
        <x:v>12500</x:v>
      </x:c>
      <x:c r="F169" s="13" t="n">
        <x:f>COUNTIFS('Stocking details'!$I$6:$I$3307,G169)</x:f>
        <x:v>1</x:v>
      </x:c>
      <x:c r="G169" s="8" t="str">
        <x:f>B169&amp;" / "&amp;C169&amp;" / "&amp;D169</x:f>
        <x:v>6923 / 2022 / RAINBOW TROUT</x:v>
      </x:c>
    </x:row>
    <x:row r="170" ht="23" customHeight="1">
      <x:c r="A170" s="8" t="str">
        <x:v>Black Nugget Mine Pit</x:v>
      </x:c>
      <x:c r="B170" s="8" t="str">
        <x:v>6923</x:v>
      </x:c>
      <x:c r="C170" s="17" t="n">
        <x:v>2022</x:v>
      </x:c>
      <x:c r="D170" s="8" t="str">
        <x:v>TIGER TROUT</x:v>
      </x:c>
      <x:c r="E170" s="13" t="n">
        <x:f>SUMIFS('Stocking details'!$F$6:$F$3307,'Stocking details'!$I$6:$I$3307,G170)</x:f>
        <x:v>5000</x:v>
      </x:c>
      <x:c r="F170" s="13" t="n">
        <x:f>COUNTIFS('Stocking details'!$I$6:$I$3307,G170)</x:f>
        <x:v>1</x:v>
      </x:c>
      <x:c r="G170" s="8" t="str">
        <x:f>B170&amp;" / "&amp;C170&amp;" / "&amp;D170</x:f>
        <x:v>6923 / 2022 / TIGER TROUT</x:v>
      </x:c>
    </x:row>
    <x:row r="171" ht="23" customHeight="1">
      <x:c r="A171" s="8" t="str">
        <x:v>Black Nugget Mine Pit</x:v>
      </x:c>
      <x:c r="B171" s="8" t="str">
        <x:v>6923</x:v>
      </x:c>
      <x:c r="C171" s="17" t="n">
        <x:v>2021</x:v>
      </x:c>
      <x:c r="D171" s="8" t="str">
        <x:v>RAINBOW TROUT</x:v>
      </x:c>
      <x:c r="E171" s="13" t="n">
        <x:f>SUMIFS('Stocking details'!$F$6:$F$3307,'Stocking details'!$I$6:$I$3307,G171)</x:f>
        <x:v>25560</x:v>
      </x:c>
      <x:c r="F171" s="13" t="n">
        <x:f>COUNTIFS('Stocking details'!$I$6:$I$3307,G171)</x:f>
        <x:v>6</x:v>
      </x:c>
      <x:c r="G171" s="8" t="str">
        <x:f>B171&amp;" / "&amp;C171&amp;" / "&amp;D171</x:f>
        <x:v>6923 / 2021 / RAINBOW TROUT</x:v>
      </x:c>
    </x:row>
    <x:row r="172" ht="23" customHeight="1">
      <x:c r="A172" s="8" t="str">
        <x:v>Black Nugget Mine Pit</x:v>
      </x:c>
      <x:c r="B172" s="8" t="str">
        <x:v>6923</x:v>
      </x:c>
      <x:c r="C172" s="17" t="n">
        <x:v>2021</x:v>
      </x:c>
      <x:c r="D172" s="8" t="str">
        <x:v>TIGER TROUT</x:v>
      </x:c>
      <x:c r="E172" s="13" t="n">
        <x:f>SUMIFS('Stocking details'!$F$6:$F$3307,'Stocking details'!$I$6:$I$3307,G172)</x:f>
        <x:v>5000</x:v>
      </x:c>
      <x:c r="F172" s="13" t="n">
        <x:f>COUNTIFS('Stocking details'!$I$6:$I$3307,G172)</x:f>
        <x:v>1</x:v>
      </x:c>
      <x:c r="G172" s="8" t="str">
        <x:f>B172&amp;" / "&amp;C172&amp;" / "&amp;D172</x:f>
        <x:v>6923 / 2021 / TIGER TROUT</x:v>
      </x:c>
    </x:row>
    <x:row r="173" ht="23" customHeight="1">
      <x:c r="A173" s="8" t="str">
        <x:v>Blood Indian Creek Reservoir</x:v>
      </x:c>
      <x:c r="B173" s="8" t="str">
        <x:v>3494</x:v>
      </x:c>
      <x:c r="C173" s="17" t="n">
        <x:v>2026</x:v>
      </x:c>
      <x:c r="D173" s="8" t="str">
        <x:v>BROWN TROUT</x:v>
      </x:c>
      <x:c r="E173" s="13" t="n">
        <x:f>SUMIFS('Stocking details'!$F$6:$F$3307,'Stocking details'!$I$6:$I$3307,G173)</x:f>
        <x:v>7500</x:v>
      </x:c>
      <x:c r="F173" s="13" t="n">
        <x:f>COUNTIFS('Stocking details'!$I$6:$I$3307,G173)</x:f>
        <x:v>1</x:v>
      </x:c>
      <x:c r="G173" s="8" t="str">
        <x:f>B173&amp;" / "&amp;C173&amp;" / "&amp;D173</x:f>
        <x:v>3494 / 2026 / BROWN TROUT</x:v>
      </x:c>
    </x:row>
    <x:row r="174" ht="23" customHeight="1">
      <x:c r="A174" s="8" t="str">
        <x:v>Blood Indian Creek Reservoir</x:v>
      </x:c>
      <x:c r="B174" s="8" t="str">
        <x:v>3494</x:v>
      </x:c>
      <x:c r="C174" s="17" t="n">
        <x:v>2026</x:v>
      </x:c>
      <x:c r="D174" s="8" t="str">
        <x:v>RAINBOW TROUT</x:v>
      </x:c>
      <x:c r="E174" s="13" t="n">
        <x:f>SUMIFS('Stocking details'!$F$6:$F$3307,'Stocking details'!$I$6:$I$3307,G174)</x:f>
        <x:v>17000</x:v>
      </x:c>
      <x:c r="F174" s="13" t="n">
        <x:f>COUNTIFS('Stocking details'!$I$6:$I$3307,G174)</x:f>
        <x:v>2</x:v>
      </x:c>
      <x:c r="G174" s="8" t="str">
        <x:f>B174&amp;" / "&amp;C174&amp;" / "&amp;D174</x:f>
        <x:v>3494 / 2026 / RAINBOW TROUT</x:v>
      </x:c>
    </x:row>
    <x:row r="175" ht="23" customHeight="1">
      <x:c r="A175" s="8" t="str">
        <x:v>Blood Indian Creek Reservoir</x:v>
      </x:c>
      <x:c r="B175" s="8" t="str">
        <x:v>3494</x:v>
      </x:c>
      <x:c r="C175" s="17" t="n">
        <x:v>2026</x:v>
      </x:c>
      <x:c r="D175" s="8" t="str">
        <x:v>TIGER TROUT</x:v>
      </x:c>
      <x:c r="E175" s="13" t="n">
        <x:f>SUMIFS('Stocking details'!$F$6:$F$3307,'Stocking details'!$I$6:$I$3307,G175)</x:f>
        <x:v>6000</x:v>
      </x:c>
      <x:c r="F175" s="13" t="n">
        <x:f>COUNTIFS('Stocking details'!$I$6:$I$3307,G175)</x:f>
        <x:v>1</x:v>
      </x:c>
      <x:c r="G175" s="8" t="str">
        <x:f>B175&amp;" / "&amp;C175&amp;" / "&amp;D175</x:f>
        <x:v>3494 / 2026 / TIGER TROUT</x:v>
      </x:c>
    </x:row>
    <x:row r="176" ht="23" customHeight="1">
      <x:c r="A176" s="8" t="str">
        <x:v>Blood Indian Creek Reservoir</x:v>
      </x:c>
      <x:c r="B176" s="8" t="str">
        <x:v>3494</x:v>
      </x:c>
      <x:c r="C176" s="17" t="n">
        <x:v>2026</x:v>
      </x:c>
      <x:c r="D176" s="8" t="str">
        <x:v>WALLEYE</x:v>
      </x:c>
      <x:c r="E176" s="13" t="n">
        <x:f>SUMIFS('Stocking details'!$F$6:$F$3307,'Stocking details'!$I$6:$I$3307,G176)</x:f>
        <x:v>2000</x:v>
      </x:c>
      <x:c r="F176" s="13" t="n">
        <x:f>COUNTIFS('Stocking details'!$I$6:$I$3307,G176)</x:f>
        <x:v>1</x:v>
      </x:c>
      <x:c r="G176" s="8" t="str">
        <x:f>B176&amp;" / "&amp;C176&amp;" / "&amp;D176</x:f>
        <x:v>3494 / 2026 / WALLEYE</x:v>
      </x:c>
    </x:row>
    <x:row r="177" ht="23" customHeight="1">
      <x:c r="A177" s="8" t="str">
        <x:v>Blood Indian Creek Reservoir</x:v>
      </x:c>
      <x:c r="B177" s="8" t="str">
        <x:v>3494</x:v>
      </x:c>
      <x:c r="C177" s="17" t="n">
        <x:v>2025</x:v>
      </x:c>
      <x:c r="D177" s="8" t="str">
        <x:v>BROWN TROUT</x:v>
      </x:c>
      <x:c r="E177" s="13" t="n">
        <x:f>SUMIFS('Stocking details'!$F$6:$F$3307,'Stocking details'!$I$6:$I$3307,G177)</x:f>
        <x:v>10895</x:v>
      </x:c>
      <x:c r="F177" s="13" t="n">
        <x:f>COUNTIFS('Stocking details'!$I$6:$I$3307,G177)</x:f>
        <x:v>2</x:v>
      </x:c>
      <x:c r="G177" s="8" t="str">
        <x:f>B177&amp;" / "&amp;C177&amp;" / "&amp;D177</x:f>
        <x:v>3494 / 2025 / BROWN TROUT</x:v>
      </x:c>
    </x:row>
    <x:row r="178" ht="23" customHeight="1">
      <x:c r="A178" s="8" t="str">
        <x:v>Blood Indian Creek Reservoir</x:v>
      </x:c>
      <x:c r="B178" s="8" t="str">
        <x:v>3494</x:v>
      </x:c>
      <x:c r="C178" s="17" t="n">
        <x:v>2025</x:v>
      </x:c>
      <x:c r="D178" s="8" t="str">
        <x:v>RAINBOW TROUT</x:v>
      </x:c>
      <x:c r="E178" s="13" t="n">
        <x:f>SUMIFS('Stocking details'!$F$6:$F$3307,'Stocking details'!$I$6:$I$3307,G178)</x:f>
        <x:v>51180</x:v>
      </x:c>
      <x:c r="F178" s="13" t="n">
        <x:f>COUNTIFS('Stocking details'!$I$6:$I$3307,G178)</x:f>
        <x:v>7</x:v>
      </x:c>
      <x:c r="G178" s="8" t="str">
        <x:f>B178&amp;" / "&amp;C178&amp;" / "&amp;D178</x:f>
        <x:v>3494 / 2025 / RAINBOW TROUT</x:v>
      </x:c>
    </x:row>
    <x:row r="179" ht="23" customHeight="1">
      <x:c r="A179" s="8" t="str">
        <x:v>Blood Indian Creek Reservoir</x:v>
      </x:c>
      <x:c r="B179" s="8" t="str">
        <x:v>3494</x:v>
      </x:c>
      <x:c r="C179" s="17" t="n">
        <x:v>2025</x:v>
      </x:c>
      <x:c r="D179" s="8" t="str">
        <x:v>TIGER TROUT</x:v>
      </x:c>
      <x:c r="E179" s="13" t="n">
        <x:f>SUMIFS('Stocking details'!$F$6:$F$3307,'Stocking details'!$I$6:$I$3307,G179)</x:f>
        <x:v>7500</x:v>
      </x:c>
      <x:c r="F179" s="13" t="n">
        <x:f>COUNTIFS('Stocking details'!$I$6:$I$3307,G179)</x:f>
        <x:v>1</x:v>
      </x:c>
      <x:c r="G179" s="8" t="str">
        <x:f>B179&amp;" / "&amp;C179&amp;" / "&amp;D179</x:f>
        <x:v>3494 / 2025 / TIGER TROUT</x:v>
      </x:c>
    </x:row>
    <x:row r="180" ht="23" customHeight="1">
      <x:c r="A180" s="8" t="str">
        <x:v>Blood Indian Creek Reservoir</x:v>
      </x:c>
      <x:c r="B180" s="8" t="str">
        <x:v>3494</x:v>
      </x:c>
      <x:c r="C180" s="17" t="n">
        <x:v>2025</x:v>
      </x:c>
      <x:c r="D180" s="8" t="str">
        <x:v>WALLEYE</x:v>
      </x:c>
      <x:c r="E180" s="13" t="n">
        <x:f>SUMIFS('Stocking details'!$F$6:$F$3307,'Stocking details'!$I$6:$I$3307,G180)</x:f>
        <x:v>1279</x:v>
      </x:c>
      <x:c r="F180" s="13" t="n">
        <x:f>COUNTIFS('Stocking details'!$I$6:$I$3307,G180)</x:f>
        <x:v>3</x:v>
      </x:c>
      <x:c r="G180" s="8" t="str">
        <x:f>B180&amp;" / "&amp;C180&amp;" / "&amp;D180</x:f>
        <x:v>3494 / 2025 / WALLEYE</x:v>
      </x:c>
    </x:row>
    <x:row r="181" ht="23" customHeight="1">
      <x:c r="A181" s="8" t="str">
        <x:v>Blood Indian Creek Reservoir</x:v>
      </x:c>
      <x:c r="B181" s="8" t="str">
        <x:v>3494</x:v>
      </x:c>
      <x:c r="C181" s="17" t="n">
        <x:v>2024</x:v>
      </x:c>
      <x:c r="D181" s="8" t="str">
        <x:v>BROWN TROUT</x:v>
      </x:c>
      <x:c r="E181" s="13" t="n">
        <x:f>SUMIFS('Stocking details'!$F$6:$F$3307,'Stocking details'!$I$6:$I$3307,G181)</x:f>
        <x:v>6181</x:v>
      </x:c>
      <x:c r="F181" s="13" t="n">
        <x:f>COUNTIFS('Stocking details'!$I$6:$I$3307,G181)</x:f>
        <x:v>4</x:v>
      </x:c>
      <x:c r="G181" s="8" t="str">
        <x:f>B181&amp;" / "&amp;C181&amp;" / "&amp;D181</x:f>
        <x:v>3494 / 2024 / BROWN TROUT</x:v>
      </x:c>
    </x:row>
    <x:row r="182" ht="23" customHeight="1">
      <x:c r="A182" s="8" t="str">
        <x:v>Blood Indian Creek Reservoir</x:v>
      </x:c>
      <x:c r="B182" s="8" t="str">
        <x:v>3494</x:v>
      </x:c>
      <x:c r="C182" s="17" t="n">
        <x:v>2024</x:v>
      </x:c>
      <x:c r="D182" s="8" t="str">
        <x:v>RAINBOW TROUT</x:v>
      </x:c>
      <x:c r="E182" s="13" t="n">
        <x:f>SUMIFS('Stocking details'!$F$6:$F$3307,'Stocking details'!$I$6:$I$3307,G182)</x:f>
        <x:v>81737</x:v>
      </x:c>
      <x:c r="F182" s="13" t="n">
        <x:f>COUNTIFS('Stocking details'!$I$6:$I$3307,G182)</x:f>
        <x:v>9</x:v>
      </x:c>
      <x:c r="G182" s="8" t="str">
        <x:f>B182&amp;" / "&amp;C182&amp;" / "&amp;D182</x:f>
        <x:v>3494 / 2024 / RAINBOW TROUT</x:v>
      </x:c>
    </x:row>
    <x:row r="183" ht="23" customHeight="1">
      <x:c r="A183" s="8" t="str">
        <x:v>Blood Indian Creek Reservoir</x:v>
      </x:c>
      <x:c r="B183" s="8" t="str">
        <x:v>3494</x:v>
      </x:c>
      <x:c r="C183" s="17" t="n">
        <x:v>2024</x:v>
      </x:c>
      <x:c r="D183" s="8" t="str">
        <x:v>TIGER TROUT</x:v>
      </x:c>
      <x:c r="E183" s="13" t="n">
        <x:f>SUMIFS('Stocking details'!$F$6:$F$3307,'Stocking details'!$I$6:$I$3307,G183)</x:f>
        <x:v>4000</x:v>
      </x:c>
      <x:c r="F183" s="13" t="n">
        <x:f>COUNTIFS('Stocking details'!$I$6:$I$3307,G183)</x:f>
        <x:v>1</x:v>
      </x:c>
      <x:c r="G183" s="8" t="str">
        <x:f>B183&amp;" / "&amp;C183&amp;" / "&amp;D183</x:f>
        <x:v>3494 / 2024 / TIGER TROUT</x:v>
      </x:c>
    </x:row>
    <x:row r="184" ht="23" customHeight="1">
      <x:c r="A184" s="8" t="str">
        <x:v>Blood Indian Creek Reservoir</x:v>
      </x:c>
      <x:c r="B184" s="8" t="str">
        <x:v>3494</x:v>
      </x:c>
      <x:c r="C184" s="17" t="n">
        <x:v>2023</x:v>
      </x:c>
      <x:c r="D184" s="8" t="str">
        <x:v>BROWN TROUT</x:v>
      </x:c>
      <x:c r="E184" s="13" t="n">
        <x:f>SUMIFS('Stocking details'!$F$6:$F$3307,'Stocking details'!$I$6:$I$3307,G184)</x:f>
        <x:v>7435</x:v>
      </x:c>
      <x:c r="F184" s="13" t="n">
        <x:f>COUNTIFS('Stocking details'!$I$6:$I$3307,G184)</x:f>
        <x:v>3</x:v>
      </x:c>
      <x:c r="G184" s="8" t="str">
        <x:f>B184&amp;" / "&amp;C184&amp;" / "&amp;D184</x:f>
        <x:v>3494 / 2023 / BROWN TROUT</x:v>
      </x:c>
    </x:row>
    <x:row r="185" ht="23" customHeight="1">
      <x:c r="A185" s="8" t="str">
        <x:v>Blood Indian Creek Reservoir</x:v>
      </x:c>
      <x:c r="B185" s="8" t="str">
        <x:v>3494</x:v>
      </x:c>
      <x:c r="C185" s="17" t="n">
        <x:v>2023</x:v>
      </x:c>
      <x:c r="D185" s="8" t="str">
        <x:v>RAINBOW TROUT</x:v>
      </x:c>
      <x:c r="E185" s="13" t="n">
        <x:f>SUMIFS('Stocking details'!$F$6:$F$3307,'Stocking details'!$I$6:$I$3307,G185)</x:f>
        <x:v>47363</x:v>
      </x:c>
      <x:c r="F185" s="13" t="n">
        <x:f>COUNTIFS('Stocking details'!$I$6:$I$3307,G185)</x:f>
        <x:v>5</x:v>
      </x:c>
      <x:c r="G185" s="8" t="str">
        <x:f>B185&amp;" / "&amp;C185&amp;" / "&amp;D185</x:f>
        <x:v>3494 / 2023 / RAINBOW TROUT</x:v>
      </x:c>
    </x:row>
    <x:row r="186" ht="23" customHeight="1">
      <x:c r="A186" s="8" t="str">
        <x:v>Blood Indian Creek Reservoir</x:v>
      </x:c>
      <x:c r="B186" s="8" t="str">
        <x:v>3494</x:v>
      </x:c>
      <x:c r="C186" s="17" t="n">
        <x:v>2023</x:v>
      </x:c>
      <x:c r="D186" s="8" t="str">
        <x:v>TIGER TROUT</x:v>
      </x:c>
      <x:c r="E186" s="13" t="n">
        <x:f>SUMIFS('Stocking details'!$F$6:$F$3307,'Stocking details'!$I$6:$I$3307,G186)</x:f>
        <x:v>4000</x:v>
      </x:c>
      <x:c r="F186" s="13" t="n">
        <x:f>COUNTIFS('Stocking details'!$I$6:$I$3307,G186)</x:f>
        <x:v>1</x:v>
      </x:c>
      <x:c r="G186" s="8" t="str">
        <x:f>B186&amp;" / "&amp;C186&amp;" / "&amp;D186</x:f>
        <x:v>3494 / 2023 / TIGER TROUT</x:v>
      </x:c>
    </x:row>
    <x:row r="187" ht="23" customHeight="1">
      <x:c r="A187" s="8" t="str">
        <x:v>Blood Indian Creek Reservoir</x:v>
      </x:c>
      <x:c r="B187" s="8" t="str">
        <x:v>3494</x:v>
      </x:c>
      <x:c r="C187" s="17" t="n">
        <x:v>2022</x:v>
      </x:c>
      <x:c r="D187" s="8" t="str">
        <x:v>BROWN TROUT</x:v>
      </x:c>
      <x:c r="E187" s="13" t="n">
        <x:f>SUMIFS('Stocking details'!$F$6:$F$3307,'Stocking details'!$I$6:$I$3307,G187)</x:f>
        <x:v>22054</x:v>
      </x:c>
      <x:c r="F187" s="13" t="n">
        <x:f>COUNTIFS('Stocking details'!$I$6:$I$3307,G187)</x:f>
        <x:v>5</x:v>
      </x:c>
      <x:c r="G187" s="8" t="str">
        <x:f>B187&amp;" / "&amp;C187&amp;" / "&amp;D187</x:f>
        <x:v>3494 / 2022 / BROWN TROUT</x:v>
      </x:c>
    </x:row>
    <x:row r="188" ht="23" customHeight="1">
      <x:c r="A188" s="8" t="str">
        <x:v>Blood Indian Creek Reservoir</x:v>
      </x:c>
      <x:c r="B188" s="8" t="str">
        <x:v>3494</x:v>
      </x:c>
      <x:c r="C188" s="17" t="n">
        <x:v>2022</x:v>
      </x:c>
      <x:c r="D188" s="8" t="str">
        <x:v>RAINBOW TROUT</x:v>
      </x:c>
      <x:c r="E188" s="13" t="n">
        <x:f>SUMIFS('Stocking details'!$F$6:$F$3307,'Stocking details'!$I$6:$I$3307,G188)</x:f>
        <x:v>101320</x:v>
      </x:c>
      <x:c r="F188" s="13" t="n">
        <x:f>COUNTIFS('Stocking details'!$I$6:$I$3307,G188)</x:f>
        <x:v>9</x:v>
      </x:c>
      <x:c r="G188" s="8" t="str">
        <x:f>B188&amp;" / "&amp;C188&amp;" / "&amp;D188</x:f>
        <x:v>3494 / 2022 / RAINBOW TROUT</x:v>
      </x:c>
    </x:row>
    <x:row r="189" ht="23" customHeight="1">
      <x:c r="A189" s="8" t="str">
        <x:v>Blood Indian Creek Reservoir</x:v>
      </x:c>
      <x:c r="B189" s="8" t="str">
        <x:v>3494</x:v>
      </x:c>
      <x:c r="C189" s="17" t="n">
        <x:v>2022</x:v>
      </x:c>
      <x:c r="D189" s="8" t="str">
        <x:v>TIGER TROUT</x:v>
      </x:c>
      <x:c r="E189" s="13" t="n">
        <x:f>SUMIFS('Stocking details'!$F$6:$F$3307,'Stocking details'!$I$6:$I$3307,G189)</x:f>
        <x:v>10000</x:v>
      </x:c>
      <x:c r="F189" s="13" t="n">
        <x:f>COUNTIFS('Stocking details'!$I$6:$I$3307,G189)</x:f>
        <x:v>2</x:v>
      </x:c>
      <x:c r="G189" s="8" t="str">
        <x:f>B189&amp;" / "&amp;C189&amp;" / "&amp;D189</x:f>
        <x:v>3494 / 2022 / TIGER TROUT</x:v>
      </x:c>
    </x:row>
    <x:row r="190" ht="23" customHeight="1">
      <x:c r="A190" s="8" t="str">
        <x:v>Blood Indian Creek Reservoir</x:v>
      </x:c>
      <x:c r="B190" s="8" t="str">
        <x:v>3494</x:v>
      </x:c>
      <x:c r="C190" s="17" t="n">
        <x:v>2021</x:v>
      </x:c>
      <x:c r="D190" s="8" t="str">
        <x:v>BROWN TROUT</x:v>
      </x:c>
      <x:c r="E190" s="13" t="n">
        <x:f>SUMIFS('Stocking details'!$F$6:$F$3307,'Stocking details'!$I$6:$I$3307,G190)</x:f>
        <x:v>37580</x:v>
      </x:c>
      <x:c r="F190" s="13" t="n">
        <x:f>COUNTIFS('Stocking details'!$I$6:$I$3307,G190)</x:f>
        <x:v>3</x:v>
      </x:c>
      <x:c r="G190" s="8" t="str">
        <x:f>B190&amp;" / "&amp;C190&amp;" / "&amp;D190</x:f>
        <x:v>3494 / 2021 / BROWN TROUT</x:v>
      </x:c>
    </x:row>
    <x:row r="191" ht="23" customHeight="1">
      <x:c r="A191" s="8" t="str">
        <x:v>Blood Indian Creek Reservoir</x:v>
      </x:c>
      <x:c r="B191" s="8" t="str">
        <x:v>3494</x:v>
      </x:c>
      <x:c r="C191" s="17" t="n">
        <x:v>2021</x:v>
      </x:c>
      <x:c r="D191" s="8" t="str">
        <x:v>RAINBOW TROUT</x:v>
      </x:c>
      <x:c r="E191" s="13" t="n">
        <x:f>SUMIFS('Stocking details'!$F$6:$F$3307,'Stocking details'!$I$6:$I$3307,G191)</x:f>
        <x:v>127283</x:v>
      </x:c>
      <x:c r="F191" s="13" t="n">
        <x:f>COUNTIFS('Stocking details'!$I$6:$I$3307,G191)</x:f>
        <x:v>8</x:v>
      </x:c>
      <x:c r="G191" s="8" t="str">
        <x:f>B191&amp;" / "&amp;C191&amp;" / "&amp;D191</x:f>
        <x:v>3494 / 2021 / RAINBOW TROUT</x:v>
      </x:c>
    </x:row>
    <x:row r="192" ht="23" customHeight="1">
      <x:c r="A192" s="8" t="str">
        <x:v>Blood Indian Creek Reservoir</x:v>
      </x:c>
      <x:c r="B192" s="8" t="str">
        <x:v>3494</x:v>
      </x:c>
      <x:c r="C192" s="17" t="n">
        <x:v>2021</x:v>
      </x:c>
      <x:c r="D192" s="8" t="str">
        <x:v>TIGER TROUT</x:v>
      </x:c>
      <x:c r="E192" s="13" t="n">
        <x:f>SUMIFS('Stocking details'!$F$6:$F$3307,'Stocking details'!$I$6:$I$3307,G192)</x:f>
        <x:v>7500</x:v>
      </x:c>
      <x:c r="F192" s="13" t="n">
        <x:f>COUNTIFS('Stocking details'!$I$6:$I$3307,G192)</x:f>
        <x:v>1</x:v>
      </x:c>
      <x:c r="G192" s="8" t="str">
        <x:f>B192&amp;" / "&amp;C192&amp;" / "&amp;D192</x:f>
        <x:v>3494 / 2021 / TIGER TROUT</x:v>
      </x:c>
    </x:row>
    <x:row r="193" ht="23" customHeight="1">
      <x:c r="A193" s="8" t="str">
        <x:v>Blueridge Pit</x:v>
      </x:c>
      <x:c r="B193" s="8" t="str">
        <x:v>26033</x:v>
      </x:c>
      <x:c r="C193" s="17" t="n">
        <x:v>2026</x:v>
      </x:c>
      <x:c r="D193" s="8" t="str">
        <x:v>RAINBOW TROUT</x:v>
      </x:c>
      <x:c r="E193" s="13" t="n">
        <x:f>SUMIFS('Stocking details'!$F$6:$F$3307,'Stocking details'!$I$6:$I$3307,G193)</x:f>
        <x:v>2100</x:v>
      </x:c>
      <x:c r="F193" s="13" t="n">
        <x:f>COUNTIFS('Stocking details'!$I$6:$I$3307,G193)</x:f>
        <x:v>1</x:v>
      </x:c>
      <x:c r="G193" s="8" t="str">
        <x:f>B193&amp;" / "&amp;C193&amp;" / "&amp;D193</x:f>
        <x:v>26033 / 2026 / RAINBOW TROUT</x:v>
      </x:c>
    </x:row>
    <x:row r="194" ht="23" customHeight="1">
      <x:c r="A194" s="8" t="str">
        <x:v>Blueridge Pit</x:v>
      </x:c>
      <x:c r="B194" s="8" t="str">
        <x:v>26033</x:v>
      </x:c>
      <x:c r="C194" s="17" t="n">
        <x:v>2025</x:v>
      </x:c>
      <x:c r="D194" s="8" t="str">
        <x:v>RAINBOW TROUT</x:v>
      </x:c>
      <x:c r="E194" s="13" t="n">
        <x:f>SUMIFS('Stocking details'!$F$6:$F$3307,'Stocking details'!$I$6:$I$3307,G194)</x:f>
        <x:v>2100</x:v>
      </x:c>
      <x:c r="F194" s="13" t="n">
        <x:f>COUNTIFS('Stocking details'!$I$6:$I$3307,G194)</x:f>
        <x:v>1</x:v>
      </x:c>
      <x:c r="G194" s="8" t="str">
        <x:f>B194&amp;" / "&amp;C194&amp;" / "&amp;D194</x:f>
        <x:v>26033 / 2025 / RAINBOW TROUT</x:v>
      </x:c>
    </x:row>
    <x:row r="195" ht="23" customHeight="1">
      <x:c r="A195" s="8" t="str">
        <x:v>Blueridge Pit</x:v>
      </x:c>
      <x:c r="B195" s="8" t="str">
        <x:v>26033</x:v>
      </x:c>
      <x:c r="C195" s="17" t="n">
        <x:v>2024</x:v>
      </x:c>
      <x:c r="D195" s="8" t="str">
        <x:v>RAINBOW TROUT</x:v>
      </x:c>
      <x:c r="E195" s="13" t="n">
        <x:f>SUMIFS('Stocking details'!$F$6:$F$3307,'Stocking details'!$I$6:$I$3307,G195)</x:f>
        <x:v>1050</x:v>
      </x:c>
      <x:c r="F195" s="13" t="n">
        <x:f>COUNTIFS('Stocking details'!$I$6:$I$3307,G195)</x:f>
        <x:v>1</x:v>
      </x:c>
      <x:c r="G195" s="8" t="str">
        <x:f>B195&amp;" / "&amp;C195&amp;" / "&amp;D195</x:f>
        <x:v>26033 / 2024 / RAINBOW TROUT</x:v>
      </x:c>
    </x:row>
    <x:row r="196" ht="23" customHeight="1">
      <x:c r="A196" s="8" t="str">
        <x:v>Blueridge Pit</x:v>
      </x:c>
      <x:c r="B196" s="8" t="str">
        <x:v>26033</x:v>
      </x:c>
      <x:c r="C196" s="17" t="n">
        <x:v>2023</x:v>
      </x:c>
      <x:c r="D196" s="8" t="str">
        <x:v>RAINBOW TROUT</x:v>
      </x:c>
      <x:c r="E196" s="13" t="n">
        <x:f>SUMIFS('Stocking details'!$F$6:$F$3307,'Stocking details'!$I$6:$I$3307,G196)</x:f>
        <x:v>1054</x:v>
      </x:c>
      <x:c r="F196" s="13" t="n">
        <x:f>COUNTIFS('Stocking details'!$I$6:$I$3307,G196)</x:f>
        <x:v>1</x:v>
      </x:c>
      <x:c r="G196" s="8" t="str">
        <x:f>B196&amp;" / "&amp;C196&amp;" / "&amp;D196</x:f>
        <x:v>26033 / 2023 / RAINBOW TROUT</x:v>
      </x:c>
    </x:row>
    <x:row r="197" ht="23" customHeight="1">
      <x:c r="A197" s="8" t="str">
        <x:v>Blueridge Pit</x:v>
      </x:c>
      <x:c r="B197" s="8" t="str">
        <x:v>26033</x:v>
      </x:c>
      <x:c r="C197" s="17" t="n">
        <x:v>2022</x:v>
      </x:c>
      <x:c r="D197" s="8" t="str">
        <x:v>RAINBOW TROUT</x:v>
      </x:c>
      <x:c r="E197" s="13" t="n">
        <x:f>SUMIFS('Stocking details'!$F$6:$F$3307,'Stocking details'!$I$6:$I$3307,G197)</x:f>
        <x:v>2100</x:v>
      </x:c>
      <x:c r="F197" s="13" t="n">
        <x:f>COUNTIFS('Stocking details'!$I$6:$I$3307,G197)</x:f>
        <x:v>1</x:v>
      </x:c>
      <x:c r="G197" s="8" t="str">
        <x:f>B197&amp;" / "&amp;C197&amp;" / "&amp;D197</x:f>
        <x:v>26033 / 2022 / RAINBOW TROUT</x:v>
      </x:c>
    </x:row>
    <x:row r="198" ht="23" customHeight="1">
      <x:c r="A198" s="8" t="str">
        <x:v>Blueridge Pit</x:v>
      </x:c>
      <x:c r="B198" s="8" t="str">
        <x:v>26033</x:v>
      </x:c>
      <x:c r="C198" s="17" t="n">
        <x:v>2021</x:v>
      </x:c>
      <x:c r="D198" s="8" t="str">
        <x:v>RAINBOW TROUT</x:v>
      </x:c>
      <x:c r="E198" s="13" t="n">
        <x:f>SUMIFS('Stocking details'!$F$6:$F$3307,'Stocking details'!$I$6:$I$3307,G198)</x:f>
        <x:v>2100</x:v>
      </x:c>
      <x:c r="F198" s="13" t="n">
        <x:f>COUNTIFS('Stocking details'!$I$6:$I$3307,G198)</x:f>
        <x:v>1</x:v>
      </x:c>
      <x:c r="G198" s="8" t="str">
        <x:f>B198&amp;" / "&amp;C198&amp;" / "&amp;D198</x:f>
        <x:v>26033 / 2021 / RAINBOW TROUT</x:v>
      </x:c>
    </x:row>
    <x:row r="199" ht="23" customHeight="1">
      <x:c r="A199" s="8" t="str">
        <x:v>Boulder Lake</x:v>
      </x:c>
      <x:c r="B199" s="8" t="str">
        <x:v>417506</x:v>
      </x:c>
      <x:c r="C199" s="17" t="n">
        <x:v>2026</x:v>
      </x:c>
      <x:c r="D199" s="8" t="str">
        <x:v>RAINBOW TROUT</x:v>
      </x:c>
      <x:c r="E199" s="13" t="n">
        <x:f>SUMIFS('Stocking details'!$F$6:$F$3307,'Stocking details'!$I$6:$I$3307,G199)</x:f>
        <x:v>2500</x:v>
      </x:c>
      <x:c r="F199" s="13" t="n">
        <x:f>COUNTIFS('Stocking details'!$I$6:$I$3307,G199)</x:f>
        <x:v>2</x:v>
      </x:c>
      <x:c r="G199" s="8" t="str">
        <x:f>B199&amp;" / "&amp;C199&amp;" / "&amp;D199</x:f>
        <x:v>417506 / 2026 / RAINBOW TROUT</x:v>
      </x:c>
    </x:row>
    <x:row r="200" ht="23" customHeight="1">
      <x:c r="A200" s="8" t="str">
        <x:v>Boulder Lake</x:v>
      </x:c>
      <x:c r="B200" s="8" t="str">
        <x:v>417506</x:v>
      </x:c>
      <x:c r="C200" s="17" t="n">
        <x:v>2026</x:v>
      </x:c>
      <x:c r="D200" s="8" t="str">
        <x:v>TIGER TROUT</x:v>
      </x:c>
      <x:c r="E200" s="13" t="n">
        <x:f>SUMIFS('Stocking details'!$F$6:$F$3307,'Stocking details'!$I$6:$I$3307,G200)</x:f>
        <x:v>200</x:v>
      </x:c>
      <x:c r="F200" s="13" t="n">
        <x:f>COUNTIFS('Stocking details'!$I$6:$I$3307,G200)</x:f>
        <x:v>1</x:v>
      </x:c>
      <x:c r="G200" s="8" t="str">
        <x:f>B200&amp;" / "&amp;C200&amp;" / "&amp;D200</x:f>
        <x:v>417506 / 2026 / TIGER TROUT</x:v>
      </x:c>
    </x:row>
    <x:row r="201" ht="23" customHeight="1">
      <x:c r="A201" s="8" t="str">
        <x:v>Boulder Lake</x:v>
      </x:c>
      <x:c r="B201" s="8" t="str">
        <x:v>417506</x:v>
      </x:c>
      <x:c r="C201" s="17" t="n">
        <x:v>2025</x:v>
      </x:c>
      <x:c r="D201" s="8" t="str">
        <x:v>RAINBOW TROUT</x:v>
      </x:c>
      <x:c r="E201" s="13" t="n">
        <x:f>SUMIFS('Stocking details'!$F$6:$F$3307,'Stocking details'!$I$6:$I$3307,G201)</x:f>
        <x:v>2200</x:v>
      </x:c>
      <x:c r="F201" s="13" t="n">
        <x:f>COUNTIFS('Stocking details'!$I$6:$I$3307,G201)</x:f>
        <x:v>2</x:v>
      </x:c>
      <x:c r="G201" s="8" t="str">
        <x:f>B201&amp;" / "&amp;C201&amp;" / "&amp;D201</x:f>
        <x:v>417506 / 2025 / RAINBOW TROUT</x:v>
      </x:c>
    </x:row>
    <x:row r="202" ht="23" customHeight="1">
      <x:c r="A202" s="8" t="str">
        <x:v>Boulder Lake</x:v>
      </x:c>
      <x:c r="B202" s="8" t="str">
        <x:v>417506</x:v>
      </x:c>
      <x:c r="C202" s="17" t="n">
        <x:v>2025</x:v>
      </x:c>
      <x:c r="D202" s="8" t="str">
        <x:v>TIGER TROUT</x:v>
      </x:c>
      <x:c r="E202" s="13" t="n">
        <x:f>SUMIFS('Stocking details'!$F$6:$F$3307,'Stocking details'!$I$6:$I$3307,G202)</x:f>
        <x:v>200</x:v>
      </x:c>
      <x:c r="F202" s="13" t="n">
        <x:f>COUNTIFS('Stocking details'!$I$6:$I$3307,G202)</x:f>
        <x:v>1</x:v>
      </x:c>
      <x:c r="G202" s="8" t="str">
        <x:f>B202&amp;" / "&amp;C202&amp;" / "&amp;D202</x:f>
        <x:v>417506 / 2025 / TIGER TROUT</x:v>
      </x:c>
    </x:row>
    <x:row r="203" ht="23" customHeight="1">
      <x:c r="A203" s="8" t="str">
        <x:v>Boulder Lake</x:v>
      </x:c>
      <x:c r="B203" s="8" t="str">
        <x:v>417506</x:v>
      </x:c>
      <x:c r="C203" s="17" t="n">
        <x:v>2024</x:v>
      </x:c>
      <x:c r="D203" s="8" t="str">
        <x:v>RAINBOW TROUT</x:v>
      </x:c>
      <x:c r="E203" s="13" t="n">
        <x:f>SUMIFS('Stocking details'!$F$6:$F$3307,'Stocking details'!$I$6:$I$3307,G203)</x:f>
        <x:v>3456</x:v>
      </x:c>
      <x:c r="F203" s="13" t="n">
        <x:f>COUNTIFS('Stocking details'!$I$6:$I$3307,G203)</x:f>
        <x:v>3</x:v>
      </x:c>
      <x:c r="G203" s="8" t="str">
        <x:f>B203&amp;" / "&amp;C203&amp;" / "&amp;D203</x:f>
        <x:v>417506 / 2024 / RAINBOW TROUT</x:v>
      </x:c>
    </x:row>
    <x:row r="204" ht="23" customHeight="1">
      <x:c r="A204" s="8" t="str">
        <x:v>Boulder Lake</x:v>
      </x:c>
      <x:c r="B204" s="8" t="str">
        <x:v>417506</x:v>
      </x:c>
      <x:c r="C204" s="17" t="n">
        <x:v>2024</x:v>
      </x:c>
      <x:c r="D204" s="8" t="str">
        <x:v>TIGER TROUT</x:v>
      </x:c>
      <x:c r="E204" s="13" t="n">
        <x:f>SUMIFS('Stocking details'!$F$6:$F$3307,'Stocking details'!$I$6:$I$3307,G204)</x:f>
        <x:v>200</x:v>
      </x:c>
      <x:c r="F204" s="13" t="n">
        <x:f>COUNTIFS('Stocking details'!$I$6:$I$3307,G204)</x:f>
        <x:v>1</x:v>
      </x:c>
      <x:c r="G204" s="8" t="str">
        <x:f>B204&amp;" / "&amp;C204&amp;" / "&amp;D204</x:f>
        <x:v>417506 / 2024 / TIGER TROUT</x:v>
      </x:c>
    </x:row>
    <x:row r="205" ht="23" customHeight="1">
      <x:c r="A205" s="8" t="str">
        <x:v>Boulder Lake</x:v>
      </x:c>
      <x:c r="B205" s="8" t="str">
        <x:v>417506</x:v>
      </x:c>
      <x:c r="C205" s="17" t="n">
        <x:v>2023</x:v>
      </x:c>
      <x:c r="D205" s="8" t="str">
        <x:v>RAINBOW TROUT</x:v>
      </x:c>
      <x:c r="E205" s="13" t="n">
        <x:f>SUMIFS('Stocking details'!$F$6:$F$3307,'Stocking details'!$I$6:$I$3307,G205)</x:f>
        <x:v>4402</x:v>
      </x:c>
      <x:c r="F205" s="13" t="n">
        <x:f>COUNTIFS('Stocking details'!$I$6:$I$3307,G205)</x:f>
        <x:v>4</x:v>
      </x:c>
      <x:c r="G205" s="8" t="str">
        <x:f>B205&amp;" / "&amp;C205&amp;" / "&amp;D205</x:f>
        <x:v>417506 / 2023 / RAINBOW TROUT</x:v>
      </x:c>
    </x:row>
    <x:row r="206" ht="23" customHeight="1">
      <x:c r="A206" s="8" t="str">
        <x:v>Boulder Lake</x:v>
      </x:c>
      <x:c r="B206" s="8" t="str">
        <x:v>417506</x:v>
      </x:c>
      <x:c r="C206" s="17" t="n">
        <x:v>2023</x:v>
      </x:c>
      <x:c r="D206" s="8" t="str">
        <x:v>TIGER TROUT</x:v>
      </x:c>
      <x:c r="E206" s="13" t="n">
        <x:f>SUMIFS('Stocking details'!$F$6:$F$3307,'Stocking details'!$I$6:$I$3307,G206)</x:f>
        <x:v>200</x:v>
      </x:c>
      <x:c r="F206" s="13" t="n">
        <x:f>COUNTIFS('Stocking details'!$I$6:$I$3307,G206)</x:f>
        <x:v>1</x:v>
      </x:c>
      <x:c r="G206" s="8" t="str">
        <x:f>B206&amp;" / "&amp;C206&amp;" / "&amp;D206</x:f>
        <x:v>417506 / 2023 / TIGER TROUT</x:v>
      </x:c>
    </x:row>
    <x:row r="207" ht="23" customHeight="1">
      <x:c r="A207" s="8" t="str">
        <x:v>Boulder Lake</x:v>
      </x:c>
      <x:c r="B207" s="8" t="str">
        <x:v>417506</x:v>
      </x:c>
      <x:c r="C207" s="17" t="n">
        <x:v>2022</x:v>
      </x:c>
      <x:c r="D207" s="8" t="str">
        <x:v>RAINBOW TROUT</x:v>
      </x:c>
      <x:c r="E207" s="13" t="n">
        <x:f>SUMIFS('Stocking details'!$F$6:$F$3307,'Stocking details'!$I$6:$I$3307,G207)</x:f>
        <x:v>4800</x:v>
      </x:c>
      <x:c r="F207" s="13" t="n">
        <x:f>COUNTIFS('Stocking details'!$I$6:$I$3307,G207)</x:f>
        <x:v>4</x:v>
      </x:c>
      <x:c r="G207" s="8" t="str">
        <x:f>B207&amp;" / "&amp;C207&amp;" / "&amp;D207</x:f>
        <x:v>417506 / 2022 / RAINBOW TROUT</x:v>
      </x:c>
    </x:row>
    <x:row r="208" ht="23" customHeight="1">
      <x:c r="A208" s="8" t="str">
        <x:v>Boulder Lake</x:v>
      </x:c>
      <x:c r="B208" s="8" t="str">
        <x:v>417506</x:v>
      </x:c>
      <x:c r="C208" s="17" t="n">
        <x:v>2022</x:v>
      </x:c>
      <x:c r="D208" s="8" t="str">
        <x:v>TIGER TROUT</x:v>
      </x:c>
      <x:c r="E208" s="13" t="n">
        <x:f>SUMIFS('Stocking details'!$F$6:$F$3307,'Stocking details'!$I$6:$I$3307,G208)</x:f>
        <x:v>600</x:v>
      </x:c>
      <x:c r="F208" s="13" t="n">
        <x:f>COUNTIFS('Stocking details'!$I$6:$I$3307,G208)</x:f>
        <x:v>2</x:v>
      </x:c>
      <x:c r="G208" s="8" t="str">
        <x:f>B208&amp;" / "&amp;C208&amp;" / "&amp;D208</x:f>
        <x:v>417506 / 2022 / TIGER TROUT</x:v>
      </x:c>
    </x:row>
    <x:row r="209" ht="23" customHeight="1">
      <x:c r="A209" s="8" t="str">
        <x:v>Boulder Lake</x:v>
      </x:c>
      <x:c r="B209" s="8" t="str">
        <x:v>417506</x:v>
      </x:c>
      <x:c r="C209" s="17" t="n">
        <x:v>2021</x:v>
      </x:c>
      <x:c r="D209" s="8" t="str">
        <x:v>RAINBOW TROUT</x:v>
      </x:c>
      <x:c r="E209" s="13" t="n">
        <x:f>SUMIFS('Stocking details'!$F$6:$F$3307,'Stocking details'!$I$6:$I$3307,G209)</x:f>
        <x:v>3050</x:v>
      </x:c>
      <x:c r="F209" s="13" t="n">
        <x:f>COUNTIFS('Stocking details'!$I$6:$I$3307,G209)</x:f>
        <x:v>2</x:v>
      </x:c>
      <x:c r="G209" s="8" t="str">
        <x:f>B209&amp;" / "&amp;C209&amp;" / "&amp;D209</x:f>
        <x:v>417506 / 2021 / RAINBOW TROUT</x:v>
      </x:c>
    </x:row>
    <x:row r="210" ht="23" customHeight="1">
      <x:c r="A210" s="8" t="str">
        <x:v>Boulder Lake</x:v>
      </x:c>
      <x:c r="B210" s="8" t="str">
        <x:v>417506</x:v>
      </x:c>
      <x:c r="C210" s="17" t="n">
        <x:v>2021</x:v>
      </x:c>
      <x:c r="D210" s="8" t="str">
        <x:v>TIGER TROUT</x:v>
      </x:c>
      <x:c r="E210" s="13" t="n">
        <x:f>SUMIFS('Stocking details'!$F$6:$F$3307,'Stocking details'!$I$6:$I$3307,G210)</x:f>
        <x:v>200</x:v>
      </x:c>
      <x:c r="F210" s="13" t="n">
        <x:f>COUNTIFS('Stocking details'!$I$6:$I$3307,G210)</x:f>
        <x:v>1</x:v>
      </x:c>
      <x:c r="G210" s="8" t="str">
        <x:f>B210&amp;" / "&amp;C210&amp;" / "&amp;D210</x:f>
        <x:v>417506 / 2021 / TIGER TROUT</x:v>
      </x:c>
    </x:row>
    <x:row r="211" ht="23" customHeight="1">
      <x:c r="A211" s="8" t="str">
        <x:v>Bow City East Ponds</x:v>
      </x:c>
      <x:c r="B211" s="8" t="str">
        <x:v>6882</x:v>
      </x:c>
      <x:c r="C211" s="17" t="n">
        <x:v>2026</x:v>
      </x:c>
      <x:c r="D211" s="8" t="str">
        <x:v>RAINBOW TROUT</x:v>
      </x:c>
      <x:c r="E211" s="13" t="n">
        <x:f>SUMIFS('Stocking details'!$F$6:$F$3307,'Stocking details'!$I$6:$I$3307,G211)</x:f>
        <x:v>2000</x:v>
      </x:c>
      <x:c r="F211" s="13" t="n">
        <x:f>COUNTIFS('Stocking details'!$I$6:$I$3307,G211)</x:f>
        <x:v>1</x:v>
      </x:c>
      <x:c r="G211" s="8" t="str">
        <x:f>B211&amp;" / "&amp;C211&amp;" / "&amp;D211</x:f>
        <x:v>6882 / 2026 / RAINBOW TROUT</x:v>
      </x:c>
    </x:row>
    <x:row r="212" ht="23" customHeight="1">
      <x:c r="A212" s="8" t="str">
        <x:v>Bow City East Ponds</x:v>
      </x:c>
      <x:c r="B212" s="8" t="str">
        <x:v>6882</x:v>
      </x:c>
      <x:c r="C212" s="17" t="n">
        <x:v>2025</x:v>
      </x:c>
      <x:c r="D212" s="8" t="str">
        <x:v>RAINBOW TROUT</x:v>
      </x:c>
      <x:c r="E212" s="13" t="n">
        <x:f>SUMIFS('Stocking details'!$F$6:$F$3307,'Stocking details'!$I$6:$I$3307,G212)</x:f>
        <x:v>2000</x:v>
      </x:c>
      <x:c r="F212" s="13" t="n">
        <x:f>COUNTIFS('Stocking details'!$I$6:$I$3307,G212)</x:f>
        <x:v>1</x:v>
      </x:c>
      <x:c r="G212" s="8" t="str">
        <x:f>B212&amp;" / "&amp;C212&amp;" / "&amp;D212</x:f>
        <x:v>6882 / 2025 / RAINBOW TROUT</x:v>
      </x:c>
    </x:row>
    <x:row r="213" ht="23" customHeight="1">
      <x:c r="A213" s="8" t="str">
        <x:v>Bow City East Ponds</x:v>
      </x:c>
      <x:c r="B213" s="8" t="str">
        <x:v>6882</x:v>
      </x:c>
      <x:c r="C213" s="17" t="n">
        <x:v>2024</x:v>
      </x:c>
      <x:c r="D213" s="8" t="str">
        <x:v>RAINBOW TROUT</x:v>
      </x:c>
      <x:c r="E213" s="13" t="n">
        <x:f>SUMIFS('Stocking details'!$F$6:$F$3307,'Stocking details'!$I$6:$I$3307,G213)</x:f>
        <x:v>2000</x:v>
      </x:c>
      <x:c r="F213" s="13" t="n">
        <x:f>COUNTIFS('Stocking details'!$I$6:$I$3307,G213)</x:f>
        <x:v>1</x:v>
      </x:c>
      <x:c r="G213" s="8" t="str">
        <x:f>B213&amp;" / "&amp;C213&amp;" / "&amp;D213</x:f>
        <x:v>6882 / 2024 / RAINBOW TROUT</x:v>
      </x:c>
    </x:row>
    <x:row r="214" ht="23" customHeight="1">
      <x:c r="A214" s="8" t="str">
        <x:v>Bow City East Ponds</x:v>
      </x:c>
      <x:c r="B214" s="8" t="str">
        <x:v>6882</x:v>
      </x:c>
      <x:c r="C214" s="17" t="n">
        <x:v>2023</x:v>
      </x:c>
      <x:c r="D214" s="8" t="str">
        <x:v>RAINBOW TROUT</x:v>
      </x:c>
      <x:c r="E214" s="13" t="n">
        <x:f>SUMIFS('Stocking details'!$F$6:$F$3307,'Stocking details'!$I$6:$I$3307,G214)</x:f>
        <x:v>2000</x:v>
      </x:c>
      <x:c r="F214" s="13" t="n">
        <x:f>COUNTIFS('Stocking details'!$I$6:$I$3307,G214)</x:f>
        <x:v>1</x:v>
      </x:c>
      <x:c r="G214" s="8" t="str">
        <x:f>B214&amp;" / "&amp;C214&amp;" / "&amp;D214</x:f>
        <x:v>6882 / 2023 / RAINBOW TROUT</x:v>
      </x:c>
    </x:row>
    <x:row r="215" ht="23" customHeight="1">
      <x:c r="A215" s="8" t="str">
        <x:v>Bow City East Ponds</x:v>
      </x:c>
      <x:c r="B215" s="8" t="str">
        <x:v>6882</x:v>
      </x:c>
      <x:c r="C215" s="17" t="n">
        <x:v>2022</x:v>
      </x:c>
      <x:c r="D215" s="8" t="str">
        <x:v>RAINBOW TROUT</x:v>
      </x:c>
      <x:c r="E215" s="13" t="n">
        <x:f>SUMIFS('Stocking details'!$F$6:$F$3307,'Stocking details'!$I$6:$I$3307,G215)</x:f>
        <x:v>1000</x:v>
      </x:c>
      <x:c r="F215" s="13" t="n">
        <x:f>COUNTIFS('Stocking details'!$I$6:$I$3307,G215)</x:f>
        <x:v>1</x:v>
      </x:c>
      <x:c r="G215" s="8" t="str">
        <x:f>B215&amp;" / "&amp;C215&amp;" / "&amp;D215</x:f>
        <x:v>6882 / 2022 / RAINBOW TROUT</x:v>
      </x:c>
    </x:row>
    <x:row r="216" ht="23" customHeight="1">
      <x:c r="A216" s="8" t="str">
        <x:v>Bow City East Ponds</x:v>
      </x:c>
      <x:c r="B216" s="8" t="str">
        <x:v>6882</x:v>
      </x:c>
      <x:c r="C216" s="17" t="n">
        <x:v>2021</x:v>
      </x:c>
      <x:c r="D216" s="8" t="str">
        <x:v>RAINBOW TROUT</x:v>
      </x:c>
      <x:c r="E216" s="13" t="n">
        <x:f>SUMIFS('Stocking details'!$F$6:$F$3307,'Stocking details'!$I$6:$I$3307,G216)</x:f>
        <x:v>2000</x:v>
      </x:c>
      <x:c r="F216" s="13" t="n">
        <x:f>COUNTIFS('Stocking details'!$I$6:$I$3307,G216)</x:f>
        <x:v>1</x:v>
      </x:c>
      <x:c r="G216" s="8" t="str">
        <x:f>B216&amp;" / "&amp;C216&amp;" / "&amp;D216</x:f>
        <x:v>6882 / 2021 / RAINBOW TROUT</x:v>
      </x:c>
    </x:row>
    <x:row r="217" ht="23" customHeight="1">
      <x:c r="A217" s="8" t="str">
        <x:v>Boyle Pond</x:v>
      </x:c>
      <x:c r="B217" s="8" t="str">
        <x:v>6884</x:v>
      </x:c>
      <x:c r="C217" s="17" t="n">
        <x:v>2026</x:v>
      </x:c>
      <x:c r="D217" s="8" t="str">
        <x:v>RAINBOW TROUT</x:v>
      </x:c>
      <x:c r="E217" s="13" t="n">
        <x:f>SUMIFS('Stocking details'!$F$6:$F$3307,'Stocking details'!$I$6:$I$3307,G217)</x:f>
        <x:v>2200</x:v>
      </x:c>
      <x:c r="F217" s="13" t="n">
        <x:f>COUNTIFS('Stocking details'!$I$6:$I$3307,G217)</x:f>
        <x:v>1</x:v>
      </x:c>
      <x:c r="G217" s="8" t="str">
        <x:f>B217&amp;" / "&amp;C217&amp;" / "&amp;D217</x:f>
        <x:v>6884 / 2026 / RAINBOW TROUT</x:v>
      </x:c>
    </x:row>
    <x:row r="218" ht="23" customHeight="1">
      <x:c r="A218" s="8" t="str">
        <x:v>Boyle Pond</x:v>
      </x:c>
      <x:c r="B218" s="8" t="str">
        <x:v>6884</x:v>
      </x:c>
      <x:c r="C218" s="17" t="n">
        <x:v>2025</x:v>
      </x:c>
      <x:c r="D218" s="8" t="str">
        <x:v>RAINBOW TROUT</x:v>
      </x:c>
      <x:c r="E218" s="13" t="n">
        <x:f>SUMIFS('Stocking details'!$F$6:$F$3307,'Stocking details'!$I$6:$I$3307,G218)</x:f>
        <x:v>2200</x:v>
      </x:c>
      <x:c r="F218" s="13" t="n">
        <x:f>COUNTIFS('Stocking details'!$I$6:$I$3307,G218)</x:f>
        <x:v>1</x:v>
      </x:c>
      <x:c r="G218" s="8" t="str">
        <x:f>B218&amp;" / "&amp;C218&amp;" / "&amp;D218</x:f>
        <x:v>6884 / 2025 / RAINBOW TROUT</x:v>
      </x:c>
    </x:row>
    <x:row r="219" ht="23" customHeight="1">
      <x:c r="A219" s="8" t="str">
        <x:v>Boyle Pond</x:v>
      </x:c>
      <x:c r="B219" s="8" t="str">
        <x:v>6884</x:v>
      </x:c>
      <x:c r="C219" s="17" t="n">
        <x:v>2024</x:v>
      </x:c>
      <x:c r="D219" s="8" t="str">
        <x:v>RAINBOW TROUT</x:v>
      </x:c>
      <x:c r="E219" s="13" t="n">
        <x:f>SUMIFS('Stocking details'!$F$6:$F$3307,'Stocking details'!$I$6:$I$3307,G219)</x:f>
        <x:v>2200</x:v>
      </x:c>
      <x:c r="F219" s="13" t="n">
        <x:f>COUNTIFS('Stocking details'!$I$6:$I$3307,G219)</x:f>
        <x:v>1</x:v>
      </x:c>
      <x:c r="G219" s="8" t="str">
        <x:f>B219&amp;" / "&amp;C219&amp;" / "&amp;D219</x:f>
        <x:v>6884 / 2024 / RAINBOW TROUT</x:v>
      </x:c>
    </x:row>
    <x:row r="220" ht="23" customHeight="1">
      <x:c r="A220" s="8" t="str">
        <x:v>Boyle Pond</x:v>
      </x:c>
      <x:c r="B220" s="8" t="str">
        <x:v>6884</x:v>
      </x:c>
      <x:c r="C220" s="17" t="n">
        <x:v>2023</x:v>
      </x:c>
      <x:c r="D220" s="8" t="str">
        <x:v>RAINBOW TROUT</x:v>
      </x:c>
      <x:c r="E220" s="13" t="n">
        <x:f>SUMIFS('Stocking details'!$F$6:$F$3307,'Stocking details'!$I$6:$I$3307,G220)</x:f>
        <x:v>2200</x:v>
      </x:c>
      <x:c r="F220" s="13" t="n">
        <x:f>COUNTIFS('Stocking details'!$I$6:$I$3307,G220)</x:f>
        <x:v>1</x:v>
      </x:c>
      <x:c r="G220" s="8" t="str">
        <x:f>B220&amp;" / "&amp;C220&amp;" / "&amp;D220</x:f>
        <x:v>6884 / 2023 / RAINBOW TROUT</x:v>
      </x:c>
    </x:row>
    <x:row r="221" ht="23" customHeight="1">
      <x:c r="A221" s="8" t="str">
        <x:v>Boyle Pond</x:v>
      </x:c>
      <x:c r="B221" s="8" t="str">
        <x:v>6884</x:v>
      </x:c>
      <x:c r="C221" s="17" t="n">
        <x:v>2022</x:v>
      </x:c>
      <x:c r="D221" s="8" t="str">
        <x:v>RAINBOW TROUT</x:v>
      </x:c>
      <x:c r="E221" s="13" t="n">
        <x:f>SUMIFS('Stocking details'!$F$6:$F$3307,'Stocking details'!$I$6:$I$3307,G221)</x:f>
        <x:v>2200</x:v>
      </x:c>
      <x:c r="F221" s="13" t="n">
        <x:f>COUNTIFS('Stocking details'!$I$6:$I$3307,G221)</x:f>
        <x:v>1</x:v>
      </x:c>
      <x:c r="G221" s="8" t="str">
        <x:f>B221&amp;" / "&amp;C221&amp;" / "&amp;D221</x:f>
        <x:v>6884 / 2022 / RAINBOW TROUT</x:v>
      </x:c>
    </x:row>
    <x:row r="222" ht="23" customHeight="1">
      <x:c r="A222" s="8" t="str">
        <x:v>Boyle Pond</x:v>
      </x:c>
      <x:c r="B222" s="8" t="str">
        <x:v>6884</x:v>
      </x:c>
      <x:c r="C222" s="17" t="n">
        <x:v>2021</x:v>
      </x:c>
      <x:c r="D222" s="8" t="str">
        <x:v>RAINBOW TROUT</x:v>
      </x:c>
      <x:c r="E222" s="13" t="n">
        <x:f>SUMIFS('Stocking details'!$F$6:$F$3307,'Stocking details'!$I$6:$I$3307,G222)</x:f>
        <x:v>2200</x:v>
      </x:c>
      <x:c r="F222" s="13" t="n">
        <x:f>COUNTIFS('Stocking details'!$I$6:$I$3307,G222)</x:f>
        <x:v>1</x:v>
      </x:c>
      <x:c r="G222" s="8" t="str">
        <x:f>B222&amp;" / "&amp;C222&amp;" / "&amp;D222</x:f>
        <x:v>6884 / 2021 / RAINBOW TROUT</x:v>
      </x:c>
    </x:row>
    <x:row r="223" ht="23" customHeight="1">
      <x:c r="A223" s="8" t="str">
        <x:v>Brazeau Borrow Pit #1</x:v>
      </x:c>
      <x:c r="B223" s="8" t="str">
        <x:v>6921</x:v>
      </x:c>
      <x:c r="C223" s="17" t="n">
        <x:v>2023</x:v>
      </x:c>
      <x:c r="D223" s="8" t="str">
        <x:v>RAINBOW TROUT</x:v>
      </x:c>
      <x:c r="E223" s="13" t="n">
        <x:f>SUMIFS('Stocking details'!$F$6:$F$3307,'Stocking details'!$I$6:$I$3307,G223)</x:f>
        <x:v>753</x:v>
      </x:c>
      <x:c r="F223" s="13" t="n">
        <x:f>COUNTIFS('Stocking details'!$I$6:$I$3307,G223)</x:f>
        <x:v>1</x:v>
      </x:c>
      <x:c r="G223" s="8" t="str">
        <x:f>B223&amp;" / "&amp;C223&amp;" / "&amp;D223</x:f>
        <x:v>6921 / 2023 / RAINBOW TROUT</x:v>
      </x:c>
    </x:row>
    <x:row r="224" ht="23" customHeight="1">
      <x:c r="A224" s="8" t="str">
        <x:v>Brazeau Borrow Pit #1</x:v>
      </x:c>
      <x:c r="B224" s="8" t="str">
        <x:v>6921</x:v>
      </x:c>
      <x:c r="C224" s="17" t="n">
        <x:v>2022</x:v>
      </x:c>
      <x:c r="D224" s="8" t="str">
        <x:v>RAINBOW TROUT</x:v>
      </x:c>
      <x:c r="E224" s="13" t="n">
        <x:f>SUMIFS('Stocking details'!$F$6:$F$3307,'Stocking details'!$I$6:$I$3307,G224)</x:f>
        <x:v>1500</x:v>
      </x:c>
      <x:c r="F224" s="13" t="n">
        <x:f>COUNTIFS('Stocking details'!$I$6:$I$3307,G224)</x:f>
        <x:v>1</x:v>
      </x:c>
      <x:c r="G224" s="8" t="str">
        <x:f>B224&amp;" / "&amp;C224&amp;" / "&amp;D224</x:f>
        <x:v>6921 / 2022 / RAINBOW TROUT</x:v>
      </x:c>
    </x:row>
    <x:row r="225" ht="23" customHeight="1">
      <x:c r="A225" s="8" t="str">
        <x:v>Brazeau Borrow Pit #1</x:v>
      </x:c>
      <x:c r="B225" s="8" t="str">
        <x:v>6921</x:v>
      </x:c>
      <x:c r="C225" s="17" t="n">
        <x:v>2021</x:v>
      </x:c>
      <x:c r="D225" s="8" t="str">
        <x:v>RAINBOW TROUT</x:v>
      </x:c>
      <x:c r="E225" s="13" t="n">
        <x:f>SUMIFS('Stocking details'!$F$6:$F$3307,'Stocking details'!$I$6:$I$3307,G225)</x:f>
        <x:v>1500</x:v>
      </x:c>
      <x:c r="F225" s="13" t="n">
        <x:f>COUNTIFS('Stocking details'!$I$6:$I$3307,G225)</x:f>
        <x:v>1</x:v>
      </x:c>
      <x:c r="G225" s="8" t="str">
        <x:f>B225&amp;" / "&amp;C225&amp;" / "&amp;D225</x:f>
        <x:v>6921 / 2021 / RAINBOW TROUT</x:v>
      </x:c>
    </x:row>
    <x:row r="226" ht="23" customHeight="1">
      <x:c r="A226" s="8" t="str">
        <x:v>Brazeau Borrow Pit #2</x:v>
      </x:c>
      <x:c r="B226" s="8" t="str">
        <x:v>6922</x:v>
      </x:c>
      <x:c r="C226" s="17" t="n">
        <x:v>2023</x:v>
      </x:c>
      <x:c r="D226" s="8" t="str">
        <x:v>RAINBOW TROUT</x:v>
      </x:c>
      <x:c r="E226" s="13" t="n">
        <x:f>SUMIFS('Stocking details'!$F$6:$F$3307,'Stocking details'!$I$6:$I$3307,G226)</x:f>
        <x:v>251</x:v>
      </x:c>
      <x:c r="F226" s="13" t="n">
        <x:f>COUNTIFS('Stocking details'!$I$6:$I$3307,G226)</x:f>
        <x:v>1</x:v>
      </x:c>
      <x:c r="G226" s="8" t="str">
        <x:f>B226&amp;" / "&amp;C226&amp;" / "&amp;D226</x:f>
        <x:v>6922 / 2023 / RAINBOW TROUT</x:v>
      </x:c>
    </x:row>
    <x:row r="227" ht="23" customHeight="1">
      <x:c r="A227" s="8" t="str">
        <x:v>Brazeau Borrow Pit #2</x:v>
      </x:c>
      <x:c r="B227" s="8" t="str">
        <x:v>6922</x:v>
      </x:c>
      <x:c r="C227" s="17" t="n">
        <x:v>2022</x:v>
      </x:c>
      <x:c r="D227" s="8" t="str">
        <x:v>RAINBOW TROUT</x:v>
      </x:c>
      <x:c r="E227" s="13" t="n">
        <x:f>SUMIFS('Stocking details'!$F$6:$F$3307,'Stocking details'!$I$6:$I$3307,G227)</x:f>
        <x:v>500</x:v>
      </x:c>
      <x:c r="F227" s="13" t="n">
        <x:f>COUNTIFS('Stocking details'!$I$6:$I$3307,G227)</x:f>
        <x:v>1</x:v>
      </x:c>
      <x:c r="G227" s="8" t="str">
        <x:f>B227&amp;" / "&amp;C227&amp;" / "&amp;D227</x:f>
        <x:v>6922 / 2022 / RAINBOW TROUT</x:v>
      </x:c>
    </x:row>
    <x:row r="228" ht="23" customHeight="1">
      <x:c r="A228" s="8" t="str">
        <x:v>Brazeau Borrow Pit #2</x:v>
      </x:c>
      <x:c r="B228" s="8" t="str">
        <x:v>6922</x:v>
      </x:c>
      <x:c r="C228" s="17" t="n">
        <x:v>2021</x:v>
      </x:c>
      <x:c r="D228" s="8" t="str">
        <x:v>RAINBOW TROUT</x:v>
      </x:c>
      <x:c r="E228" s="13" t="n">
        <x:f>SUMIFS('Stocking details'!$F$6:$F$3307,'Stocking details'!$I$6:$I$3307,G228)</x:f>
        <x:v>500</x:v>
      </x:c>
      <x:c r="F228" s="13" t="n">
        <x:f>COUNTIFS('Stocking details'!$I$6:$I$3307,G228)</x:f>
        <x:v>1</x:v>
      </x:c>
      <x:c r="G228" s="8" t="str">
        <x:f>B228&amp;" / "&amp;C228&amp;" / "&amp;D228</x:f>
        <x:v>6922 / 2021 / RAINBOW TROUT</x:v>
      </x:c>
    </x:row>
    <x:row r="229" ht="23" customHeight="1">
      <x:c r="A229" s="8" t="str">
        <x:v>Brazeau Canal</x:v>
      </x:c>
      <x:c r="B229" s="8" t="str">
        <x:v>24236</x:v>
      </x:c>
      <x:c r="C229" s="17" t="n">
        <x:v>2023</x:v>
      </x:c>
      <x:c r="D229" s="8" t="str">
        <x:v>WALLEYE</x:v>
      </x:c>
      <x:c r="E229" s="13" t="n">
        <x:f>SUMIFS('Stocking details'!$F$6:$F$3307,'Stocking details'!$I$6:$I$3307,G229)</x:f>
        <x:v>165000</x:v>
      </x:c>
      <x:c r="F229" s="13" t="n">
        <x:f>COUNTIFS('Stocking details'!$I$6:$I$3307,G229)</x:f>
        <x:v>1</x:v>
      </x:c>
      <x:c r="G229" s="8" t="str">
        <x:f>B229&amp;" / "&amp;C229&amp;" / "&amp;D229</x:f>
        <x:v>24236 / 2023 / WALLEYE</x:v>
      </x:c>
    </x:row>
    <x:row r="230" ht="23" customHeight="1">
      <x:c r="A230" s="8" t="str">
        <x:v>Brazeau Canal</x:v>
      </x:c>
      <x:c r="B230" s="8" t="str">
        <x:v>24236</x:v>
      </x:c>
      <x:c r="C230" s="17" t="n">
        <x:v>2022</x:v>
      </x:c>
      <x:c r="D230" s="8" t="str">
        <x:v>WALLEYE</x:v>
      </x:c>
      <x:c r="E230" s="13" t="n">
        <x:f>SUMIFS('Stocking details'!$F$6:$F$3307,'Stocking details'!$I$6:$I$3307,G230)</x:f>
        <x:v>165000</x:v>
      </x:c>
      <x:c r="F230" s="13" t="n">
        <x:f>COUNTIFS('Stocking details'!$I$6:$I$3307,G230)</x:f>
        <x:v>1</x:v>
      </x:c>
      <x:c r="G230" s="8" t="str">
        <x:f>B230&amp;" / "&amp;C230&amp;" / "&amp;D230</x:f>
        <x:v>24236 / 2022 / WALLEYE</x:v>
      </x:c>
    </x:row>
    <x:row r="231" ht="23" customHeight="1">
      <x:c r="A231" s="8" t="str">
        <x:v>Brooks Aqueduct Pond</x:v>
      </x:c>
      <x:c r="B231" s="8" t="str">
        <x:v>6873</x:v>
      </x:c>
      <x:c r="C231" s="17" t="n">
        <x:v>2026</x:v>
      </x:c>
      <x:c r="D231" s="8" t="str">
        <x:v>RAINBOW TROUT</x:v>
      </x:c>
      <x:c r="E231" s="13" t="n">
        <x:f>SUMIFS('Stocking details'!$F$6:$F$3307,'Stocking details'!$I$6:$I$3307,G231)</x:f>
        <x:v>10000</x:v>
      </x:c>
      <x:c r="F231" s="13" t="n">
        <x:f>COUNTIFS('Stocking details'!$I$6:$I$3307,G231)</x:f>
        <x:v>1</x:v>
      </x:c>
      <x:c r="G231" s="8" t="str">
        <x:f>B231&amp;" / "&amp;C231&amp;" / "&amp;D231</x:f>
        <x:v>6873 / 2026 / RAINBOW TROUT</x:v>
      </x:c>
    </x:row>
    <x:row r="232" ht="23" customHeight="1">
      <x:c r="A232" s="8" t="str">
        <x:v>Brooks Aqueduct Pond</x:v>
      </x:c>
      <x:c r="B232" s="8" t="str">
        <x:v>6873</x:v>
      </x:c>
      <x:c r="C232" s="17" t="n">
        <x:v>2025</x:v>
      </x:c>
      <x:c r="D232" s="8" t="str">
        <x:v>RAINBOW TROUT</x:v>
      </x:c>
      <x:c r="E232" s="13" t="n">
        <x:f>SUMIFS('Stocking details'!$F$6:$F$3307,'Stocking details'!$I$6:$I$3307,G232)</x:f>
        <x:v>10000</x:v>
      </x:c>
      <x:c r="F232" s="13" t="n">
        <x:f>COUNTIFS('Stocking details'!$I$6:$I$3307,G232)</x:f>
        <x:v>1</x:v>
      </x:c>
      <x:c r="G232" s="8" t="str">
        <x:f>B232&amp;" / "&amp;C232&amp;" / "&amp;D232</x:f>
        <x:v>6873 / 2025 / RAINBOW TROUT</x:v>
      </x:c>
    </x:row>
    <x:row r="233" ht="23" customHeight="1">
      <x:c r="A233" s="8" t="str">
        <x:v>Brooks Aqueduct Pond</x:v>
      </x:c>
      <x:c r="B233" s="8" t="str">
        <x:v>6873</x:v>
      </x:c>
      <x:c r="C233" s="17" t="n">
        <x:v>2024</x:v>
      </x:c>
      <x:c r="D233" s="8" t="str">
        <x:v>RAINBOW TROUT</x:v>
      </x:c>
      <x:c r="E233" s="13" t="n">
        <x:f>SUMIFS('Stocking details'!$F$6:$F$3307,'Stocking details'!$I$6:$I$3307,G233)</x:f>
        <x:v>28885</x:v>
      </x:c>
      <x:c r="F233" s="13" t="n">
        <x:f>COUNTIFS('Stocking details'!$I$6:$I$3307,G233)</x:f>
        <x:v>4</x:v>
      </x:c>
      <x:c r="G233" s="8" t="str">
        <x:f>B233&amp;" / "&amp;C233&amp;" / "&amp;D233</x:f>
        <x:v>6873 / 2024 / RAINBOW TROUT</x:v>
      </x:c>
    </x:row>
    <x:row r="234" ht="23" customHeight="1">
      <x:c r="A234" s="8" t="str">
        <x:v>Brooks Aqueduct Pond</x:v>
      </x:c>
      <x:c r="B234" s="8" t="str">
        <x:v>6873</x:v>
      </x:c>
      <x:c r="C234" s="17" t="n">
        <x:v>2023</x:v>
      </x:c>
      <x:c r="D234" s="8" t="str">
        <x:v>RAINBOW TROUT</x:v>
      </x:c>
      <x:c r="E234" s="13" t="n">
        <x:f>SUMIFS('Stocking details'!$F$6:$F$3307,'Stocking details'!$I$6:$I$3307,G234)</x:f>
        <x:v>13990</x:v>
      </x:c>
      <x:c r="F234" s="13" t="n">
        <x:f>COUNTIFS('Stocking details'!$I$6:$I$3307,G234)</x:f>
        <x:v>2</x:v>
      </x:c>
      <x:c r="G234" s="8" t="str">
        <x:f>B234&amp;" / "&amp;C234&amp;" / "&amp;D234</x:f>
        <x:v>6873 / 2023 / RAINBOW TROUT</x:v>
      </x:c>
    </x:row>
    <x:row r="235" ht="23" customHeight="1">
      <x:c r="A235" s="8" t="str">
        <x:v>Brooks Aqueduct Pond</x:v>
      </x:c>
      <x:c r="B235" s="8" t="str">
        <x:v>6873</x:v>
      </x:c>
      <x:c r="C235" s="17" t="n">
        <x:v>2022</x:v>
      </x:c>
      <x:c r="D235" s="8" t="str">
        <x:v>RAINBOW TROUT</x:v>
      </x:c>
      <x:c r="E235" s="13" t="n">
        <x:f>SUMIFS('Stocking details'!$F$6:$F$3307,'Stocking details'!$I$6:$I$3307,G235)</x:f>
        <x:v>10000</x:v>
      </x:c>
      <x:c r="F235" s="13" t="n">
        <x:f>COUNTIFS('Stocking details'!$I$6:$I$3307,G235)</x:f>
        <x:v>1</x:v>
      </x:c>
      <x:c r="G235" s="8" t="str">
        <x:f>B235&amp;" / "&amp;C235&amp;" / "&amp;D235</x:f>
        <x:v>6873 / 2022 / RAINBOW TROUT</x:v>
      </x:c>
    </x:row>
    <x:row r="236" ht="23" customHeight="1">
      <x:c r="A236" s="8" t="str">
        <x:v>Brooks Aqueduct Pond</x:v>
      </x:c>
      <x:c r="B236" s="8" t="str">
        <x:v>6873</x:v>
      </x:c>
      <x:c r="C236" s="17" t="n">
        <x:v>2021</x:v>
      </x:c>
      <x:c r="D236" s="8" t="str">
        <x:v>RAINBOW TROUT</x:v>
      </x:c>
      <x:c r="E236" s="13" t="n">
        <x:f>SUMIFS('Stocking details'!$F$6:$F$3307,'Stocking details'!$I$6:$I$3307,G236)</x:f>
        <x:v>20266</x:v>
      </x:c>
      <x:c r="F236" s="13" t="n">
        <x:f>COUNTIFS('Stocking details'!$I$6:$I$3307,G236)</x:f>
        <x:v>5</x:v>
      </x:c>
      <x:c r="G236" s="8" t="str">
        <x:f>B236&amp;" / "&amp;C236&amp;" / "&amp;D236</x:f>
        <x:v>6873 / 2021 / RAINBOW TROUT</x:v>
      </x:c>
    </x:row>
    <x:row r="237" ht="23" customHeight="1">
      <x:c r="A237" s="8" t="str">
        <x:v>Bud Miller Park Pond</x:v>
      </x:c>
      <x:c r="B237" s="8" t="str">
        <x:v>6876</x:v>
      </x:c>
      <x:c r="C237" s="17" t="n">
        <x:v>2026</x:v>
      </x:c>
      <x:c r="D237" s="8" t="str">
        <x:v>RAINBOW TROUT</x:v>
      </x:c>
      <x:c r="E237" s="13" t="n">
        <x:f>SUMIFS('Stocking details'!$F$6:$F$3307,'Stocking details'!$I$6:$I$3307,G237)</x:f>
        <x:v>1500</x:v>
      </x:c>
      <x:c r="F237" s="13" t="n">
        <x:f>COUNTIFS('Stocking details'!$I$6:$I$3307,G237)</x:f>
        <x:v>1</x:v>
      </x:c>
      <x:c r="G237" s="8" t="str">
        <x:f>B237&amp;" / "&amp;C237&amp;" / "&amp;D237</x:f>
        <x:v>6876 / 2026 / RAINBOW TROUT</x:v>
      </x:c>
    </x:row>
    <x:row r="238" ht="23" customHeight="1">
      <x:c r="A238" s="8" t="str">
        <x:v>Bud Miller Park Pond</x:v>
      </x:c>
      <x:c r="B238" s="8" t="str">
        <x:v>6876</x:v>
      </x:c>
      <x:c r="C238" s="17" t="n">
        <x:v>2025</x:v>
      </x:c>
      <x:c r="D238" s="8" t="str">
        <x:v>RAINBOW TROUT</x:v>
      </x:c>
      <x:c r="E238" s="13" t="n">
        <x:f>SUMIFS('Stocking details'!$F$6:$F$3307,'Stocking details'!$I$6:$I$3307,G238)</x:f>
        <x:v>1500</x:v>
      </x:c>
      <x:c r="F238" s="13" t="n">
        <x:f>COUNTIFS('Stocking details'!$I$6:$I$3307,G238)</x:f>
        <x:v>1</x:v>
      </x:c>
      <x:c r="G238" s="8" t="str">
        <x:f>B238&amp;" / "&amp;C238&amp;" / "&amp;D238</x:f>
        <x:v>6876 / 2025 / RAINBOW TROUT</x:v>
      </x:c>
    </x:row>
    <x:row r="239" ht="23" customHeight="1">
      <x:c r="A239" s="8" t="str">
        <x:v>Bud Miller Park Pond</x:v>
      </x:c>
      <x:c r="B239" s="8" t="str">
        <x:v>6876</x:v>
      </x:c>
      <x:c r="C239" s="17" t="n">
        <x:v>2024</x:v>
      </x:c>
      <x:c r="D239" s="8" t="str">
        <x:v>RAINBOW TROUT</x:v>
      </x:c>
      <x:c r="E239" s="13" t="n">
        <x:f>SUMIFS('Stocking details'!$F$6:$F$3307,'Stocking details'!$I$6:$I$3307,G239)</x:f>
        <x:v>1500</x:v>
      </x:c>
      <x:c r="F239" s="13" t="n">
        <x:f>COUNTIFS('Stocking details'!$I$6:$I$3307,G239)</x:f>
        <x:v>1</x:v>
      </x:c>
      <x:c r="G239" s="8" t="str">
        <x:f>B239&amp;" / "&amp;C239&amp;" / "&amp;D239</x:f>
        <x:v>6876 / 2024 / RAINBOW TROUT</x:v>
      </x:c>
    </x:row>
    <x:row r="240" ht="23" customHeight="1">
      <x:c r="A240" s="8" t="str">
        <x:v>Bud Miller Park Pond</x:v>
      </x:c>
      <x:c r="B240" s="8" t="str">
        <x:v>6876</x:v>
      </x:c>
      <x:c r="C240" s="17" t="n">
        <x:v>2023</x:v>
      </x:c>
      <x:c r="D240" s="8" t="str">
        <x:v>RAINBOW TROUT</x:v>
      </x:c>
      <x:c r="E240" s="13" t="n">
        <x:f>SUMIFS('Stocking details'!$F$6:$F$3307,'Stocking details'!$I$6:$I$3307,G240)</x:f>
        <x:v>1500</x:v>
      </x:c>
      <x:c r="F240" s="13" t="n">
        <x:f>COUNTIFS('Stocking details'!$I$6:$I$3307,G240)</x:f>
        <x:v>1</x:v>
      </x:c>
      <x:c r="G240" s="8" t="str">
        <x:f>B240&amp;" / "&amp;C240&amp;" / "&amp;D240</x:f>
        <x:v>6876 / 2023 / RAINBOW TROUT</x:v>
      </x:c>
    </x:row>
    <x:row r="241" ht="23" customHeight="1">
      <x:c r="A241" s="8" t="str">
        <x:v>Bud Miller Park Pond</x:v>
      </x:c>
      <x:c r="B241" s="8" t="str">
        <x:v>6876</x:v>
      </x:c>
      <x:c r="C241" s="17" t="n">
        <x:v>2022</x:v>
      </x:c>
      <x:c r="D241" s="8" t="str">
        <x:v>RAINBOW TROUT</x:v>
      </x:c>
      <x:c r="E241" s="13" t="n">
        <x:f>SUMIFS('Stocking details'!$F$6:$F$3307,'Stocking details'!$I$6:$I$3307,G241)</x:f>
        <x:v>1500</x:v>
      </x:c>
      <x:c r="F241" s="13" t="n">
        <x:f>COUNTIFS('Stocking details'!$I$6:$I$3307,G241)</x:f>
        <x:v>1</x:v>
      </x:c>
      <x:c r="G241" s="8" t="str">
        <x:f>B241&amp;" / "&amp;C241&amp;" / "&amp;D241</x:f>
        <x:v>6876 / 2022 / RAINBOW TROUT</x:v>
      </x:c>
    </x:row>
    <x:row r="242" ht="23" customHeight="1">
      <x:c r="A242" s="8" t="str">
        <x:v>Bud Miller Park Pond</x:v>
      </x:c>
      <x:c r="B242" s="8" t="str">
        <x:v>6876</x:v>
      </x:c>
      <x:c r="C242" s="17" t="n">
        <x:v>2021</x:v>
      </x:c>
      <x:c r="D242" s="8" t="str">
        <x:v>RAINBOW TROUT</x:v>
      </x:c>
      <x:c r="E242" s="13" t="n">
        <x:f>SUMIFS('Stocking details'!$F$6:$F$3307,'Stocking details'!$I$6:$I$3307,G242)</x:f>
        <x:v>1500</x:v>
      </x:c>
      <x:c r="F242" s="13" t="n">
        <x:f>COUNTIFS('Stocking details'!$I$6:$I$3307,G242)</x:f>
        <x:v>1</x:v>
      </x:c>
      <x:c r="G242" s="8" t="str">
        <x:f>B242&amp;" / "&amp;C242&amp;" / "&amp;D242</x:f>
        <x:v>6876 / 2021 / RAINBOW TROUT</x:v>
      </x:c>
    </x:row>
    <x:row r="243" ht="23" customHeight="1">
      <x:c r="A243" s="8" t="str">
        <x:v>Bullshead Creek Reservoir</x:v>
      </x:c>
      <x:c r="B243" s="8" t="str">
        <x:v>6878</x:v>
      </x:c>
      <x:c r="C243" s="17" t="n">
        <x:v>2026</x:v>
      </x:c>
      <x:c r="D243" s="8" t="str">
        <x:v>RAINBOW TROUT</x:v>
      </x:c>
      <x:c r="E243" s="13" t="n">
        <x:f>SUMIFS('Stocking details'!$F$6:$F$3307,'Stocking details'!$I$6:$I$3307,G243)</x:f>
        <x:v>1000</x:v>
      </x:c>
      <x:c r="F243" s="13" t="n">
        <x:f>COUNTIFS('Stocking details'!$I$6:$I$3307,G243)</x:f>
        <x:v>1</x:v>
      </x:c>
      <x:c r="G243" s="8" t="str">
        <x:f>B243&amp;" / "&amp;C243&amp;" / "&amp;D243</x:f>
        <x:v>6878 / 2026 / RAINBOW TROUT</x:v>
      </x:c>
    </x:row>
    <x:row r="244" ht="23" customHeight="1">
      <x:c r="A244" s="8" t="str">
        <x:v>Burmis Lake</x:v>
      </x:c>
      <x:c r="B244" s="8" t="str">
        <x:v>6879</x:v>
      </x:c>
      <x:c r="C244" s="17" t="n">
        <x:v>2026</x:v>
      </x:c>
      <x:c r="D244" s="8" t="str">
        <x:v>WESTSLOPE CUTTHROAT TROUT</x:v>
      </x:c>
      <x:c r="E244" s="13" t="n">
        <x:f>SUMIFS('Stocking details'!$F$6:$F$3307,'Stocking details'!$I$6:$I$3307,G244)</x:f>
        <x:v>1000</x:v>
      </x:c>
      <x:c r="F244" s="13" t="n">
        <x:f>COUNTIFS('Stocking details'!$I$6:$I$3307,G244)</x:f>
        <x:v>1</x:v>
      </x:c>
      <x:c r="G244" s="8" t="str">
        <x:f>B244&amp;" / "&amp;C244&amp;" / "&amp;D244</x:f>
        <x:v>6879 / 2026 / WESTSLOPE CUTTHROAT TROUT</x:v>
      </x:c>
    </x:row>
    <x:row r="245" ht="23" customHeight="1">
      <x:c r="A245" s="8" t="str">
        <x:v>Burmis Lake</x:v>
      </x:c>
      <x:c r="B245" s="8" t="str">
        <x:v>6879</x:v>
      </x:c>
      <x:c r="C245" s="17" t="n">
        <x:v>2025</x:v>
      </x:c>
      <x:c r="D245" s="8" t="str">
        <x:v>CUTTHROAT TROUT</x:v>
      </x:c>
      <x:c r="E245" s="13" t="n">
        <x:f>SUMIFS('Stocking details'!$F$6:$F$3307,'Stocking details'!$I$6:$I$3307,G245)</x:f>
        <x:v>1000</x:v>
      </x:c>
      <x:c r="F245" s="13" t="n">
        <x:f>COUNTIFS('Stocking details'!$I$6:$I$3307,G245)</x:f>
        <x:v>1</x:v>
      </x:c>
      <x:c r="G245" s="8" t="str">
        <x:f>B245&amp;" / "&amp;C245&amp;" / "&amp;D245</x:f>
        <x:v>6879 / 2025 / CUTTHROAT TROUT</x:v>
      </x:c>
    </x:row>
    <x:row r="246" ht="23" customHeight="1">
      <x:c r="A246" s="8" t="str">
        <x:v>Burmis Lake</x:v>
      </x:c>
      <x:c r="B246" s="8" t="str">
        <x:v>6879</x:v>
      </x:c>
      <x:c r="C246" s="17" t="n">
        <x:v>2024</x:v>
      </x:c>
      <x:c r="D246" s="8" t="str">
        <x:v>RAINBOW TROUT</x:v>
      </x:c>
      <x:c r="E246" s="13" t="n">
        <x:f>SUMIFS('Stocking details'!$F$6:$F$3307,'Stocking details'!$I$6:$I$3307,G246)</x:f>
        <x:v>1000</x:v>
      </x:c>
      <x:c r="F246" s="13" t="n">
        <x:f>COUNTIFS('Stocking details'!$I$6:$I$3307,G246)</x:f>
        <x:v>1</x:v>
      </x:c>
      <x:c r="G246" s="8" t="str">
        <x:f>B246&amp;" / "&amp;C246&amp;" / "&amp;D246</x:f>
        <x:v>6879 / 2024 / RAINBOW TROUT</x:v>
      </x:c>
    </x:row>
    <x:row r="247" ht="23" customHeight="1">
      <x:c r="A247" s="8" t="str">
        <x:v>Burmis Lake</x:v>
      </x:c>
      <x:c r="B247" s="8" t="str">
        <x:v>6879</x:v>
      </x:c>
      <x:c r="C247" s="17" t="n">
        <x:v>2023</x:v>
      </x:c>
      <x:c r="D247" s="8" t="str">
        <x:v>CUTTHROAT TROUT</x:v>
      </x:c>
      <x:c r="E247" s="13" t="n">
        <x:f>SUMIFS('Stocking details'!$F$6:$F$3307,'Stocking details'!$I$6:$I$3307,G247)</x:f>
        <x:v>1000</x:v>
      </x:c>
      <x:c r="F247" s="13" t="n">
        <x:f>COUNTIFS('Stocking details'!$I$6:$I$3307,G247)</x:f>
        <x:v>1</x:v>
      </x:c>
      <x:c r="G247" s="8" t="str">
        <x:f>B247&amp;" / "&amp;C247&amp;" / "&amp;D247</x:f>
        <x:v>6879 / 2023 / CUTTHROAT TROUT</x:v>
      </x:c>
    </x:row>
    <x:row r="248" ht="23" customHeight="1">
      <x:c r="A248" s="8" t="str">
        <x:v>Burmis Lake</x:v>
      </x:c>
      <x:c r="B248" s="8" t="str">
        <x:v>6879</x:v>
      </x:c>
      <x:c r="C248" s="17" t="n">
        <x:v>2022</x:v>
      </x:c>
      <x:c r="D248" s="8" t="str">
        <x:v>CUTTHROAT TROUT</x:v>
      </x:c>
      <x:c r="E248" s="13" t="n">
        <x:f>SUMIFS('Stocking details'!$F$6:$F$3307,'Stocking details'!$I$6:$I$3307,G248)</x:f>
        <x:v>1000</x:v>
      </x:c>
      <x:c r="F248" s="13" t="n">
        <x:f>COUNTIFS('Stocking details'!$I$6:$I$3307,G248)</x:f>
        <x:v>1</x:v>
      </x:c>
      <x:c r="G248" s="8" t="str">
        <x:f>B248&amp;" / "&amp;C248&amp;" / "&amp;D248</x:f>
        <x:v>6879 / 2022 / CUTTHROAT TROUT</x:v>
      </x:c>
    </x:row>
    <x:row r="249" ht="23" customHeight="1">
      <x:c r="A249" s="8" t="str">
        <x:v>Burmis Lake</x:v>
      </x:c>
      <x:c r="B249" s="8" t="str">
        <x:v>6879</x:v>
      </x:c>
      <x:c r="C249" s="17" t="n">
        <x:v>2021</x:v>
      </x:c>
      <x:c r="D249" s="8" t="str">
        <x:v>RAINBOW TROUT</x:v>
      </x:c>
      <x:c r="E249" s="13" t="n">
        <x:f>SUMIFS('Stocking details'!$F$6:$F$3307,'Stocking details'!$I$6:$I$3307,G249)</x:f>
        <x:v>1000</x:v>
      </x:c>
      <x:c r="F249" s="13" t="n">
        <x:f>COUNTIFS('Stocking details'!$I$6:$I$3307,G249)</x:f>
        <x:v>1</x:v>
      </x:c>
      <x:c r="G249" s="8" t="str">
        <x:f>B249&amp;" / "&amp;C249&amp;" / "&amp;D249</x:f>
        <x:v>6879 / 2021 / RAINBOW TROUT</x:v>
      </x:c>
    </x:row>
    <x:row r="250" ht="23" customHeight="1">
      <x:c r="A250" s="8" t="str">
        <x:v>Burn's Reservoir</x:v>
      </x:c>
      <x:c r="B250" s="8" t="str">
        <x:v>6880</x:v>
      </x:c>
      <x:c r="C250" s="17" t="n">
        <x:v>2026</x:v>
      </x:c>
      <x:c r="D250" s="8" t="str">
        <x:v>WESTSLOPE CUTTHROAT TROUT</x:v>
      </x:c>
      <x:c r="E250" s="13" t="n">
        <x:f>SUMIFS('Stocking details'!$F$6:$F$3307,'Stocking details'!$I$6:$I$3307,G250)</x:f>
        <x:v>1000</x:v>
      </x:c>
      <x:c r="F250" s="13" t="n">
        <x:f>COUNTIFS('Stocking details'!$I$6:$I$3307,G250)</x:f>
        <x:v>1</x:v>
      </x:c>
      <x:c r="G250" s="8" t="str">
        <x:f>B250&amp;" / "&amp;C250&amp;" / "&amp;D250</x:f>
        <x:v>6880 / 2026 / WESTSLOPE CUTTHROAT TROUT</x:v>
      </x:c>
    </x:row>
    <x:row r="251" ht="23" customHeight="1">
      <x:c r="A251" s="8" t="str">
        <x:v>Burn's Reservoir</x:v>
      </x:c>
      <x:c r="B251" s="8" t="str">
        <x:v>6880</x:v>
      </x:c>
      <x:c r="C251" s="17" t="n">
        <x:v>2025</x:v>
      </x:c>
      <x:c r="D251" s="8" t="str">
        <x:v>CUTTHROAT TROUT</x:v>
      </x:c>
      <x:c r="E251" s="13" t="n">
        <x:f>SUMIFS('Stocking details'!$F$6:$F$3307,'Stocking details'!$I$6:$I$3307,G251)</x:f>
        <x:v>1000</x:v>
      </x:c>
      <x:c r="F251" s="13" t="n">
        <x:f>COUNTIFS('Stocking details'!$I$6:$I$3307,G251)</x:f>
        <x:v>1</x:v>
      </x:c>
      <x:c r="G251" s="8" t="str">
        <x:f>B251&amp;" / "&amp;C251&amp;" / "&amp;D251</x:f>
        <x:v>6880 / 2025 / CUTTHROAT TROUT</x:v>
      </x:c>
    </x:row>
    <x:row r="252" ht="23" customHeight="1">
      <x:c r="A252" s="8" t="str">
        <x:v>Burn's Reservoir</x:v>
      </x:c>
      <x:c r="B252" s="8" t="str">
        <x:v>6880</x:v>
      </x:c>
      <x:c r="C252" s="17" t="n">
        <x:v>2024</x:v>
      </x:c>
      <x:c r="D252" s="8" t="str">
        <x:v>RAINBOW TROUT</x:v>
      </x:c>
      <x:c r="E252" s="13" t="n">
        <x:f>SUMIFS('Stocking details'!$F$6:$F$3307,'Stocking details'!$I$6:$I$3307,G252)</x:f>
        <x:v>1000</x:v>
      </x:c>
      <x:c r="F252" s="13" t="n">
        <x:f>COUNTIFS('Stocking details'!$I$6:$I$3307,G252)</x:f>
        <x:v>1</x:v>
      </x:c>
      <x:c r="G252" s="8" t="str">
        <x:f>B252&amp;" / "&amp;C252&amp;" / "&amp;D252</x:f>
        <x:v>6880 / 2024 / RAINBOW TROUT</x:v>
      </x:c>
    </x:row>
    <x:row r="253" ht="23" customHeight="1">
      <x:c r="A253" s="8" t="str">
        <x:v>Burn's Reservoir</x:v>
      </x:c>
      <x:c r="B253" s="8" t="str">
        <x:v>6880</x:v>
      </x:c>
      <x:c r="C253" s="17" t="n">
        <x:v>2023</x:v>
      </x:c>
      <x:c r="D253" s="8" t="str">
        <x:v>CUTTHROAT TROUT</x:v>
      </x:c>
      <x:c r="E253" s="13" t="n">
        <x:f>SUMIFS('Stocking details'!$F$6:$F$3307,'Stocking details'!$I$6:$I$3307,G253)</x:f>
        <x:v>1000</x:v>
      </x:c>
      <x:c r="F253" s="13" t="n">
        <x:f>COUNTIFS('Stocking details'!$I$6:$I$3307,G253)</x:f>
        <x:v>1</x:v>
      </x:c>
      <x:c r="G253" s="8" t="str">
        <x:f>B253&amp;" / "&amp;C253&amp;" / "&amp;D253</x:f>
        <x:v>6880 / 2023 / CUTTHROAT TROUT</x:v>
      </x:c>
    </x:row>
    <x:row r="254" ht="23" customHeight="1">
      <x:c r="A254" s="8" t="str">
        <x:v>Burn's Reservoir</x:v>
      </x:c>
      <x:c r="B254" s="8" t="str">
        <x:v>6880</x:v>
      </x:c>
      <x:c r="C254" s="17" t="n">
        <x:v>2022</x:v>
      </x:c>
      <x:c r="D254" s="8" t="str">
        <x:v>CUTTHROAT TROUT</x:v>
      </x:c>
      <x:c r="E254" s="13" t="n">
        <x:f>SUMIFS('Stocking details'!$F$6:$F$3307,'Stocking details'!$I$6:$I$3307,G254)</x:f>
        <x:v>1000</x:v>
      </x:c>
      <x:c r="F254" s="13" t="n">
        <x:f>COUNTIFS('Stocking details'!$I$6:$I$3307,G254)</x:f>
        <x:v>1</x:v>
      </x:c>
      <x:c r="G254" s="8" t="str">
        <x:f>B254&amp;" / "&amp;C254&amp;" / "&amp;D254</x:f>
        <x:v>6880 / 2022 / CUTTHROAT TROUT</x:v>
      </x:c>
    </x:row>
    <x:row r="255" ht="23" customHeight="1">
      <x:c r="A255" s="8" t="str">
        <x:v>Burn's Reservoir</x:v>
      </x:c>
      <x:c r="B255" s="8" t="str">
        <x:v>6880</x:v>
      </x:c>
      <x:c r="C255" s="17" t="n">
        <x:v>2021</x:v>
      </x:c>
      <x:c r="D255" s="8" t="str">
        <x:v>RAINBOW TROUT</x:v>
      </x:c>
      <x:c r="E255" s="13" t="n">
        <x:f>SUMIFS('Stocking details'!$F$6:$F$3307,'Stocking details'!$I$6:$I$3307,G255)</x:f>
        <x:v>1000</x:v>
      </x:c>
      <x:c r="F255" s="13" t="n">
        <x:f>COUNTIFS('Stocking details'!$I$6:$I$3307,G255)</x:f>
        <x:v>1</x:v>
      </x:c>
      <x:c r="G255" s="8" t="str">
        <x:f>B255&amp;" / "&amp;C255&amp;" / "&amp;D255</x:f>
        <x:v>6880 / 2021 / RAINBOW TROUT</x:v>
      </x:c>
    </x:row>
    <x:row r="256" ht="23" customHeight="1">
      <x:c r="A256" s="8" t="str">
        <x:v>Burns Lake</x:v>
      </x:c>
      <x:c r="B256" s="8" t="str">
        <x:v>4159</x:v>
      </x:c>
      <x:c r="C256" s="17" t="n">
        <x:v>2021</x:v>
      </x:c>
      <x:c r="D256" s="8" t="str">
        <x:v>CUTTHROAT TROUT</x:v>
      </x:c>
      <x:c r="E256" s="13" t="n">
        <x:f>SUMIFS('Stocking details'!$F$6:$F$3307,'Stocking details'!$I$6:$I$3307,G256)</x:f>
        <x:v>300</x:v>
      </x:c>
      <x:c r="F256" s="13" t="n">
        <x:f>COUNTIFS('Stocking details'!$I$6:$I$3307,G256)</x:f>
        <x:v>1</x:v>
      </x:c>
      <x:c r="G256" s="8" t="str">
        <x:f>B256&amp;" / "&amp;C256&amp;" / "&amp;D256</x:f>
        <x:v>4159 / 2021 / CUTTHROAT TROUT</x:v>
      </x:c>
    </x:row>
    <x:row r="257" ht="23" customHeight="1">
      <x:c r="A257" s="8" t="str">
        <x:v>Burnstick Lake</x:v>
      </x:c>
      <x:c r="B257" s="8" t="str">
        <x:v>4161</x:v>
      </x:c>
      <x:c r="C257" s="17" t="n">
        <x:v>2026</x:v>
      </x:c>
      <x:c r="D257" s="8" t="str">
        <x:v>WALLEYE</x:v>
      </x:c>
      <x:c r="E257" s="13" t="n">
        <x:f>SUMIFS('Stocking details'!$F$6:$F$3307,'Stocking details'!$I$6:$I$3307,G257)</x:f>
        <x:v>6100</x:v>
      </x:c>
      <x:c r="F257" s="13" t="n">
        <x:f>COUNTIFS('Stocking details'!$I$6:$I$3307,G257)</x:f>
        <x:v>1</x:v>
      </x:c>
      <x:c r="G257" s="8" t="str">
        <x:f>B257&amp;" / "&amp;C257&amp;" / "&amp;D257</x:f>
        <x:v>4161 / 2026 / WALLEYE</x:v>
      </x:c>
    </x:row>
    <x:row r="258" ht="23" customHeight="1">
      <x:c r="A258" s="8" t="str">
        <x:v>Burnstick Lake</x:v>
      </x:c>
      <x:c r="B258" s="8" t="str">
        <x:v>4161</x:v>
      </x:c>
      <x:c r="C258" s="17" t="n">
        <x:v>2025</x:v>
      </x:c>
      <x:c r="D258" s="8" t="str">
        <x:v>WALLEYE</x:v>
      </x:c>
      <x:c r="E258" s="13" t="n">
        <x:f>SUMIFS('Stocking details'!$F$6:$F$3307,'Stocking details'!$I$6:$I$3307,G258)</x:f>
        <x:v>1805</x:v>
      </x:c>
      <x:c r="F258" s="13" t="n">
        <x:f>COUNTIFS('Stocking details'!$I$6:$I$3307,G258)</x:f>
        <x:v>1</x:v>
      </x:c>
      <x:c r="G258" s="8" t="str">
        <x:f>B258&amp;" / "&amp;C258&amp;" / "&amp;D258</x:f>
        <x:v>4161 / 2025 / WALLEYE</x:v>
      </x:c>
    </x:row>
    <x:row r="259" ht="23" customHeight="1">
      <x:c r="A259" s="8" t="str">
        <x:v>Burnstick Lake</x:v>
      </x:c>
      <x:c r="B259" s="8" t="str">
        <x:v>4161</x:v>
      </x:c>
      <x:c r="C259" s="17" t="n">
        <x:v>2023</x:v>
      </x:c>
      <x:c r="D259" s="8" t="str">
        <x:v>WALLEYE</x:v>
      </x:c>
      <x:c r="E259" s="13" t="n">
        <x:f>SUMIFS('Stocking details'!$F$6:$F$3307,'Stocking details'!$I$6:$I$3307,G259)</x:f>
        <x:v>28900</x:v>
      </x:c>
      <x:c r="F259" s="13" t="n">
        <x:f>COUNTIFS('Stocking details'!$I$6:$I$3307,G259)</x:f>
        <x:v>1</x:v>
      </x:c>
      <x:c r="G259" s="8" t="str">
        <x:f>B259&amp;" / "&amp;C259&amp;" / "&amp;D259</x:f>
        <x:v>4161 / 2023 / WALLEYE</x:v>
      </x:c>
    </x:row>
    <x:row r="260" ht="23" customHeight="1">
      <x:c r="A260" s="8" t="str">
        <x:v>Burnstick Lake</x:v>
      </x:c>
      <x:c r="B260" s="8" t="str">
        <x:v>4161</x:v>
      </x:c>
      <x:c r="C260" s="17" t="n">
        <x:v>2022</x:v>
      </x:c>
      <x:c r="D260" s="8" t="str">
        <x:v>WALLEYE</x:v>
      </x:c>
      <x:c r="E260" s="13" t="n">
        <x:f>SUMIFS('Stocking details'!$F$6:$F$3307,'Stocking details'!$I$6:$I$3307,G260)</x:f>
        <x:v>28900</x:v>
      </x:c>
      <x:c r="F260" s="13" t="n">
        <x:f>COUNTIFS('Stocking details'!$I$6:$I$3307,G260)</x:f>
        <x:v>1</x:v>
      </x:c>
      <x:c r="G260" s="8" t="str">
        <x:f>B260&amp;" / "&amp;C260&amp;" / "&amp;D260</x:f>
        <x:v>4161 / 2022 / WALLEYE</x:v>
      </x:c>
    </x:row>
    <x:row r="261" ht="23" customHeight="1">
      <x:c r="A261" s="8" t="str">
        <x:v>Burnstick Lake</x:v>
      </x:c>
      <x:c r="B261" s="8" t="str">
        <x:v>4161</x:v>
      </x:c>
      <x:c r="C261" s="17" t="n">
        <x:v>2021</x:v>
      </x:c>
      <x:c r="D261" s="8" t="str">
        <x:v>WALLEYE</x:v>
      </x:c>
      <x:c r="E261" s="13" t="n">
        <x:f>SUMIFS('Stocking details'!$F$6:$F$3307,'Stocking details'!$I$6:$I$3307,G261)</x:f>
        <x:v>34680</x:v>
      </x:c>
      <x:c r="F261" s="13" t="n">
        <x:f>COUNTIFS('Stocking details'!$I$6:$I$3307,G261)</x:f>
        <x:v>1</x:v>
      </x:c>
      <x:c r="G261" s="8" t="str">
        <x:f>B261&amp;" / "&amp;C261&amp;" / "&amp;D261</x:f>
        <x:v>4161 / 2021 / WALLEYE</x:v>
      </x:c>
    </x:row>
    <x:row r="262" ht="23" customHeight="1">
      <x:c r="A262" s="8" t="str">
        <x:v>Butcher's Lake</x:v>
      </x:c>
      <x:c r="B262" s="8" t="str">
        <x:v>4171</x:v>
      </x:c>
      <x:c r="C262" s="17" t="n">
        <x:v>2026</x:v>
      </x:c>
      <x:c r="D262" s="8" t="str">
        <x:v>BROOK TROUT</x:v>
      </x:c>
      <x:c r="E262" s="13" t="n">
        <x:f>SUMIFS('Stocking details'!$F$6:$F$3307,'Stocking details'!$I$6:$I$3307,G262)</x:f>
        <x:v>3000</x:v>
      </x:c>
      <x:c r="F262" s="13" t="n">
        <x:f>COUNTIFS('Stocking details'!$I$6:$I$3307,G262)</x:f>
        <x:v>1</x:v>
      </x:c>
      <x:c r="G262" s="8" t="str">
        <x:f>B262&amp;" / "&amp;C262&amp;" / "&amp;D262</x:f>
        <x:v>4171 / 2026 / BROOK TROUT</x:v>
      </x:c>
    </x:row>
    <x:row r="263" ht="23" customHeight="1">
      <x:c r="A263" s="8" t="str">
        <x:v>Butcher's Lake</x:v>
      </x:c>
      <x:c r="B263" s="8" t="str">
        <x:v>4171</x:v>
      </x:c>
      <x:c r="C263" s="17" t="n">
        <x:v>2025</x:v>
      </x:c>
      <x:c r="D263" s="8" t="str">
        <x:v>BROOK TROUT</x:v>
      </x:c>
      <x:c r="E263" s="13" t="n">
        <x:f>SUMIFS('Stocking details'!$F$6:$F$3307,'Stocking details'!$I$6:$I$3307,G263)</x:f>
        <x:v>3000</x:v>
      </x:c>
      <x:c r="F263" s="13" t="n">
        <x:f>COUNTIFS('Stocking details'!$I$6:$I$3307,G263)</x:f>
        <x:v>2</x:v>
      </x:c>
      <x:c r="G263" s="8" t="str">
        <x:f>B263&amp;" / "&amp;C263&amp;" / "&amp;D263</x:f>
        <x:v>4171 / 2025 / BROOK TROUT</x:v>
      </x:c>
    </x:row>
    <x:row r="264" ht="23" customHeight="1">
      <x:c r="A264" s="8" t="str">
        <x:v>Butcher's Lake</x:v>
      </x:c>
      <x:c r="B264" s="8" t="str">
        <x:v>4171</x:v>
      </x:c>
      <x:c r="C264" s="17" t="n">
        <x:v>2024</x:v>
      </x:c>
      <x:c r="D264" s="8" t="str">
        <x:v>BROOK TROUT</x:v>
      </x:c>
      <x:c r="E264" s="13" t="n">
        <x:f>SUMIFS('Stocking details'!$F$6:$F$3307,'Stocking details'!$I$6:$I$3307,G264)</x:f>
        <x:v>2000</x:v>
      </x:c>
      <x:c r="F264" s="13" t="n">
        <x:f>COUNTIFS('Stocking details'!$I$6:$I$3307,G264)</x:f>
        <x:v>1</x:v>
      </x:c>
      <x:c r="G264" s="8" t="str">
        <x:f>B264&amp;" / "&amp;C264&amp;" / "&amp;D264</x:f>
        <x:v>4171 / 2024 / BROOK TROUT</x:v>
      </x:c>
    </x:row>
    <x:row r="265" ht="23" customHeight="1">
      <x:c r="A265" s="8" t="str">
        <x:v>Butcher's Lake</x:v>
      </x:c>
      <x:c r="B265" s="8" t="str">
        <x:v>4171</x:v>
      </x:c>
      <x:c r="C265" s="17" t="n">
        <x:v>2023</x:v>
      </x:c>
      <x:c r="D265" s="8" t="str">
        <x:v>BROOK TROUT</x:v>
      </x:c>
      <x:c r="E265" s="13" t="n">
        <x:f>SUMIFS('Stocking details'!$F$6:$F$3307,'Stocking details'!$I$6:$I$3307,G265)</x:f>
        <x:v>2000</x:v>
      </x:c>
      <x:c r="F265" s="13" t="n">
        <x:f>COUNTIFS('Stocking details'!$I$6:$I$3307,G265)</x:f>
        <x:v>1</x:v>
      </x:c>
      <x:c r="G265" s="8" t="str">
        <x:f>B265&amp;" / "&amp;C265&amp;" / "&amp;D265</x:f>
        <x:v>4171 / 2023 / BROOK TROUT</x:v>
      </x:c>
    </x:row>
    <x:row r="266" ht="23" customHeight="1">
      <x:c r="A266" s="8" t="str">
        <x:v>Butcher's Lake</x:v>
      </x:c>
      <x:c r="B266" s="8" t="str">
        <x:v>4171</x:v>
      </x:c>
      <x:c r="C266" s="17" t="n">
        <x:v>2022</x:v>
      </x:c>
      <x:c r="D266" s="8" t="str">
        <x:v>BROOK TROUT</x:v>
      </x:c>
      <x:c r="E266" s="13" t="n">
        <x:f>SUMIFS('Stocking details'!$F$6:$F$3307,'Stocking details'!$I$6:$I$3307,G266)</x:f>
        <x:v>3004</x:v>
      </x:c>
      <x:c r="F266" s="13" t="n">
        <x:f>COUNTIFS('Stocking details'!$I$6:$I$3307,G266)</x:f>
        <x:v>1</x:v>
      </x:c>
      <x:c r="G266" s="8" t="str">
        <x:f>B266&amp;" / "&amp;C266&amp;" / "&amp;D266</x:f>
        <x:v>4171 / 2022 / BROOK TROUT</x:v>
      </x:c>
    </x:row>
    <x:row r="267" ht="23" customHeight="1">
      <x:c r="A267" s="8" t="str">
        <x:v>Butcher's Lake</x:v>
      </x:c>
      <x:c r="B267" s="8" t="str">
        <x:v>4171</x:v>
      </x:c>
      <x:c r="C267" s="17" t="n">
        <x:v>2021</x:v>
      </x:c>
      <x:c r="D267" s="8" t="str">
        <x:v>BROOK TROUT</x:v>
      </x:c>
      <x:c r="E267" s="13" t="n">
        <x:f>SUMIFS('Stocking details'!$F$6:$F$3307,'Stocking details'!$I$6:$I$3307,G267)</x:f>
        <x:v>3000</x:v>
      </x:c>
      <x:c r="F267" s="13" t="n">
        <x:f>COUNTIFS('Stocking details'!$I$6:$I$3307,G267)</x:f>
        <x:v>1</x:v>
      </x:c>
      <x:c r="G267" s="8" t="str">
        <x:f>B267&amp;" / "&amp;C267&amp;" / "&amp;D267</x:f>
        <x:v>4171 / 2021 / BROOK TROUT</x:v>
      </x:c>
    </x:row>
    <x:row r="268" ht="23" customHeight="1">
      <x:c r="A268" s="8" t="str">
        <x:v>By the Lake Park</x:v>
      </x:c>
      <x:c r="B268" s="8" t="str">
        <x:v>6614</x:v>
      </x:c>
      <x:c r="C268" s="17" t="n">
        <x:v>2026</x:v>
      </x:c>
      <x:c r="D268" s="8" t="str">
        <x:v>RAINBOW TROUT</x:v>
      </x:c>
      <x:c r="E268" s="13" t="n">
        <x:f>SUMIFS('Stocking details'!$F$6:$F$3307,'Stocking details'!$I$6:$I$3307,G268)</x:f>
        <x:v>5000</x:v>
      </x:c>
      <x:c r="F268" s="13" t="n">
        <x:f>COUNTIFS('Stocking details'!$I$6:$I$3307,G268)</x:f>
        <x:v>1</x:v>
      </x:c>
      <x:c r="G268" s="8" t="str">
        <x:f>B268&amp;" / "&amp;C268&amp;" / "&amp;D268</x:f>
        <x:v>6614 / 2026 / RAINBOW TROUT</x:v>
      </x:c>
    </x:row>
    <x:row r="269" ht="23" customHeight="1">
      <x:c r="A269" s="8" t="str">
        <x:v>By the Lake Park</x:v>
      </x:c>
      <x:c r="B269" s="8" t="str">
        <x:v>6614</x:v>
      </x:c>
      <x:c r="C269" s="17" t="n">
        <x:v>2025</x:v>
      </x:c>
      <x:c r="D269" s="8" t="str">
        <x:v>RAINBOW TROUT</x:v>
      </x:c>
      <x:c r="E269" s="13" t="n">
        <x:f>SUMIFS('Stocking details'!$F$6:$F$3307,'Stocking details'!$I$6:$I$3307,G269)</x:f>
        <x:v>5000</x:v>
      </x:c>
      <x:c r="F269" s="13" t="n">
        <x:f>COUNTIFS('Stocking details'!$I$6:$I$3307,G269)</x:f>
        <x:v>1</x:v>
      </x:c>
      <x:c r="G269" s="8" t="str">
        <x:f>B269&amp;" / "&amp;C269&amp;" / "&amp;D269</x:f>
        <x:v>6614 / 2025 / RAINBOW TROUT</x:v>
      </x:c>
    </x:row>
    <x:row r="270" ht="23" customHeight="1">
      <x:c r="A270" s="8" t="str">
        <x:v>By the Lake Park</x:v>
      </x:c>
      <x:c r="B270" s="8" t="str">
        <x:v>6614</x:v>
      </x:c>
      <x:c r="C270" s="17" t="n">
        <x:v>2024</x:v>
      </x:c>
      <x:c r="D270" s="8" t="str">
        <x:v>RAINBOW TROUT</x:v>
      </x:c>
      <x:c r="E270" s="13" t="n">
        <x:f>SUMIFS('Stocking details'!$F$6:$F$3307,'Stocking details'!$I$6:$I$3307,G270)</x:f>
        <x:v>2000</x:v>
      </x:c>
      <x:c r="F270" s="13" t="n">
        <x:f>COUNTIFS('Stocking details'!$I$6:$I$3307,G270)</x:f>
        <x:v>1</x:v>
      </x:c>
      <x:c r="G270" s="8" t="str">
        <x:f>B270&amp;" / "&amp;C270&amp;" / "&amp;D270</x:f>
        <x:v>6614 / 2024 / RAINBOW TROUT</x:v>
      </x:c>
    </x:row>
    <x:row r="271" ht="23" customHeight="1">
      <x:c r="A271" s="8" t="str">
        <x:v>By the Lake Park</x:v>
      </x:c>
      <x:c r="B271" s="8" t="str">
        <x:v>6614</x:v>
      </x:c>
      <x:c r="C271" s="17" t="n">
        <x:v>2023</x:v>
      </x:c>
      <x:c r="D271" s="8" t="str">
        <x:v>RAINBOW TROUT</x:v>
      </x:c>
      <x:c r="E271" s="13" t="n">
        <x:f>SUMIFS('Stocking details'!$F$6:$F$3307,'Stocking details'!$I$6:$I$3307,G271)</x:f>
        <x:v>4995</x:v>
      </x:c>
      <x:c r="F271" s="13" t="n">
        <x:f>COUNTIFS('Stocking details'!$I$6:$I$3307,G271)</x:f>
        <x:v>2</x:v>
      </x:c>
      <x:c r="G271" s="8" t="str">
        <x:f>B271&amp;" / "&amp;C271&amp;" / "&amp;D271</x:f>
        <x:v>6614 / 2023 / RAINBOW TROUT</x:v>
      </x:c>
    </x:row>
    <x:row r="272" ht="23" customHeight="1">
      <x:c r="A272" s="8" t="str">
        <x:v>By the Lake Park</x:v>
      </x:c>
      <x:c r="B272" s="8" t="str">
        <x:v>6614</x:v>
      </x:c>
      <x:c r="C272" s="17" t="n">
        <x:v>2022</x:v>
      </x:c>
      <x:c r="D272" s="8" t="str">
        <x:v>RAINBOW TROUT</x:v>
      </x:c>
      <x:c r="E272" s="13" t="n">
        <x:f>SUMIFS('Stocking details'!$F$6:$F$3307,'Stocking details'!$I$6:$I$3307,G272)</x:f>
        <x:v>5000</x:v>
      </x:c>
      <x:c r="F272" s="13" t="n">
        <x:f>COUNTIFS('Stocking details'!$I$6:$I$3307,G272)</x:f>
        <x:v>1</x:v>
      </x:c>
      <x:c r="G272" s="8" t="str">
        <x:f>B272&amp;" / "&amp;C272&amp;" / "&amp;D272</x:f>
        <x:v>6614 / 2022 / RAINBOW TROUT</x:v>
      </x:c>
    </x:row>
    <x:row r="273" ht="23" customHeight="1">
      <x:c r="A273" s="8" t="str">
        <x:v>By the Lake Park</x:v>
      </x:c>
      <x:c r="B273" s="8" t="str">
        <x:v>6614</x:v>
      </x:c>
      <x:c r="C273" s="17" t="n">
        <x:v>2021</x:v>
      </x:c>
      <x:c r="D273" s="8" t="str">
        <x:v>RAINBOW TROUT</x:v>
      </x:c>
      <x:c r="E273" s="13" t="n">
        <x:f>SUMIFS('Stocking details'!$F$6:$F$3307,'Stocking details'!$I$6:$I$3307,G273)</x:f>
        <x:v>5000</x:v>
      </x:c>
      <x:c r="F273" s="13" t="n">
        <x:f>COUNTIFS('Stocking details'!$I$6:$I$3307,G273)</x:f>
        <x:v>1</x:v>
      </x:c>
      <x:c r="G273" s="8" t="str">
        <x:f>B273&amp;" / "&amp;C273&amp;" / "&amp;D273</x:f>
        <x:v>6614 / 2021 / RAINBOW TROUT</x:v>
      </x:c>
    </x:row>
    <x:row r="274" ht="23" customHeight="1">
      <x:c r="A274" s="8" t="str">
        <x:v>Camp 9 Trout Pond</x:v>
      </x:c>
      <x:c r="B274" s="8" t="str">
        <x:v>21332</x:v>
      </x:c>
      <x:c r="C274" s="17" t="n">
        <x:v>2024</x:v>
      </x:c>
      <x:c r="D274" s="8" t="str">
        <x:v>RAINBOW TROUT</x:v>
      </x:c>
      <x:c r="E274" s="13" t="n">
        <x:f>SUMIFS('Stocking details'!$F$6:$F$3307,'Stocking details'!$I$6:$I$3307,G274)</x:f>
        <x:v>250</x:v>
      </x:c>
      <x:c r="F274" s="13" t="n">
        <x:f>COUNTIFS('Stocking details'!$I$6:$I$3307,G274)</x:f>
        <x:v>1</x:v>
      </x:c>
      <x:c r="G274" s="8" t="str">
        <x:f>B274&amp;" / "&amp;C274&amp;" / "&amp;D274</x:f>
        <x:v>21332 / 2024 / RAINBOW TROUT</x:v>
      </x:c>
    </x:row>
    <x:row r="275" ht="23" customHeight="1">
      <x:c r="A275" s="8" t="str">
        <x:v>Camp 9 Trout Pond</x:v>
      </x:c>
      <x:c r="B275" s="8" t="str">
        <x:v>21332</x:v>
      </x:c>
      <x:c r="C275" s="17" t="n">
        <x:v>2023</x:v>
      </x:c>
      <x:c r="D275" s="8" t="str">
        <x:v>RAINBOW TROUT</x:v>
      </x:c>
      <x:c r="E275" s="13" t="n">
        <x:f>SUMIFS('Stocking details'!$F$6:$F$3307,'Stocking details'!$I$6:$I$3307,G275)</x:f>
        <x:v>251</x:v>
      </x:c>
      <x:c r="F275" s="13" t="n">
        <x:f>COUNTIFS('Stocking details'!$I$6:$I$3307,G275)</x:f>
        <x:v>1</x:v>
      </x:c>
      <x:c r="G275" s="8" t="str">
        <x:f>B275&amp;" / "&amp;C275&amp;" / "&amp;D275</x:f>
        <x:v>21332 / 2023 / RAINBOW TROUT</x:v>
      </x:c>
    </x:row>
    <x:row r="276" ht="23" customHeight="1">
      <x:c r="A276" s="8" t="str">
        <x:v>Camp 9 Trout Pond</x:v>
      </x:c>
      <x:c r="B276" s="8" t="str">
        <x:v>21332</x:v>
      </x:c>
      <x:c r="C276" s="17" t="n">
        <x:v>2022</x:v>
      </x:c>
      <x:c r="D276" s="8" t="str">
        <x:v>RAINBOW TROUT</x:v>
      </x:c>
      <x:c r="E276" s="13" t="n">
        <x:f>SUMIFS('Stocking details'!$F$6:$F$3307,'Stocking details'!$I$6:$I$3307,G276)</x:f>
        <x:v>500</x:v>
      </x:c>
      <x:c r="F276" s="13" t="n">
        <x:f>COUNTIFS('Stocking details'!$I$6:$I$3307,G276)</x:f>
        <x:v>1</x:v>
      </x:c>
      <x:c r="G276" s="8" t="str">
        <x:f>B276&amp;" / "&amp;C276&amp;" / "&amp;D276</x:f>
        <x:v>21332 / 2022 / RAINBOW TROUT</x:v>
      </x:c>
    </x:row>
    <x:row r="277" ht="23" customHeight="1">
      <x:c r="A277" s="8" t="str">
        <x:v>Camp 9 Trout Pond</x:v>
      </x:c>
      <x:c r="B277" s="8" t="str">
        <x:v>21332</x:v>
      </x:c>
      <x:c r="C277" s="17" t="n">
        <x:v>2021</x:v>
      </x:c>
      <x:c r="D277" s="8" t="str">
        <x:v>RAINBOW TROUT</x:v>
      </x:c>
      <x:c r="E277" s="13" t="n">
        <x:f>SUMIFS('Stocking details'!$F$6:$F$3307,'Stocking details'!$I$6:$I$3307,G277)</x:f>
        <x:v>500</x:v>
      </x:c>
      <x:c r="F277" s="13" t="n">
        <x:f>COUNTIFS('Stocking details'!$I$6:$I$3307,G277)</x:f>
        <x:v>1</x:v>
      </x:c>
      <x:c r="G277" s="8" t="str">
        <x:f>B277&amp;" / "&amp;C277&amp;" / "&amp;D277</x:f>
        <x:v>21332 / 2021 / RAINBOW TROUT</x:v>
      </x:c>
    </x:row>
    <x:row r="278" ht="23" customHeight="1">
      <x:c r="A278" s="8" t="str">
        <x:v>Capt Ayre</x:v>
      </x:c>
      <x:c r="B278" s="8" t="str">
        <x:v>4208</x:v>
      </x:c>
      <x:c r="C278" s="17" t="n">
        <x:v>2026</x:v>
      </x:c>
      <x:c r="D278" s="8" t="str">
        <x:v>RAINBOW TROUT</x:v>
      </x:c>
      <x:c r="E278" s="13" t="n">
        <x:f>SUMIFS('Stocking details'!$F$6:$F$3307,'Stocking details'!$I$6:$I$3307,G278)</x:f>
        <x:v>5000</x:v>
      </x:c>
      <x:c r="F278" s="13" t="n">
        <x:f>COUNTIFS('Stocking details'!$I$6:$I$3307,G278)</x:f>
        <x:v>1</x:v>
      </x:c>
      <x:c r="G278" s="8" t="str">
        <x:f>B278&amp;" / "&amp;C278&amp;" / "&amp;D278</x:f>
        <x:v>4208 / 2026 / RAINBOW TROUT</x:v>
      </x:c>
    </x:row>
    <x:row r="279" ht="23" customHeight="1">
      <x:c r="A279" s="8" t="str">
        <x:v>Capt Ayre</x:v>
      </x:c>
      <x:c r="B279" s="8" t="str">
        <x:v>4208</x:v>
      </x:c>
      <x:c r="C279" s="17" t="n">
        <x:v>2026</x:v>
      </x:c>
      <x:c r="D279" s="8" t="str">
        <x:v>TIGER TROUT</x:v>
      </x:c>
      <x:c r="E279" s="13" t="n">
        <x:f>SUMIFS('Stocking details'!$F$6:$F$3307,'Stocking details'!$I$6:$I$3307,G279)</x:f>
        <x:v>2000</x:v>
      </x:c>
      <x:c r="F279" s="13" t="n">
        <x:f>COUNTIFS('Stocking details'!$I$6:$I$3307,G279)</x:f>
        <x:v>1</x:v>
      </x:c>
      <x:c r="G279" s="8" t="str">
        <x:f>B279&amp;" / "&amp;C279&amp;" / "&amp;D279</x:f>
        <x:v>4208 / 2026 / TIGER TROUT</x:v>
      </x:c>
    </x:row>
    <x:row r="280" ht="23" customHeight="1">
      <x:c r="A280" s="8" t="str">
        <x:v>Capt Ayre</x:v>
      </x:c>
      <x:c r="B280" s="8" t="str">
        <x:v>4208</x:v>
      </x:c>
      <x:c r="C280" s="17" t="n">
        <x:v>2025</x:v>
      </x:c>
      <x:c r="D280" s="8" t="str">
        <x:v>RAINBOW TROUT</x:v>
      </x:c>
      <x:c r="E280" s="13" t="n">
        <x:f>SUMIFS('Stocking details'!$F$6:$F$3307,'Stocking details'!$I$6:$I$3307,G280)</x:f>
        <x:v>5000</x:v>
      </x:c>
      <x:c r="F280" s="13" t="n">
        <x:f>COUNTIFS('Stocking details'!$I$6:$I$3307,G280)</x:f>
        <x:v>1</x:v>
      </x:c>
      <x:c r="G280" s="8" t="str">
        <x:f>B280&amp;" / "&amp;C280&amp;" / "&amp;D280</x:f>
        <x:v>4208 / 2025 / RAINBOW TROUT</x:v>
      </x:c>
    </x:row>
    <x:row r="281" ht="23" customHeight="1">
      <x:c r="A281" s="8" t="str">
        <x:v>Capt Ayre</x:v>
      </x:c>
      <x:c r="B281" s="8" t="str">
        <x:v>4208</x:v>
      </x:c>
      <x:c r="C281" s="17" t="n">
        <x:v>2025</x:v>
      </x:c>
      <x:c r="D281" s="8" t="str">
        <x:v>TIGER TROUT</x:v>
      </x:c>
      <x:c r="E281" s="13" t="n">
        <x:f>SUMIFS('Stocking details'!$F$6:$F$3307,'Stocking details'!$I$6:$I$3307,G281)</x:f>
        <x:v>2000</x:v>
      </x:c>
      <x:c r="F281" s="13" t="n">
        <x:f>COUNTIFS('Stocking details'!$I$6:$I$3307,G281)</x:f>
        <x:v>1</x:v>
      </x:c>
      <x:c r="G281" s="8" t="str">
        <x:f>B281&amp;" / "&amp;C281&amp;" / "&amp;D281</x:f>
        <x:v>4208 / 2025 / TIGER TROUT</x:v>
      </x:c>
    </x:row>
    <x:row r="282" ht="23" customHeight="1">
      <x:c r="A282" s="8" t="str">
        <x:v>Capt Ayre</x:v>
      </x:c>
      <x:c r="B282" s="8" t="str">
        <x:v>4208</x:v>
      </x:c>
      <x:c r="C282" s="17" t="n">
        <x:v>2024</x:v>
      </x:c>
      <x:c r="D282" s="8" t="str">
        <x:v>RAINBOW TROUT</x:v>
      </x:c>
      <x:c r="E282" s="13" t="n">
        <x:f>SUMIFS('Stocking details'!$F$6:$F$3307,'Stocking details'!$I$6:$I$3307,G282)</x:f>
        <x:v>2000</x:v>
      </x:c>
      <x:c r="F282" s="13" t="n">
        <x:f>COUNTIFS('Stocking details'!$I$6:$I$3307,G282)</x:f>
        <x:v>1</x:v>
      </x:c>
      <x:c r="G282" s="8" t="str">
        <x:f>B282&amp;" / "&amp;C282&amp;" / "&amp;D282</x:f>
        <x:v>4208 / 2024 / RAINBOW TROUT</x:v>
      </x:c>
    </x:row>
    <x:row r="283" ht="23" customHeight="1">
      <x:c r="A283" s="8" t="str">
        <x:v>Capt Ayre</x:v>
      </x:c>
      <x:c r="B283" s="8" t="str">
        <x:v>4208</x:v>
      </x:c>
      <x:c r="C283" s="17" t="n">
        <x:v>2024</x:v>
      </x:c>
      <x:c r="D283" s="8" t="str">
        <x:v>TIGER TROUT</x:v>
      </x:c>
      <x:c r="E283" s="13" t="n">
        <x:f>SUMIFS('Stocking details'!$F$6:$F$3307,'Stocking details'!$I$6:$I$3307,G283)</x:f>
        <x:v>2000</x:v>
      </x:c>
      <x:c r="F283" s="13" t="n">
        <x:f>COUNTIFS('Stocking details'!$I$6:$I$3307,G283)</x:f>
        <x:v>1</x:v>
      </x:c>
      <x:c r="G283" s="8" t="str">
        <x:f>B283&amp;" / "&amp;C283&amp;" / "&amp;D283</x:f>
        <x:v>4208 / 2024 / TIGER TROUT</x:v>
      </x:c>
    </x:row>
    <x:row r="284" ht="23" customHeight="1">
      <x:c r="A284" s="8" t="str">
        <x:v>Capt Ayre</x:v>
      </x:c>
      <x:c r="B284" s="8" t="str">
        <x:v>4208</x:v>
      </x:c>
      <x:c r="C284" s="17" t="n">
        <x:v>2023</x:v>
      </x:c>
      <x:c r="D284" s="8" t="str">
        <x:v>RAINBOW TROUT</x:v>
      </x:c>
      <x:c r="E284" s="13" t="n">
        <x:f>SUMIFS('Stocking details'!$F$6:$F$3307,'Stocking details'!$I$6:$I$3307,G284)</x:f>
        <x:v>1995</x:v>
      </x:c>
      <x:c r="F284" s="13" t="n">
        <x:f>COUNTIFS('Stocking details'!$I$6:$I$3307,G284)</x:f>
        <x:v>1</x:v>
      </x:c>
      <x:c r="G284" s="8" t="str">
        <x:f>B284&amp;" / "&amp;C284&amp;" / "&amp;D284</x:f>
        <x:v>4208 / 2023 / RAINBOW TROUT</x:v>
      </x:c>
    </x:row>
    <x:row r="285" ht="23" customHeight="1">
      <x:c r="A285" s="8" t="str">
        <x:v>Capt Ayre</x:v>
      </x:c>
      <x:c r="B285" s="8" t="str">
        <x:v>4208</x:v>
      </x:c>
      <x:c r="C285" s="17" t="n">
        <x:v>2023</x:v>
      </x:c>
      <x:c r="D285" s="8" t="str">
        <x:v>TIGER TROUT</x:v>
      </x:c>
      <x:c r="E285" s="13" t="n">
        <x:f>SUMIFS('Stocking details'!$F$6:$F$3307,'Stocking details'!$I$6:$I$3307,G285)</x:f>
        <x:v>2000</x:v>
      </x:c>
      <x:c r="F285" s="13" t="n">
        <x:f>COUNTIFS('Stocking details'!$I$6:$I$3307,G285)</x:f>
        <x:v>1</x:v>
      </x:c>
      <x:c r="G285" s="8" t="str">
        <x:f>B285&amp;" / "&amp;C285&amp;" / "&amp;D285</x:f>
        <x:v>4208 / 2023 / TIGER TROUT</x:v>
      </x:c>
    </x:row>
    <x:row r="286" ht="23" customHeight="1">
      <x:c r="A286" s="8" t="str">
        <x:v>Capt Ayre</x:v>
      </x:c>
      <x:c r="B286" s="8" t="str">
        <x:v>4208</x:v>
      </x:c>
      <x:c r="C286" s="17" t="n">
        <x:v>2022</x:v>
      </x:c>
      <x:c r="D286" s="8" t="str">
        <x:v>RAINBOW TROUT</x:v>
      </x:c>
      <x:c r="E286" s="13" t="n">
        <x:f>SUMIFS('Stocking details'!$F$6:$F$3307,'Stocking details'!$I$6:$I$3307,G286)</x:f>
        <x:v>5000</x:v>
      </x:c>
      <x:c r="F286" s="13" t="n">
        <x:f>COUNTIFS('Stocking details'!$I$6:$I$3307,G286)</x:f>
        <x:v>1</x:v>
      </x:c>
      <x:c r="G286" s="8" t="str">
        <x:f>B286&amp;" / "&amp;C286&amp;" / "&amp;D286</x:f>
        <x:v>4208 / 2022 / RAINBOW TROUT</x:v>
      </x:c>
    </x:row>
    <x:row r="287" ht="23" customHeight="1">
      <x:c r="A287" s="8" t="str">
        <x:v>Capt Ayre</x:v>
      </x:c>
      <x:c r="B287" s="8" t="str">
        <x:v>4208</x:v>
      </x:c>
      <x:c r="C287" s="17" t="n">
        <x:v>2022</x:v>
      </x:c>
      <x:c r="D287" s="8" t="str">
        <x:v>TIGER TROUT</x:v>
      </x:c>
      <x:c r="E287" s="13" t="n">
        <x:f>SUMIFS('Stocking details'!$F$6:$F$3307,'Stocking details'!$I$6:$I$3307,G287)</x:f>
        <x:v>2000</x:v>
      </x:c>
      <x:c r="F287" s="13" t="n">
        <x:f>COUNTIFS('Stocking details'!$I$6:$I$3307,G287)</x:f>
        <x:v>1</x:v>
      </x:c>
      <x:c r="G287" s="8" t="str">
        <x:f>B287&amp;" / "&amp;C287&amp;" / "&amp;D287</x:f>
        <x:v>4208 / 2022 / TIGER TROUT</x:v>
      </x:c>
    </x:row>
    <x:row r="288" ht="23" customHeight="1">
      <x:c r="A288" s="8" t="str">
        <x:v>Capt Ayre</x:v>
      </x:c>
      <x:c r="B288" s="8" t="str">
        <x:v>4208</x:v>
      </x:c>
      <x:c r="C288" s="17" t="n">
        <x:v>2021</x:v>
      </x:c>
      <x:c r="D288" s="8" t="str">
        <x:v>RAINBOW TROUT</x:v>
      </x:c>
      <x:c r="E288" s="13" t="n">
        <x:f>SUMIFS('Stocking details'!$F$6:$F$3307,'Stocking details'!$I$6:$I$3307,G288)</x:f>
        <x:v>5000</x:v>
      </x:c>
      <x:c r="F288" s="13" t="n">
        <x:f>COUNTIFS('Stocking details'!$I$6:$I$3307,G288)</x:f>
        <x:v>1</x:v>
      </x:c>
      <x:c r="G288" s="8" t="str">
        <x:f>B288&amp;" / "&amp;C288&amp;" / "&amp;D288</x:f>
        <x:v>4208 / 2021 / RAINBOW TROUT</x:v>
      </x:c>
    </x:row>
    <x:row r="289" ht="23" customHeight="1">
      <x:c r="A289" s="8" t="str">
        <x:v>Capt Ayre</x:v>
      </x:c>
      <x:c r="B289" s="8" t="str">
        <x:v>4208</x:v>
      </x:c>
      <x:c r="C289" s="17" t="n">
        <x:v>2021</x:v>
      </x:c>
      <x:c r="D289" s="8" t="str">
        <x:v>TIGER TROUT</x:v>
      </x:c>
      <x:c r="E289" s="13" t="n">
        <x:f>SUMIFS('Stocking details'!$F$6:$F$3307,'Stocking details'!$I$6:$I$3307,G289)</x:f>
        <x:v>2000</x:v>
      </x:c>
      <x:c r="F289" s="13" t="n">
        <x:f>COUNTIFS('Stocking details'!$I$6:$I$3307,G289)</x:f>
        <x:v>1</x:v>
      </x:c>
      <x:c r="G289" s="8" t="str">
        <x:f>B289&amp;" / "&amp;C289&amp;" / "&amp;D289</x:f>
        <x:v>4208 / 2021 / TIGER TROUT</x:v>
      </x:c>
    </x:row>
    <x:row r="290" ht="23" customHeight="1">
      <x:c r="A290" s="8" t="str">
        <x:v>Cardiff Park Pond</x:v>
      </x:c>
      <x:c r="B290" s="8" t="str">
        <x:v>6868</x:v>
      </x:c>
      <x:c r="C290" s="17" t="n">
        <x:v>2026</x:v>
      </x:c>
      <x:c r="D290" s="8" t="str">
        <x:v>BROWN TROUT</x:v>
      </x:c>
      <x:c r="E290" s="13" t="n">
        <x:f>SUMIFS('Stocking details'!$F$6:$F$3307,'Stocking details'!$I$6:$I$3307,G290)</x:f>
        <x:v>500</x:v>
      </x:c>
      <x:c r="F290" s="13" t="n">
        <x:f>COUNTIFS('Stocking details'!$I$6:$I$3307,G290)</x:f>
        <x:v>1</x:v>
      </x:c>
      <x:c r="G290" s="8" t="str">
        <x:f>B290&amp;" / "&amp;C290&amp;" / "&amp;D290</x:f>
        <x:v>6868 / 2026 / BROWN TROUT</x:v>
      </x:c>
    </x:row>
    <x:row r="291" ht="23" customHeight="1">
      <x:c r="A291" s="8" t="str">
        <x:v>Cardiff Park Pond</x:v>
      </x:c>
      <x:c r="B291" s="8" t="str">
        <x:v>6868</x:v>
      </x:c>
      <x:c r="C291" s="17" t="n">
        <x:v>2026</x:v>
      </x:c>
      <x:c r="D291" s="8" t="str">
        <x:v>RAINBOW TROUT</x:v>
      </x:c>
      <x:c r="E291" s="13" t="n">
        <x:f>SUMIFS('Stocking details'!$F$6:$F$3307,'Stocking details'!$I$6:$I$3307,G291)</x:f>
        <x:v>11500</x:v>
      </x:c>
      <x:c r="F291" s="13" t="n">
        <x:f>COUNTIFS('Stocking details'!$I$6:$I$3307,G291)</x:f>
        <x:v>1</x:v>
      </x:c>
      <x:c r="G291" s="8" t="str">
        <x:f>B291&amp;" / "&amp;C291&amp;" / "&amp;D291</x:f>
        <x:v>6868 / 2026 / RAINBOW TROUT</x:v>
      </x:c>
    </x:row>
    <x:row r="292" ht="23" customHeight="1">
      <x:c r="A292" s="8" t="str">
        <x:v>Cardiff Park Pond</x:v>
      </x:c>
      <x:c r="B292" s="8" t="str">
        <x:v>6868</x:v>
      </x:c>
      <x:c r="C292" s="17" t="n">
        <x:v>2026</x:v>
      </x:c>
      <x:c r="D292" s="8" t="str">
        <x:v>TIGER TROUT</x:v>
      </x:c>
      <x:c r="E292" s="13" t="n">
        <x:f>SUMIFS('Stocking details'!$F$6:$F$3307,'Stocking details'!$I$6:$I$3307,G292)</x:f>
        <x:v>2550</x:v>
      </x:c>
      <x:c r="F292" s="13" t="n">
        <x:f>COUNTIFS('Stocking details'!$I$6:$I$3307,G292)</x:f>
        <x:v>1</x:v>
      </x:c>
      <x:c r="G292" s="8" t="str">
        <x:f>B292&amp;" / "&amp;C292&amp;" / "&amp;D292</x:f>
        <x:v>6868 / 2026 / TIGER TROUT</x:v>
      </x:c>
    </x:row>
    <x:row r="293" ht="23" customHeight="1">
      <x:c r="A293" s="8" t="str">
        <x:v>Cardiff Park Pond</x:v>
      </x:c>
      <x:c r="B293" s="8" t="str">
        <x:v>6868</x:v>
      </x:c>
      <x:c r="C293" s="17" t="n">
        <x:v>2025</x:v>
      </x:c>
      <x:c r="D293" s="8" t="str">
        <x:v>BROWN TROUT</x:v>
      </x:c>
      <x:c r="E293" s="13" t="n">
        <x:f>SUMIFS('Stocking details'!$F$6:$F$3307,'Stocking details'!$I$6:$I$3307,G293)</x:f>
        <x:v>500</x:v>
      </x:c>
      <x:c r="F293" s="13" t="n">
        <x:f>COUNTIFS('Stocking details'!$I$6:$I$3307,G293)</x:f>
        <x:v>1</x:v>
      </x:c>
      <x:c r="G293" s="8" t="str">
        <x:f>B293&amp;" / "&amp;C293&amp;" / "&amp;D293</x:f>
        <x:v>6868 / 2025 / BROWN TROUT</x:v>
      </x:c>
    </x:row>
    <x:row r="294" ht="23" customHeight="1">
      <x:c r="A294" s="8" t="str">
        <x:v>Cardiff Park Pond</x:v>
      </x:c>
      <x:c r="B294" s="8" t="str">
        <x:v>6868</x:v>
      </x:c>
      <x:c r="C294" s="17" t="n">
        <x:v>2025</x:v>
      </x:c>
      <x:c r="D294" s="8" t="str">
        <x:v>RAINBOW TROUT</x:v>
      </x:c>
      <x:c r="E294" s="13" t="n">
        <x:f>SUMIFS('Stocking details'!$F$6:$F$3307,'Stocking details'!$I$6:$I$3307,G294)</x:f>
        <x:v>22112</x:v>
      </x:c>
      <x:c r="F294" s="13" t="n">
        <x:f>COUNTIFS('Stocking details'!$I$6:$I$3307,G294)</x:f>
        <x:v>4</x:v>
      </x:c>
      <x:c r="G294" s="8" t="str">
        <x:f>B294&amp;" / "&amp;C294&amp;" / "&amp;D294</x:f>
        <x:v>6868 / 2025 / RAINBOW TROUT</x:v>
      </x:c>
    </x:row>
    <x:row r="295" ht="23" customHeight="1">
      <x:c r="A295" s="8" t="str">
        <x:v>Cardiff Park Pond</x:v>
      </x:c>
      <x:c r="B295" s="8" t="str">
        <x:v>6868</x:v>
      </x:c>
      <x:c r="C295" s="17" t="n">
        <x:v>2025</x:v>
      </x:c>
      <x:c r="D295" s="8" t="str">
        <x:v>TIGER TROUT</x:v>
      </x:c>
      <x:c r="E295" s="13" t="n">
        <x:f>SUMIFS('Stocking details'!$F$6:$F$3307,'Stocking details'!$I$6:$I$3307,G295)</x:f>
        <x:v>2550</x:v>
      </x:c>
      <x:c r="F295" s="13" t="n">
        <x:f>COUNTIFS('Stocking details'!$I$6:$I$3307,G295)</x:f>
        <x:v>1</x:v>
      </x:c>
      <x:c r="G295" s="8" t="str">
        <x:f>B295&amp;" / "&amp;C295&amp;" / "&amp;D295</x:f>
        <x:v>6868 / 2025 / TIGER TROUT</x:v>
      </x:c>
    </x:row>
    <x:row r="296" ht="23" customHeight="1">
      <x:c r="A296" s="8" t="str">
        <x:v>Cardiff Park Pond</x:v>
      </x:c>
      <x:c r="B296" s="8" t="str">
        <x:v>6868</x:v>
      </x:c>
      <x:c r="C296" s="17" t="n">
        <x:v>2024</x:v>
      </x:c>
      <x:c r="D296" s="8" t="str">
        <x:v>BROWN TROUT</x:v>
      </x:c>
      <x:c r="E296" s="13" t="n">
        <x:f>SUMIFS('Stocking details'!$F$6:$F$3307,'Stocking details'!$I$6:$I$3307,G296)</x:f>
        <x:v>500</x:v>
      </x:c>
      <x:c r="F296" s="13" t="n">
        <x:f>COUNTIFS('Stocking details'!$I$6:$I$3307,G296)</x:f>
        <x:v>1</x:v>
      </x:c>
      <x:c r="G296" s="8" t="str">
        <x:f>B296&amp;" / "&amp;C296&amp;" / "&amp;D296</x:f>
        <x:v>6868 / 2024 / BROWN TROUT</x:v>
      </x:c>
    </x:row>
    <x:row r="297" ht="23" customHeight="1">
      <x:c r="A297" s="8" t="str">
        <x:v>Cardiff Park Pond</x:v>
      </x:c>
      <x:c r="B297" s="8" t="str">
        <x:v>6868</x:v>
      </x:c>
      <x:c r="C297" s="17" t="n">
        <x:v>2024</x:v>
      </x:c>
      <x:c r="D297" s="8" t="str">
        <x:v>RAINBOW TROUT</x:v>
      </x:c>
      <x:c r="E297" s="13" t="n">
        <x:f>SUMIFS('Stocking details'!$F$6:$F$3307,'Stocking details'!$I$6:$I$3307,G297)</x:f>
        <x:v>36650</x:v>
      </x:c>
      <x:c r="F297" s="13" t="n">
        <x:f>COUNTIFS('Stocking details'!$I$6:$I$3307,G297)</x:f>
        <x:v>5</x:v>
      </x:c>
      <x:c r="G297" s="8" t="str">
        <x:f>B297&amp;" / "&amp;C297&amp;" / "&amp;D297</x:f>
        <x:v>6868 / 2024 / RAINBOW TROUT</x:v>
      </x:c>
    </x:row>
    <x:row r="298" ht="23" customHeight="1">
      <x:c r="A298" s="8" t="str">
        <x:v>Cardiff Park Pond</x:v>
      </x:c>
      <x:c r="B298" s="8" t="str">
        <x:v>6868</x:v>
      </x:c>
      <x:c r="C298" s="17" t="n">
        <x:v>2024</x:v>
      </x:c>
      <x:c r="D298" s="8" t="str">
        <x:v>TIGER TROUT</x:v>
      </x:c>
      <x:c r="E298" s="13" t="n">
        <x:f>SUMIFS('Stocking details'!$F$6:$F$3307,'Stocking details'!$I$6:$I$3307,G298)</x:f>
        <x:v>14550</x:v>
      </x:c>
      <x:c r="F298" s="13" t="n">
        <x:f>COUNTIFS('Stocking details'!$I$6:$I$3307,G298)</x:f>
        <x:v>2</x:v>
      </x:c>
      <x:c r="G298" s="8" t="str">
        <x:f>B298&amp;" / "&amp;C298&amp;" / "&amp;D298</x:f>
        <x:v>6868 / 2024 / TIGER TROUT</x:v>
      </x:c>
    </x:row>
    <x:row r="299" ht="23" customHeight="1">
      <x:c r="A299" s="8" t="str">
        <x:v>Cardiff Park Pond</x:v>
      </x:c>
      <x:c r="B299" s="8" t="str">
        <x:v>6868</x:v>
      </x:c>
      <x:c r="C299" s="17" t="n">
        <x:v>2023</x:v>
      </x:c>
      <x:c r="D299" s="8" t="str">
        <x:v>BROWN TROUT</x:v>
      </x:c>
      <x:c r="E299" s="13" t="n">
        <x:f>SUMIFS('Stocking details'!$F$6:$F$3307,'Stocking details'!$I$6:$I$3307,G299)</x:f>
        <x:v>8000</x:v>
      </x:c>
      <x:c r="F299" s="13" t="n">
        <x:f>COUNTIFS('Stocking details'!$I$6:$I$3307,G299)</x:f>
        <x:v>2</x:v>
      </x:c>
      <x:c r="G299" s="8" t="str">
        <x:f>B299&amp;" / "&amp;C299&amp;" / "&amp;D299</x:f>
        <x:v>6868 / 2023 / BROWN TROUT</x:v>
      </x:c>
    </x:row>
    <x:row r="300" ht="23" customHeight="1">
      <x:c r="A300" s="8" t="str">
        <x:v>Cardiff Park Pond</x:v>
      </x:c>
      <x:c r="B300" s="8" t="str">
        <x:v>6868</x:v>
      </x:c>
      <x:c r="C300" s="17" t="n">
        <x:v>2023</x:v>
      </x:c>
      <x:c r="D300" s="8" t="str">
        <x:v>RAINBOW TROUT</x:v>
      </x:c>
      <x:c r="E300" s="13" t="n">
        <x:f>SUMIFS('Stocking details'!$F$6:$F$3307,'Stocking details'!$I$6:$I$3307,G300)</x:f>
        <x:v>5593</x:v>
      </x:c>
      <x:c r="F300" s="13" t="n">
        <x:f>COUNTIFS('Stocking details'!$I$6:$I$3307,G300)</x:f>
        <x:v>2</x:v>
      </x:c>
      <x:c r="G300" s="8" t="str">
        <x:f>B300&amp;" / "&amp;C300&amp;" / "&amp;D300</x:f>
        <x:v>6868 / 2023 / RAINBOW TROUT</x:v>
      </x:c>
    </x:row>
    <x:row r="301" ht="23" customHeight="1">
      <x:c r="A301" s="8" t="str">
        <x:v>Cardiff Park Pond</x:v>
      </x:c>
      <x:c r="B301" s="8" t="str">
        <x:v>6868</x:v>
      </x:c>
      <x:c r="C301" s="17" t="n">
        <x:v>2023</x:v>
      </x:c>
      <x:c r="D301" s="8" t="str">
        <x:v>TIGER TROUT</x:v>
      </x:c>
      <x:c r="E301" s="13" t="n">
        <x:f>SUMIFS('Stocking details'!$F$6:$F$3307,'Stocking details'!$I$6:$I$3307,G301)</x:f>
        <x:v>1550</x:v>
      </x:c>
      <x:c r="F301" s="13" t="n">
        <x:f>COUNTIFS('Stocking details'!$I$6:$I$3307,G301)</x:f>
        <x:v>1</x:v>
      </x:c>
      <x:c r="G301" s="8" t="str">
        <x:f>B301&amp;" / "&amp;C301&amp;" / "&amp;D301</x:f>
        <x:v>6868 / 2023 / TIGER TROUT</x:v>
      </x:c>
    </x:row>
    <x:row r="302" ht="23" customHeight="1">
      <x:c r="A302" s="8" t="str">
        <x:v>Cardiff Park Pond</x:v>
      </x:c>
      <x:c r="B302" s="8" t="str">
        <x:v>6868</x:v>
      </x:c>
      <x:c r="C302" s="17" t="n">
        <x:v>2022</x:v>
      </x:c>
      <x:c r="D302" s="8" t="str">
        <x:v>RAINBOW TROUT</x:v>
      </x:c>
      <x:c r="E302" s="13" t="n">
        <x:f>SUMIFS('Stocking details'!$F$6:$F$3307,'Stocking details'!$I$6:$I$3307,G302)</x:f>
        <x:v>16500</x:v>
      </x:c>
      <x:c r="F302" s="13" t="n">
        <x:f>COUNTIFS('Stocking details'!$I$6:$I$3307,G302)</x:f>
        <x:v>3</x:v>
      </x:c>
      <x:c r="G302" s="8" t="str">
        <x:f>B302&amp;" / "&amp;C302&amp;" / "&amp;D302</x:f>
        <x:v>6868 / 2022 / RAINBOW TROUT</x:v>
      </x:c>
    </x:row>
    <x:row r="303" ht="23" customHeight="1">
      <x:c r="A303" s="8" t="str">
        <x:v>Cardiff Park Pond</x:v>
      </x:c>
      <x:c r="B303" s="8" t="str">
        <x:v>6868</x:v>
      </x:c>
      <x:c r="C303" s="17" t="n">
        <x:v>2022</x:v>
      </x:c>
      <x:c r="D303" s="8" t="str">
        <x:v>TIGER TROUT</x:v>
      </x:c>
      <x:c r="E303" s="13" t="n">
        <x:f>SUMIFS('Stocking details'!$F$6:$F$3307,'Stocking details'!$I$6:$I$3307,G303)</x:f>
        <x:v>550</x:v>
      </x:c>
      <x:c r="F303" s="13" t="n">
        <x:f>COUNTIFS('Stocking details'!$I$6:$I$3307,G303)</x:f>
        <x:v>1</x:v>
      </x:c>
      <x:c r="G303" s="8" t="str">
        <x:f>B303&amp;" / "&amp;C303&amp;" / "&amp;D303</x:f>
        <x:v>6868 / 2022 / TIGER TROUT</x:v>
      </x:c>
    </x:row>
    <x:row r="304" ht="23" customHeight="1">
      <x:c r="A304" s="8" t="str">
        <x:v>Cardiff Park Pond</x:v>
      </x:c>
      <x:c r="B304" s="8" t="str">
        <x:v>6868</x:v>
      </x:c>
      <x:c r="C304" s="17" t="n">
        <x:v>2021</x:v>
      </x:c>
      <x:c r="D304" s="8" t="str">
        <x:v>RAINBOW TROUT</x:v>
      </x:c>
      <x:c r="E304" s="13" t="n">
        <x:f>SUMIFS('Stocking details'!$F$6:$F$3307,'Stocking details'!$I$6:$I$3307,G304)</x:f>
        <x:v>16500</x:v>
      </x:c>
      <x:c r="F304" s="13" t="n">
        <x:f>COUNTIFS('Stocking details'!$I$6:$I$3307,G304)</x:f>
        <x:v>3</x:v>
      </x:c>
      <x:c r="G304" s="8" t="str">
        <x:f>B304&amp;" / "&amp;C304&amp;" / "&amp;D304</x:f>
        <x:v>6868 / 2021 / RAINBOW TROUT</x:v>
      </x:c>
    </x:row>
    <x:row r="305" ht="23" customHeight="1">
      <x:c r="A305" s="8" t="str">
        <x:v>Cardiff Park Pond</x:v>
      </x:c>
      <x:c r="B305" s="8" t="str">
        <x:v>6868</x:v>
      </x:c>
      <x:c r="C305" s="17" t="n">
        <x:v>2021</x:v>
      </x:c>
      <x:c r="D305" s="8" t="str">
        <x:v>TIGER TROUT</x:v>
      </x:c>
      <x:c r="E305" s="13" t="n">
        <x:f>SUMIFS('Stocking details'!$F$6:$F$3307,'Stocking details'!$I$6:$I$3307,G305)</x:f>
        <x:v>550</x:v>
      </x:c>
      <x:c r="F305" s="13" t="n">
        <x:f>COUNTIFS('Stocking details'!$I$6:$I$3307,G305)</x:f>
        <x:v>1</x:v>
      </x:c>
      <x:c r="G305" s="8" t="str">
        <x:f>B305&amp;" / "&amp;C305&amp;" / "&amp;D305</x:f>
        <x:v>6868 / 2021 / TIGER TROUT</x:v>
      </x:c>
    </x:row>
    <x:row r="306" ht="23" customHeight="1">
      <x:c r="A306" s="8" t="str">
        <x:v>Carnarvon Lake</x:v>
      </x:c>
      <x:c r="B306" s="8" t="str">
        <x:v>4221</x:v>
      </x:c>
      <x:c r="C306" s="17" t="n">
        <x:v>2021</x:v>
      </x:c>
      <x:c r="D306" s="8" t="str">
        <x:v>CUTTHROAT TROUT</x:v>
      </x:c>
      <x:c r="E306" s="13" t="n">
        <x:f>SUMIFS('Stocking details'!$F$6:$F$3307,'Stocking details'!$I$6:$I$3307,G306)</x:f>
        <x:v>1200</x:v>
      </x:c>
      <x:c r="F306" s="13" t="n">
        <x:f>COUNTIFS('Stocking details'!$I$6:$I$3307,G306)</x:f>
        <x:v>1</x:v>
      </x:c>
      <x:c r="G306" s="8" t="str">
        <x:f>B306&amp;" / "&amp;C306&amp;" / "&amp;D306</x:f>
        <x:v>4221 / 2021 / CUTTHROAT TROUT</x:v>
      </x:c>
    </x:row>
    <x:row r="307" ht="23" customHeight="1">
      <x:c r="A307" s="8" t="str">
        <x:v>Carson Lake</x:v>
      </x:c>
      <x:c r="B307" s="8" t="str">
        <x:v>5286</x:v>
      </x:c>
      <x:c r="C307" s="17" t="n">
        <x:v>2026</x:v>
      </x:c>
      <x:c r="D307" s="8" t="str">
        <x:v>RAINBOW TROUT</x:v>
      </x:c>
      <x:c r="E307" s="13" t="n">
        <x:f>SUMIFS('Stocking details'!$F$6:$F$3307,'Stocking details'!$I$6:$I$3307,G307)</x:f>
        <x:v>105928</x:v>
      </x:c>
      <x:c r="F307" s="13" t="n">
        <x:f>COUNTIFS('Stocking details'!$I$6:$I$3307,G307)</x:f>
        <x:v>9</x:v>
      </x:c>
      <x:c r="G307" s="8" t="str">
        <x:f>B307&amp;" / "&amp;C307&amp;" / "&amp;D307</x:f>
        <x:v>5286 / 2026 / RAINBOW TROUT</x:v>
      </x:c>
    </x:row>
    <x:row r="308" ht="23" customHeight="1">
      <x:c r="A308" s="8" t="str">
        <x:v>Carson Lake</x:v>
      </x:c>
      <x:c r="B308" s="8" t="str">
        <x:v>5286</x:v>
      </x:c>
      <x:c r="C308" s="17" t="n">
        <x:v>2025</x:v>
      </x:c>
      <x:c r="D308" s="8" t="str">
        <x:v>RAINBOW TROUT</x:v>
      </x:c>
      <x:c r="E308" s="13" t="n">
        <x:f>SUMIFS('Stocking details'!$F$6:$F$3307,'Stocking details'!$I$6:$I$3307,G308)</x:f>
        <x:v>164330</x:v>
      </x:c>
      <x:c r="F308" s="13" t="n">
        <x:f>COUNTIFS('Stocking details'!$I$6:$I$3307,G308)</x:f>
        <x:v>15</x:v>
      </x:c>
      <x:c r="G308" s="8" t="str">
        <x:f>B308&amp;" / "&amp;C308&amp;" / "&amp;D308</x:f>
        <x:v>5286 / 2025 / RAINBOW TROUT</x:v>
      </x:c>
    </x:row>
    <x:row r="309" ht="23" customHeight="1">
      <x:c r="A309" s="8" t="str">
        <x:v>Carson Lake</x:v>
      </x:c>
      <x:c r="B309" s="8" t="str">
        <x:v>5286</x:v>
      </x:c>
      <x:c r="C309" s="17" t="n">
        <x:v>2024</x:v>
      </x:c>
      <x:c r="D309" s="8" t="str">
        <x:v>RAINBOW TROUT</x:v>
      </x:c>
      <x:c r="E309" s="13" t="n">
        <x:f>SUMIFS('Stocking details'!$F$6:$F$3307,'Stocking details'!$I$6:$I$3307,G309)</x:f>
        <x:v>184883</x:v>
      </x:c>
      <x:c r="F309" s="13" t="n">
        <x:f>COUNTIFS('Stocking details'!$I$6:$I$3307,G309)</x:f>
        <x:v>11</x:v>
      </x:c>
      <x:c r="G309" s="8" t="str">
        <x:f>B309&amp;" / "&amp;C309&amp;" / "&amp;D309</x:f>
        <x:v>5286 / 2024 / RAINBOW TROUT</x:v>
      </x:c>
    </x:row>
    <x:row r="310" ht="23" customHeight="1">
      <x:c r="A310" s="8" t="str">
        <x:v>Carson Lake</x:v>
      </x:c>
      <x:c r="B310" s="8" t="str">
        <x:v>5286</x:v>
      </x:c>
      <x:c r="C310" s="17" t="n">
        <x:v>2023</x:v>
      </x:c>
      <x:c r="D310" s="8" t="str">
        <x:v>RAINBOW TROUT</x:v>
      </x:c>
      <x:c r="E310" s="13" t="n">
        <x:f>SUMIFS('Stocking details'!$F$6:$F$3307,'Stocking details'!$I$6:$I$3307,G310)</x:f>
        <x:v>140986</x:v>
      </x:c>
      <x:c r="F310" s="13" t="n">
        <x:f>COUNTIFS('Stocking details'!$I$6:$I$3307,G310)</x:f>
        <x:v>10</x:v>
      </x:c>
      <x:c r="G310" s="8" t="str">
        <x:f>B310&amp;" / "&amp;C310&amp;" / "&amp;D310</x:f>
        <x:v>5286 / 2023 / RAINBOW TROUT</x:v>
      </x:c>
    </x:row>
    <x:row r="311" ht="23" customHeight="1">
      <x:c r="A311" s="8" t="str">
        <x:v>Carson Lake</x:v>
      </x:c>
      <x:c r="B311" s="8" t="str">
        <x:v>5286</x:v>
      </x:c>
      <x:c r="C311" s="17" t="n">
        <x:v>2022</x:v>
      </x:c>
      <x:c r="D311" s="8" t="str">
        <x:v>RAINBOW TROUT</x:v>
      </x:c>
      <x:c r="E311" s="13" t="n">
        <x:f>SUMIFS('Stocking details'!$F$6:$F$3307,'Stocking details'!$I$6:$I$3307,G311)</x:f>
        <x:v>152413</x:v>
      </x:c>
      <x:c r="F311" s="13" t="n">
        <x:f>COUNTIFS('Stocking details'!$I$6:$I$3307,G311)</x:f>
        <x:v>8</x:v>
      </x:c>
      <x:c r="G311" s="8" t="str">
        <x:f>B311&amp;" / "&amp;C311&amp;" / "&amp;D311</x:f>
        <x:v>5286 / 2022 / RAINBOW TROUT</x:v>
      </x:c>
    </x:row>
    <x:row r="312" ht="23" customHeight="1">
      <x:c r="A312" s="8" t="str">
        <x:v>Carson Lake</x:v>
      </x:c>
      <x:c r="B312" s="8" t="str">
        <x:v>5286</x:v>
      </x:c>
      <x:c r="C312" s="17" t="n">
        <x:v>2021</x:v>
      </x:c>
      <x:c r="D312" s="8" t="str">
        <x:v>RAINBOW TROUT</x:v>
      </x:c>
      <x:c r="E312" s="13" t="n">
        <x:f>SUMIFS('Stocking details'!$F$6:$F$3307,'Stocking details'!$I$6:$I$3307,G312)</x:f>
        <x:v>165226</x:v>
      </x:c>
      <x:c r="F312" s="13" t="n">
        <x:f>COUNTIFS('Stocking details'!$I$6:$I$3307,G312)</x:f>
        <x:v>10</x:v>
      </x:c>
      <x:c r="G312" s="8" t="str">
        <x:f>B312&amp;" / "&amp;C312&amp;" / "&amp;D312</x:f>
        <x:v>5286 / 2021 / RAINBOW TROUT</x:v>
      </x:c>
    </x:row>
    <x:row r="313" ht="23" customHeight="1">
      <x:c r="A313" s="8" t="str">
        <x:v>Castaway Trout Pond</x:v>
      </x:c>
      <x:c r="B313" s="8" t="str">
        <x:v>20258</x:v>
      </x:c>
      <x:c r="C313" s="17" t="n">
        <x:v>2026</x:v>
      </x:c>
      <x:c r="D313" s="8" t="str">
        <x:v>RAINBOW TROUT</x:v>
      </x:c>
      <x:c r="E313" s="13" t="n">
        <x:f>SUMIFS('Stocking details'!$F$6:$F$3307,'Stocking details'!$I$6:$I$3307,G313)</x:f>
        <x:v>1000</x:v>
      </x:c>
      <x:c r="F313" s="13" t="n">
        <x:f>COUNTIFS('Stocking details'!$I$6:$I$3307,G313)</x:f>
        <x:v>1</x:v>
      </x:c>
      <x:c r="G313" s="8" t="str">
        <x:f>B313&amp;" / "&amp;C313&amp;" / "&amp;D313</x:f>
        <x:v>20258 / 2026 / RAINBOW TROUT</x:v>
      </x:c>
    </x:row>
    <x:row r="314" ht="23" customHeight="1">
      <x:c r="A314" s="8" t="str">
        <x:v>Castaway Trout Pond</x:v>
      </x:c>
      <x:c r="B314" s="8" t="str">
        <x:v>20258</x:v>
      </x:c>
      <x:c r="C314" s="17" t="n">
        <x:v>2026</x:v>
      </x:c>
      <x:c r="D314" s="8" t="str">
        <x:v>TIGER TROUT</x:v>
      </x:c>
      <x:c r="E314" s="13" t="n">
        <x:f>SUMIFS('Stocking details'!$F$6:$F$3307,'Stocking details'!$I$6:$I$3307,G314)</x:f>
        <x:v>100</x:v>
      </x:c>
      <x:c r="F314" s="13" t="n">
        <x:f>COUNTIFS('Stocking details'!$I$6:$I$3307,G314)</x:f>
        <x:v>1</x:v>
      </x:c>
      <x:c r="G314" s="8" t="str">
        <x:f>B314&amp;" / "&amp;C314&amp;" / "&amp;D314</x:f>
        <x:v>20258 / 2026 / TIGER TROUT</x:v>
      </x:c>
    </x:row>
    <x:row r="315" ht="23" customHeight="1">
      <x:c r="A315" s="8" t="str">
        <x:v>Castaway Trout Pond</x:v>
      </x:c>
      <x:c r="B315" s="8" t="str">
        <x:v>20258</x:v>
      </x:c>
      <x:c r="C315" s="17" t="n">
        <x:v>2025</x:v>
      </x:c>
      <x:c r="D315" s="8" t="str">
        <x:v>RAINBOW TROUT</x:v>
      </x:c>
      <x:c r="E315" s="13" t="n">
        <x:f>SUMIFS('Stocking details'!$F$6:$F$3307,'Stocking details'!$I$6:$I$3307,G315)</x:f>
        <x:v>1450</x:v>
      </x:c>
      <x:c r="F315" s="13" t="n">
        <x:f>COUNTIFS('Stocking details'!$I$6:$I$3307,G315)</x:f>
        <x:v>2</x:v>
      </x:c>
      <x:c r="G315" s="8" t="str">
        <x:f>B315&amp;" / "&amp;C315&amp;" / "&amp;D315</x:f>
        <x:v>20258 / 2025 / RAINBOW TROUT</x:v>
      </x:c>
    </x:row>
    <x:row r="316" ht="23" customHeight="1">
      <x:c r="A316" s="8" t="str">
        <x:v>Castaway Trout Pond</x:v>
      </x:c>
      <x:c r="B316" s="8" t="str">
        <x:v>20258</x:v>
      </x:c>
      <x:c r="C316" s="17" t="n">
        <x:v>2024</x:v>
      </x:c>
      <x:c r="D316" s="8" t="str">
        <x:v>RAINBOW TROUT</x:v>
      </x:c>
      <x:c r="E316" s="13" t="n">
        <x:f>SUMIFS('Stocking details'!$F$6:$F$3307,'Stocking details'!$I$6:$I$3307,G316)</x:f>
        <x:v>1100</x:v>
      </x:c>
      <x:c r="F316" s="13" t="n">
        <x:f>COUNTIFS('Stocking details'!$I$6:$I$3307,G316)</x:f>
        <x:v>1</x:v>
      </x:c>
      <x:c r="G316" s="8" t="str">
        <x:f>B316&amp;" / "&amp;C316&amp;" / "&amp;D316</x:f>
        <x:v>20258 / 2024 / RAINBOW TROUT</x:v>
      </x:c>
    </x:row>
    <x:row r="317" ht="23" customHeight="1">
      <x:c r="A317" s="8" t="str">
        <x:v>Castaway Trout Pond</x:v>
      </x:c>
      <x:c r="B317" s="8" t="str">
        <x:v>20258</x:v>
      </x:c>
      <x:c r="C317" s="17" t="n">
        <x:v>2023</x:v>
      </x:c>
      <x:c r="D317" s="8" t="str">
        <x:v>RAINBOW TROUT</x:v>
      </x:c>
      <x:c r="E317" s="13" t="n">
        <x:f>SUMIFS('Stocking details'!$F$6:$F$3307,'Stocking details'!$I$6:$I$3307,G317)</x:f>
        <x:v>1100</x:v>
      </x:c>
      <x:c r="F317" s="13" t="n">
        <x:f>COUNTIFS('Stocking details'!$I$6:$I$3307,G317)</x:f>
        <x:v>1</x:v>
      </x:c>
      <x:c r="G317" s="8" t="str">
        <x:f>B317&amp;" / "&amp;C317&amp;" / "&amp;D317</x:f>
        <x:v>20258 / 2023 / RAINBOW TROUT</x:v>
      </x:c>
    </x:row>
    <x:row r="318" ht="23" customHeight="1">
      <x:c r="A318" s="8" t="str">
        <x:v>Castaway Trout Pond</x:v>
      </x:c>
      <x:c r="B318" s="8" t="str">
        <x:v>20258</x:v>
      </x:c>
      <x:c r="C318" s="17" t="n">
        <x:v>2022</x:v>
      </x:c>
      <x:c r="D318" s="8" t="str">
        <x:v>RAINBOW TROUT</x:v>
      </x:c>
      <x:c r="E318" s="13" t="n">
        <x:f>SUMIFS('Stocking details'!$F$6:$F$3307,'Stocking details'!$I$6:$I$3307,G318)</x:f>
        <x:v>1100</x:v>
      </x:c>
      <x:c r="F318" s="13" t="n">
        <x:f>COUNTIFS('Stocking details'!$I$6:$I$3307,G318)</x:f>
        <x:v>1</x:v>
      </x:c>
      <x:c r="G318" s="8" t="str">
        <x:f>B318&amp;" / "&amp;C318&amp;" / "&amp;D318</x:f>
        <x:v>20258 / 2022 / RAINBOW TROUT</x:v>
      </x:c>
    </x:row>
    <x:row r="319" ht="23" customHeight="1">
      <x:c r="A319" s="8" t="str">
        <x:v>Castaway Trout Pond</x:v>
      </x:c>
      <x:c r="B319" s="8" t="str">
        <x:v>20258</x:v>
      </x:c>
      <x:c r="C319" s="17" t="n">
        <x:v>2021</x:v>
      </x:c>
      <x:c r="D319" s="8" t="str">
        <x:v>RAINBOW TROUT</x:v>
      </x:c>
      <x:c r="E319" s="13" t="n">
        <x:f>SUMIFS('Stocking details'!$F$6:$F$3307,'Stocking details'!$I$6:$I$3307,G319)</x:f>
        <x:v>1600</x:v>
      </x:c>
      <x:c r="F319" s="13" t="n">
        <x:f>COUNTIFS('Stocking details'!$I$6:$I$3307,G319)</x:f>
        <x:v>2</x:v>
      </x:c>
      <x:c r="G319" s="8" t="str">
        <x:f>B319&amp;" / "&amp;C319&amp;" / "&amp;D319</x:f>
        <x:v>20258 / 2021 / RAINBOW TROUT</x:v>
      </x:c>
    </x:row>
    <x:row r="320" ht="23" customHeight="1">
      <x:c r="A320" s="8" t="str">
        <x:v>Castor Eastside Trout Pond</x:v>
      </x:c>
      <x:c r="B320" s="8" t="str">
        <x:v>18022</x:v>
      </x:c>
      <x:c r="C320" s="17" t="n">
        <x:v>2026</x:v>
      </x:c>
      <x:c r="D320" s="8" t="str">
        <x:v>RAINBOW TROUT</x:v>
      </x:c>
      <x:c r="E320" s="13" t="n">
        <x:f>SUMIFS('Stocking details'!$F$6:$F$3307,'Stocking details'!$I$6:$I$3307,G320)</x:f>
        <x:v>500</x:v>
      </x:c>
      <x:c r="F320" s="13" t="n">
        <x:f>COUNTIFS('Stocking details'!$I$6:$I$3307,G320)</x:f>
        <x:v>1</x:v>
      </x:c>
      <x:c r="G320" s="8" t="str">
        <x:f>B320&amp;" / "&amp;C320&amp;" / "&amp;D320</x:f>
        <x:v>18022 / 2026 / RAINBOW TROUT</x:v>
      </x:c>
    </x:row>
    <x:row r="321" ht="23" customHeight="1">
      <x:c r="A321" s="8" t="str">
        <x:v>Castor Eastside Trout Pond</x:v>
      </x:c>
      <x:c r="B321" s="8" t="str">
        <x:v>18022</x:v>
      </x:c>
      <x:c r="C321" s="17" t="n">
        <x:v>2025</x:v>
      </x:c>
      <x:c r="D321" s="8" t="str">
        <x:v>RAINBOW TROUT</x:v>
      </x:c>
      <x:c r="E321" s="13" t="n">
        <x:f>SUMIFS('Stocking details'!$F$6:$F$3307,'Stocking details'!$I$6:$I$3307,G321)</x:f>
        <x:v>540</x:v>
      </x:c>
      <x:c r="F321" s="13" t="n">
        <x:f>COUNTIFS('Stocking details'!$I$6:$I$3307,G321)</x:f>
        <x:v>2</x:v>
      </x:c>
      <x:c r="G321" s="8" t="str">
        <x:f>B321&amp;" / "&amp;C321&amp;" / "&amp;D321</x:f>
        <x:v>18022 / 2025 / RAINBOW TROUT</x:v>
      </x:c>
    </x:row>
    <x:row r="322" ht="23" customHeight="1">
      <x:c r="A322" s="8" t="str">
        <x:v>Castor Eastside Trout Pond</x:v>
      </x:c>
      <x:c r="B322" s="8" t="str">
        <x:v>18022</x:v>
      </x:c>
      <x:c r="C322" s="17" t="n">
        <x:v>2024</x:v>
      </x:c>
      <x:c r="D322" s="8" t="str">
        <x:v>RAINBOW TROUT</x:v>
      </x:c>
      <x:c r="E322" s="13" t="n">
        <x:f>SUMIFS('Stocking details'!$F$6:$F$3307,'Stocking details'!$I$6:$I$3307,G322)</x:f>
        <x:v>430</x:v>
      </x:c>
      <x:c r="F322" s="13" t="n">
        <x:f>COUNTIFS('Stocking details'!$I$6:$I$3307,G322)</x:f>
        <x:v>2</x:v>
      </x:c>
      <x:c r="G322" s="8" t="str">
        <x:f>B322&amp;" / "&amp;C322&amp;" / "&amp;D322</x:f>
        <x:v>18022 / 2024 / RAINBOW TROUT</x:v>
      </x:c>
    </x:row>
    <x:row r="323" ht="23" customHeight="1">
      <x:c r="A323" s="8" t="str">
        <x:v>Castor Eastside Trout Pond</x:v>
      </x:c>
      <x:c r="B323" s="8" t="str">
        <x:v>18022</x:v>
      </x:c>
      <x:c r="C323" s="17" t="n">
        <x:v>2023</x:v>
      </x:c>
      <x:c r="D323" s="8" t="str">
        <x:v>RAINBOW TROUT</x:v>
      </x:c>
      <x:c r="E323" s="13" t="n">
        <x:f>SUMIFS('Stocking details'!$F$6:$F$3307,'Stocking details'!$I$6:$I$3307,G323)</x:f>
        <x:v>420</x:v>
      </x:c>
      <x:c r="F323" s="13" t="n">
        <x:f>COUNTIFS('Stocking details'!$I$6:$I$3307,G323)</x:f>
        <x:v>2</x:v>
      </x:c>
      <x:c r="G323" s="8" t="str">
        <x:f>B323&amp;" / "&amp;C323&amp;" / "&amp;D323</x:f>
        <x:v>18022 / 2023 / RAINBOW TROUT</x:v>
      </x:c>
    </x:row>
    <x:row r="324" ht="23" customHeight="1">
      <x:c r="A324" s="8" t="str">
        <x:v>Castor Eastside Trout Pond</x:v>
      </x:c>
      <x:c r="B324" s="8" t="str">
        <x:v>18022</x:v>
      </x:c>
      <x:c r="C324" s="17" t="n">
        <x:v>2022</x:v>
      </x:c>
      <x:c r="D324" s="8" t="str">
        <x:v>RAINBOW TROUT</x:v>
      </x:c>
      <x:c r="E324" s="13" t="n">
        <x:f>SUMIFS('Stocking details'!$F$6:$F$3307,'Stocking details'!$I$6:$I$3307,G324)</x:f>
        <x:v>400</x:v>
      </x:c>
      <x:c r="F324" s="13" t="n">
        <x:f>COUNTIFS('Stocking details'!$I$6:$I$3307,G324)</x:f>
        <x:v>1</x:v>
      </x:c>
      <x:c r="G324" s="8" t="str">
        <x:f>B324&amp;" / "&amp;C324&amp;" / "&amp;D324</x:f>
        <x:v>18022 / 2022 / RAINBOW TROUT</x:v>
      </x:c>
    </x:row>
    <x:row r="325" ht="23" customHeight="1">
      <x:c r="A325" s="8" t="str">
        <x:v>Castor Eastside Trout Pond</x:v>
      </x:c>
      <x:c r="B325" s="8" t="str">
        <x:v>18022</x:v>
      </x:c>
      <x:c r="C325" s="17" t="n">
        <x:v>2021</x:v>
      </x:c>
      <x:c r="D325" s="8" t="str">
        <x:v>RAINBOW TROUT</x:v>
      </x:c>
      <x:c r="E325" s="13" t="n">
        <x:f>SUMIFS('Stocking details'!$F$6:$F$3307,'Stocking details'!$I$6:$I$3307,G325)</x:f>
        <x:v>400</x:v>
      </x:c>
      <x:c r="F325" s="13" t="n">
        <x:f>COUNTIFS('Stocking details'!$I$6:$I$3307,G325)</x:f>
        <x:v>1</x:v>
      </x:c>
      <x:c r="G325" s="8" t="str">
        <x:f>B325&amp;" / "&amp;C325&amp;" / "&amp;D325</x:f>
        <x:v>18022 / 2021 / RAINBOW TROUT</x:v>
      </x:c>
    </x:row>
    <x:row r="326" ht="23" customHeight="1">
      <x:c r="A326" s="8" t="str">
        <x:v>Cavan Lake</x:v>
      </x:c>
      <x:c r="B326" s="8" t="str">
        <x:v>4231</x:v>
      </x:c>
      <x:c r="C326" s="17" t="n">
        <x:v>2025</x:v>
      </x:c>
      <x:c r="D326" s="8" t="str">
        <x:v>RAINBOW TROUT</x:v>
      </x:c>
      <x:c r="E326" s="13" t="n">
        <x:f>SUMIFS('Stocking details'!$F$6:$F$3307,'Stocking details'!$I$6:$I$3307,G326)</x:f>
        <x:v>12168</x:v>
      </x:c>
      <x:c r="F326" s="13" t="n">
        <x:f>COUNTIFS('Stocking details'!$I$6:$I$3307,G326)</x:f>
        <x:v>2</x:v>
      </x:c>
      <x:c r="G326" s="8" t="str">
        <x:f>B326&amp;" / "&amp;C326&amp;" / "&amp;D326</x:f>
        <x:v>4231 / 2025 / RAINBOW TROUT</x:v>
      </x:c>
    </x:row>
    <x:row r="327" ht="23" customHeight="1">
      <x:c r="A327" s="8" t="str">
        <x:v>Cecil Thompson Pond</x:v>
      </x:c>
      <x:c r="B327" s="8" t="str">
        <x:v>6778</x:v>
      </x:c>
      <x:c r="C327" s="17" t="n">
        <x:v>2026</x:v>
      </x:c>
      <x:c r="D327" s="8" t="str">
        <x:v>RAINBOW TROUT</x:v>
      </x:c>
      <x:c r="E327" s="13" t="n">
        <x:f>SUMIFS('Stocking details'!$F$6:$F$3307,'Stocking details'!$I$6:$I$3307,G327)</x:f>
        <x:v>1000</x:v>
      </x:c>
      <x:c r="F327" s="13" t="n">
        <x:f>COUNTIFS('Stocking details'!$I$6:$I$3307,G327)</x:f>
        <x:v>1</x:v>
      </x:c>
      <x:c r="G327" s="8" t="str">
        <x:f>B327&amp;" / "&amp;C327&amp;" / "&amp;D327</x:f>
        <x:v>6778 / 2026 / RAINBOW TROUT</x:v>
      </x:c>
    </x:row>
    <x:row r="328" ht="23" customHeight="1">
      <x:c r="A328" s="8" t="str">
        <x:v>Cecil Thompson Pond</x:v>
      </x:c>
      <x:c r="B328" s="8" t="str">
        <x:v>6778</x:v>
      </x:c>
      <x:c r="C328" s="17" t="n">
        <x:v>2025</x:v>
      </x:c>
      <x:c r="D328" s="8" t="str">
        <x:v>RAINBOW TROUT</x:v>
      </x:c>
      <x:c r="E328" s="13" t="n">
        <x:f>SUMIFS('Stocking details'!$F$6:$F$3307,'Stocking details'!$I$6:$I$3307,G328)</x:f>
        <x:v>1000</x:v>
      </x:c>
      <x:c r="F328" s="13" t="n">
        <x:f>COUNTIFS('Stocking details'!$I$6:$I$3307,G328)</x:f>
        <x:v>1</x:v>
      </x:c>
      <x:c r="G328" s="8" t="str">
        <x:f>B328&amp;" / "&amp;C328&amp;" / "&amp;D328</x:f>
        <x:v>6778 / 2025 / RAINBOW TROUT</x:v>
      </x:c>
    </x:row>
    <x:row r="329" ht="23" customHeight="1">
      <x:c r="A329" s="8" t="str">
        <x:v>Cecil Thompson Pond</x:v>
      </x:c>
      <x:c r="B329" s="8" t="str">
        <x:v>6778</x:v>
      </x:c>
      <x:c r="C329" s="17" t="n">
        <x:v>2024</x:v>
      </x:c>
      <x:c r="D329" s="8" t="str">
        <x:v>RAINBOW TROUT</x:v>
      </x:c>
      <x:c r="E329" s="13" t="n">
        <x:f>SUMIFS('Stocking details'!$F$6:$F$3307,'Stocking details'!$I$6:$I$3307,G329)</x:f>
        <x:v>500</x:v>
      </x:c>
      <x:c r="F329" s="13" t="n">
        <x:f>COUNTIFS('Stocking details'!$I$6:$I$3307,G329)</x:f>
        <x:v>1</x:v>
      </x:c>
      <x:c r="G329" s="8" t="str">
        <x:f>B329&amp;" / "&amp;C329&amp;" / "&amp;D329</x:f>
        <x:v>6778 / 2024 / RAINBOW TROUT</x:v>
      </x:c>
    </x:row>
    <x:row r="330" ht="23" customHeight="1">
      <x:c r="A330" s="8" t="str">
        <x:v>Cecil Thompson Pond</x:v>
      </x:c>
      <x:c r="B330" s="8" t="str">
        <x:v>6778</x:v>
      </x:c>
      <x:c r="C330" s="17" t="n">
        <x:v>2023</x:v>
      </x:c>
      <x:c r="D330" s="8" t="str">
        <x:v>RAINBOW TROUT</x:v>
      </x:c>
      <x:c r="E330" s="13" t="n">
        <x:f>SUMIFS('Stocking details'!$F$6:$F$3307,'Stocking details'!$I$6:$I$3307,G330)</x:f>
        <x:v>502</x:v>
      </x:c>
      <x:c r="F330" s="13" t="n">
        <x:f>COUNTIFS('Stocking details'!$I$6:$I$3307,G330)</x:f>
        <x:v>1</x:v>
      </x:c>
      <x:c r="G330" s="8" t="str">
        <x:f>B330&amp;" / "&amp;C330&amp;" / "&amp;D330</x:f>
        <x:v>6778 / 2023 / RAINBOW TROUT</x:v>
      </x:c>
    </x:row>
    <x:row r="331" ht="23" customHeight="1">
      <x:c r="A331" s="8" t="str">
        <x:v>Cecil Thompson Pond</x:v>
      </x:c>
      <x:c r="B331" s="8" t="str">
        <x:v>6778</x:v>
      </x:c>
      <x:c r="C331" s="17" t="n">
        <x:v>2022</x:v>
      </x:c>
      <x:c r="D331" s="8" t="str">
        <x:v>RAINBOW TROUT</x:v>
      </x:c>
      <x:c r="E331" s="13" t="n">
        <x:f>SUMIFS('Stocking details'!$F$6:$F$3307,'Stocking details'!$I$6:$I$3307,G331)</x:f>
        <x:v>1000</x:v>
      </x:c>
      <x:c r="F331" s="13" t="n">
        <x:f>COUNTIFS('Stocking details'!$I$6:$I$3307,G331)</x:f>
        <x:v>1</x:v>
      </x:c>
      <x:c r="G331" s="8" t="str">
        <x:f>B331&amp;" / "&amp;C331&amp;" / "&amp;D331</x:f>
        <x:v>6778 / 2022 / RAINBOW TROUT</x:v>
      </x:c>
    </x:row>
    <x:row r="332" ht="23" customHeight="1">
      <x:c r="A332" s="8" t="str">
        <x:v>Cecil Thompson Pond</x:v>
      </x:c>
      <x:c r="B332" s="8" t="str">
        <x:v>6778</x:v>
      </x:c>
      <x:c r="C332" s="17" t="n">
        <x:v>2021</x:v>
      </x:c>
      <x:c r="D332" s="8" t="str">
        <x:v>RAINBOW TROUT</x:v>
      </x:c>
      <x:c r="E332" s="13" t="n">
        <x:f>SUMIFS('Stocking details'!$F$6:$F$3307,'Stocking details'!$I$6:$I$3307,G332)</x:f>
        <x:v>1000</x:v>
      </x:c>
      <x:c r="F332" s="13" t="n">
        <x:f>COUNTIFS('Stocking details'!$I$6:$I$3307,G332)</x:f>
        <x:v>1</x:v>
      </x:c>
      <x:c r="G332" s="8" t="str">
        <x:f>B332&amp;" / "&amp;C332&amp;" / "&amp;D332</x:f>
        <x:v>6778 / 2021 / RAINBOW TROUT</x:v>
      </x:c>
    </x:row>
    <x:row r="333" ht="23" customHeight="1">
      <x:c r="A333" s="8" t="str">
        <x:v>Chain Lakes Reservoir</x:v>
      </x:c>
      <x:c r="B333" s="8" t="str">
        <x:v>3499</x:v>
      </x:c>
      <x:c r="C333" s="17" t="n">
        <x:v>2026</x:v>
      </x:c>
      <x:c r="D333" s="8" t="str">
        <x:v>RAINBOW TROUT</x:v>
      </x:c>
      <x:c r="E333" s="13" t="n">
        <x:f>SUMIFS('Stocking details'!$F$6:$F$3307,'Stocking details'!$I$6:$I$3307,G333)</x:f>
        <x:v>30000</x:v>
      </x:c>
      <x:c r="F333" s="13" t="n">
        <x:f>COUNTIFS('Stocking details'!$I$6:$I$3307,G333)</x:f>
        <x:v>4</x:v>
      </x:c>
      <x:c r="G333" s="8" t="str">
        <x:f>B333&amp;" / "&amp;C333&amp;" / "&amp;D333</x:f>
        <x:v>3499 / 2026 / RAINBOW TROUT</x:v>
      </x:c>
    </x:row>
    <x:row r="334" ht="23" customHeight="1">
      <x:c r="A334" s="8" t="str">
        <x:v>Chain Lakes Reservoir</x:v>
      </x:c>
      <x:c r="B334" s="8" t="str">
        <x:v>3499</x:v>
      </x:c>
      <x:c r="C334" s="17" t="n">
        <x:v>2026</x:v>
      </x:c>
      <x:c r="D334" s="8" t="str">
        <x:v>WESTSLOPE CUTTHROAT TROUT</x:v>
      </x:c>
      <x:c r="E334" s="13" t="n">
        <x:f>SUMIFS('Stocking details'!$F$6:$F$3307,'Stocking details'!$I$6:$I$3307,G334)</x:f>
        <x:v>25600</x:v>
      </x:c>
      <x:c r="F334" s="13" t="n">
        <x:f>COUNTIFS('Stocking details'!$I$6:$I$3307,G334)</x:f>
        <x:v>3</x:v>
      </x:c>
      <x:c r="G334" s="8" t="str">
        <x:f>B334&amp;" / "&amp;C334&amp;" / "&amp;D334</x:f>
        <x:v>3499 / 2026 / WESTSLOPE CUTTHROAT TROUT</x:v>
      </x:c>
    </x:row>
    <x:row r="335" ht="23" customHeight="1">
      <x:c r="A335" s="8" t="str">
        <x:v>Chain Lakes Reservoir</x:v>
      </x:c>
      <x:c r="B335" s="8" t="str">
        <x:v>3499</x:v>
      </x:c>
      <x:c r="C335" s="17" t="n">
        <x:v>2025</x:v>
      </x:c>
      <x:c r="D335" s="8" t="str">
        <x:v>CUTTHROAT TROUT</x:v>
      </x:c>
      <x:c r="E335" s="13" t="n">
        <x:f>SUMIFS('Stocking details'!$F$6:$F$3307,'Stocking details'!$I$6:$I$3307,G335)</x:f>
        <x:v>425</x:v>
      </x:c>
      <x:c r="F335" s="13" t="n">
        <x:f>COUNTIFS('Stocking details'!$I$6:$I$3307,G335)</x:f>
        <x:v>1</x:v>
      </x:c>
      <x:c r="G335" s="8" t="str">
        <x:f>B335&amp;" / "&amp;C335&amp;" / "&amp;D335</x:f>
        <x:v>3499 / 2025 / CUTTHROAT TROUT</x:v>
      </x:c>
    </x:row>
    <x:row r="336" ht="23" customHeight="1">
      <x:c r="A336" s="8" t="str">
        <x:v>Chain Lakes Reservoir</x:v>
      </x:c>
      <x:c r="B336" s="8" t="str">
        <x:v>3499</x:v>
      </x:c>
      <x:c r="C336" s="17" t="n">
        <x:v>2025</x:v>
      </x:c>
      <x:c r="D336" s="8" t="str">
        <x:v>RAINBOW TROUT</x:v>
      </x:c>
      <x:c r="E336" s="13" t="n">
        <x:f>SUMIFS('Stocking details'!$F$6:$F$3307,'Stocking details'!$I$6:$I$3307,G336)</x:f>
        <x:v>127070</x:v>
      </x:c>
      <x:c r="F336" s="13" t="n">
        <x:f>COUNTIFS('Stocking details'!$I$6:$I$3307,G336)</x:f>
        <x:v>9</x:v>
      </x:c>
      <x:c r="G336" s="8" t="str">
        <x:f>B336&amp;" / "&amp;C336&amp;" / "&amp;D336</x:f>
        <x:v>3499 / 2025 / RAINBOW TROUT</x:v>
      </x:c>
    </x:row>
    <x:row r="337" ht="23" customHeight="1">
      <x:c r="A337" s="8" t="str">
        <x:v>Chain Lakes Reservoir</x:v>
      </x:c>
      <x:c r="B337" s="8" t="str">
        <x:v>3499</x:v>
      </x:c>
      <x:c r="C337" s="17" t="n">
        <x:v>2024</x:v>
      </x:c>
      <x:c r="D337" s="8" t="str">
        <x:v>RAINBOW TROUT</x:v>
      </x:c>
      <x:c r="E337" s="13" t="n">
        <x:f>SUMIFS('Stocking details'!$F$6:$F$3307,'Stocking details'!$I$6:$I$3307,G337)</x:f>
        <x:v>118348</x:v>
      </x:c>
      <x:c r="F337" s="13" t="n">
        <x:f>COUNTIFS('Stocking details'!$I$6:$I$3307,G337)</x:f>
        <x:v>13</x:v>
      </x:c>
      <x:c r="G337" s="8" t="str">
        <x:f>B337&amp;" / "&amp;C337&amp;" / "&amp;D337</x:f>
        <x:v>3499 / 2024 / RAINBOW TROUT</x:v>
      </x:c>
    </x:row>
    <x:row r="338" ht="23" customHeight="1">
      <x:c r="A338" s="8" t="str">
        <x:v>Chain Lakes Reservoir</x:v>
      </x:c>
      <x:c r="B338" s="8" t="str">
        <x:v>3499</x:v>
      </x:c>
      <x:c r="C338" s="17" t="n">
        <x:v>2023</x:v>
      </x:c>
      <x:c r="D338" s="8" t="str">
        <x:v>RAINBOW TROUT</x:v>
      </x:c>
      <x:c r="E338" s="13" t="n">
        <x:f>SUMIFS('Stocking details'!$F$6:$F$3307,'Stocking details'!$I$6:$I$3307,G338)</x:f>
        <x:v>103956</x:v>
      </x:c>
      <x:c r="F338" s="13" t="n">
        <x:f>COUNTIFS('Stocking details'!$I$6:$I$3307,G338)</x:f>
        <x:v>11</x:v>
      </x:c>
      <x:c r="G338" s="8" t="str">
        <x:f>B338&amp;" / "&amp;C338&amp;" / "&amp;D338</x:f>
        <x:v>3499 / 2023 / RAINBOW TROUT</x:v>
      </x:c>
    </x:row>
    <x:row r="339" ht="23" customHeight="1">
      <x:c r="A339" s="8" t="str">
        <x:v>Chain Lakes Reservoir</x:v>
      </x:c>
      <x:c r="B339" s="8" t="str">
        <x:v>3499</x:v>
      </x:c>
      <x:c r="C339" s="17" t="n">
        <x:v>2022</x:v>
      </x:c>
      <x:c r="D339" s="8" t="str">
        <x:v>RAINBOW TROUT</x:v>
      </x:c>
      <x:c r="E339" s="13" t="n">
        <x:f>SUMIFS('Stocking details'!$F$6:$F$3307,'Stocking details'!$I$6:$I$3307,G339)</x:f>
        <x:v>94800</x:v>
      </x:c>
      <x:c r="F339" s="13" t="n">
        <x:f>COUNTIFS('Stocking details'!$I$6:$I$3307,G339)</x:f>
        <x:v>8</x:v>
      </x:c>
      <x:c r="G339" s="8" t="str">
        <x:f>B339&amp;" / "&amp;C339&amp;" / "&amp;D339</x:f>
        <x:v>3499 / 2022 / RAINBOW TROUT</x:v>
      </x:c>
    </x:row>
    <x:row r="340" ht="23" customHeight="1">
      <x:c r="A340" s="8" t="str">
        <x:v>Chain Lakes Reservoir</x:v>
      </x:c>
      <x:c r="B340" s="8" t="str">
        <x:v>3499</x:v>
      </x:c>
      <x:c r="C340" s="17" t="n">
        <x:v>2021</x:v>
      </x:c>
      <x:c r="D340" s="8" t="str">
        <x:v>RAINBOW TROUT</x:v>
      </x:c>
      <x:c r="E340" s="13" t="n">
        <x:f>SUMIFS('Stocking details'!$F$6:$F$3307,'Stocking details'!$I$6:$I$3307,G340)</x:f>
        <x:v>102690</x:v>
      </x:c>
      <x:c r="F340" s="13" t="n">
        <x:f>COUNTIFS('Stocking details'!$I$6:$I$3307,G340)</x:f>
        <x:v>5</x:v>
      </x:c>
      <x:c r="G340" s="8" t="str">
        <x:f>B340&amp;" / "&amp;C340&amp;" / "&amp;D340</x:f>
        <x:v>3499 / 2021 / RAINBOW TROUT</x:v>
      </x:c>
    </x:row>
    <x:row r="341" ht="23" customHeight="1">
      <x:c r="A341" s="8" t="str">
        <x:v>Chatwin Lake</x:v>
      </x:c>
      <x:c r="B341" s="8" t="str">
        <x:v>4252</x:v>
      </x:c>
      <x:c r="C341" s="17" t="n">
        <x:v>2026</x:v>
      </x:c>
      <x:c r="D341" s="8" t="str">
        <x:v>RAINBOW TROUT</x:v>
      </x:c>
      <x:c r="E341" s="13" t="n">
        <x:f>SUMIFS('Stocking details'!$F$6:$F$3307,'Stocking details'!$I$6:$I$3307,G341)</x:f>
        <x:v>10000</x:v>
      </x:c>
      <x:c r="F341" s="13" t="n">
        <x:f>COUNTIFS('Stocking details'!$I$6:$I$3307,G341)</x:f>
        <x:v>1</x:v>
      </x:c>
      <x:c r="G341" s="8" t="str">
        <x:f>B341&amp;" / "&amp;C341&amp;" / "&amp;D341</x:f>
        <x:v>4252 / 2026 / RAINBOW TROUT</x:v>
      </x:c>
    </x:row>
    <x:row r="342" ht="23" customHeight="1">
      <x:c r="A342" s="8" t="str">
        <x:v>Chatwin Lake</x:v>
      </x:c>
      <x:c r="B342" s="8" t="str">
        <x:v>4252</x:v>
      </x:c>
      <x:c r="C342" s="17" t="n">
        <x:v>2025</x:v>
      </x:c>
      <x:c r="D342" s="8" t="str">
        <x:v>RAINBOW TROUT</x:v>
      </x:c>
      <x:c r="E342" s="13" t="n">
        <x:f>SUMIFS('Stocking details'!$F$6:$F$3307,'Stocking details'!$I$6:$I$3307,G342)</x:f>
        <x:v>10000</x:v>
      </x:c>
      <x:c r="F342" s="13" t="n">
        <x:f>COUNTIFS('Stocking details'!$I$6:$I$3307,G342)</x:f>
        <x:v>2</x:v>
      </x:c>
      <x:c r="G342" s="8" t="str">
        <x:f>B342&amp;" / "&amp;C342&amp;" / "&amp;D342</x:f>
        <x:v>4252 / 2025 / RAINBOW TROUT</x:v>
      </x:c>
    </x:row>
    <x:row r="343" ht="23" customHeight="1">
      <x:c r="A343" s="8" t="str">
        <x:v>Chatwin Lake</x:v>
      </x:c>
      <x:c r="B343" s="8" t="str">
        <x:v>4252</x:v>
      </x:c>
      <x:c r="C343" s="17" t="n">
        <x:v>2024</x:v>
      </x:c>
      <x:c r="D343" s="8" t="str">
        <x:v>RAINBOW TROUT</x:v>
      </x:c>
      <x:c r="E343" s="13" t="n">
        <x:f>SUMIFS('Stocking details'!$F$6:$F$3307,'Stocking details'!$I$6:$I$3307,G343)</x:f>
        <x:v>24000</x:v>
      </x:c>
      <x:c r="F343" s="13" t="n">
        <x:f>COUNTIFS('Stocking details'!$I$6:$I$3307,G343)</x:f>
        <x:v>4</x:v>
      </x:c>
      <x:c r="G343" s="8" t="str">
        <x:f>B343&amp;" / "&amp;C343&amp;" / "&amp;D343</x:f>
        <x:v>4252 / 2024 / RAINBOW TROUT</x:v>
      </x:c>
    </x:row>
    <x:row r="344" ht="23" customHeight="1">
      <x:c r="A344" s="8" t="str">
        <x:v>Chatwin Lake</x:v>
      </x:c>
      <x:c r="B344" s="8" t="str">
        <x:v>4252</x:v>
      </x:c>
      <x:c r="C344" s="17" t="n">
        <x:v>2023</x:v>
      </x:c>
      <x:c r="D344" s="8" t="str">
        <x:v>RAINBOW TROUT</x:v>
      </x:c>
      <x:c r="E344" s="13" t="n">
        <x:f>SUMIFS('Stocking details'!$F$6:$F$3307,'Stocking details'!$I$6:$I$3307,G344)</x:f>
        <x:v>10408</x:v>
      </x:c>
      <x:c r="F344" s="13" t="n">
        <x:f>COUNTIFS('Stocking details'!$I$6:$I$3307,G344)</x:f>
        <x:v>4</x:v>
      </x:c>
      <x:c r="G344" s="8" t="str">
        <x:f>B344&amp;" / "&amp;C344&amp;" / "&amp;D344</x:f>
        <x:v>4252 / 2023 / RAINBOW TROUT</x:v>
      </x:c>
    </x:row>
    <x:row r="345" ht="23" customHeight="1">
      <x:c r="A345" s="8" t="str">
        <x:v>Chatwin Lake</x:v>
      </x:c>
      <x:c r="B345" s="8" t="str">
        <x:v>4252</x:v>
      </x:c>
      <x:c r="C345" s="17" t="n">
        <x:v>2022</x:v>
      </x:c>
      <x:c r="D345" s="8" t="str">
        <x:v>RAINBOW TROUT</x:v>
      </x:c>
      <x:c r="E345" s="13" t="n">
        <x:f>SUMIFS('Stocking details'!$F$6:$F$3307,'Stocking details'!$I$6:$I$3307,G345)</x:f>
        <x:v>6650</x:v>
      </x:c>
      <x:c r="F345" s="13" t="n">
        <x:f>COUNTIFS('Stocking details'!$I$6:$I$3307,G345)</x:f>
        <x:v>3</x:v>
      </x:c>
      <x:c r="G345" s="8" t="str">
        <x:f>B345&amp;" / "&amp;C345&amp;" / "&amp;D345</x:f>
        <x:v>4252 / 2022 / RAINBOW TROUT</x:v>
      </x:c>
    </x:row>
    <x:row r="346" ht="23" customHeight="1">
      <x:c r="A346" s="8" t="str">
        <x:v>Chatwin Lake</x:v>
      </x:c>
      <x:c r="B346" s="8" t="str">
        <x:v>4252</x:v>
      </x:c>
      <x:c r="C346" s="17" t="n">
        <x:v>2022</x:v>
      </x:c>
      <x:c r="D346" s="8" t="str">
        <x:v>TIGER TROUT</x:v>
      </x:c>
      <x:c r="E346" s="13" t="n">
        <x:f>SUMIFS('Stocking details'!$F$6:$F$3307,'Stocking details'!$I$6:$I$3307,G346)</x:f>
        <x:v>5000</x:v>
      </x:c>
      <x:c r="F346" s="13" t="n">
        <x:f>COUNTIFS('Stocking details'!$I$6:$I$3307,G346)</x:f>
        <x:v>1</x:v>
      </x:c>
      <x:c r="G346" s="8" t="str">
        <x:f>B346&amp;" / "&amp;C346&amp;" / "&amp;D346</x:f>
        <x:v>4252 / 2022 / TIGER TROUT</x:v>
      </x:c>
    </x:row>
    <x:row r="347" ht="23" customHeight="1">
      <x:c r="A347" s="8" t="str">
        <x:v>Chatwin Lake</x:v>
      </x:c>
      <x:c r="B347" s="8" t="str">
        <x:v>4252</x:v>
      </x:c>
      <x:c r="C347" s="17" t="n">
        <x:v>2021</x:v>
      </x:c>
      <x:c r="D347" s="8" t="str">
        <x:v>RAINBOW TROUT</x:v>
      </x:c>
      <x:c r="E347" s="13" t="n">
        <x:f>SUMIFS('Stocking details'!$F$6:$F$3307,'Stocking details'!$I$6:$I$3307,G347)</x:f>
        <x:v>8000</x:v>
      </x:c>
      <x:c r="F347" s="13" t="n">
        <x:f>COUNTIFS('Stocking details'!$I$6:$I$3307,G347)</x:f>
        <x:v>1</x:v>
      </x:c>
      <x:c r="G347" s="8" t="str">
        <x:f>B347&amp;" / "&amp;C347&amp;" / "&amp;D347</x:f>
        <x:v>4252 / 2021 / RAINBOW TROUT</x:v>
      </x:c>
    </x:row>
    <x:row r="348" ht="23" customHeight="1">
      <x:c r="A348" s="8" t="str">
        <x:v>Chickako Lake</x:v>
      </x:c>
      <x:c r="B348" s="8" t="str">
        <x:v>4261</x:v>
      </x:c>
      <x:c r="C348" s="17" t="n">
        <x:v>2023</x:v>
      </x:c>
      <x:c r="D348" s="8" t="str">
        <x:v>RAINBOW TROUT</x:v>
      </x:c>
      <x:c r="E348" s="13" t="n">
        <x:f>SUMIFS('Stocking details'!$F$6:$F$3307,'Stocking details'!$I$6:$I$3307,G348)</x:f>
        <x:v>3990</x:v>
      </x:c>
      <x:c r="F348" s="13" t="n">
        <x:f>COUNTIFS('Stocking details'!$I$6:$I$3307,G348)</x:f>
        <x:v>1</x:v>
      </x:c>
      <x:c r="G348" s="8" t="str">
        <x:f>B348&amp;" / "&amp;C348&amp;" / "&amp;D348</x:f>
        <x:v>4261 / 2023 / RAINBOW TROUT</x:v>
      </x:c>
    </x:row>
    <x:row r="349" ht="23" customHeight="1">
      <x:c r="A349" s="8" t="str">
        <x:v>Chickako Lake</x:v>
      </x:c>
      <x:c r="B349" s="8" t="str">
        <x:v>4261</x:v>
      </x:c>
      <x:c r="C349" s="17" t="n">
        <x:v>2022</x:v>
      </x:c>
      <x:c r="D349" s="8" t="str">
        <x:v>RAINBOW TROUT</x:v>
      </x:c>
      <x:c r="E349" s="13" t="n">
        <x:f>SUMIFS('Stocking details'!$F$6:$F$3307,'Stocking details'!$I$6:$I$3307,G349)</x:f>
        <x:v>10000</x:v>
      </x:c>
      <x:c r="F349" s="13" t="n">
        <x:f>COUNTIFS('Stocking details'!$I$6:$I$3307,G349)</x:f>
        <x:v>1</x:v>
      </x:c>
      <x:c r="G349" s="8" t="str">
        <x:f>B349&amp;" / "&amp;C349&amp;" / "&amp;D349</x:f>
        <x:v>4261 / 2022 / RAINBOW TROUT</x:v>
      </x:c>
    </x:row>
    <x:row r="350" ht="23" customHeight="1">
      <x:c r="A350" s="8" t="str">
        <x:v>Chickako Lake</x:v>
      </x:c>
      <x:c r="B350" s="8" t="str">
        <x:v>4261</x:v>
      </x:c>
      <x:c r="C350" s="17" t="n">
        <x:v>2021</x:v>
      </x:c>
      <x:c r="D350" s="8" t="str">
        <x:v>RAINBOW TROUT</x:v>
      </x:c>
      <x:c r="E350" s="13" t="n">
        <x:f>SUMIFS('Stocking details'!$F$6:$F$3307,'Stocking details'!$I$6:$I$3307,G350)</x:f>
        <x:v>10000</x:v>
      </x:c>
      <x:c r="F350" s="13" t="n">
        <x:f>COUNTIFS('Stocking details'!$I$6:$I$3307,G350)</x:f>
        <x:v>1</x:v>
      </x:c>
      <x:c r="G350" s="8" t="str">
        <x:f>B350&amp;" / "&amp;C350&amp;" / "&amp;D350</x:f>
        <x:v>4261 / 2021 / RAINBOW TROUT</x:v>
      </x:c>
    </x:row>
    <x:row r="351" ht="23" customHeight="1">
      <x:c r="A351" s="8" t="str">
        <x:v>Chin Reservoir</x:v>
      </x:c>
      <x:c r="B351" s="8" t="str">
        <x:v>4265</x:v>
      </x:c>
      <x:c r="C351" s="17" t="n">
        <x:v>2023</x:v>
      </x:c>
      <x:c r="D351" s="8" t="str">
        <x:v>WALLEYE</x:v>
      </x:c>
      <x:c r="E351" s="13" t="n">
        <x:f>SUMIFS('Stocking details'!$F$6:$F$3307,'Stocking details'!$I$6:$I$3307,G351)</x:f>
        <x:v>317600</x:v>
      </x:c>
      <x:c r="F351" s="13" t="n">
        <x:f>COUNTIFS('Stocking details'!$I$6:$I$3307,G351)</x:f>
        <x:v>1</x:v>
      </x:c>
      <x:c r="G351" s="8" t="str">
        <x:f>B351&amp;" / "&amp;C351&amp;" / "&amp;D351</x:f>
        <x:v>4265 / 2023 / WALLEYE</x:v>
      </x:c>
    </x:row>
    <x:row r="352" ht="23" customHeight="1">
      <x:c r="A352" s="8" t="str">
        <x:v>Chin Reservoir</x:v>
      </x:c>
      <x:c r="B352" s="8" t="str">
        <x:v>4265</x:v>
      </x:c>
      <x:c r="C352" s="17" t="n">
        <x:v>2022</x:v>
      </x:c>
      <x:c r="D352" s="8" t="str">
        <x:v>WALLEYE</x:v>
      </x:c>
      <x:c r="E352" s="13" t="n">
        <x:f>SUMIFS('Stocking details'!$F$6:$F$3307,'Stocking details'!$I$6:$I$3307,G352)</x:f>
        <x:v>354153</x:v>
      </x:c>
      <x:c r="F352" s="13" t="n">
        <x:f>COUNTIFS('Stocking details'!$I$6:$I$3307,G352)</x:f>
        <x:v>1</x:v>
      </x:c>
      <x:c r="G352" s="8" t="str">
        <x:f>B352&amp;" / "&amp;C352&amp;" / "&amp;D352</x:f>
        <x:v>4265 / 2022 / WALLEYE</x:v>
      </x:c>
    </x:row>
    <x:row r="353" ht="23" customHeight="1">
      <x:c r="A353" s="8" t="str">
        <x:v>Chin Reservoir</x:v>
      </x:c>
      <x:c r="B353" s="8" t="str">
        <x:v>4265</x:v>
      </x:c>
      <x:c r="C353" s="17" t="n">
        <x:v>2021</x:v>
      </x:c>
      <x:c r="D353" s="8" t="str">
        <x:v>WALLEYE</x:v>
      </x:c>
      <x:c r="E353" s="13" t="n">
        <x:f>SUMIFS('Stocking details'!$F$6:$F$3307,'Stocking details'!$I$6:$I$3307,G353)</x:f>
        <x:v>381120</x:v>
      </x:c>
      <x:c r="F353" s="13" t="n">
        <x:f>COUNTIFS('Stocking details'!$I$6:$I$3307,G353)</x:f>
        <x:v>1</x:v>
      </x:c>
      <x:c r="G353" s="8" t="str">
        <x:f>B353&amp;" / "&amp;C353&amp;" / "&amp;D353</x:f>
        <x:v>4265 / 2021 / WALLEYE</x:v>
      </x:c>
    </x:row>
    <x:row r="354" ht="23" customHeight="1">
      <x:c r="A354" s="8" t="str">
        <x:v>Chrystina Lake</x:v>
      </x:c>
      <x:c r="B354" s="8" t="str">
        <x:v>6860</x:v>
      </x:c>
      <x:c r="C354" s="17" t="n">
        <x:v>2026</x:v>
      </x:c>
      <x:c r="D354" s="8" t="str">
        <x:v>BROOK TROUT</x:v>
      </x:c>
      <x:c r="E354" s="13" t="n">
        <x:f>SUMIFS('Stocking details'!$F$6:$F$3307,'Stocking details'!$I$6:$I$3307,G354)</x:f>
        <x:v>2600</x:v>
      </x:c>
      <x:c r="F354" s="13" t="n">
        <x:f>COUNTIFS('Stocking details'!$I$6:$I$3307,G354)</x:f>
        <x:v>1</x:v>
      </x:c>
      <x:c r="G354" s="8" t="str">
        <x:f>B354&amp;" / "&amp;C354&amp;" / "&amp;D354</x:f>
        <x:v>6860 / 2026 / BROOK TROUT</x:v>
      </x:c>
    </x:row>
    <x:row r="355" ht="23" customHeight="1">
      <x:c r="A355" s="8" t="str">
        <x:v>Chrystina Lake</x:v>
      </x:c>
      <x:c r="B355" s="8" t="str">
        <x:v>6860</x:v>
      </x:c>
      <x:c r="C355" s="17" t="n">
        <x:v>2025</x:v>
      </x:c>
      <x:c r="D355" s="8" t="str">
        <x:v>BROOK TROUT</x:v>
      </x:c>
      <x:c r="E355" s="13" t="n">
        <x:f>SUMIFS('Stocking details'!$F$6:$F$3307,'Stocking details'!$I$6:$I$3307,G355)</x:f>
        <x:v>2600</x:v>
      </x:c>
      <x:c r="F355" s="13" t="n">
        <x:f>COUNTIFS('Stocking details'!$I$6:$I$3307,G355)</x:f>
        <x:v>1</x:v>
      </x:c>
      <x:c r="G355" s="8" t="str">
        <x:f>B355&amp;" / "&amp;C355&amp;" / "&amp;D355</x:f>
        <x:v>6860 / 2025 / BROOK TROUT</x:v>
      </x:c>
    </x:row>
    <x:row r="356" ht="23" customHeight="1">
      <x:c r="A356" s="8" t="str">
        <x:v>Chrystina Lake</x:v>
      </x:c>
      <x:c r="B356" s="8" t="str">
        <x:v>6860</x:v>
      </x:c>
      <x:c r="C356" s="17" t="n">
        <x:v>2024</x:v>
      </x:c>
      <x:c r="D356" s="8" t="str">
        <x:v>BROOK TROUT</x:v>
      </x:c>
      <x:c r="E356" s="13" t="n">
        <x:f>SUMIFS('Stocking details'!$F$6:$F$3307,'Stocking details'!$I$6:$I$3307,G356)</x:f>
        <x:v>1550</x:v>
      </x:c>
      <x:c r="F356" s="13" t="n">
        <x:f>COUNTIFS('Stocking details'!$I$6:$I$3307,G356)</x:f>
        <x:v>1</x:v>
      </x:c>
      <x:c r="G356" s="8" t="str">
        <x:f>B356&amp;" / "&amp;C356&amp;" / "&amp;D356</x:f>
        <x:v>6860 / 2024 / BROOK TROUT</x:v>
      </x:c>
    </x:row>
    <x:row r="357" ht="23" customHeight="1">
      <x:c r="A357" s="8" t="str">
        <x:v>Chrystina Lake</x:v>
      </x:c>
      <x:c r="B357" s="8" t="str">
        <x:v>6860</x:v>
      </x:c>
      <x:c r="C357" s="17" t="n">
        <x:v>2023</x:v>
      </x:c>
      <x:c r="D357" s="8" t="str">
        <x:v>BROOK TROUT</x:v>
      </x:c>
      <x:c r="E357" s="13" t="n">
        <x:f>SUMIFS('Stocking details'!$F$6:$F$3307,'Stocking details'!$I$6:$I$3307,G357)</x:f>
        <x:v>1523</x:v>
      </x:c>
      <x:c r="F357" s="13" t="n">
        <x:f>COUNTIFS('Stocking details'!$I$6:$I$3307,G357)</x:f>
        <x:v>1</x:v>
      </x:c>
      <x:c r="G357" s="8" t="str">
        <x:f>B357&amp;" / "&amp;C357&amp;" / "&amp;D357</x:f>
        <x:v>6860 / 2023 / BROOK TROUT</x:v>
      </x:c>
    </x:row>
    <x:row r="358" ht="23" customHeight="1">
      <x:c r="A358" s="8" t="str">
        <x:v>Chrystina Lake</x:v>
      </x:c>
      <x:c r="B358" s="8" t="str">
        <x:v>6860</x:v>
      </x:c>
      <x:c r="C358" s="17" t="n">
        <x:v>2022</x:v>
      </x:c>
      <x:c r="D358" s="8" t="str">
        <x:v>BROOK TROUT</x:v>
      </x:c>
      <x:c r="E358" s="13" t="n">
        <x:f>SUMIFS('Stocking details'!$F$6:$F$3307,'Stocking details'!$I$6:$I$3307,G358)</x:f>
        <x:v>2100</x:v>
      </x:c>
      <x:c r="F358" s="13" t="n">
        <x:f>COUNTIFS('Stocking details'!$I$6:$I$3307,G358)</x:f>
        <x:v>1</x:v>
      </x:c>
      <x:c r="G358" s="8" t="str">
        <x:f>B358&amp;" / "&amp;C358&amp;" / "&amp;D358</x:f>
        <x:v>6860 / 2022 / BROOK TROUT</x:v>
      </x:c>
    </x:row>
    <x:row r="359" ht="23" customHeight="1">
      <x:c r="A359" s="8" t="str">
        <x:v>Chrystina Lake</x:v>
      </x:c>
      <x:c r="B359" s="8" t="str">
        <x:v>6860</x:v>
      </x:c>
      <x:c r="C359" s="17" t="n">
        <x:v>2021</x:v>
      </x:c>
      <x:c r="D359" s="8" t="str">
        <x:v>BROOK TROUT</x:v>
      </x:c>
      <x:c r="E359" s="13" t="n">
        <x:f>SUMIFS('Stocking details'!$F$6:$F$3307,'Stocking details'!$I$6:$I$3307,G359)</x:f>
        <x:v>2100</x:v>
      </x:c>
      <x:c r="F359" s="13" t="n">
        <x:f>COUNTIFS('Stocking details'!$I$6:$I$3307,G359)</x:f>
        <x:v>1</x:v>
      </x:c>
      <x:c r="G359" s="8" t="str">
        <x:f>B359&amp;" / "&amp;C359&amp;" / "&amp;D359</x:f>
        <x:v>6860 / 2021 / BROOK TROUT</x:v>
      </x:c>
    </x:row>
    <x:row r="360" ht="23" customHeight="1">
      <x:c r="A360" s="8" t="str">
        <x:v>Cipperley's Reservoir</x:v>
      </x:c>
      <x:c r="B360" s="8" t="str">
        <x:v>6861</x:v>
      </x:c>
      <x:c r="C360" s="17" t="n">
        <x:v>2026</x:v>
      </x:c>
      <x:c r="D360" s="8" t="str">
        <x:v>RAINBOW TROUT</x:v>
      </x:c>
      <x:c r="E360" s="13" t="n">
        <x:f>SUMIFS('Stocking details'!$F$6:$F$3307,'Stocking details'!$I$6:$I$3307,G360)</x:f>
        <x:v>600</x:v>
      </x:c>
      <x:c r="F360" s="13" t="n">
        <x:f>COUNTIFS('Stocking details'!$I$6:$I$3307,G360)</x:f>
        <x:v>1</x:v>
      </x:c>
      <x:c r="G360" s="8" t="str">
        <x:f>B360&amp;" / "&amp;C360&amp;" / "&amp;D360</x:f>
        <x:v>6861 / 2026 / RAINBOW TROUT</x:v>
      </x:c>
    </x:row>
    <x:row r="361" ht="23" customHeight="1">
      <x:c r="A361" s="8" t="str">
        <x:v>Cipperley's Reservoir</x:v>
      </x:c>
      <x:c r="B361" s="8" t="str">
        <x:v>6861</x:v>
      </x:c>
      <x:c r="C361" s="17" t="n">
        <x:v>2024</x:v>
      </x:c>
      <x:c r="D361" s="8" t="str">
        <x:v>RAINBOW TROUT</x:v>
      </x:c>
      <x:c r="E361" s="13" t="n">
        <x:f>SUMIFS('Stocking details'!$F$6:$F$3307,'Stocking details'!$I$6:$I$3307,G361)</x:f>
        <x:v>1100</x:v>
      </x:c>
      <x:c r="F361" s="13" t="n">
        <x:f>COUNTIFS('Stocking details'!$I$6:$I$3307,G361)</x:f>
        <x:v>1</x:v>
      </x:c>
      <x:c r="G361" s="8" t="str">
        <x:f>B361&amp;" / "&amp;C361&amp;" / "&amp;D361</x:f>
        <x:v>6861 / 2024 / RAINBOW TROUT</x:v>
      </x:c>
    </x:row>
    <x:row r="362" ht="23" customHeight="1">
      <x:c r="A362" s="8" t="str">
        <x:v>Cipperley's Reservoir</x:v>
      </x:c>
      <x:c r="B362" s="8" t="str">
        <x:v>6861</x:v>
      </x:c>
      <x:c r="C362" s="17" t="n">
        <x:v>2023</x:v>
      </x:c>
      <x:c r="D362" s="8" t="str">
        <x:v>RAINBOW TROUT</x:v>
      </x:c>
      <x:c r="E362" s="13" t="n">
        <x:f>SUMIFS('Stocking details'!$F$6:$F$3307,'Stocking details'!$I$6:$I$3307,G362)</x:f>
        <x:v>1200</x:v>
      </x:c>
      <x:c r="F362" s="13" t="n">
        <x:f>COUNTIFS('Stocking details'!$I$6:$I$3307,G362)</x:f>
        <x:v>1</x:v>
      </x:c>
      <x:c r="G362" s="8" t="str">
        <x:f>B362&amp;" / "&amp;C362&amp;" / "&amp;D362</x:f>
        <x:v>6861 / 2023 / RAINBOW TROUT</x:v>
      </x:c>
    </x:row>
    <x:row r="363" ht="23" customHeight="1">
      <x:c r="A363" s="8" t="str">
        <x:v>Cipperley's Reservoir</x:v>
      </x:c>
      <x:c r="B363" s="8" t="str">
        <x:v>6861</x:v>
      </x:c>
      <x:c r="C363" s="17" t="n">
        <x:v>2022</x:v>
      </x:c>
      <x:c r="D363" s="8" t="str">
        <x:v>RAINBOW TROUT</x:v>
      </x:c>
      <x:c r="E363" s="13" t="n">
        <x:f>SUMIFS('Stocking details'!$F$6:$F$3307,'Stocking details'!$I$6:$I$3307,G363)</x:f>
        <x:v>1300</x:v>
      </x:c>
      <x:c r="F363" s="13" t="n">
        <x:f>COUNTIFS('Stocking details'!$I$6:$I$3307,G363)</x:f>
        <x:v>2</x:v>
      </x:c>
      <x:c r="G363" s="8" t="str">
        <x:f>B363&amp;" / "&amp;C363&amp;" / "&amp;D363</x:f>
        <x:v>6861 / 2022 / RAINBOW TROUT</x:v>
      </x:c>
    </x:row>
    <x:row r="364" ht="23" customHeight="1">
      <x:c r="A364" s="8" t="str">
        <x:v>Cipperley's Reservoir</x:v>
      </x:c>
      <x:c r="B364" s="8" t="str">
        <x:v>6861</x:v>
      </x:c>
      <x:c r="C364" s="17" t="n">
        <x:v>2021</x:v>
      </x:c>
      <x:c r="D364" s="8" t="str">
        <x:v>RAINBOW TROUT</x:v>
      </x:c>
      <x:c r="E364" s="13" t="n">
        <x:f>SUMIFS('Stocking details'!$F$6:$F$3307,'Stocking details'!$I$6:$I$3307,G364)</x:f>
        <x:v>1400</x:v>
      </x:c>
      <x:c r="F364" s="13" t="n">
        <x:f>COUNTIFS('Stocking details'!$I$6:$I$3307,G364)</x:f>
        <x:v>2</x:v>
      </x:c>
      <x:c r="G364" s="8" t="str">
        <x:f>B364&amp;" / "&amp;C364&amp;" / "&amp;D364</x:f>
        <x:v>6861 / 2021 / RAINBOW TROUT</x:v>
      </x:c>
    </x:row>
    <x:row r="365" ht="23" customHeight="1">
      <x:c r="A365" s="8" t="str">
        <x:v>Cipperley's Reservoir</x:v>
      </x:c>
      <x:c r="B365" s="8" t="str">
        <x:v>6861</x:v>
      </x:c>
      <x:c r="C365" s="17" t="n">
        <x:v>2021</x:v>
      </x:c>
      <x:c r="D365" s="8" t="str">
        <x:v>TIGER TROUT</x:v>
      </x:c>
      <x:c r="E365" s="13" t="n">
        <x:f>SUMIFS('Stocking details'!$F$6:$F$3307,'Stocking details'!$I$6:$I$3307,G365)</x:f>
        <x:v>100</x:v>
      </x:c>
      <x:c r="F365" s="13" t="n">
        <x:f>COUNTIFS('Stocking details'!$I$6:$I$3307,G365)</x:f>
        <x:v>1</x:v>
      </x:c>
      <x:c r="G365" s="8" t="str">
        <x:f>B365&amp;" / "&amp;C365&amp;" / "&amp;D365</x:f>
        <x:v>6861 / 2021 / TIGER TROUT</x:v>
      </x:c>
    </x:row>
    <x:row r="366" ht="23" customHeight="1">
      <x:c r="A366" s="8" t="str">
        <x:v>Coleman Fish and Game Pond</x:v>
      </x:c>
      <x:c r="B366" s="8" t="str">
        <x:v>6858</x:v>
      </x:c>
      <x:c r="C366" s="17" t="n">
        <x:v>2025</x:v>
      </x:c>
      <x:c r="D366" s="8" t="str">
        <x:v>CUTTHROAT TROUT</x:v>
      </x:c>
      <x:c r="E366" s="13" t="n">
        <x:f>SUMIFS('Stocking details'!$F$6:$F$3307,'Stocking details'!$I$6:$I$3307,G366)</x:f>
        <x:v>1600</x:v>
      </x:c>
      <x:c r="F366" s="13" t="n">
        <x:f>COUNTIFS('Stocking details'!$I$6:$I$3307,G366)</x:f>
        <x:v>1</x:v>
      </x:c>
      <x:c r="G366" s="8" t="str">
        <x:f>B366&amp;" / "&amp;C366&amp;" / "&amp;D366</x:f>
        <x:v>6858 / 2025 / CUTTHROAT TROUT</x:v>
      </x:c>
    </x:row>
    <x:row r="367" ht="23" customHeight="1">
      <x:c r="A367" s="8" t="str">
        <x:v>Coleman Fish and Game Pond</x:v>
      </x:c>
      <x:c r="B367" s="8" t="str">
        <x:v>6858</x:v>
      </x:c>
      <x:c r="C367" s="17" t="n">
        <x:v>2023</x:v>
      </x:c>
      <x:c r="D367" s="8" t="str">
        <x:v>CUTTHROAT TROUT</x:v>
      </x:c>
      <x:c r="E367" s="13" t="n">
        <x:f>SUMIFS('Stocking details'!$F$6:$F$3307,'Stocking details'!$I$6:$I$3307,G367)</x:f>
        <x:v>1600</x:v>
      </x:c>
      <x:c r="F367" s="13" t="n">
        <x:f>COUNTIFS('Stocking details'!$I$6:$I$3307,G367)</x:f>
        <x:v>1</x:v>
      </x:c>
      <x:c r="G367" s="8" t="str">
        <x:f>B367&amp;" / "&amp;C367&amp;" / "&amp;D367</x:f>
        <x:v>6858 / 2023 / CUTTHROAT TROUT</x:v>
      </x:c>
    </x:row>
    <x:row r="368" ht="23" customHeight="1">
      <x:c r="A368" s="8" t="str">
        <x:v>Coleman Fish and Game Pond</x:v>
      </x:c>
      <x:c r="B368" s="8" t="str">
        <x:v>6858</x:v>
      </x:c>
      <x:c r="C368" s="17" t="n">
        <x:v>2022</x:v>
      </x:c>
      <x:c r="D368" s="8" t="str">
        <x:v>CUTTHROAT TROUT</x:v>
      </x:c>
      <x:c r="E368" s="13" t="n">
        <x:f>SUMIFS('Stocking details'!$F$6:$F$3307,'Stocking details'!$I$6:$I$3307,G368)</x:f>
        <x:v>1600</x:v>
      </x:c>
      <x:c r="F368" s="13" t="n">
        <x:f>COUNTIFS('Stocking details'!$I$6:$I$3307,G368)</x:f>
        <x:v>1</x:v>
      </x:c>
      <x:c r="G368" s="8" t="str">
        <x:f>B368&amp;" / "&amp;C368&amp;" / "&amp;D368</x:f>
        <x:v>6858 / 2022 / CUTTHROAT TROUT</x:v>
      </x:c>
    </x:row>
    <x:row r="369" ht="23" customHeight="1">
      <x:c r="A369" s="8" t="str">
        <x:v>Coleman Fish and Game Pond</x:v>
      </x:c>
      <x:c r="B369" s="8" t="str">
        <x:v>6858</x:v>
      </x:c>
      <x:c r="C369" s="17" t="n">
        <x:v>2021</x:v>
      </x:c>
      <x:c r="D369" s="8" t="str">
        <x:v>RAINBOW TROUT</x:v>
      </x:c>
      <x:c r="E369" s="13" t="n">
        <x:f>SUMIFS('Stocking details'!$F$6:$F$3307,'Stocking details'!$I$6:$I$3307,G369)</x:f>
        <x:v>1600</x:v>
      </x:c>
      <x:c r="F369" s="13" t="n">
        <x:f>COUNTIFS('Stocking details'!$I$6:$I$3307,G369)</x:f>
        <x:v>1</x:v>
      </x:c>
      <x:c r="G369" s="8" t="str">
        <x:f>B369&amp;" / "&amp;C369&amp;" / "&amp;D369</x:f>
        <x:v>6858 / 2021 / RAINBOW TROUT</x:v>
      </x:c>
    </x:row>
    <x:row r="370" ht="23" customHeight="1">
      <x:c r="A370" s="8" t="str">
        <x:v>Corner Lake</x:v>
      </x:c>
      <x:c r="B370" s="8" t="str">
        <x:v>6859</x:v>
      </x:c>
      <x:c r="C370" s="17" t="n">
        <x:v>2026</x:v>
      </x:c>
      <x:c r="D370" s="8" t="str">
        <x:v>BROWN TROUT</x:v>
      </x:c>
      <x:c r="E370" s="13" t="n">
        <x:f>SUMIFS('Stocking details'!$F$6:$F$3307,'Stocking details'!$I$6:$I$3307,G370)</x:f>
        <x:v>50</x:v>
      </x:c>
      <x:c r="F370" s="13" t="n">
        <x:f>COUNTIFS('Stocking details'!$I$6:$I$3307,G370)</x:f>
        <x:v>1</x:v>
      </x:c>
      <x:c r="G370" s="8" t="str">
        <x:f>B370&amp;" / "&amp;C370&amp;" / "&amp;D370</x:f>
        <x:v>6859 / 2026 / BROWN TROUT</x:v>
      </x:c>
    </x:row>
    <x:row r="371" ht="23" customHeight="1">
      <x:c r="A371" s="8" t="str">
        <x:v>Corner Lake</x:v>
      </x:c>
      <x:c r="B371" s="8" t="str">
        <x:v>6859</x:v>
      </x:c>
      <x:c r="C371" s="17" t="n">
        <x:v>2026</x:v>
      </x:c>
      <x:c r="D371" s="8" t="str">
        <x:v>RAINBOW TROUT</x:v>
      </x:c>
      <x:c r="E371" s="13" t="n">
        <x:f>SUMIFS('Stocking details'!$F$6:$F$3307,'Stocking details'!$I$6:$I$3307,G371)</x:f>
        <x:v>5000</x:v>
      </x:c>
      <x:c r="F371" s="13" t="n">
        <x:f>COUNTIFS('Stocking details'!$I$6:$I$3307,G371)</x:f>
        <x:v>1</x:v>
      </x:c>
      <x:c r="G371" s="8" t="str">
        <x:f>B371&amp;" / "&amp;C371&amp;" / "&amp;D371</x:f>
        <x:v>6859 / 2026 / RAINBOW TROUT</x:v>
      </x:c>
    </x:row>
    <x:row r="372" ht="23" customHeight="1">
      <x:c r="A372" s="8" t="str">
        <x:v>Corner Lake</x:v>
      </x:c>
      <x:c r="B372" s="8" t="str">
        <x:v>6859</x:v>
      </x:c>
      <x:c r="C372" s="17" t="n">
        <x:v>2025</x:v>
      </x:c>
      <x:c r="D372" s="8" t="str">
        <x:v>RAINBOW TROUT</x:v>
      </x:c>
      <x:c r="E372" s="13" t="n">
        <x:f>SUMIFS('Stocking details'!$F$6:$F$3307,'Stocking details'!$I$6:$I$3307,G372)</x:f>
        <x:v>10050</x:v>
      </x:c>
      <x:c r="F372" s="13" t="n">
        <x:f>COUNTIFS('Stocking details'!$I$6:$I$3307,G372)</x:f>
        <x:v>4</x:v>
      </x:c>
      <x:c r="G372" s="8" t="str">
        <x:f>B372&amp;" / "&amp;C372&amp;" / "&amp;D372</x:f>
        <x:v>6859 / 2025 / RAINBOW TROUT</x:v>
      </x:c>
    </x:row>
    <x:row r="373" ht="23" customHeight="1">
      <x:c r="A373" s="8" t="str">
        <x:v>Corner Lake</x:v>
      </x:c>
      <x:c r="B373" s="8" t="str">
        <x:v>6859</x:v>
      </x:c>
      <x:c r="C373" s="17" t="n">
        <x:v>2024</x:v>
      </x:c>
      <x:c r="D373" s="8" t="str">
        <x:v>RAINBOW TROUT</x:v>
      </x:c>
      <x:c r="E373" s="13" t="n">
        <x:f>SUMIFS('Stocking details'!$F$6:$F$3307,'Stocking details'!$I$6:$I$3307,G373)</x:f>
        <x:v>12500</x:v>
      </x:c>
      <x:c r="F373" s="13" t="n">
        <x:f>COUNTIFS('Stocking details'!$I$6:$I$3307,G373)</x:f>
        <x:v>2</x:v>
      </x:c>
      <x:c r="G373" s="8" t="str">
        <x:f>B373&amp;" / "&amp;C373&amp;" / "&amp;D373</x:f>
        <x:v>6859 / 2024 / RAINBOW TROUT</x:v>
      </x:c>
    </x:row>
    <x:row r="374" ht="23" customHeight="1">
      <x:c r="A374" s="8" t="str">
        <x:v>Corner Lake</x:v>
      </x:c>
      <x:c r="B374" s="8" t="str">
        <x:v>6859</x:v>
      </x:c>
      <x:c r="C374" s="17" t="n">
        <x:v>2023</x:v>
      </x:c>
      <x:c r="D374" s="8" t="str">
        <x:v>RAINBOW TROUT</x:v>
      </x:c>
      <x:c r="E374" s="13" t="n">
        <x:f>SUMIFS('Stocking details'!$F$6:$F$3307,'Stocking details'!$I$6:$I$3307,G374)</x:f>
        <x:v>4023</x:v>
      </x:c>
      <x:c r="F374" s="13" t="n">
        <x:f>COUNTIFS('Stocking details'!$I$6:$I$3307,G374)</x:f>
        <x:v>2</x:v>
      </x:c>
      <x:c r="G374" s="8" t="str">
        <x:f>B374&amp;" / "&amp;C374&amp;" / "&amp;D374</x:f>
        <x:v>6859 / 2023 / RAINBOW TROUT</x:v>
      </x:c>
    </x:row>
    <x:row r="375" ht="23" customHeight="1">
      <x:c r="A375" s="8" t="str">
        <x:v>Corner Lake</x:v>
      </x:c>
      <x:c r="B375" s="8" t="str">
        <x:v>6859</x:v>
      </x:c>
      <x:c r="C375" s="17" t="n">
        <x:v>2022</x:v>
      </x:c>
      <x:c r="D375" s="8" t="str">
        <x:v>RAINBOW TROUT</x:v>
      </x:c>
      <x:c r="E375" s="13" t="n">
        <x:f>SUMIFS('Stocking details'!$F$6:$F$3307,'Stocking details'!$I$6:$I$3307,G375)</x:f>
        <x:v>10000</x:v>
      </x:c>
      <x:c r="F375" s="13" t="n">
        <x:f>COUNTIFS('Stocking details'!$I$6:$I$3307,G375)</x:f>
        <x:v>2</x:v>
      </x:c>
      <x:c r="G375" s="8" t="str">
        <x:f>B375&amp;" / "&amp;C375&amp;" / "&amp;D375</x:f>
        <x:v>6859 / 2022 / RAINBOW TROUT</x:v>
      </x:c>
    </x:row>
    <x:row r="376" ht="23" customHeight="1">
      <x:c r="A376" s="8" t="str">
        <x:v>Corner Lake</x:v>
      </x:c>
      <x:c r="B376" s="8" t="str">
        <x:v>6859</x:v>
      </x:c>
      <x:c r="C376" s="17" t="n">
        <x:v>2021</x:v>
      </x:c>
      <x:c r="D376" s="8" t="str">
        <x:v>RAINBOW TROUT</x:v>
      </x:c>
      <x:c r="E376" s="13" t="n">
        <x:f>SUMIFS('Stocking details'!$F$6:$F$3307,'Stocking details'!$I$6:$I$3307,G376)</x:f>
        <x:v>15075</x:v>
      </x:c>
      <x:c r="F376" s="13" t="n">
        <x:f>COUNTIFS('Stocking details'!$I$6:$I$3307,G376)</x:f>
        <x:v>3</x:v>
      </x:c>
      <x:c r="G376" s="8" t="str">
        <x:f>B376&amp;" / "&amp;C376&amp;" / "&amp;D376</x:f>
        <x:v>6859 / 2021 / RAINBOW TROUT</x:v>
      </x:c>
    </x:row>
    <x:row r="377" ht="23" customHeight="1">
      <x:c r="A377" s="8" t="str">
        <x:v>Coronation Reservoir</x:v>
      </x:c>
      <x:c r="B377" s="8" t="str">
        <x:v>6845</x:v>
      </x:c>
      <x:c r="C377" s="17" t="n">
        <x:v>2026</x:v>
      </x:c>
      <x:c r="D377" s="8" t="str">
        <x:v>BROWN TROUT</x:v>
      </x:c>
      <x:c r="E377" s="13" t="n">
        <x:f>SUMIFS('Stocking details'!$F$6:$F$3307,'Stocking details'!$I$6:$I$3307,G377)</x:f>
        <x:v>1000</x:v>
      </x:c>
      <x:c r="F377" s="13" t="n">
        <x:f>COUNTIFS('Stocking details'!$I$6:$I$3307,G377)</x:f>
        <x:v>1</x:v>
      </x:c>
      <x:c r="G377" s="8" t="str">
        <x:f>B377&amp;" / "&amp;C377&amp;" / "&amp;D377</x:f>
        <x:v>6845 / 2026 / BROWN TROUT</x:v>
      </x:c>
    </x:row>
    <x:row r="378" ht="23" customHeight="1">
      <x:c r="A378" s="8" t="str">
        <x:v>Coronation Reservoir</x:v>
      </x:c>
      <x:c r="B378" s="8" t="str">
        <x:v>6845</x:v>
      </x:c>
      <x:c r="C378" s="17" t="n">
        <x:v>2026</x:v>
      </x:c>
      <x:c r="D378" s="8" t="str">
        <x:v>RAINBOW TROUT</x:v>
      </x:c>
      <x:c r="E378" s="13" t="n">
        <x:f>SUMIFS('Stocking details'!$F$6:$F$3307,'Stocking details'!$I$6:$I$3307,G378)</x:f>
        <x:v>5300</x:v>
      </x:c>
      <x:c r="F378" s="13" t="n">
        <x:f>COUNTIFS('Stocking details'!$I$6:$I$3307,G378)</x:f>
        <x:v>1</x:v>
      </x:c>
      <x:c r="G378" s="8" t="str">
        <x:f>B378&amp;" / "&amp;C378&amp;" / "&amp;D378</x:f>
        <x:v>6845 / 2026 / RAINBOW TROUT</x:v>
      </x:c>
    </x:row>
    <x:row r="379" ht="23" customHeight="1">
      <x:c r="A379" s="8" t="str">
        <x:v>Coronation Reservoir</x:v>
      </x:c>
      <x:c r="B379" s="8" t="str">
        <x:v>6845</x:v>
      </x:c>
      <x:c r="C379" s="17" t="n">
        <x:v>2026</x:v>
      </x:c>
      <x:c r="D379" s="8" t="str">
        <x:v>TIGER TROUT</x:v>
      </x:c>
      <x:c r="E379" s="13" t="n">
        <x:f>SUMIFS('Stocking details'!$F$6:$F$3307,'Stocking details'!$I$6:$I$3307,G379)</x:f>
        <x:v>1000</x:v>
      </x:c>
      <x:c r="F379" s="13" t="n">
        <x:f>COUNTIFS('Stocking details'!$I$6:$I$3307,G379)</x:f>
        <x:v>1</x:v>
      </x:c>
      <x:c r="G379" s="8" t="str">
        <x:f>B379&amp;" / "&amp;C379&amp;" / "&amp;D379</x:f>
        <x:v>6845 / 2026 / TIGER TROUT</x:v>
      </x:c>
    </x:row>
    <x:row r="380" ht="23" customHeight="1">
      <x:c r="A380" s="8" t="str">
        <x:v>Coronation Reservoir</x:v>
      </x:c>
      <x:c r="B380" s="8" t="str">
        <x:v>6845</x:v>
      </x:c>
      <x:c r="C380" s="17" t="n">
        <x:v>2025</x:v>
      </x:c>
      <x:c r="D380" s="8" t="str">
        <x:v>BROWN TROUT</x:v>
      </x:c>
      <x:c r="E380" s="13" t="n">
        <x:f>SUMIFS('Stocking details'!$F$6:$F$3307,'Stocking details'!$I$6:$I$3307,G380)</x:f>
        <x:v>1000</x:v>
      </x:c>
      <x:c r="F380" s="13" t="n">
        <x:f>COUNTIFS('Stocking details'!$I$6:$I$3307,G380)</x:f>
        <x:v>1</x:v>
      </x:c>
      <x:c r="G380" s="8" t="str">
        <x:f>B380&amp;" / "&amp;C380&amp;" / "&amp;D380</x:f>
        <x:v>6845 / 2025 / BROWN TROUT</x:v>
      </x:c>
    </x:row>
    <x:row r="381" ht="23" customHeight="1">
      <x:c r="A381" s="8" t="str">
        <x:v>Coronation Reservoir</x:v>
      </x:c>
      <x:c r="B381" s="8" t="str">
        <x:v>6845</x:v>
      </x:c>
      <x:c r="C381" s="17" t="n">
        <x:v>2025</x:v>
      </x:c>
      <x:c r="D381" s="8" t="str">
        <x:v>RAINBOW TROUT</x:v>
      </x:c>
      <x:c r="E381" s="13" t="n">
        <x:f>SUMIFS('Stocking details'!$F$6:$F$3307,'Stocking details'!$I$6:$I$3307,G381)</x:f>
        <x:v>5300</x:v>
      </x:c>
      <x:c r="F381" s="13" t="n">
        <x:f>COUNTIFS('Stocking details'!$I$6:$I$3307,G381)</x:f>
        <x:v>1</x:v>
      </x:c>
      <x:c r="G381" s="8" t="str">
        <x:f>B381&amp;" / "&amp;C381&amp;" / "&amp;D381</x:f>
        <x:v>6845 / 2025 / RAINBOW TROUT</x:v>
      </x:c>
    </x:row>
    <x:row r="382" ht="23" customHeight="1">
      <x:c r="A382" s="8" t="str">
        <x:v>Coronation Reservoir</x:v>
      </x:c>
      <x:c r="B382" s="8" t="str">
        <x:v>6845</x:v>
      </x:c>
      <x:c r="C382" s="17" t="n">
        <x:v>2025</x:v>
      </x:c>
      <x:c r="D382" s="8" t="str">
        <x:v>TIGER TROUT</x:v>
      </x:c>
      <x:c r="E382" s="13" t="n">
        <x:f>SUMIFS('Stocking details'!$F$6:$F$3307,'Stocking details'!$I$6:$I$3307,G382)</x:f>
        <x:v>1000</x:v>
      </x:c>
      <x:c r="F382" s="13" t="n">
        <x:f>COUNTIFS('Stocking details'!$I$6:$I$3307,G382)</x:f>
        <x:v>1</x:v>
      </x:c>
      <x:c r="G382" s="8" t="str">
        <x:f>B382&amp;" / "&amp;C382&amp;" / "&amp;D382</x:f>
        <x:v>6845 / 2025 / TIGER TROUT</x:v>
      </x:c>
    </x:row>
    <x:row r="383" ht="23" customHeight="1">
      <x:c r="A383" s="8" t="str">
        <x:v>Coronation Reservoir</x:v>
      </x:c>
      <x:c r="B383" s="8" t="str">
        <x:v>6845</x:v>
      </x:c>
      <x:c r="C383" s="17" t="n">
        <x:v>2024</x:v>
      </x:c>
      <x:c r="D383" s="8" t="str">
        <x:v>BROWN TROUT</x:v>
      </x:c>
      <x:c r="E383" s="13" t="n">
        <x:f>SUMIFS('Stocking details'!$F$6:$F$3307,'Stocking details'!$I$6:$I$3307,G383)</x:f>
        <x:v>1000</x:v>
      </x:c>
      <x:c r="F383" s="13" t="n">
        <x:f>COUNTIFS('Stocking details'!$I$6:$I$3307,G383)</x:f>
        <x:v>1</x:v>
      </x:c>
      <x:c r="G383" s="8" t="str">
        <x:f>B383&amp;" / "&amp;C383&amp;" / "&amp;D383</x:f>
        <x:v>6845 / 2024 / BROWN TROUT</x:v>
      </x:c>
    </x:row>
    <x:row r="384" ht="23" customHeight="1">
      <x:c r="A384" s="8" t="str">
        <x:v>Coronation Reservoir</x:v>
      </x:c>
      <x:c r="B384" s="8" t="str">
        <x:v>6845</x:v>
      </x:c>
      <x:c r="C384" s="17" t="n">
        <x:v>2024</x:v>
      </x:c>
      <x:c r="D384" s="8" t="str">
        <x:v>RAINBOW TROUT</x:v>
      </x:c>
      <x:c r="E384" s="13" t="n">
        <x:f>SUMIFS('Stocking details'!$F$6:$F$3307,'Stocking details'!$I$6:$I$3307,G384)</x:f>
        <x:v>7120</x:v>
      </x:c>
      <x:c r="F384" s="13" t="n">
        <x:f>COUNTIFS('Stocking details'!$I$6:$I$3307,G384)</x:f>
        <x:v>2</x:v>
      </x:c>
      <x:c r="G384" s="8" t="str">
        <x:f>B384&amp;" / "&amp;C384&amp;" / "&amp;D384</x:f>
        <x:v>6845 / 2024 / RAINBOW TROUT</x:v>
      </x:c>
    </x:row>
    <x:row r="385" ht="23" customHeight="1">
      <x:c r="A385" s="8" t="str">
        <x:v>Coronation Reservoir</x:v>
      </x:c>
      <x:c r="B385" s="8" t="str">
        <x:v>6845</x:v>
      </x:c>
      <x:c r="C385" s="17" t="n">
        <x:v>2024</x:v>
      </x:c>
      <x:c r="D385" s="8" t="str">
        <x:v>TIGER TROUT</x:v>
      </x:c>
      <x:c r="E385" s="13" t="n">
        <x:f>SUMIFS('Stocking details'!$F$6:$F$3307,'Stocking details'!$I$6:$I$3307,G385)</x:f>
        <x:v>1000</x:v>
      </x:c>
      <x:c r="F385" s="13" t="n">
        <x:f>COUNTIFS('Stocking details'!$I$6:$I$3307,G385)</x:f>
        <x:v>1</x:v>
      </x:c>
      <x:c r="G385" s="8" t="str">
        <x:f>B385&amp;" / "&amp;C385&amp;" / "&amp;D385</x:f>
        <x:v>6845 / 2024 / TIGER TROUT</x:v>
      </x:c>
    </x:row>
    <x:row r="386" ht="23" customHeight="1">
      <x:c r="A386" s="8" t="str">
        <x:v>Coronation Reservoir</x:v>
      </x:c>
      <x:c r="B386" s="8" t="str">
        <x:v>6845</x:v>
      </x:c>
      <x:c r="C386" s="17" t="n">
        <x:v>2023</x:v>
      </x:c>
      <x:c r="D386" s="8" t="str">
        <x:v>RAINBOW TROUT</x:v>
      </x:c>
      <x:c r="E386" s="13" t="n">
        <x:f>SUMIFS('Stocking details'!$F$6:$F$3307,'Stocking details'!$I$6:$I$3307,G386)</x:f>
        <x:v>6115</x:v>
      </x:c>
      <x:c r="F386" s="13" t="n">
        <x:f>COUNTIFS('Stocking details'!$I$6:$I$3307,G386)</x:f>
        <x:v>2</x:v>
      </x:c>
      <x:c r="G386" s="8" t="str">
        <x:f>B386&amp;" / "&amp;C386&amp;" / "&amp;D386</x:f>
        <x:v>6845 / 2023 / RAINBOW TROUT</x:v>
      </x:c>
    </x:row>
    <x:row r="387" ht="23" customHeight="1">
      <x:c r="A387" s="8" t="str">
        <x:v>Coronation Reservoir</x:v>
      </x:c>
      <x:c r="B387" s="8" t="str">
        <x:v>6845</x:v>
      </x:c>
      <x:c r="C387" s="17" t="n">
        <x:v>2022</x:v>
      </x:c>
      <x:c r="D387" s="8" t="str">
        <x:v>RAINBOW TROUT</x:v>
      </x:c>
      <x:c r="E387" s="13" t="n">
        <x:f>SUMIFS('Stocking details'!$F$6:$F$3307,'Stocking details'!$I$6:$I$3307,G387)</x:f>
        <x:v>5300</x:v>
      </x:c>
      <x:c r="F387" s="13" t="n">
        <x:f>COUNTIFS('Stocking details'!$I$6:$I$3307,G387)</x:f>
        <x:v>1</x:v>
      </x:c>
      <x:c r="G387" s="8" t="str">
        <x:f>B387&amp;" / "&amp;C387&amp;" / "&amp;D387</x:f>
        <x:v>6845 / 2022 / RAINBOW TROUT</x:v>
      </x:c>
    </x:row>
    <x:row r="388" ht="23" customHeight="1">
      <x:c r="A388" s="8" t="str">
        <x:v>Coronation Reservoir</x:v>
      </x:c>
      <x:c r="B388" s="8" t="str">
        <x:v>6845</x:v>
      </x:c>
      <x:c r="C388" s="17" t="n">
        <x:v>2021</x:v>
      </x:c>
      <x:c r="D388" s="8" t="str">
        <x:v>RAINBOW TROUT</x:v>
      </x:c>
      <x:c r="E388" s="13" t="n">
        <x:f>SUMIFS('Stocking details'!$F$6:$F$3307,'Stocking details'!$I$6:$I$3307,G388)</x:f>
        <x:v>8300</x:v>
      </x:c>
      <x:c r="F388" s="13" t="n">
        <x:f>COUNTIFS('Stocking details'!$I$6:$I$3307,G388)</x:f>
        <x:v>1</x:v>
      </x:c>
      <x:c r="G388" s="8" t="str">
        <x:f>B388&amp;" / "&amp;C388&amp;" / "&amp;D388</x:f>
        <x:v>6845 / 2021 / RAINBOW TROUT</x:v>
      </x:c>
    </x:row>
    <x:row r="389" ht="23" customHeight="1">
      <x:c r="A389" s="8" t="str">
        <x:v>Cottage</x:v>
      </x:c>
      <x:c r="B389" s="8" t="str">
        <x:v>5874</x:v>
      </x:c>
      <x:c r="C389" s="17" t="n">
        <x:v>2026</x:v>
      </x:c>
      <x:c r="D389" s="8" t="str">
        <x:v>BROWN TROUT</x:v>
      </x:c>
      <x:c r="E389" s="13" t="n">
        <x:f>SUMIFS('Stocking details'!$F$6:$F$3307,'Stocking details'!$I$6:$I$3307,G389)</x:f>
        <x:v>500</x:v>
      </x:c>
      <x:c r="F389" s="13" t="n">
        <x:f>COUNTIFS('Stocking details'!$I$6:$I$3307,G389)</x:f>
        <x:v>1</x:v>
      </x:c>
      <x:c r="G389" s="8" t="str">
        <x:f>B389&amp;" / "&amp;C389&amp;" / "&amp;D389</x:f>
        <x:v>5874 / 2026 / BROWN TROUT</x:v>
      </x:c>
    </x:row>
    <x:row r="390" ht="23" customHeight="1">
      <x:c r="A390" s="8" t="str">
        <x:v>Cottage</x:v>
      </x:c>
      <x:c r="B390" s="8" t="str">
        <x:v>5874</x:v>
      </x:c>
      <x:c r="C390" s="17" t="n">
        <x:v>2026</x:v>
      </x:c>
      <x:c r="D390" s="8" t="str">
        <x:v>RAINBOW TROUT</x:v>
      </x:c>
      <x:c r="E390" s="13" t="n">
        <x:f>SUMIFS('Stocking details'!$F$6:$F$3307,'Stocking details'!$I$6:$I$3307,G390)</x:f>
        <x:v>10135</x:v>
      </x:c>
      <x:c r="F390" s="13" t="n">
        <x:f>COUNTIFS('Stocking details'!$I$6:$I$3307,G390)</x:f>
        <x:v>2</x:v>
      </x:c>
      <x:c r="G390" s="8" t="str">
        <x:f>B390&amp;" / "&amp;C390&amp;" / "&amp;D390</x:f>
        <x:v>5874 / 2026 / RAINBOW TROUT</x:v>
      </x:c>
    </x:row>
    <x:row r="391" ht="23" customHeight="1">
      <x:c r="A391" s="8" t="str">
        <x:v>Cottage</x:v>
      </x:c>
      <x:c r="B391" s="8" t="str">
        <x:v>5874</x:v>
      </x:c>
      <x:c r="C391" s="17" t="n">
        <x:v>2026</x:v>
      </x:c>
      <x:c r="D391" s="8" t="str">
        <x:v>TIGER TROUT</x:v>
      </x:c>
      <x:c r="E391" s="13" t="n">
        <x:f>SUMIFS('Stocking details'!$F$6:$F$3307,'Stocking details'!$I$6:$I$3307,G391)</x:f>
        <x:v>1500</x:v>
      </x:c>
      <x:c r="F391" s="13" t="n">
        <x:f>COUNTIFS('Stocking details'!$I$6:$I$3307,G391)</x:f>
        <x:v>1</x:v>
      </x:c>
      <x:c r="G391" s="8" t="str">
        <x:f>B391&amp;" / "&amp;C391&amp;" / "&amp;D391</x:f>
        <x:v>5874 / 2026 / TIGER TROUT</x:v>
      </x:c>
    </x:row>
    <x:row r="392" ht="23" customHeight="1">
      <x:c r="A392" s="8" t="str">
        <x:v>Cottage</x:v>
      </x:c>
      <x:c r="B392" s="8" t="str">
        <x:v>5874</x:v>
      </x:c>
      <x:c r="C392" s="17" t="n">
        <x:v>2025</x:v>
      </x:c>
      <x:c r="D392" s="8" t="str">
        <x:v>BROWN TROUT</x:v>
      </x:c>
      <x:c r="E392" s="13" t="n">
        <x:f>SUMIFS('Stocking details'!$F$6:$F$3307,'Stocking details'!$I$6:$I$3307,G392)</x:f>
        <x:v>500</x:v>
      </x:c>
      <x:c r="F392" s="13" t="n">
        <x:f>COUNTIFS('Stocking details'!$I$6:$I$3307,G392)</x:f>
        <x:v>1</x:v>
      </x:c>
      <x:c r="G392" s="8" t="str">
        <x:f>B392&amp;" / "&amp;C392&amp;" / "&amp;D392</x:f>
        <x:v>5874 / 2025 / BROWN TROUT</x:v>
      </x:c>
    </x:row>
    <x:row r="393" ht="23" customHeight="1">
      <x:c r="A393" s="8" t="str">
        <x:v>Cottage</x:v>
      </x:c>
      <x:c r="B393" s="8" t="str">
        <x:v>5874</x:v>
      </x:c>
      <x:c r="C393" s="17" t="n">
        <x:v>2025</x:v>
      </x:c>
      <x:c r="D393" s="8" t="str">
        <x:v>RAINBOW TROUT</x:v>
      </x:c>
      <x:c r="E393" s="13" t="n">
        <x:f>SUMIFS('Stocking details'!$F$6:$F$3307,'Stocking details'!$I$6:$I$3307,G393)</x:f>
        <x:v>15000</x:v>
      </x:c>
      <x:c r="F393" s="13" t="n">
        <x:f>COUNTIFS('Stocking details'!$I$6:$I$3307,G393)</x:f>
        <x:v>2</x:v>
      </x:c>
      <x:c r="G393" s="8" t="str">
        <x:f>B393&amp;" / "&amp;C393&amp;" / "&amp;D393</x:f>
        <x:v>5874 / 2025 / RAINBOW TROUT</x:v>
      </x:c>
    </x:row>
    <x:row r="394" ht="23" customHeight="1">
      <x:c r="A394" s="8" t="str">
        <x:v>Cottage</x:v>
      </x:c>
      <x:c r="B394" s="8" t="str">
        <x:v>5874</x:v>
      </x:c>
      <x:c r="C394" s="17" t="n">
        <x:v>2025</x:v>
      </x:c>
      <x:c r="D394" s="8" t="str">
        <x:v>TIGER TROUT</x:v>
      </x:c>
      <x:c r="E394" s="13" t="n">
        <x:f>SUMIFS('Stocking details'!$F$6:$F$3307,'Stocking details'!$I$6:$I$3307,G394)</x:f>
        <x:v>1500</x:v>
      </x:c>
      <x:c r="F394" s="13" t="n">
        <x:f>COUNTIFS('Stocking details'!$I$6:$I$3307,G394)</x:f>
        <x:v>1</x:v>
      </x:c>
      <x:c r="G394" s="8" t="str">
        <x:f>B394&amp;" / "&amp;C394&amp;" / "&amp;D394</x:f>
        <x:v>5874 / 2025 / TIGER TROUT</x:v>
      </x:c>
    </x:row>
    <x:row r="395" ht="23" customHeight="1">
      <x:c r="A395" s="8" t="str">
        <x:v>Cottage</x:v>
      </x:c>
      <x:c r="B395" s="8" t="str">
        <x:v>5874</x:v>
      </x:c>
      <x:c r="C395" s="17" t="n">
        <x:v>2024</x:v>
      </x:c>
      <x:c r="D395" s="8" t="str">
        <x:v>BROWN TROUT</x:v>
      </x:c>
      <x:c r="E395" s="13" t="n">
        <x:f>SUMIFS('Stocking details'!$F$6:$F$3307,'Stocking details'!$I$6:$I$3307,G395)</x:f>
        <x:v>500</x:v>
      </x:c>
      <x:c r="F395" s="13" t="n">
        <x:f>COUNTIFS('Stocking details'!$I$6:$I$3307,G395)</x:f>
        <x:v>1</x:v>
      </x:c>
      <x:c r="G395" s="8" t="str">
        <x:f>B395&amp;" / "&amp;C395&amp;" / "&amp;D395</x:f>
        <x:v>5874 / 2024 / BROWN TROUT</x:v>
      </x:c>
    </x:row>
    <x:row r="396" ht="23" customHeight="1">
      <x:c r="A396" s="8" t="str">
        <x:v>Cottage</x:v>
      </x:c>
      <x:c r="B396" s="8" t="str">
        <x:v>5874</x:v>
      </x:c>
      <x:c r="C396" s="17" t="n">
        <x:v>2024</x:v>
      </x:c>
      <x:c r="D396" s="8" t="str">
        <x:v>RAINBOW TROUT</x:v>
      </x:c>
      <x:c r="E396" s="13" t="n">
        <x:f>SUMIFS('Stocking details'!$F$6:$F$3307,'Stocking details'!$I$6:$I$3307,G396)</x:f>
        <x:v>21500</x:v>
      </x:c>
      <x:c r="F396" s="13" t="n">
        <x:f>COUNTIFS('Stocking details'!$I$6:$I$3307,G396)</x:f>
        <x:v>3</x:v>
      </x:c>
      <x:c r="G396" s="8" t="str">
        <x:f>B396&amp;" / "&amp;C396&amp;" / "&amp;D396</x:f>
        <x:v>5874 / 2024 / RAINBOW TROUT</x:v>
      </x:c>
    </x:row>
    <x:row r="397" ht="23" customHeight="1">
      <x:c r="A397" s="8" t="str">
        <x:v>Cottage</x:v>
      </x:c>
      <x:c r="B397" s="8" t="str">
        <x:v>5874</x:v>
      </x:c>
      <x:c r="C397" s="17" t="n">
        <x:v>2024</x:v>
      </x:c>
      <x:c r="D397" s="8" t="str">
        <x:v>TIGER TROUT</x:v>
      </x:c>
      <x:c r="E397" s="13" t="n">
        <x:f>SUMIFS('Stocking details'!$F$6:$F$3307,'Stocking details'!$I$6:$I$3307,G397)</x:f>
        <x:v>3127</x:v>
      </x:c>
      <x:c r="F397" s="13" t="n">
        <x:f>COUNTIFS('Stocking details'!$I$6:$I$3307,G397)</x:f>
        <x:v>2</x:v>
      </x:c>
      <x:c r="G397" s="8" t="str">
        <x:f>B397&amp;" / "&amp;C397&amp;" / "&amp;D397</x:f>
        <x:v>5874 / 2024 / TIGER TROUT</x:v>
      </x:c>
    </x:row>
    <x:row r="398" ht="23" customHeight="1">
      <x:c r="A398" s="8" t="str">
        <x:v>Cottage</x:v>
      </x:c>
      <x:c r="B398" s="8" t="str">
        <x:v>5874</x:v>
      </x:c>
      <x:c r="C398" s="17" t="n">
        <x:v>2023</x:v>
      </x:c>
      <x:c r="D398" s="8" t="str">
        <x:v>BROWN TROUT</x:v>
      </x:c>
      <x:c r="E398" s="13" t="n">
        <x:f>SUMIFS('Stocking details'!$F$6:$F$3307,'Stocking details'!$I$6:$I$3307,G398)</x:f>
        <x:v>500</x:v>
      </x:c>
      <x:c r="F398" s="13" t="n">
        <x:f>COUNTIFS('Stocking details'!$I$6:$I$3307,G398)</x:f>
        <x:v>1</x:v>
      </x:c>
      <x:c r="G398" s="8" t="str">
        <x:f>B398&amp;" / "&amp;C398&amp;" / "&amp;D398</x:f>
        <x:v>5874 / 2023 / BROWN TROUT</x:v>
      </x:c>
    </x:row>
    <x:row r="399" ht="23" customHeight="1">
      <x:c r="A399" s="8" t="str">
        <x:v>Cottage</x:v>
      </x:c>
      <x:c r="B399" s="8" t="str">
        <x:v>5874</x:v>
      </x:c>
      <x:c r="C399" s="17" t="n">
        <x:v>2023</x:v>
      </x:c>
      <x:c r="D399" s="8" t="str">
        <x:v>RAINBOW TROUT</x:v>
      </x:c>
      <x:c r="E399" s="13" t="n">
        <x:f>SUMIFS('Stocking details'!$F$6:$F$3307,'Stocking details'!$I$6:$I$3307,G399)</x:f>
        <x:v>8497</x:v>
      </x:c>
      <x:c r="F399" s="13" t="n">
        <x:f>COUNTIFS('Stocking details'!$I$6:$I$3307,G399)</x:f>
        <x:v>2</x:v>
      </x:c>
      <x:c r="G399" s="8" t="str">
        <x:f>B399&amp;" / "&amp;C399&amp;" / "&amp;D399</x:f>
        <x:v>5874 / 2023 / RAINBOW TROUT</x:v>
      </x:c>
    </x:row>
    <x:row r="400" ht="23" customHeight="1">
      <x:c r="A400" s="8" t="str">
        <x:v>Cottage</x:v>
      </x:c>
      <x:c r="B400" s="8" t="str">
        <x:v>5874</x:v>
      </x:c>
      <x:c r="C400" s="17" t="n">
        <x:v>2023</x:v>
      </x:c>
      <x:c r="D400" s="8" t="str">
        <x:v>TIGER TROUT</x:v>
      </x:c>
      <x:c r="E400" s="13" t="n">
        <x:f>SUMIFS('Stocking details'!$F$6:$F$3307,'Stocking details'!$I$6:$I$3307,G400)</x:f>
        <x:v>1500</x:v>
      </x:c>
      <x:c r="F400" s="13" t="n">
        <x:f>COUNTIFS('Stocking details'!$I$6:$I$3307,G400)</x:f>
        <x:v>1</x:v>
      </x:c>
      <x:c r="G400" s="8" t="str">
        <x:f>B400&amp;" / "&amp;C400&amp;" / "&amp;D400</x:f>
        <x:v>5874 / 2023 / TIGER TROUT</x:v>
      </x:c>
    </x:row>
    <x:row r="401" ht="23" customHeight="1">
      <x:c r="A401" s="8" t="str">
        <x:v>Cottage</x:v>
      </x:c>
      <x:c r="B401" s="8" t="str">
        <x:v>5874</x:v>
      </x:c>
      <x:c r="C401" s="17" t="n">
        <x:v>2022</x:v>
      </x:c>
      <x:c r="D401" s="8" t="str">
        <x:v>BROWN TROUT</x:v>
      </x:c>
      <x:c r="E401" s="13" t="n">
        <x:f>SUMIFS('Stocking details'!$F$6:$F$3307,'Stocking details'!$I$6:$I$3307,G401)</x:f>
        <x:v>3500</x:v>
      </x:c>
      <x:c r="F401" s="13" t="n">
        <x:f>COUNTIFS('Stocking details'!$I$6:$I$3307,G401)</x:f>
        <x:v>2</x:v>
      </x:c>
      <x:c r="G401" s="8" t="str">
        <x:f>B401&amp;" / "&amp;C401&amp;" / "&amp;D401</x:f>
        <x:v>5874 / 2022 / BROWN TROUT</x:v>
      </x:c>
    </x:row>
    <x:row r="402" ht="23" customHeight="1">
      <x:c r="A402" s="8" t="str">
        <x:v>Cottage</x:v>
      </x:c>
      <x:c r="B402" s="8" t="str">
        <x:v>5874</x:v>
      </x:c>
      <x:c r="C402" s="17" t="n">
        <x:v>2022</x:v>
      </x:c>
      <x:c r="D402" s="8" t="str">
        <x:v>RAINBOW TROUT</x:v>
      </x:c>
      <x:c r="E402" s="13" t="n">
        <x:f>SUMIFS('Stocking details'!$F$6:$F$3307,'Stocking details'!$I$6:$I$3307,G402)</x:f>
        <x:v>18291</x:v>
      </x:c>
      <x:c r="F402" s="13" t="n">
        <x:f>COUNTIFS('Stocking details'!$I$6:$I$3307,G402)</x:f>
        <x:v>4</x:v>
      </x:c>
      <x:c r="G402" s="8" t="str">
        <x:f>B402&amp;" / "&amp;C402&amp;" / "&amp;D402</x:f>
        <x:v>5874 / 2022 / RAINBOW TROUT</x:v>
      </x:c>
    </x:row>
    <x:row r="403" ht="23" customHeight="1">
      <x:c r="A403" s="8" t="str">
        <x:v>Cottage</x:v>
      </x:c>
      <x:c r="B403" s="8" t="str">
        <x:v>5874</x:v>
      </x:c>
      <x:c r="C403" s="17" t="n">
        <x:v>2022</x:v>
      </x:c>
      <x:c r="D403" s="8" t="str">
        <x:v>TIGER TROUT</x:v>
      </x:c>
      <x:c r="E403" s="13" t="n">
        <x:f>SUMIFS('Stocking details'!$F$6:$F$3307,'Stocking details'!$I$6:$I$3307,G403)</x:f>
        <x:v>1500</x:v>
      </x:c>
      <x:c r="F403" s="13" t="n">
        <x:f>COUNTIFS('Stocking details'!$I$6:$I$3307,G403)</x:f>
        <x:v>1</x:v>
      </x:c>
      <x:c r="G403" s="8" t="str">
        <x:f>B403&amp;" / "&amp;C403&amp;" / "&amp;D403</x:f>
        <x:v>5874 / 2022 / TIGER TROUT</x:v>
      </x:c>
    </x:row>
    <x:row r="404" ht="23" customHeight="1">
      <x:c r="A404" s="8" t="str">
        <x:v>Cottage</x:v>
      </x:c>
      <x:c r="B404" s="8" t="str">
        <x:v>5874</x:v>
      </x:c>
      <x:c r="C404" s="17" t="n">
        <x:v>2021</x:v>
      </x:c>
      <x:c r="D404" s="8" t="str">
        <x:v>BROWN TROUT</x:v>
      </x:c>
      <x:c r="E404" s="13" t="n">
        <x:f>SUMIFS('Stocking details'!$F$6:$F$3307,'Stocking details'!$I$6:$I$3307,G404)</x:f>
        <x:v>1500</x:v>
      </x:c>
      <x:c r="F404" s="13" t="n">
        <x:f>COUNTIFS('Stocking details'!$I$6:$I$3307,G404)</x:f>
        <x:v>1</x:v>
      </x:c>
      <x:c r="G404" s="8" t="str">
        <x:f>B404&amp;" / "&amp;C404&amp;" / "&amp;D404</x:f>
        <x:v>5874 / 2021 / BROWN TROUT</x:v>
      </x:c>
    </x:row>
    <x:row r="405" ht="23" customHeight="1">
      <x:c r="A405" s="8" t="str">
        <x:v>Cottage</x:v>
      </x:c>
      <x:c r="B405" s="8" t="str">
        <x:v>5874</x:v>
      </x:c>
      <x:c r="C405" s="17" t="n">
        <x:v>2021</x:v>
      </x:c>
      <x:c r="D405" s="8" t="str">
        <x:v>RAINBOW TROUT</x:v>
      </x:c>
      <x:c r="E405" s="13" t="n">
        <x:f>SUMIFS('Stocking details'!$F$6:$F$3307,'Stocking details'!$I$6:$I$3307,G405)</x:f>
        <x:v>12000</x:v>
      </x:c>
      <x:c r="F405" s="13" t="n">
        <x:f>COUNTIFS('Stocking details'!$I$6:$I$3307,G405)</x:f>
        <x:v>5</x:v>
      </x:c>
      <x:c r="G405" s="8" t="str">
        <x:f>B405&amp;" / "&amp;C405&amp;" / "&amp;D405</x:f>
        <x:v>5874 / 2021 / RAINBOW TROUT</x:v>
      </x:c>
    </x:row>
    <x:row r="406" ht="23" customHeight="1">
      <x:c r="A406" s="8" t="str">
        <x:v>Cottage</x:v>
      </x:c>
      <x:c r="B406" s="8" t="str">
        <x:v>5874</x:v>
      </x:c>
      <x:c r="C406" s="17" t="n">
        <x:v>2021</x:v>
      </x:c>
      <x:c r="D406" s="8" t="str">
        <x:v>TIGER TROUT</x:v>
      </x:c>
      <x:c r="E406" s="13" t="n">
        <x:f>SUMIFS('Stocking details'!$F$6:$F$3307,'Stocking details'!$I$6:$I$3307,G406)</x:f>
        <x:v>1500</x:v>
      </x:c>
      <x:c r="F406" s="13" t="n">
        <x:f>COUNTIFS('Stocking details'!$I$6:$I$3307,G406)</x:f>
        <x:v>1</x:v>
      </x:c>
      <x:c r="G406" s="8" t="str">
        <x:f>B406&amp;" / "&amp;C406&amp;" / "&amp;D406</x:f>
        <x:v>5874 / 2021 / TIGER TROUT</x:v>
      </x:c>
    </x:row>
    <x:row r="407" ht="23" customHeight="1">
      <x:c r="A407" s="8" t="str">
        <x:v>County Sportplex Pond</x:v>
      </x:c>
      <x:c r="B407" s="8" t="str">
        <x:v>417477</x:v>
      </x:c>
      <x:c r="C407" s="17" t="n">
        <x:v>2026</x:v>
      </x:c>
      <x:c r="D407" s="8" t="str">
        <x:v>RAINBOW TROUT</x:v>
      </x:c>
      <x:c r="E407" s="13" t="n">
        <x:f>SUMIFS('Stocking details'!$F$6:$F$3307,'Stocking details'!$I$6:$I$3307,G407)</x:f>
        <x:v>2000</x:v>
      </x:c>
      <x:c r="F407" s="13" t="n">
        <x:f>COUNTIFS('Stocking details'!$I$6:$I$3307,G407)</x:f>
        <x:v>1</x:v>
      </x:c>
      <x:c r="G407" s="8" t="str">
        <x:f>B407&amp;" / "&amp;C407&amp;" / "&amp;D407</x:f>
        <x:v>417477 / 2026 / RAINBOW TROUT</x:v>
      </x:c>
    </x:row>
    <x:row r="408" ht="23" customHeight="1">
      <x:c r="A408" s="8" t="str">
        <x:v>County Sportplex Pond</x:v>
      </x:c>
      <x:c r="B408" s="8" t="str">
        <x:v>417477</x:v>
      </x:c>
      <x:c r="C408" s="17" t="n">
        <x:v>2025</x:v>
      </x:c>
      <x:c r="D408" s="8" t="str">
        <x:v>RAINBOW TROUT</x:v>
      </x:c>
      <x:c r="E408" s="13" t="n">
        <x:f>SUMIFS('Stocking details'!$F$6:$F$3307,'Stocking details'!$I$6:$I$3307,G408)</x:f>
        <x:v>2000</x:v>
      </x:c>
      <x:c r="F408" s="13" t="n">
        <x:f>COUNTIFS('Stocking details'!$I$6:$I$3307,G408)</x:f>
        <x:v>1</x:v>
      </x:c>
      <x:c r="G408" s="8" t="str">
        <x:f>B408&amp;" / "&amp;C408&amp;" / "&amp;D408</x:f>
        <x:v>417477 / 2025 / RAINBOW TROUT</x:v>
      </x:c>
    </x:row>
    <x:row r="409" ht="23" customHeight="1">
      <x:c r="A409" s="8" t="str">
        <x:v>County Sportplex Pond</x:v>
      </x:c>
      <x:c r="B409" s="8" t="str">
        <x:v>417477</x:v>
      </x:c>
      <x:c r="C409" s="17" t="n">
        <x:v>2024</x:v>
      </x:c>
      <x:c r="D409" s="8" t="str">
        <x:v>RAINBOW TROUT</x:v>
      </x:c>
      <x:c r="E409" s="13" t="n">
        <x:f>SUMIFS('Stocking details'!$F$6:$F$3307,'Stocking details'!$I$6:$I$3307,G409)</x:f>
        <x:v>2000</x:v>
      </x:c>
      <x:c r="F409" s="13" t="n">
        <x:f>COUNTIFS('Stocking details'!$I$6:$I$3307,G409)</x:f>
        <x:v>1</x:v>
      </x:c>
      <x:c r="G409" s="8" t="str">
        <x:f>B409&amp;" / "&amp;C409&amp;" / "&amp;D409</x:f>
        <x:v>417477 / 2024 / RAINBOW TROUT</x:v>
      </x:c>
    </x:row>
    <x:row r="410" ht="23" customHeight="1">
      <x:c r="A410" s="8" t="str">
        <x:v>County Sportplex Pond</x:v>
      </x:c>
      <x:c r="B410" s="8" t="str">
        <x:v>417477</x:v>
      </x:c>
      <x:c r="C410" s="17" t="n">
        <x:v>2024</x:v>
      </x:c>
      <x:c r="D410" s="8" t="str">
        <x:v>TIGER TROUT</x:v>
      </x:c>
      <x:c r="E410" s="13" t="n">
        <x:f>SUMIFS('Stocking details'!$F$6:$F$3307,'Stocking details'!$I$6:$I$3307,G410)</x:f>
        <x:v>50</x:v>
      </x:c>
      <x:c r="F410" s="13" t="n">
        <x:f>COUNTIFS('Stocking details'!$I$6:$I$3307,G410)</x:f>
        <x:v>1</x:v>
      </x:c>
      <x:c r="G410" s="8" t="str">
        <x:f>B410&amp;" / "&amp;C410&amp;" / "&amp;D410</x:f>
        <x:v>417477 / 2024 / TIGER TROUT</x:v>
      </x:c>
    </x:row>
    <x:row r="411" ht="23" customHeight="1">
      <x:c r="A411" s="8" t="str">
        <x:v>County Sportplex Pond</x:v>
      </x:c>
      <x:c r="B411" s="8" t="str">
        <x:v>417477</x:v>
      </x:c>
      <x:c r="C411" s="17" t="n">
        <x:v>2023</x:v>
      </x:c>
      <x:c r="D411" s="8" t="str">
        <x:v>RAINBOW TROUT</x:v>
      </x:c>
      <x:c r="E411" s="13" t="n">
        <x:f>SUMIFS('Stocking details'!$F$6:$F$3307,'Stocking details'!$I$6:$I$3307,G411)</x:f>
        <x:v>2000</x:v>
      </x:c>
      <x:c r="F411" s="13" t="n">
        <x:f>COUNTIFS('Stocking details'!$I$6:$I$3307,G411)</x:f>
        <x:v>1</x:v>
      </x:c>
      <x:c r="G411" s="8" t="str">
        <x:f>B411&amp;" / "&amp;C411&amp;" / "&amp;D411</x:f>
        <x:v>417477 / 2023 / RAINBOW TROUT</x:v>
      </x:c>
    </x:row>
    <x:row r="412" ht="23" customHeight="1">
      <x:c r="A412" s="8" t="str">
        <x:v>County Sportplex Pond</x:v>
      </x:c>
      <x:c r="B412" s="8" t="str">
        <x:v>417477</x:v>
      </x:c>
      <x:c r="C412" s="17" t="n">
        <x:v>2022</x:v>
      </x:c>
      <x:c r="D412" s="8" t="str">
        <x:v>RAINBOW TROUT</x:v>
      </x:c>
      <x:c r="E412" s="13" t="n">
        <x:f>SUMIFS('Stocking details'!$F$6:$F$3307,'Stocking details'!$I$6:$I$3307,G412)</x:f>
        <x:v>2000</x:v>
      </x:c>
      <x:c r="F412" s="13" t="n">
        <x:f>COUNTIFS('Stocking details'!$I$6:$I$3307,G412)</x:f>
        <x:v>1</x:v>
      </x:c>
      <x:c r="G412" s="8" t="str">
        <x:f>B412&amp;" / "&amp;C412&amp;" / "&amp;D412</x:f>
        <x:v>417477 / 2022 / RAINBOW TROUT</x:v>
      </x:c>
    </x:row>
    <x:row r="413" ht="23" customHeight="1">
      <x:c r="A413" s="8" t="str">
        <x:v>County Sportplex Pond</x:v>
      </x:c>
      <x:c r="B413" s="8" t="str">
        <x:v>417477</x:v>
      </x:c>
      <x:c r="C413" s="17" t="n">
        <x:v>2021</x:v>
      </x:c>
      <x:c r="D413" s="8" t="str">
        <x:v>RAINBOW TROUT</x:v>
      </x:c>
      <x:c r="E413" s="13" t="n">
        <x:f>SUMIFS('Stocking details'!$F$6:$F$3307,'Stocking details'!$I$6:$I$3307,G413)</x:f>
        <x:v>2000</x:v>
      </x:c>
      <x:c r="F413" s="13" t="n">
        <x:f>COUNTIFS('Stocking details'!$I$6:$I$3307,G413)</x:f>
        <x:v>1</x:v>
      </x:c>
      <x:c r="G413" s="8" t="str">
        <x:f>B413&amp;" / "&amp;C413&amp;" / "&amp;D413</x:f>
        <x:v>417477 / 2021 / RAINBOW TROUT</x:v>
      </x:c>
    </x:row>
    <x:row r="414" ht="23" customHeight="1">
      <x:c r="A414" s="8" t="str">
        <x:v>County Sportplex Pond</x:v>
      </x:c>
      <x:c r="B414" s="8" t="str">
        <x:v>417477</x:v>
      </x:c>
      <x:c r="C414" s="17" t="n">
        <x:v>2021</x:v>
      </x:c>
      <x:c r="D414" s="8" t="str">
        <x:v>TIGER TROUT</x:v>
      </x:c>
      <x:c r="E414" s="13" t="n">
        <x:f>SUMIFS('Stocking details'!$F$6:$F$3307,'Stocking details'!$I$6:$I$3307,G414)</x:f>
        <x:v>140</x:v>
      </x:c>
      <x:c r="F414" s="13" t="n">
        <x:f>COUNTIFS('Stocking details'!$I$6:$I$3307,G414)</x:f>
        <x:v>1</x:v>
      </x:c>
      <x:c r="G414" s="8" t="str">
        <x:f>B414&amp;" / "&amp;C414&amp;" / "&amp;D414</x:f>
        <x:v>417477 / 2021 / TIGER TROUT</x:v>
      </x:c>
    </x:row>
    <x:row r="415" ht="23" customHeight="1">
      <x:c r="A415" s="8" t="str">
        <x:v>Cow Lake</x:v>
      </x:c>
      <x:c r="B415" s="8" t="str">
        <x:v>4340</x:v>
      </x:c>
      <x:c r="C415" s="17" t="n">
        <x:v>2026</x:v>
      </x:c>
      <x:c r="D415" s="8" t="str">
        <x:v>RAINBOW TROUT</x:v>
      </x:c>
      <x:c r="E415" s="13" t="n">
        <x:f>SUMIFS('Stocking details'!$F$6:$F$3307,'Stocking details'!$I$6:$I$3307,G415)</x:f>
        <x:v>24000</x:v>
      </x:c>
      <x:c r="F415" s="13" t="n">
        <x:f>COUNTIFS('Stocking details'!$I$6:$I$3307,G415)</x:f>
        <x:v>3</x:v>
      </x:c>
      <x:c r="G415" s="8" t="str">
        <x:f>B415&amp;" / "&amp;C415&amp;" / "&amp;D415</x:f>
        <x:v>4340 / 2026 / RAINBOW TROUT</x:v>
      </x:c>
    </x:row>
    <x:row r="416" ht="23" customHeight="1">
      <x:c r="A416" s="8" t="str">
        <x:v>Cow Lake</x:v>
      </x:c>
      <x:c r="B416" s="8" t="str">
        <x:v>4340</x:v>
      </x:c>
      <x:c r="C416" s="17" t="n">
        <x:v>2025</x:v>
      </x:c>
      <x:c r="D416" s="8" t="str">
        <x:v>BROWN TROUT</x:v>
      </x:c>
      <x:c r="E416" s="13" t="n">
        <x:f>SUMIFS('Stocking details'!$F$6:$F$3307,'Stocking details'!$I$6:$I$3307,G416)</x:f>
        <x:v>5000</x:v>
      </x:c>
      <x:c r="F416" s="13" t="n">
        <x:f>COUNTIFS('Stocking details'!$I$6:$I$3307,G416)</x:f>
        <x:v>1</x:v>
      </x:c>
      <x:c r="G416" s="8" t="str">
        <x:f>B416&amp;" / "&amp;C416&amp;" / "&amp;D416</x:f>
        <x:v>4340 / 2025 / BROWN TROUT</x:v>
      </x:c>
    </x:row>
    <x:row r="417" ht="23" customHeight="1">
      <x:c r="A417" s="8" t="str">
        <x:v>Cow Lake</x:v>
      </x:c>
      <x:c r="B417" s="8" t="str">
        <x:v>4340</x:v>
      </x:c>
      <x:c r="C417" s="17" t="n">
        <x:v>2025</x:v>
      </x:c>
      <x:c r="D417" s="8" t="str">
        <x:v>RAINBOW TROUT</x:v>
      </x:c>
      <x:c r="E417" s="13" t="n">
        <x:f>SUMIFS('Stocking details'!$F$6:$F$3307,'Stocking details'!$I$6:$I$3307,G417)</x:f>
        <x:v>45332</x:v>
      </x:c>
      <x:c r="F417" s="13" t="n">
        <x:f>COUNTIFS('Stocking details'!$I$6:$I$3307,G417)</x:f>
        <x:v>5</x:v>
      </x:c>
      <x:c r="G417" s="8" t="str">
        <x:f>B417&amp;" / "&amp;C417&amp;" / "&amp;D417</x:f>
        <x:v>4340 / 2025 / RAINBOW TROUT</x:v>
      </x:c>
    </x:row>
    <x:row r="418" ht="23" customHeight="1">
      <x:c r="A418" s="8" t="str">
        <x:v>Cow Lake</x:v>
      </x:c>
      <x:c r="B418" s="8" t="str">
        <x:v>4340</x:v>
      </x:c>
      <x:c r="C418" s="17" t="n">
        <x:v>2024</x:v>
      </x:c>
      <x:c r="D418" s="8" t="str">
        <x:v>BROWN TROUT</x:v>
      </x:c>
      <x:c r="E418" s="13" t="n">
        <x:f>SUMIFS('Stocking details'!$F$6:$F$3307,'Stocking details'!$I$6:$I$3307,G418)</x:f>
        <x:v>1500</x:v>
      </x:c>
      <x:c r="F418" s="13" t="n">
        <x:f>COUNTIFS('Stocking details'!$I$6:$I$3307,G418)</x:f>
        <x:v>1</x:v>
      </x:c>
      <x:c r="G418" s="8" t="str">
        <x:f>B418&amp;" / "&amp;C418&amp;" / "&amp;D418</x:f>
        <x:v>4340 / 2024 / BROWN TROUT</x:v>
      </x:c>
    </x:row>
    <x:row r="419" ht="23" customHeight="1">
      <x:c r="A419" s="8" t="str">
        <x:v>Cow Lake</x:v>
      </x:c>
      <x:c r="B419" s="8" t="str">
        <x:v>4340</x:v>
      </x:c>
      <x:c r="C419" s="17" t="n">
        <x:v>2024</x:v>
      </x:c>
      <x:c r="D419" s="8" t="str">
        <x:v>RAINBOW TROUT</x:v>
      </x:c>
      <x:c r="E419" s="13" t="n">
        <x:f>SUMIFS('Stocking details'!$F$6:$F$3307,'Stocking details'!$I$6:$I$3307,G419)</x:f>
        <x:v>118030</x:v>
      </x:c>
      <x:c r="F419" s="13" t="n">
        <x:f>COUNTIFS('Stocking details'!$I$6:$I$3307,G419)</x:f>
        <x:v>9</x:v>
      </x:c>
      <x:c r="G419" s="8" t="str">
        <x:f>B419&amp;" / "&amp;C419&amp;" / "&amp;D419</x:f>
        <x:v>4340 / 2024 / RAINBOW TROUT</x:v>
      </x:c>
    </x:row>
    <x:row r="420" ht="23" customHeight="1">
      <x:c r="A420" s="8" t="str">
        <x:v>Cow Lake</x:v>
      </x:c>
      <x:c r="B420" s="8" t="str">
        <x:v>4340</x:v>
      </x:c>
      <x:c r="C420" s="17" t="n">
        <x:v>2023</x:v>
      </x:c>
      <x:c r="D420" s="8" t="str">
        <x:v>BROWN TROUT</x:v>
      </x:c>
      <x:c r="E420" s="13" t="n">
        <x:f>SUMIFS('Stocking details'!$F$6:$F$3307,'Stocking details'!$I$6:$I$3307,G420)</x:f>
        <x:v>19100</x:v>
      </x:c>
      <x:c r="F420" s="13" t="n">
        <x:f>COUNTIFS('Stocking details'!$I$6:$I$3307,G420)</x:f>
        <x:v>2</x:v>
      </x:c>
      <x:c r="G420" s="8" t="str">
        <x:f>B420&amp;" / "&amp;C420&amp;" / "&amp;D420</x:f>
        <x:v>4340 / 2023 / BROWN TROUT</x:v>
      </x:c>
    </x:row>
    <x:row r="421" ht="23" customHeight="1">
      <x:c r="A421" s="8" t="str">
        <x:v>Cow Lake</x:v>
      </x:c>
      <x:c r="B421" s="8" t="str">
        <x:v>4340</x:v>
      </x:c>
      <x:c r="C421" s="17" t="n">
        <x:v>2023</x:v>
      </x:c>
      <x:c r="D421" s="8" t="str">
        <x:v>RAINBOW TROUT</x:v>
      </x:c>
      <x:c r="E421" s="13" t="n">
        <x:f>SUMIFS('Stocking details'!$F$6:$F$3307,'Stocking details'!$I$6:$I$3307,G421)</x:f>
        <x:v>124591</x:v>
      </x:c>
      <x:c r="F421" s="13" t="n">
        <x:f>COUNTIFS('Stocking details'!$I$6:$I$3307,G421)</x:f>
        <x:v>10</x:v>
      </x:c>
      <x:c r="G421" s="8" t="str">
        <x:f>B421&amp;" / "&amp;C421&amp;" / "&amp;D421</x:f>
        <x:v>4340 / 2023 / RAINBOW TROUT</x:v>
      </x:c>
    </x:row>
    <x:row r="422" ht="23" customHeight="1">
      <x:c r="A422" s="8" t="str">
        <x:v>Cow Lake</x:v>
      </x:c>
      <x:c r="B422" s="8" t="str">
        <x:v>4340</x:v>
      </x:c>
      <x:c r="C422" s="17" t="n">
        <x:v>2022</x:v>
      </x:c>
      <x:c r="D422" s="8" t="str">
        <x:v>BROWN TROUT</x:v>
      </x:c>
      <x:c r="E422" s="13" t="n">
        <x:f>SUMIFS('Stocking details'!$F$6:$F$3307,'Stocking details'!$I$6:$I$3307,G422)</x:f>
        <x:v>25010</x:v>
      </x:c>
      <x:c r="F422" s="13" t="n">
        <x:f>COUNTIFS('Stocking details'!$I$6:$I$3307,G422)</x:f>
        <x:v>2</x:v>
      </x:c>
      <x:c r="G422" s="8" t="str">
        <x:f>B422&amp;" / "&amp;C422&amp;" / "&amp;D422</x:f>
        <x:v>4340 / 2022 / BROWN TROUT</x:v>
      </x:c>
    </x:row>
    <x:row r="423" ht="23" customHeight="1">
      <x:c r="A423" s="8" t="str">
        <x:v>Cow Lake</x:v>
      </x:c>
      <x:c r="B423" s="8" t="str">
        <x:v>4340</x:v>
      </x:c>
      <x:c r="C423" s="17" t="n">
        <x:v>2022</x:v>
      </x:c>
      <x:c r="D423" s="8" t="str">
        <x:v>RAINBOW TROUT</x:v>
      </x:c>
      <x:c r="E423" s="13" t="n">
        <x:f>SUMIFS('Stocking details'!$F$6:$F$3307,'Stocking details'!$I$6:$I$3307,G423)</x:f>
        <x:v>138291</x:v>
      </x:c>
      <x:c r="F423" s="13" t="n">
        <x:f>COUNTIFS('Stocking details'!$I$6:$I$3307,G423)</x:f>
        <x:v>12</x:v>
      </x:c>
      <x:c r="G423" s="8" t="str">
        <x:f>B423&amp;" / "&amp;C423&amp;" / "&amp;D423</x:f>
        <x:v>4340 / 2022 / RAINBOW TROUT</x:v>
      </x:c>
    </x:row>
    <x:row r="424" ht="23" customHeight="1">
      <x:c r="A424" s="8" t="str">
        <x:v>Cow Lake</x:v>
      </x:c>
      <x:c r="B424" s="8" t="str">
        <x:v>4340</x:v>
      </x:c>
      <x:c r="C424" s="17" t="n">
        <x:v>2021</x:v>
      </x:c>
      <x:c r="D424" s="8" t="str">
        <x:v>BROWN TROUT</x:v>
      </x:c>
      <x:c r="E424" s="13" t="n">
        <x:f>SUMIFS('Stocking details'!$F$6:$F$3307,'Stocking details'!$I$6:$I$3307,G424)</x:f>
        <x:v>8000</x:v>
      </x:c>
      <x:c r="F424" s="13" t="n">
        <x:f>COUNTIFS('Stocking details'!$I$6:$I$3307,G424)</x:f>
        <x:v>1</x:v>
      </x:c>
      <x:c r="G424" s="8" t="str">
        <x:f>B424&amp;" / "&amp;C424&amp;" / "&amp;D424</x:f>
        <x:v>4340 / 2021 / BROWN TROUT</x:v>
      </x:c>
    </x:row>
    <x:row r="425" ht="23" customHeight="1">
      <x:c r="A425" s="8" t="str">
        <x:v>Cow Lake</x:v>
      </x:c>
      <x:c r="B425" s="8" t="str">
        <x:v>4340</x:v>
      </x:c>
      <x:c r="C425" s="17" t="n">
        <x:v>2021</x:v>
      </x:c>
      <x:c r="D425" s="8" t="str">
        <x:v>RAINBOW TROUT</x:v>
      </x:c>
      <x:c r="E425" s="13" t="n">
        <x:f>SUMIFS('Stocking details'!$F$6:$F$3307,'Stocking details'!$I$6:$I$3307,G425)</x:f>
        <x:v>116238</x:v>
      </x:c>
      <x:c r="F425" s="13" t="n">
        <x:f>COUNTIFS('Stocking details'!$I$6:$I$3307,G425)</x:f>
        <x:v>6</x:v>
      </x:c>
      <x:c r="G425" s="8" t="str">
        <x:f>B425&amp;" / "&amp;C425&amp;" / "&amp;D425</x:f>
        <x:v>4340 / 2021 / RAINBOW TROUT</x:v>
      </x:c>
    </x:row>
    <x:row r="426" ht="23" customHeight="1">
      <x:c r="A426" s="8" t="str">
        <x:v>Crossfield Trout Pond</x:v>
      </x:c>
      <x:c r="B426" s="8" t="str">
        <x:v>23293</x:v>
      </x:c>
      <x:c r="C426" s="17" t="n">
        <x:v>2026</x:v>
      </x:c>
      <x:c r="D426" s="8" t="str">
        <x:v>RAINBOW TROUT</x:v>
      </x:c>
      <x:c r="E426" s="13" t="n">
        <x:f>SUMIFS('Stocking details'!$F$6:$F$3307,'Stocking details'!$I$6:$I$3307,G426)</x:f>
        <x:v>1400</x:v>
      </x:c>
      <x:c r="F426" s="13" t="n">
        <x:f>COUNTIFS('Stocking details'!$I$6:$I$3307,G426)</x:f>
        <x:v>1</x:v>
      </x:c>
      <x:c r="G426" s="8" t="str">
        <x:f>B426&amp;" / "&amp;C426&amp;" / "&amp;D426</x:f>
        <x:v>23293 / 2026 / RAINBOW TROUT</x:v>
      </x:c>
    </x:row>
    <x:row r="427" ht="23" customHeight="1">
      <x:c r="A427" s="8" t="str">
        <x:v>Crossfield Trout Pond</x:v>
      </x:c>
      <x:c r="B427" s="8" t="str">
        <x:v>23293</x:v>
      </x:c>
      <x:c r="C427" s="17" t="n">
        <x:v>2025</x:v>
      </x:c>
      <x:c r="D427" s="8" t="str">
        <x:v>RAINBOW TROUT</x:v>
      </x:c>
      <x:c r="E427" s="13" t="n">
        <x:f>SUMIFS('Stocking details'!$F$6:$F$3307,'Stocking details'!$I$6:$I$3307,G427)</x:f>
        <x:v>1400</x:v>
      </x:c>
      <x:c r="F427" s="13" t="n">
        <x:f>COUNTIFS('Stocking details'!$I$6:$I$3307,G427)</x:f>
        <x:v>1</x:v>
      </x:c>
      <x:c r="G427" s="8" t="str">
        <x:f>B427&amp;" / "&amp;C427&amp;" / "&amp;D427</x:f>
        <x:v>23293 / 2025 / RAINBOW TROUT</x:v>
      </x:c>
    </x:row>
    <x:row r="428" ht="23" customHeight="1">
      <x:c r="A428" s="8" t="str">
        <x:v>Crossfield Trout Pond</x:v>
      </x:c>
      <x:c r="B428" s="8" t="str">
        <x:v>23293</x:v>
      </x:c>
      <x:c r="C428" s="17" t="n">
        <x:v>2024</x:v>
      </x:c>
      <x:c r="D428" s="8" t="str">
        <x:v>RAINBOW TROUT</x:v>
      </x:c>
      <x:c r="E428" s="13" t="n">
        <x:f>SUMIFS('Stocking details'!$F$6:$F$3307,'Stocking details'!$I$6:$I$3307,G428)</x:f>
        <x:v>700</x:v>
      </x:c>
      <x:c r="F428" s="13" t="n">
        <x:f>COUNTIFS('Stocking details'!$I$6:$I$3307,G428)</x:f>
        <x:v>1</x:v>
      </x:c>
      <x:c r="G428" s="8" t="str">
        <x:f>B428&amp;" / "&amp;C428&amp;" / "&amp;D428</x:f>
        <x:v>23293 / 2024 / RAINBOW TROUT</x:v>
      </x:c>
    </x:row>
    <x:row r="429" ht="23" customHeight="1">
      <x:c r="A429" s="8" t="str">
        <x:v>Crossfield Trout Pond</x:v>
      </x:c>
      <x:c r="B429" s="8" t="str">
        <x:v>23293</x:v>
      </x:c>
      <x:c r="C429" s="17" t="n">
        <x:v>2023</x:v>
      </x:c>
      <x:c r="D429" s="8" t="str">
        <x:v>RAINBOW TROUT</x:v>
      </x:c>
      <x:c r="E429" s="13" t="n">
        <x:f>SUMIFS('Stocking details'!$F$6:$F$3307,'Stocking details'!$I$6:$I$3307,G429)</x:f>
        <x:v>703</x:v>
      </x:c>
      <x:c r="F429" s="13" t="n">
        <x:f>COUNTIFS('Stocking details'!$I$6:$I$3307,G429)</x:f>
        <x:v>1</x:v>
      </x:c>
      <x:c r="G429" s="8" t="str">
        <x:f>B429&amp;" / "&amp;C429&amp;" / "&amp;D429</x:f>
        <x:v>23293 / 2023 / RAINBOW TROUT</x:v>
      </x:c>
    </x:row>
    <x:row r="430" ht="23" customHeight="1">
      <x:c r="A430" s="8" t="str">
        <x:v>Crossfield Trout Pond</x:v>
      </x:c>
      <x:c r="B430" s="8" t="str">
        <x:v>23293</x:v>
      </x:c>
      <x:c r="C430" s="17" t="n">
        <x:v>2022</x:v>
      </x:c>
      <x:c r="D430" s="8" t="str">
        <x:v>RAINBOW TROUT</x:v>
      </x:c>
      <x:c r="E430" s="13" t="n">
        <x:f>SUMIFS('Stocking details'!$F$6:$F$3307,'Stocking details'!$I$6:$I$3307,G430)</x:f>
        <x:v>1400</x:v>
      </x:c>
      <x:c r="F430" s="13" t="n">
        <x:f>COUNTIFS('Stocking details'!$I$6:$I$3307,G430)</x:f>
        <x:v>1</x:v>
      </x:c>
      <x:c r="G430" s="8" t="str">
        <x:f>B430&amp;" / "&amp;C430&amp;" / "&amp;D430</x:f>
        <x:v>23293 / 2022 / RAINBOW TROUT</x:v>
      </x:c>
    </x:row>
    <x:row r="431" ht="23" customHeight="1">
      <x:c r="A431" s="8" t="str">
        <x:v>Crossfield Trout Pond</x:v>
      </x:c>
      <x:c r="B431" s="8" t="str">
        <x:v>23293</x:v>
      </x:c>
      <x:c r="C431" s="17" t="n">
        <x:v>2021</x:v>
      </x:c>
      <x:c r="D431" s="8" t="str">
        <x:v>RAINBOW TROUT</x:v>
      </x:c>
      <x:c r="E431" s="13" t="n">
        <x:f>SUMIFS('Stocking details'!$F$6:$F$3307,'Stocking details'!$I$6:$I$3307,G431)</x:f>
        <x:v>1400</x:v>
      </x:c>
      <x:c r="F431" s="13" t="n">
        <x:f>COUNTIFS('Stocking details'!$I$6:$I$3307,G431)</x:f>
        <x:v>1</x:v>
      </x:c>
      <x:c r="G431" s="8" t="str">
        <x:f>B431&amp;" / "&amp;C431&amp;" / "&amp;D431</x:f>
        <x:v>23293 / 2021 / RAINBOW TROUT</x:v>
      </x:c>
    </x:row>
    <x:row r="432" ht="23" customHeight="1">
      <x:c r="A432" s="8" t="str">
        <x:v>Crowsnest Lake</x:v>
      </x:c>
      <x:c r="B432" s="8" t="str">
        <x:v>4374</x:v>
      </x:c>
      <x:c r="C432" s="17" t="n">
        <x:v>2026</x:v>
      </x:c>
      <x:c r="D432" s="8" t="str">
        <x:v>WESTSLOPE CUTTHROAT TROUT</x:v>
      </x:c>
      <x:c r="E432" s="13" t="n">
        <x:f>SUMIFS('Stocking details'!$F$6:$F$3307,'Stocking details'!$I$6:$I$3307,G432)</x:f>
        <x:v>10000</x:v>
      </x:c>
      <x:c r="F432" s="13" t="n">
        <x:f>COUNTIFS('Stocking details'!$I$6:$I$3307,G432)</x:f>
        <x:v>2</x:v>
      </x:c>
      <x:c r="G432" s="8" t="str">
        <x:f>B432&amp;" / "&amp;C432&amp;" / "&amp;D432</x:f>
        <x:v>4374 / 2026 / WESTSLOPE CUTTHROAT TROUT</x:v>
      </x:c>
    </x:row>
    <x:row r="433" ht="23" customHeight="1">
      <x:c r="A433" s="8" t="str">
        <x:v>Crowsnest Lake</x:v>
      </x:c>
      <x:c r="B433" s="8" t="str">
        <x:v>4374</x:v>
      </x:c>
      <x:c r="C433" s="17" t="n">
        <x:v>2025</x:v>
      </x:c>
      <x:c r="D433" s="8" t="str">
        <x:v>CUTTHROAT TROUT</x:v>
      </x:c>
      <x:c r="E433" s="13" t="n">
        <x:f>SUMIFS('Stocking details'!$F$6:$F$3307,'Stocking details'!$I$6:$I$3307,G433)</x:f>
        <x:v>9600</x:v>
      </x:c>
      <x:c r="F433" s="13" t="n">
        <x:f>COUNTIFS('Stocking details'!$I$6:$I$3307,G433)</x:f>
        <x:v>2</x:v>
      </x:c>
      <x:c r="G433" s="8" t="str">
        <x:f>B433&amp;" / "&amp;C433&amp;" / "&amp;D433</x:f>
        <x:v>4374 / 2025 / CUTTHROAT TROUT</x:v>
      </x:c>
    </x:row>
    <x:row r="434" ht="23" customHeight="1">
      <x:c r="A434" s="8" t="str">
        <x:v>Crowsnest Lake</x:v>
      </x:c>
      <x:c r="B434" s="8" t="str">
        <x:v>4374</x:v>
      </x:c>
      <x:c r="C434" s="17" t="n">
        <x:v>2024</x:v>
      </x:c>
      <x:c r="D434" s="8" t="str">
        <x:v>RAINBOW TROUT</x:v>
      </x:c>
      <x:c r="E434" s="13" t="n">
        <x:f>SUMIFS('Stocking details'!$F$6:$F$3307,'Stocking details'!$I$6:$I$3307,G434)</x:f>
        <x:v>10000</x:v>
      </x:c>
      <x:c r="F434" s="13" t="n">
        <x:f>COUNTIFS('Stocking details'!$I$6:$I$3307,G434)</x:f>
        <x:v>2</x:v>
      </x:c>
      <x:c r="G434" s="8" t="str">
        <x:f>B434&amp;" / "&amp;C434&amp;" / "&amp;D434</x:f>
        <x:v>4374 / 2024 / RAINBOW TROUT</x:v>
      </x:c>
    </x:row>
    <x:row r="435" ht="23" customHeight="1">
      <x:c r="A435" s="8" t="str">
        <x:v>Crowsnest Lake</x:v>
      </x:c>
      <x:c r="B435" s="8" t="str">
        <x:v>4374</x:v>
      </x:c>
      <x:c r="C435" s="17" t="n">
        <x:v>2023</x:v>
      </x:c>
      <x:c r="D435" s="8" t="str">
        <x:v>CUTTHROAT TROUT</x:v>
      </x:c>
      <x:c r="E435" s="13" t="n">
        <x:f>SUMIFS('Stocking details'!$F$6:$F$3307,'Stocking details'!$I$6:$I$3307,G435)</x:f>
        <x:v>11000</x:v>
      </x:c>
      <x:c r="F435" s="13" t="n">
        <x:f>COUNTIFS('Stocking details'!$I$6:$I$3307,G435)</x:f>
        <x:v>3</x:v>
      </x:c>
      <x:c r="G435" s="8" t="str">
        <x:f>B435&amp;" / "&amp;C435&amp;" / "&amp;D435</x:f>
        <x:v>4374 / 2023 / CUTTHROAT TROUT</x:v>
      </x:c>
    </x:row>
    <x:row r="436" ht="23" customHeight="1">
      <x:c r="A436" s="8" t="str">
        <x:v>Crowsnest Lake</x:v>
      </x:c>
      <x:c r="B436" s="8" t="str">
        <x:v>4374</x:v>
      </x:c>
      <x:c r="C436" s="17" t="n">
        <x:v>2022</x:v>
      </x:c>
      <x:c r="D436" s="8" t="str">
        <x:v>RAINBOW TROUT</x:v>
      </x:c>
      <x:c r="E436" s="13" t="n">
        <x:f>SUMIFS('Stocking details'!$F$6:$F$3307,'Stocking details'!$I$6:$I$3307,G436)</x:f>
        <x:v>15000</x:v>
      </x:c>
      <x:c r="F436" s="13" t="n">
        <x:f>COUNTIFS('Stocking details'!$I$6:$I$3307,G436)</x:f>
        <x:v>1</x:v>
      </x:c>
      <x:c r="G436" s="8" t="str">
        <x:f>B436&amp;" / "&amp;C436&amp;" / "&amp;D436</x:f>
        <x:v>4374 / 2022 / RAINBOW TROUT</x:v>
      </x:c>
    </x:row>
    <x:row r="437" ht="23" customHeight="1">
      <x:c r="A437" s="8" t="str">
        <x:v>Crowsnest Lake</x:v>
      </x:c>
      <x:c r="B437" s="8" t="str">
        <x:v>4374</x:v>
      </x:c>
      <x:c r="C437" s="17" t="n">
        <x:v>2021</x:v>
      </x:c>
      <x:c r="D437" s="8" t="str">
        <x:v>RAINBOW TROUT</x:v>
      </x:c>
      <x:c r="E437" s="13" t="n">
        <x:f>SUMIFS('Stocking details'!$F$6:$F$3307,'Stocking details'!$I$6:$I$3307,G437)</x:f>
        <x:v>15000</x:v>
      </x:c>
      <x:c r="F437" s="13" t="n">
        <x:f>COUNTIFS('Stocking details'!$I$6:$I$3307,G437)</x:f>
        <x:v>1</x:v>
      </x:c>
      <x:c r="G437" s="8" t="str">
        <x:f>B437&amp;" / "&amp;C437&amp;" / "&amp;D437</x:f>
        <x:v>4374 / 2021 / RAINBOW TROUT</x:v>
      </x:c>
    </x:row>
    <x:row r="438" ht="23" customHeight="1">
      <x:c r="A438" s="8" t="str">
        <x:v>Cummings Lake</x:v>
      </x:c>
      <x:c r="B438" s="8" t="str">
        <x:v>6850</x:v>
      </x:c>
      <x:c r="C438" s="17" t="n">
        <x:v>2026</x:v>
      </x:c>
      <x:c r="D438" s="8" t="str">
        <x:v>RAINBOW TROUT</x:v>
      </x:c>
      <x:c r="E438" s="13" t="n">
        <x:f>SUMIFS('Stocking details'!$F$6:$F$3307,'Stocking details'!$I$6:$I$3307,G438)</x:f>
        <x:v>800</x:v>
      </x:c>
      <x:c r="F438" s="13" t="n">
        <x:f>COUNTIFS('Stocking details'!$I$6:$I$3307,G438)</x:f>
        <x:v>1</x:v>
      </x:c>
      <x:c r="G438" s="8" t="str">
        <x:f>B438&amp;" / "&amp;C438&amp;" / "&amp;D438</x:f>
        <x:v>6850 / 2026 / RAINBOW TROUT</x:v>
      </x:c>
    </x:row>
    <x:row r="439" ht="23" customHeight="1">
      <x:c r="A439" s="8" t="str">
        <x:v>Cummings Lake</x:v>
      </x:c>
      <x:c r="B439" s="8" t="str">
        <x:v>6850</x:v>
      </x:c>
      <x:c r="C439" s="17" t="n">
        <x:v>2026</x:v>
      </x:c>
      <x:c r="D439" s="8" t="str">
        <x:v>WESTSLOPE CUTTHROAT TROUT</x:v>
      </x:c>
      <x:c r="E439" s="13" t="n">
        <x:f>SUMIFS('Stocking details'!$F$6:$F$3307,'Stocking details'!$I$6:$I$3307,G439)</x:f>
        <x:v>800</x:v>
      </x:c>
      <x:c r="F439" s="13" t="n">
        <x:f>COUNTIFS('Stocking details'!$I$6:$I$3307,G439)</x:f>
        <x:v>1</x:v>
      </x:c>
      <x:c r="G439" s="8" t="str">
        <x:f>B439&amp;" / "&amp;C439&amp;" / "&amp;D439</x:f>
        <x:v>6850 / 2026 / WESTSLOPE CUTTHROAT TROUT</x:v>
      </x:c>
    </x:row>
    <x:row r="440" ht="23" customHeight="1">
      <x:c r="A440" s="8" t="str">
        <x:v>Cummings Lake</x:v>
      </x:c>
      <x:c r="B440" s="8" t="str">
        <x:v>6850</x:v>
      </x:c>
      <x:c r="C440" s="17" t="n">
        <x:v>2024</x:v>
      </x:c>
      <x:c r="D440" s="8" t="str">
        <x:v>RAINBOW TROUT</x:v>
      </x:c>
      <x:c r="E440" s="13" t="n">
        <x:f>SUMIFS('Stocking details'!$F$6:$F$3307,'Stocking details'!$I$6:$I$3307,G440)</x:f>
        <x:v>1600</x:v>
      </x:c>
      <x:c r="F440" s="13" t="n">
        <x:f>COUNTIFS('Stocking details'!$I$6:$I$3307,G440)</x:f>
        <x:v>1</x:v>
      </x:c>
      <x:c r="G440" s="8" t="str">
        <x:f>B440&amp;" / "&amp;C440&amp;" / "&amp;D440</x:f>
        <x:v>6850 / 2024 / RAINBOW TROUT</x:v>
      </x:c>
    </x:row>
    <x:row r="441" ht="23" customHeight="1">
      <x:c r="A441" s="8" t="str">
        <x:v>Dandurand Lake</x:v>
      </x:c>
      <x:c r="B441" s="8" t="str">
        <x:v>6659</x:v>
      </x:c>
      <x:c r="C441" s="17" t="n">
        <x:v>2026</x:v>
      </x:c>
      <x:c r="D441" s="8" t="str">
        <x:v>RAINBOW TROUT</x:v>
      </x:c>
      <x:c r="E441" s="13" t="n">
        <x:f>SUMIFS('Stocking details'!$F$6:$F$3307,'Stocking details'!$I$6:$I$3307,G441)</x:f>
        <x:v>1000</x:v>
      </x:c>
      <x:c r="F441" s="13" t="n">
        <x:f>COUNTIFS('Stocking details'!$I$6:$I$3307,G441)</x:f>
        <x:v>1</x:v>
      </x:c>
      <x:c r="G441" s="8" t="str">
        <x:f>B441&amp;" / "&amp;C441&amp;" / "&amp;D441</x:f>
        <x:v>6659 / 2026 / RAINBOW TROUT</x:v>
      </x:c>
    </x:row>
    <x:row r="442" ht="23" customHeight="1">
      <x:c r="A442" s="8" t="str">
        <x:v>Dandurand Lake</x:v>
      </x:c>
      <x:c r="B442" s="8" t="str">
        <x:v>6659</x:v>
      </x:c>
      <x:c r="C442" s="17" t="n">
        <x:v>2025</x:v>
      </x:c>
      <x:c r="D442" s="8" t="str">
        <x:v>RAINBOW TROUT</x:v>
      </x:c>
      <x:c r="E442" s="13" t="n">
        <x:f>SUMIFS('Stocking details'!$F$6:$F$3307,'Stocking details'!$I$6:$I$3307,G442)</x:f>
        <x:v>1000</x:v>
      </x:c>
      <x:c r="F442" s="13" t="n">
        <x:f>COUNTIFS('Stocking details'!$I$6:$I$3307,G442)</x:f>
        <x:v>1</x:v>
      </x:c>
      <x:c r="G442" s="8" t="str">
        <x:f>B442&amp;" / "&amp;C442&amp;" / "&amp;D442</x:f>
        <x:v>6659 / 2025 / RAINBOW TROUT</x:v>
      </x:c>
    </x:row>
    <x:row r="443" ht="23" customHeight="1">
      <x:c r="A443" s="8" t="str">
        <x:v>Dandurand Lake</x:v>
      </x:c>
      <x:c r="B443" s="8" t="str">
        <x:v>6659</x:v>
      </x:c>
      <x:c r="C443" s="17" t="n">
        <x:v>2024</x:v>
      </x:c>
      <x:c r="D443" s="8" t="str">
        <x:v>RAINBOW TROUT</x:v>
      </x:c>
      <x:c r="E443" s="13" t="n">
        <x:f>SUMIFS('Stocking details'!$F$6:$F$3307,'Stocking details'!$I$6:$I$3307,G443)</x:f>
        <x:v>500</x:v>
      </x:c>
      <x:c r="F443" s="13" t="n">
        <x:f>COUNTIFS('Stocking details'!$I$6:$I$3307,G443)</x:f>
        <x:v>1</x:v>
      </x:c>
      <x:c r="G443" s="8" t="str">
        <x:f>B443&amp;" / "&amp;C443&amp;" / "&amp;D443</x:f>
        <x:v>6659 / 2024 / RAINBOW TROUT</x:v>
      </x:c>
    </x:row>
    <x:row r="444" ht="23" customHeight="1">
      <x:c r="A444" s="8" t="str">
        <x:v>Dandurand Lake</x:v>
      </x:c>
      <x:c r="B444" s="8" t="str">
        <x:v>6659</x:v>
      </x:c>
      <x:c r="C444" s="17" t="n">
        <x:v>2023</x:v>
      </x:c>
      <x:c r="D444" s="8" t="str">
        <x:v>RAINBOW TROUT</x:v>
      </x:c>
      <x:c r="E444" s="13" t="n">
        <x:f>SUMIFS('Stocking details'!$F$6:$F$3307,'Stocking details'!$I$6:$I$3307,G444)</x:f>
        <x:v>502</x:v>
      </x:c>
      <x:c r="F444" s="13" t="n">
        <x:f>COUNTIFS('Stocking details'!$I$6:$I$3307,G444)</x:f>
        <x:v>1</x:v>
      </x:c>
      <x:c r="G444" s="8" t="str">
        <x:f>B444&amp;" / "&amp;C444&amp;" / "&amp;D444</x:f>
        <x:v>6659 / 2023 / RAINBOW TROUT</x:v>
      </x:c>
    </x:row>
    <x:row r="445" ht="23" customHeight="1">
      <x:c r="A445" s="8" t="str">
        <x:v>Dandurand Lake</x:v>
      </x:c>
      <x:c r="B445" s="8" t="str">
        <x:v>6659</x:v>
      </x:c>
      <x:c r="C445" s="17" t="n">
        <x:v>2022</x:v>
      </x:c>
      <x:c r="D445" s="8" t="str">
        <x:v>RAINBOW TROUT</x:v>
      </x:c>
      <x:c r="E445" s="13" t="n">
        <x:f>SUMIFS('Stocking details'!$F$6:$F$3307,'Stocking details'!$I$6:$I$3307,G445)</x:f>
        <x:v>1000</x:v>
      </x:c>
      <x:c r="F445" s="13" t="n">
        <x:f>COUNTIFS('Stocking details'!$I$6:$I$3307,G445)</x:f>
        <x:v>1</x:v>
      </x:c>
      <x:c r="G445" s="8" t="str">
        <x:f>B445&amp;" / "&amp;C445&amp;" / "&amp;D445</x:f>
        <x:v>6659 / 2022 / RAINBOW TROUT</x:v>
      </x:c>
    </x:row>
    <x:row r="446" ht="23" customHeight="1">
      <x:c r="A446" s="8" t="str">
        <x:v>Dandurand Lake</x:v>
      </x:c>
      <x:c r="B446" s="8" t="str">
        <x:v>6659</x:v>
      </x:c>
      <x:c r="C446" s="17" t="n">
        <x:v>2021</x:v>
      </x:c>
      <x:c r="D446" s="8" t="str">
        <x:v>RAINBOW TROUT</x:v>
      </x:c>
      <x:c r="E446" s="13" t="n">
        <x:f>SUMIFS('Stocking details'!$F$6:$F$3307,'Stocking details'!$I$6:$I$3307,G446)</x:f>
        <x:v>1000</x:v>
      </x:c>
      <x:c r="F446" s="13" t="n">
        <x:f>COUNTIFS('Stocking details'!$I$6:$I$3307,G446)</x:f>
        <x:v>1</x:v>
      </x:c>
      <x:c r="G446" s="8" t="str">
        <x:f>B446&amp;" / "&amp;C446&amp;" / "&amp;D446</x:f>
        <x:v>6659 / 2021 / RAINBOW TROUT</x:v>
      </x:c>
    </x:row>
    <x:row r="447" ht="23" customHeight="1">
      <x:c r="A447" s="8" t="str">
        <x:v>Daysland Pond</x:v>
      </x:c>
      <x:c r="B447" s="8" t="str">
        <x:v>6852</x:v>
      </x:c>
      <x:c r="C447" s="17" t="n">
        <x:v>2026</x:v>
      </x:c>
      <x:c r="D447" s="8" t="str">
        <x:v>RAINBOW TROUT</x:v>
      </x:c>
      <x:c r="E447" s="13" t="n">
        <x:f>SUMIFS('Stocking details'!$F$6:$F$3307,'Stocking details'!$I$6:$I$3307,G447)</x:f>
        <x:v>400</x:v>
      </x:c>
      <x:c r="F447" s="13" t="n">
        <x:f>COUNTIFS('Stocking details'!$I$6:$I$3307,G447)</x:f>
        <x:v>1</x:v>
      </x:c>
      <x:c r="G447" s="8" t="str">
        <x:f>B447&amp;" / "&amp;C447&amp;" / "&amp;D447</x:f>
        <x:v>6852 / 2026 / RAINBOW TROUT</x:v>
      </x:c>
    </x:row>
    <x:row r="448" ht="23" customHeight="1">
      <x:c r="A448" s="8" t="str">
        <x:v>Daysland Pond</x:v>
      </x:c>
      <x:c r="B448" s="8" t="str">
        <x:v>6852</x:v>
      </x:c>
      <x:c r="C448" s="17" t="n">
        <x:v>2025</x:v>
      </x:c>
      <x:c r="D448" s="8" t="str">
        <x:v>RAINBOW TROUT</x:v>
      </x:c>
      <x:c r="E448" s="13" t="n">
        <x:f>SUMIFS('Stocking details'!$F$6:$F$3307,'Stocking details'!$I$6:$I$3307,G448)</x:f>
        <x:v>400</x:v>
      </x:c>
      <x:c r="F448" s="13" t="n">
        <x:f>COUNTIFS('Stocking details'!$I$6:$I$3307,G448)</x:f>
        <x:v>1</x:v>
      </x:c>
      <x:c r="G448" s="8" t="str">
        <x:f>B448&amp;" / "&amp;C448&amp;" / "&amp;D448</x:f>
        <x:v>6852 / 2025 / RAINBOW TROUT</x:v>
      </x:c>
    </x:row>
    <x:row r="449" ht="23" customHeight="1">
      <x:c r="A449" s="8" t="str">
        <x:v>Daysland Pond</x:v>
      </x:c>
      <x:c r="B449" s="8" t="str">
        <x:v>6852</x:v>
      </x:c>
      <x:c r="C449" s="17" t="n">
        <x:v>2024</x:v>
      </x:c>
      <x:c r="D449" s="8" t="str">
        <x:v>RAINBOW TROUT</x:v>
      </x:c>
      <x:c r="E449" s="13" t="n">
        <x:f>SUMIFS('Stocking details'!$F$6:$F$3307,'Stocking details'!$I$6:$I$3307,G449)</x:f>
        <x:v>400</x:v>
      </x:c>
      <x:c r="F449" s="13" t="n">
        <x:f>COUNTIFS('Stocking details'!$I$6:$I$3307,G449)</x:f>
        <x:v>1</x:v>
      </x:c>
      <x:c r="G449" s="8" t="str">
        <x:f>B449&amp;" / "&amp;C449&amp;" / "&amp;D449</x:f>
        <x:v>6852 / 2024 / RAINBOW TROUT</x:v>
      </x:c>
    </x:row>
    <x:row r="450" ht="23" customHeight="1">
      <x:c r="A450" s="8" t="str">
        <x:v>Daysland Pond</x:v>
      </x:c>
      <x:c r="B450" s="8" t="str">
        <x:v>6852</x:v>
      </x:c>
      <x:c r="C450" s="17" t="n">
        <x:v>2023</x:v>
      </x:c>
      <x:c r="D450" s="8" t="str">
        <x:v>RAINBOW TROUT</x:v>
      </x:c>
      <x:c r="E450" s="13" t="n">
        <x:f>SUMIFS('Stocking details'!$F$6:$F$3307,'Stocking details'!$I$6:$I$3307,G450)</x:f>
        <x:v>400</x:v>
      </x:c>
      <x:c r="F450" s="13" t="n">
        <x:f>COUNTIFS('Stocking details'!$I$6:$I$3307,G450)</x:f>
        <x:v>1</x:v>
      </x:c>
      <x:c r="G450" s="8" t="str">
        <x:f>B450&amp;" / "&amp;C450&amp;" / "&amp;D450</x:f>
        <x:v>6852 / 2023 / RAINBOW TROUT</x:v>
      </x:c>
    </x:row>
    <x:row r="451" ht="23" customHeight="1">
      <x:c r="A451" s="8" t="str">
        <x:v>Daysland Pond</x:v>
      </x:c>
      <x:c r="B451" s="8" t="str">
        <x:v>6852</x:v>
      </x:c>
      <x:c r="C451" s="17" t="n">
        <x:v>2022</x:v>
      </x:c>
      <x:c r="D451" s="8" t="str">
        <x:v>RAINBOW TROUT</x:v>
      </x:c>
      <x:c r="E451" s="13" t="n">
        <x:f>SUMIFS('Stocking details'!$F$6:$F$3307,'Stocking details'!$I$6:$I$3307,G451)</x:f>
        <x:v>400</x:v>
      </x:c>
      <x:c r="F451" s="13" t="n">
        <x:f>COUNTIFS('Stocking details'!$I$6:$I$3307,G451)</x:f>
        <x:v>1</x:v>
      </x:c>
      <x:c r="G451" s="8" t="str">
        <x:f>B451&amp;" / "&amp;C451&amp;" / "&amp;D451</x:f>
        <x:v>6852 / 2022 / RAINBOW TROUT</x:v>
      </x:c>
    </x:row>
    <x:row r="452" ht="23" customHeight="1">
      <x:c r="A452" s="8" t="str">
        <x:v>Daysland Pond</x:v>
      </x:c>
      <x:c r="B452" s="8" t="str">
        <x:v>6852</x:v>
      </x:c>
      <x:c r="C452" s="17" t="n">
        <x:v>2021</x:v>
      </x:c>
      <x:c r="D452" s="8" t="str">
        <x:v>RAINBOW TROUT</x:v>
      </x:c>
      <x:c r="E452" s="13" t="n">
        <x:f>SUMIFS('Stocking details'!$F$6:$F$3307,'Stocking details'!$I$6:$I$3307,G452)</x:f>
        <x:v>400</x:v>
      </x:c>
      <x:c r="F452" s="13" t="n">
        <x:f>COUNTIFS('Stocking details'!$I$6:$I$3307,G452)</x:f>
        <x:v>1</x:v>
      </x:c>
      <x:c r="G452" s="8" t="str">
        <x:f>B452&amp;" / "&amp;C452&amp;" / "&amp;D452</x:f>
        <x:v>6852 / 2021 / RAINBOW TROUT</x:v>
      </x:c>
    </x:row>
    <x:row r="453" ht="23" customHeight="1">
      <x:c r="A453" s="8" t="str">
        <x:v>Dewitt's Pond</x:v>
      </x:c>
      <x:c r="B453" s="8" t="str">
        <x:v>6853</x:v>
      </x:c>
      <x:c r="C453" s="17" t="n">
        <x:v>2026</x:v>
      </x:c>
      <x:c r="D453" s="8" t="str">
        <x:v>BROWN TROUT</x:v>
      </x:c>
      <x:c r="E453" s="13" t="n">
        <x:f>SUMIFS('Stocking details'!$F$6:$F$3307,'Stocking details'!$I$6:$I$3307,G453)</x:f>
        <x:v>2595</x:v>
      </x:c>
      <x:c r="F453" s="13" t="n">
        <x:f>COUNTIFS('Stocking details'!$I$6:$I$3307,G453)</x:f>
        <x:v>2</x:v>
      </x:c>
      <x:c r="G453" s="8" t="str">
        <x:f>B453&amp;" / "&amp;C453&amp;" / "&amp;D453</x:f>
        <x:v>6853 / 2026 / BROWN TROUT</x:v>
      </x:c>
    </x:row>
    <x:row r="454" ht="23" customHeight="1">
      <x:c r="A454" s="8" t="str">
        <x:v>Dewitt's Pond</x:v>
      </x:c>
      <x:c r="B454" s="8" t="str">
        <x:v>6853</x:v>
      </x:c>
      <x:c r="C454" s="17" t="n">
        <x:v>2026</x:v>
      </x:c>
      <x:c r="D454" s="8" t="str">
        <x:v>RAINBOW TROUT</x:v>
      </x:c>
      <x:c r="E454" s="13" t="n">
        <x:f>SUMIFS('Stocking details'!$F$6:$F$3307,'Stocking details'!$I$6:$I$3307,G454)</x:f>
        <x:v>1000</x:v>
      </x:c>
      <x:c r="F454" s="13" t="n">
        <x:f>COUNTIFS('Stocking details'!$I$6:$I$3307,G454)</x:f>
        <x:v>1</x:v>
      </x:c>
      <x:c r="G454" s="8" t="str">
        <x:f>B454&amp;" / "&amp;C454&amp;" / "&amp;D454</x:f>
        <x:v>6853 / 2026 / RAINBOW TROUT</x:v>
      </x:c>
    </x:row>
    <x:row r="455" ht="23" customHeight="1">
      <x:c r="A455" s="8" t="str">
        <x:v>Dewitt's Pond</x:v>
      </x:c>
      <x:c r="B455" s="8" t="str">
        <x:v>6853</x:v>
      </x:c>
      <x:c r="C455" s="17" t="n">
        <x:v>2025</x:v>
      </x:c>
      <x:c r="D455" s="8" t="str">
        <x:v>BROWN TROUT</x:v>
      </x:c>
      <x:c r="E455" s="13" t="n">
        <x:f>SUMIFS('Stocking details'!$F$6:$F$3307,'Stocking details'!$I$6:$I$3307,G455)</x:f>
        <x:v>2595</x:v>
      </x:c>
      <x:c r="F455" s="13" t="n">
        <x:f>COUNTIFS('Stocking details'!$I$6:$I$3307,G455)</x:f>
        <x:v>1</x:v>
      </x:c>
      <x:c r="G455" s="8" t="str">
        <x:f>B455&amp;" / "&amp;C455&amp;" / "&amp;D455</x:f>
        <x:v>6853 / 2025 / BROWN TROUT</x:v>
      </x:c>
    </x:row>
    <x:row r="456" ht="23" customHeight="1">
      <x:c r="A456" s="8" t="str">
        <x:v>Dewitt's Pond</x:v>
      </x:c>
      <x:c r="B456" s="8" t="str">
        <x:v>6853</x:v>
      </x:c>
      <x:c r="C456" s="17" t="n">
        <x:v>2025</x:v>
      </x:c>
      <x:c r="D456" s="8" t="str">
        <x:v>RAINBOW TROUT</x:v>
      </x:c>
      <x:c r="E456" s="13" t="n">
        <x:f>SUMIFS('Stocking details'!$F$6:$F$3307,'Stocking details'!$I$6:$I$3307,G456)</x:f>
        <x:v>1000</x:v>
      </x:c>
      <x:c r="F456" s="13" t="n">
        <x:f>COUNTIFS('Stocking details'!$I$6:$I$3307,G456)</x:f>
        <x:v>1</x:v>
      </x:c>
      <x:c r="G456" s="8" t="str">
        <x:f>B456&amp;" / "&amp;C456&amp;" / "&amp;D456</x:f>
        <x:v>6853 / 2025 / RAINBOW TROUT</x:v>
      </x:c>
    </x:row>
    <x:row r="457" ht="23" customHeight="1">
      <x:c r="A457" s="8" t="str">
        <x:v>Dewitt's Pond</x:v>
      </x:c>
      <x:c r="B457" s="8" t="str">
        <x:v>6853</x:v>
      </x:c>
      <x:c r="C457" s="17" t="n">
        <x:v>2024</x:v>
      </x:c>
      <x:c r="D457" s="8" t="str">
        <x:v>BROWN TROUT</x:v>
      </x:c>
      <x:c r="E457" s="13" t="n">
        <x:f>SUMIFS('Stocking details'!$F$6:$F$3307,'Stocking details'!$I$6:$I$3307,G457)</x:f>
        <x:v>2350</x:v>
      </x:c>
      <x:c r="F457" s="13" t="n">
        <x:f>COUNTIFS('Stocking details'!$I$6:$I$3307,G457)</x:f>
        <x:v>1</x:v>
      </x:c>
      <x:c r="G457" s="8" t="str">
        <x:f>B457&amp;" / "&amp;C457&amp;" / "&amp;D457</x:f>
        <x:v>6853 / 2024 / BROWN TROUT</x:v>
      </x:c>
    </x:row>
    <x:row r="458" ht="23" customHeight="1">
      <x:c r="A458" s="8" t="str">
        <x:v>Dewitt's Pond</x:v>
      </x:c>
      <x:c r="B458" s="8" t="str">
        <x:v>6853</x:v>
      </x:c>
      <x:c r="C458" s="17" t="n">
        <x:v>2024</x:v>
      </x:c>
      <x:c r="D458" s="8" t="str">
        <x:v>RAINBOW TROUT</x:v>
      </x:c>
      <x:c r="E458" s="13" t="n">
        <x:f>SUMIFS('Stocking details'!$F$6:$F$3307,'Stocking details'!$I$6:$I$3307,G458)</x:f>
        <x:v>1100</x:v>
      </x:c>
      <x:c r="F458" s="13" t="n">
        <x:f>COUNTIFS('Stocking details'!$I$6:$I$3307,G458)</x:f>
        <x:v>1</x:v>
      </x:c>
      <x:c r="G458" s="8" t="str">
        <x:f>B458&amp;" / "&amp;C458&amp;" / "&amp;D458</x:f>
        <x:v>6853 / 2024 / RAINBOW TROUT</x:v>
      </x:c>
    </x:row>
    <x:row r="459" ht="23" customHeight="1">
      <x:c r="A459" s="8" t="str">
        <x:v>Dewitt's Pond</x:v>
      </x:c>
      <x:c r="B459" s="8" t="str">
        <x:v>6853</x:v>
      </x:c>
      <x:c r="C459" s="17" t="n">
        <x:v>2023</x:v>
      </x:c>
      <x:c r="D459" s="8" t="str">
        <x:v>BROWN TROUT</x:v>
      </x:c>
      <x:c r="E459" s="13" t="n">
        <x:f>SUMIFS('Stocking details'!$F$6:$F$3307,'Stocking details'!$I$6:$I$3307,G459)</x:f>
        <x:v>2350</x:v>
      </x:c>
      <x:c r="F459" s="13" t="n">
        <x:f>COUNTIFS('Stocking details'!$I$6:$I$3307,G459)</x:f>
        <x:v>1</x:v>
      </x:c>
      <x:c r="G459" s="8" t="str">
        <x:f>B459&amp;" / "&amp;C459&amp;" / "&amp;D459</x:f>
        <x:v>6853 / 2023 / BROWN TROUT</x:v>
      </x:c>
    </x:row>
    <x:row r="460" ht="23" customHeight="1">
      <x:c r="A460" s="8" t="str">
        <x:v>Dewitt's Pond</x:v>
      </x:c>
      <x:c r="B460" s="8" t="str">
        <x:v>6853</x:v>
      </x:c>
      <x:c r="C460" s="17" t="n">
        <x:v>2023</x:v>
      </x:c>
      <x:c r="D460" s="8" t="str">
        <x:v>RAINBOW TROUT</x:v>
      </x:c>
      <x:c r="E460" s="13" t="n">
        <x:f>SUMIFS('Stocking details'!$F$6:$F$3307,'Stocking details'!$I$6:$I$3307,G460)</x:f>
        <x:v>1100</x:v>
      </x:c>
      <x:c r="F460" s="13" t="n">
        <x:f>COUNTIFS('Stocking details'!$I$6:$I$3307,G460)</x:f>
        <x:v>1</x:v>
      </x:c>
      <x:c r="G460" s="8" t="str">
        <x:f>B460&amp;" / "&amp;C460&amp;" / "&amp;D460</x:f>
        <x:v>6853 / 2023 / RAINBOW TROUT</x:v>
      </x:c>
    </x:row>
    <x:row r="461" ht="23" customHeight="1">
      <x:c r="A461" s="8" t="str">
        <x:v>Dewitt's Pond</x:v>
      </x:c>
      <x:c r="B461" s="8" t="str">
        <x:v>6853</x:v>
      </x:c>
      <x:c r="C461" s="17" t="n">
        <x:v>2022</x:v>
      </x:c>
      <x:c r="D461" s="8" t="str">
        <x:v>BROWN TROUT</x:v>
      </x:c>
      <x:c r="E461" s="13" t="n">
        <x:f>SUMIFS('Stocking details'!$F$6:$F$3307,'Stocking details'!$I$6:$I$3307,G461)</x:f>
        <x:v>2350</x:v>
      </x:c>
      <x:c r="F461" s="13" t="n">
        <x:f>COUNTIFS('Stocking details'!$I$6:$I$3307,G461)</x:f>
        <x:v>1</x:v>
      </x:c>
      <x:c r="G461" s="8" t="str">
        <x:f>B461&amp;" / "&amp;C461&amp;" / "&amp;D461</x:f>
        <x:v>6853 / 2022 / BROWN TROUT</x:v>
      </x:c>
    </x:row>
    <x:row r="462" ht="23" customHeight="1">
      <x:c r="A462" s="8" t="str">
        <x:v>Dewitt's Pond</x:v>
      </x:c>
      <x:c r="B462" s="8" t="str">
        <x:v>6853</x:v>
      </x:c>
      <x:c r="C462" s="17" t="n">
        <x:v>2022</x:v>
      </x:c>
      <x:c r="D462" s="8" t="str">
        <x:v>RAINBOW TROUT</x:v>
      </x:c>
      <x:c r="E462" s="13" t="n">
        <x:f>SUMIFS('Stocking details'!$F$6:$F$3307,'Stocking details'!$I$6:$I$3307,G462)</x:f>
        <x:v>1300</x:v>
      </x:c>
      <x:c r="F462" s="13" t="n">
        <x:f>COUNTIFS('Stocking details'!$I$6:$I$3307,G462)</x:f>
        <x:v>1</x:v>
      </x:c>
      <x:c r="G462" s="8" t="str">
        <x:f>B462&amp;" / "&amp;C462&amp;" / "&amp;D462</x:f>
        <x:v>6853 / 2022 / RAINBOW TROUT</x:v>
      </x:c>
    </x:row>
    <x:row r="463" ht="23" customHeight="1">
      <x:c r="A463" s="8" t="str">
        <x:v>Dewitt's Pond</x:v>
      </x:c>
      <x:c r="B463" s="8" t="str">
        <x:v>6853</x:v>
      </x:c>
      <x:c r="C463" s="17" t="n">
        <x:v>2021</x:v>
      </x:c>
      <x:c r="D463" s="8" t="str">
        <x:v>BROWN TROUT</x:v>
      </x:c>
      <x:c r="E463" s="13" t="n">
        <x:f>SUMIFS('Stocking details'!$F$6:$F$3307,'Stocking details'!$I$6:$I$3307,G463)</x:f>
        <x:v>2350</x:v>
      </x:c>
      <x:c r="F463" s="13" t="n">
        <x:f>COUNTIFS('Stocking details'!$I$6:$I$3307,G463)</x:f>
        <x:v>1</x:v>
      </x:c>
      <x:c r="G463" s="8" t="str">
        <x:f>B463&amp;" / "&amp;C463&amp;" / "&amp;D463</x:f>
        <x:v>6853 / 2021 / BROWN TROUT</x:v>
      </x:c>
    </x:row>
    <x:row r="464" ht="23" customHeight="1">
      <x:c r="A464" s="8" t="str">
        <x:v>Dewitt's Pond</x:v>
      </x:c>
      <x:c r="B464" s="8" t="str">
        <x:v>6853</x:v>
      </x:c>
      <x:c r="C464" s="17" t="n">
        <x:v>2021</x:v>
      </x:c>
      <x:c r="D464" s="8" t="str">
        <x:v>RAINBOW TROUT</x:v>
      </x:c>
      <x:c r="E464" s="13" t="n">
        <x:f>SUMIFS('Stocking details'!$F$6:$F$3307,'Stocking details'!$I$6:$I$3307,G464)</x:f>
        <x:v>1300</x:v>
      </x:c>
      <x:c r="F464" s="13" t="n">
        <x:f>COUNTIFS('Stocking details'!$I$6:$I$3307,G464)</x:f>
        <x:v>1</x:v>
      </x:c>
      <x:c r="G464" s="8" t="str">
        <x:f>B464&amp;" / "&amp;C464&amp;" / "&amp;D464</x:f>
        <x:v>6853 / 2021 / RAINBOW TROUT</x:v>
      </x:c>
    </x:row>
    <x:row r="465" ht="23" customHeight="1">
      <x:c r="A465" s="8" t="str">
        <x:v>Dickson Trout Pond</x:v>
      </x:c>
      <x:c r="B465" s="8" t="str">
        <x:v>6844</x:v>
      </x:c>
      <x:c r="C465" s="17" t="n">
        <x:v>2026</x:v>
      </x:c>
      <x:c r="D465" s="8" t="str">
        <x:v>RAINBOW TROUT</x:v>
      </x:c>
      <x:c r="E465" s="13" t="n">
        <x:f>SUMIFS('Stocking details'!$F$6:$F$3307,'Stocking details'!$I$6:$I$3307,G465)</x:f>
        <x:v>20522</x:v>
      </x:c>
      <x:c r="F465" s="13" t="n">
        <x:f>COUNTIFS('Stocking details'!$I$6:$I$3307,G465)</x:f>
        <x:v>4</x:v>
      </x:c>
      <x:c r="G465" s="8" t="str">
        <x:f>B465&amp;" / "&amp;C465&amp;" / "&amp;D465</x:f>
        <x:v>6844 / 2026 / RAINBOW TROUT</x:v>
      </x:c>
    </x:row>
    <x:row r="466" ht="23" customHeight="1">
      <x:c r="A466" s="8" t="str">
        <x:v>Dickson Trout Pond</x:v>
      </x:c>
      <x:c r="B466" s="8" t="str">
        <x:v>6844</x:v>
      </x:c>
      <x:c r="C466" s="17" t="n">
        <x:v>2026</x:v>
      </x:c>
      <x:c r="D466" s="8" t="str">
        <x:v>TIGER TROUT</x:v>
      </x:c>
      <x:c r="E466" s="13" t="n">
        <x:f>SUMIFS('Stocking details'!$F$6:$F$3307,'Stocking details'!$I$6:$I$3307,G466)</x:f>
        <x:v>1700</x:v>
      </x:c>
      <x:c r="F466" s="13" t="n">
        <x:f>COUNTIFS('Stocking details'!$I$6:$I$3307,G466)</x:f>
        <x:v>1</x:v>
      </x:c>
      <x:c r="G466" s="8" t="str">
        <x:f>B466&amp;" / "&amp;C466&amp;" / "&amp;D466</x:f>
        <x:v>6844 / 2026 / TIGER TROUT</x:v>
      </x:c>
    </x:row>
    <x:row r="467" ht="23" customHeight="1">
      <x:c r="A467" s="8" t="str">
        <x:v>Dickson Trout Pond</x:v>
      </x:c>
      <x:c r="B467" s="8" t="str">
        <x:v>6844</x:v>
      </x:c>
      <x:c r="C467" s="17" t="n">
        <x:v>2025</x:v>
      </x:c>
      <x:c r="D467" s="8" t="str">
        <x:v>RAINBOW TROUT</x:v>
      </x:c>
      <x:c r="E467" s="13" t="n">
        <x:f>SUMIFS('Stocking details'!$F$6:$F$3307,'Stocking details'!$I$6:$I$3307,G467)</x:f>
        <x:v>32450</x:v>
      </x:c>
      <x:c r="F467" s="13" t="n">
        <x:f>COUNTIFS('Stocking details'!$I$6:$I$3307,G467)</x:f>
        <x:v>6</x:v>
      </x:c>
      <x:c r="G467" s="8" t="str">
        <x:f>B467&amp;" / "&amp;C467&amp;" / "&amp;D467</x:f>
        <x:v>6844 / 2025 / RAINBOW TROUT</x:v>
      </x:c>
    </x:row>
    <x:row r="468" ht="23" customHeight="1">
      <x:c r="A468" s="8" t="str">
        <x:v>Dickson Trout Pond</x:v>
      </x:c>
      <x:c r="B468" s="8" t="str">
        <x:v>6844</x:v>
      </x:c>
      <x:c r="C468" s="17" t="n">
        <x:v>2025</x:v>
      </x:c>
      <x:c r="D468" s="8" t="str">
        <x:v>TIGER TROUT</x:v>
      </x:c>
      <x:c r="E468" s="13" t="n">
        <x:f>SUMIFS('Stocking details'!$F$6:$F$3307,'Stocking details'!$I$6:$I$3307,G468)</x:f>
        <x:v>4183</x:v>
      </x:c>
      <x:c r="F468" s="13" t="n">
        <x:f>COUNTIFS('Stocking details'!$I$6:$I$3307,G468)</x:f>
        <x:v>3</x:v>
      </x:c>
      <x:c r="G468" s="8" t="str">
        <x:f>B468&amp;" / "&amp;C468&amp;" / "&amp;D468</x:f>
        <x:v>6844 / 2025 / TIGER TROUT</x:v>
      </x:c>
    </x:row>
    <x:row r="469" ht="23" customHeight="1">
      <x:c r="A469" s="8" t="str">
        <x:v>Dickson Trout Pond</x:v>
      </x:c>
      <x:c r="B469" s="8" t="str">
        <x:v>6844</x:v>
      </x:c>
      <x:c r="C469" s="17" t="n">
        <x:v>2024</x:v>
      </x:c>
      <x:c r="D469" s="8" t="str">
        <x:v>RAINBOW TROUT</x:v>
      </x:c>
      <x:c r="E469" s="13" t="n">
        <x:f>SUMIFS('Stocking details'!$F$6:$F$3307,'Stocking details'!$I$6:$I$3307,G469)</x:f>
        <x:v>45012</x:v>
      </x:c>
      <x:c r="F469" s="13" t="n">
        <x:f>COUNTIFS('Stocking details'!$I$6:$I$3307,G469)</x:f>
        <x:v>6</x:v>
      </x:c>
      <x:c r="G469" s="8" t="str">
        <x:f>B469&amp;" / "&amp;C469&amp;" / "&amp;D469</x:f>
        <x:v>6844 / 2024 / RAINBOW TROUT</x:v>
      </x:c>
    </x:row>
    <x:row r="470" ht="23" customHeight="1">
      <x:c r="A470" s="8" t="str">
        <x:v>Dickson Trout Pond</x:v>
      </x:c>
      <x:c r="B470" s="8" t="str">
        <x:v>6844</x:v>
      </x:c>
      <x:c r="C470" s="17" t="n">
        <x:v>2024</x:v>
      </x:c>
      <x:c r="D470" s="8" t="str">
        <x:v>TIGER TROUT</x:v>
      </x:c>
      <x:c r="E470" s="13" t="n">
        <x:f>SUMIFS('Stocking details'!$F$6:$F$3307,'Stocking details'!$I$6:$I$3307,G470)</x:f>
        <x:v>4028</x:v>
      </x:c>
      <x:c r="F470" s="13" t="n">
        <x:f>COUNTIFS('Stocking details'!$I$6:$I$3307,G470)</x:f>
        <x:v>4</x:v>
      </x:c>
      <x:c r="G470" s="8" t="str">
        <x:f>B470&amp;" / "&amp;C470&amp;" / "&amp;D470</x:f>
        <x:v>6844 / 2024 / TIGER TROUT</x:v>
      </x:c>
    </x:row>
    <x:row r="471" ht="23" customHeight="1">
      <x:c r="A471" s="8" t="str">
        <x:v>Dickson Trout Pond</x:v>
      </x:c>
      <x:c r="B471" s="8" t="str">
        <x:v>6844</x:v>
      </x:c>
      <x:c r="C471" s="17" t="n">
        <x:v>2023</x:v>
      </x:c>
      <x:c r="D471" s="8" t="str">
        <x:v>RAINBOW TROUT</x:v>
      </x:c>
      <x:c r="E471" s="13" t="n">
        <x:f>SUMIFS('Stocking details'!$F$6:$F$3307,'Stocking details'!$I$6:$I$3307,G471)</x:f>
        <x:v>12197</x:v>
      </x:c>
      <x:c r="F471" s="13" t="n">
        <x:f>COUNTIFS('Stocking details'!$I$6:$I$3307,G471)</x:f>
        <x:v>3</x:v>
      </x:c>
      <x:c r="G471" s="8" t="str">
        <x:f>B471&amp;" / "&amp;C471&amp;" / "&amp;D471</x:f>
        <x:v>6844 / 2023 / RAINBOW TROUT</x:v>
      </x:c>
    </x:row>
    <x:row r="472" ht="23" customHeight="1">
      <x:c r="A472" s="8" t="str">
        <x:v>Dickson Trout Pond</x:v>
      </x:c>
      <x:c r="B472" s="8" t="str">
        <x:v>6844</x:v>
      </x:c>
      <x:c r="C472" s="17" t="n">
        <x:v>2023</x:v>
      </x:c>
      <x:c r="D472" s="8" t="str">
        <x:v>TIGER TROUT</x:v>
      </x:c>
      <x:c r="E472" s="13" t="n">
        <x:f>SUMIFS('Stocking details'!$F$6:$F$3307,'Stocking details'!$I$6:$I$3307,G472)</x:f>
        <x:v>3700</x:v>
      </x:c>
      <x:c r="F472" s="13" t="n">
        <x:f>COUNTIFS('Stocking details'!$I$6:$I$3307,G472)</x:f>
        <x:v>3</x:v>
      </x:c>
      <x:c r="G472" s="8" t="str">
        <x:f>B472&amp;" / "&amp;C472&amp;" / "&amp;D472</x:f>
        <x:v>6844 / 2023 / TIGER TROUT</x:v>
      </x:c>
    </x:row>
    <x:row r="473" ht="23" customHeight="1">
      <x:c r="A473" s="8" t="str">
        <x:v>Dickson Trout Pond</x:v>
      </x:c>
      <x:c r="B473" s="8" t="str">
        <x:v>6844</x:v>
      </x:c>
      <x:c r="C473" s="17" t="n">
        <x:v>2022</x:v>
      </x:c>
      <x:c r="D473" s="8" t="str">
        <x:v>RAINBOW TROUT</x:v>
      </x:c>
      <x:c r="E473" s="13" t="n">
        <x:f>SUMIFS('Stocking details'!$F$6:$F$3307,'Stocking details'!$I$6:$I$3307,G473)</x:f>
        <x:v>28742</x:v>
      </x:c>
      <x:c r="F473" s="13" t="n">
        <x:f>COUNTIFS('Stocking details'!$I$6:$I$3307,G473)</x:f>
        <x:v>5</x:v>
      </x:c>
      <x:c r="G473" s="8" t="str">
        <x:f>B473&amp;" / "&amp;C473&amp;" / "&amp;D473</x:f>
        <x:v>6844 / 2022 / RAINBOW TROUT</x:v>
      </x:c>
    </x:row>
    <x:row r="474" ht="23" customHeight="1">
      <x:c r="A474" s="8" t="str">
        <x:v>Dickson Trout Pond</x:v>
      </x:c>
      <x:c r="B474" s="8" t="str">
        <x:v>6844</x:v>
      </x:c>
      <x:c r="C474" s="17" t="n">
        <x:v>2022</x:v>
      </x:c>
      <x:c r="D474" s="8" t="str">
        <x:v>TIGER TROUT</x:v>
      </x:c>
      <x:c r="E474" s="13" t="n">
        <x:f>SUMIFS('Stocking details'!$F$6:$F$3307,'Stocking details'!$I$6:$I$3307,G474)</x:f>
        <x:v>11164</x:v>
      </x:c>
      <x:c r="F474" s="13" t="n">
        <x:f>COUNTIFS('Stocking details'!$I$6:$I$3307,G474)</x:f>
        <x:v>5</x:v>
      </x:c>
      <x:c r="G474" s="8" t="str">
        <x:f>B474&amp;" / "&amp;C474&amp;" / "&amp;D474</x:f>
        <x:v>6844 / 2022 / TIGER TROUT</x:v>
      </x:c>
    </x:row>
    <x:row r="475" ht="23" customHeight="1">
      <x:c r="A475" s="8" t="str">
        <x:v>Dickson Trout Pond</x:v>
      </x:c>
      <x:c r="B475" s="8" t="str">
        <x:v>6844</x:v>
      </x:c>
      <x:c r="C475" s="17" t="n">
        <x:v>2021</x:v>
      </x:c>
      <x:c r="D475" s="8" t="str">
        <x:v>RAINBOW TROUT</x:v>
      </x:c>
      <x:c r="E475" s="13" t="n">
        <x:f>SUMIFS('Stocking details'!$F$6:$F$3307,'Stocking details'!$I$6:$I$3307,G475)</x:f>
        <x:v>25500</x:v>
      </x:c>
      <x:c r="F475" s="13" t="n">
        <x:f>COUNTIFS('Stocking details'!$I$6:$I$3307,G475)</x:f>
        <x:v>5</x:v>
      </x:c>
      <x:c r="G475" s="8" t="str">
        <x:f>B475&amp;" / "&amp;C475&amp;" / "&amp;D475</x:f>
        <x:v>6844 / 2021 / RAINBOW TROUT</x:v>
      </x:c>
    </x:row>
    <x:row r="476" ht="23" customHeight="1">
      <x:c r="A476" s="8" t="str">
        <x:v>Dickson Trout Pond</x:v>
      </x:c>
      <x:c r="B476" s="8" t="str">
        <x:v>6844</x:v>
      </x:c>
      <x:c r="C476" s="17" t="n">
        <x:v>2021</x:v>
      </x:c>
      <x:c r="D476" s="8" t="str">
        <x:v>TIGER TROUT</x:v>
      </x:c>
      <x:c r="E476" s="13" t="n">
        <x:f>SUMIFS('Stocking details'!$F$6:$F$3307,'Stocking details'!$I$6:$I$3307,G476)</x:f>
        <x:v>3600</x:v>
      </x:c>
      <x:c r="F476" s="13" t="n">
        <x:f>COUNTIFS('Stocking details'!$I$6:$I$3307,G476)</x:f>
        <x:v>3</x:v>
      </x:c>
      <x:c r="G476" s="8" t="str">
        <x:f>B476&amp;" / "&amp;C476&amp;" / "&amp;D476</x:f>
        <x:v>6844 / 2021 / TIGER TROUT</x:v>
      </x:c>
    </x:row>
    <x:row r="477" ht="23" customHeight="1">
      <x:c r="A477" s="8" t="str">
        <x:v>Dillberry Lake</x:v>
      </x:c>
      <x:c r="B477" s="8" t="str">
        <x:v>4446</x:v>
      </x:c>
      <x:c r="C477" s="17" t="n">
        <x:v>2026</x:v>
      </x:c>
      <x:c r="D477" s="8" t="str">
        <x:v>RAINBOW TROUT</x:v>
      </x:c>
      <x:c r="E477" s="13" t="n">
        <x:f>SUMIFS('Stocking details'!$F$6:$F$3307,'Stocking details'!$I$6:$I$3307,G477)</x:f>
        <x:v>23000</x:v>
      </x:c>
      <x:c r="F477" s="13" t="n">
        <x:f>COUNTIFS('Stocking details'!$I$6:$I$3307,G477)</x:f>
        <x:v>4</x:v>
      </x:c>
      <x:c r="G477" s="8" t="str">
        <x:f>B477&amp;" / "&amp;C477&amp;" / "&amp;D477</x:f>
        <x:v>4446 / 2026 / RAINBOW TROUT</x:v>
      </x:c>
    </x:row>
    <x:row r="478" ht="23" customHeight="1">
      <x:c r="A478" s="8" t="str">
        <x:v>Dillberry Lake</x:v>
      </x:c>
      <x:c r="B478" s="8" t="str">
        <x:v>4446</x:v>
      </x:c>
      <x:c r="C478" s="17" t="n">
        <x:v>2026</x:v>
      </x:c>
      <x:c r="D478" s="8" t="str">
        <x:v>TIGER TROUT</x:v>
      </x:c>
      <x:c r="E478" s="13" t="n">
        <x:f>SUMIFS('Stocking details'!$F$6:$F$3307,'Stocking details'!$I$6:$I$3307,G478)</x:f>
        <x:v>3500</x:v>
      </x:c>
      <x:c r="F478" s="13" t="n">
        <x:f>COUNTIFS('Stocking details'!$I$6:$I$3307,G478)</x:f>
        <x:v>1</x:v>
      </x:c>
      <x:c r="G478" s="8" t="str">
        <x:f>B478&amp;" / "&amp;C478&amp;" / "&amp;D478</x:f>
        <x:v>4446 / 2026 / TIGER TROUT</x:v>
      </x:c>
    </x:row>
    <x:row r="479" ht="23" customHeight="1">
      <x:c r="A479" s="8" t="str">
        <x:v>Dillberry Lake</x:v>
      </x:c>
      <x:c r="B479" s="8" t="str">
        <x:v>4446</x:v>
      </x:c>
      <x:c r="C479" s="17" t="n">
        <x:v>2025</x:v>
      </x:c>
      <x:c r="D479" s="8" t="str">
        <x:v>RAINBOW TROUT</x:v>
      </x:c>
      <x:c r="E479" s="13" t="n">
        <x:f>SUMIFS('Stocking details'!$F$6:$F$3307,'Stocking details'!$I$6:$I$3307,G479)</x:f>
        <x:v>20000</x:v>
      </x:c>
      <x:c r="F479" s="13" t="n">
        <x:f>COUNTIFS('Stocking details'!$I$6:$I$3307,G479)</x:f>
        <x:v>3</x:v>
      </x:c>
      <x:c r="G479" s="8" t="str">
        <x:f>B479&amp;" / "&amp;C479&amp;" / "&amp;D479</x:f>
        <x:v>4446 / 2025 / RAINBOW TROUT</x:v>
      </x:c>
    </x:row>
    <x:row r="480" ht="23" customHeight="1">
      <x:c r="A480" s="8" t="str">
        <x:v>Dillberry Lake</x:v>
      </x:c>
      <x:c r="B480" s="8" t="str">
        <x:v>4446</x:v>
      </x:c>
      <x:c r="C480" s="17" t="n">
        <x:v>2025</x:v>
      </x:c>
      <x:c r="D480" s="8" t="str">
        <x:v>TIGER TROUT</x:v>
      </x:c>
      <x:c r="E480" s="13" t="n">
        <x:f>SUMIFS('Stocking details'!$F$6:$F$3307,'Stocking details'!$I$6:$I$3307,G480)</x:f>
        <x:v>3500</x:v>
      </x:c>
      <x:c r="F480" s="13" t="n">
        <x:f>COUNTIFS('Stocking details'!$I$6:$I$3307,G480)</x:f>
        <x:v>1</x:v>
      </x:c>
      <x:c r="G480" s="8" t="str">
        <x:f>B480&amp;" / "&amp;C480&amp;" / "&amp;D480</x:f>
        <x:v>4446 / 2025 / TIGER TROUT</x:v>
      </x:c>
    </x:row>
    <x:row r="481" ht="23" customHeight="1">
      <x:c r="A481" s="8" t="str">
        <x:v>Dillberry Lake</x:v>
      </x:c>
      <x:c r="B481" s="8" t="str">
        <x:v>4446</x:v>
      </x:c>
      <x:c r="C481" s="17" t="n">
        <x:v>2024</x:v>
      </x:c>
      <x:c r="D481" s="8" t="str">
        <x:v>RAINBOW TROUT</x:v>
      </x:c>
      <x:c r="E481" s="13" t="n">
        <x:f>SUMIFS('Stocking details'!$F$6:$F$3307,'Stocking details'!$I$6:$I$3307,G481)</x:f>
        <x:v>61000</x:v>
      </x:c>
      <x:c r="F481" s="13" t="n">
        <x:f>COUNTIFS('Stocking details'!$I$6:$I$3307,G481)</x:f>
        <x:v>6</x:v>
      </x:c>
      <x:c r="G481" s="8" t="str">
        <x:f>B481&amp;" / "&amp;C481&amp;" / "&amp;D481</x:f>
        <x:v>4446 / 2024 / RAINBOW TROUT</x:v>
      </x:c>
    </x:row>
    <x:row r="482" ht="23" customHeight="1">
      <x:c r="A482" s="8" t="str">
        <x:v>Dillberry Lake</x:v>
      </x:c>
      <x:c r="B482" s="8" t="str">
        <x:v>4446</x:v>
      </x:c>
      <x:c r="C482" s="17" t="n">
        <x:v>2024</x:v>
      </x:c>
      <x:c r="D482" s="8" t="str">
        <x:v>TIGER TROUT</x:v>
      </x:c>
      <x:c r="E482" s="13" t="n">
        <x:f>SUMIFS('Stocking details'!$F$6:$F$3307,'Stocking details'!$I$6:$I$3307,G482)</x:f>
        <x:v>2000</x:v>
      </x:c>
      <x:c r="F482" s="13" t="n">
        <x:f>COUNTIFS('Stocking details'!$I$6:$I$3307,G482)</x:f>
        <x:v>1</x:v>
      </x:c>
      <x:c r="G482" s="8" t="str">
        <x:f>B482&amp;" / "&amp;C482&amp;" / "&amp;D482</x:f>
        <x:v>4446 / 2024 / TIGER TROUT</x:v>
      </x:c>
    </x:row>
    <x:row r="483" ht="23" customHeight="1">
      <x:c r="A483" s="8" t="str">
        <x:v>Dillberry Lake</x:v>
      </x:c>
      <x:c r="B483" s="8" t="str">
        <x:v>4446</x:v>
      </x:c>
      <x:c r="C483" s="17" t="n">
        <x:v>2023</x:v>
      </x:c>
      <x:c r="D483" s="8" t="str">
        <x:v>RAINBOW TROUT</x:v>
      </x:c>
      <x:c r="E483" s="13" t="n">
        <x:f>SUMIFS('Stocking details'!$F$6:$F$3307,'Stocking details'!$I$6:$I$3307,G483)</x:f>
        <x:v>8640</x:v>
      </x:c>
      <x:c r="F483" s="13" t="n">
        <x:f>COUNTIFS('Stocking details'!$I$6:$I$3307,G483)</x:f>
        <x:v>2</x:v>
      </x:c>
      <x:c r="G483" s="8" t="str">
        <x:f>B483&amp;" / "&amp;C483&amp;" / "&amp;D483</x:f>
        <x:v>4446 / 2023 / RAINBOW TROUT</x:v>
      </x:c>
    </x:row>
    <x:row r="484" ht="23" customHeight="1">
      <x:c r="A484" s="8" t="str">
        <x:v>Dillberry Lake</x:v>
      </x:c>
      <x:c r="B484" s="8" t="str">
        <x:v>4446</x:v>
      </x:c>
      <x:c r="C484" s="17" t="n">
        <x:v>2023</x:v>
      </x:c>
      <x:c r="D484" s="8" t="str">
        <x:v>TIGER TROUT</x:v>
      </x:c>
      <x:c r="E484" s="13" t="n">
        <x:f>SUMIFS('Stocking details'!$F$6:$F$3307,'Stocking details'!$I$6:$I$3307,G484)</x:f>
        <x:v>6000</x:v>
      </x:c>
      <x:c r="F484" s="13" t="n">
        <x:f>COUNTIFS('Stocking details'!$I$6:$I$3307,G484)</x:f>
        <x:v>2</x:v>
      </x:c>
      <x:c r="G484" s="8" t="str">
        <x:f>B484&amp;" / "&amp;C484&amp;" / "&amp;D484</x:f>
        <x:v>4446 / 2023 / TIGER TROUT</x:v>
      </x:c>
    </x:row>
    <x:row r="485" ht="23" customHeight="1">
      <x:c r="A485" s="8" t="str">
        <x:v>Dillberry Lake</x:v>
      </x:c>
      <x:c r="B485" s="8" t="str">
        <x:v>4446</x:v>
      </x:c>
      <x:c r="C485" s="17" t="n">
        <x:v>2022</x:v>
      </x:c>
      <x:c r="D485" s="8" t="str">
        <x:v>RAINBOW TROUT</x:v>
      </x:c>
      <x:c r="E485" s="13" t="n">
        <x:f>SUMIFS('Stocking details'!$F$6:$F$3307,'Stocking details'!$I$6:$I$3307,G485)</x:f>
        <x:v>20000</x:v>
      </x:c>
      <x:c r="F485" s="13" t="n">
        <x:f>COUNTIFS('Stocking details'!$I$6:$I$3307,G485)</x:f>
        <x:v>2</x:v>
      </x:c>
      <x:c r="G485" s="8" t="str">
        <x:f>B485&amp;" / "&amp;C485&amp;" / "&amp;D485</x:f>
        <x:v>4446 / 2022 / RAINBOW TROUT</x:v>
      </x:c>
    </x:row>
    <x:row r="486" ht="23" customHeight="1">
      <x:c r="A486" s="8" t="str">
        <x:v>Dillberry Lake</x:v>
      </x:c>
      <x:c r="B486" s="8" t="str">
        <x:v>4446</x:v>
      </x:c>
      <x:c r="C486" s="17" t="n">
        <x:v>2022</x:v>
      </x:c>
      <x:c r="D486" s="8" t="str">
        <x:v>TIGER TROUT</x:v>
      </x:c>
      <x:c r="E486" s="13" t="n">
        <x:f>SUMIFS('Stocking details'!$F$6:$F$3307,'Stocking details'!$I$6:$I$3307,G486)</x:f>
        <x:v>15500</x:v>
      </x:c>
      <x:c r="F486" s="13" t="n">
        <x:f>COUNTIFS('Stocking details'!$I$6:$I$3307,G486)</x:f>
        <x:v>2</x:v>
      </x:c>
      <x:c r="G486" s="8" t="str">
        <x:f>B486&amp;" / "&amp;C486&amp;" / "&amp;D486</x:f>
        <x:v>4446 / 2022 / TIGER TROUT</x:v>
      </x:c>
    </x:row>
    <x:row r="487" ht="23" customHeight="1">
      <x:c r="A487" s="8" t="str">
        <x:v>Dillberry Lake</x:v>
      </x:c>
      <x:c r="B487" s="8" t="str">
        <x:v>4446</x:v>
      </x:c>
      <x:c r="C487" s="17" t="n">
        <x:v>2021</x:v>
      </x:c>
      <x:c r="D487" s="8" t="str">
        <x:v>RAINBOW TROUT</x:v>
      </x:c>
      <x:c r="E487" s="13" t="n">
        <x:f>SUMIFS('Stocking details'!$F$6:$F$3307,'Stocking details'!$I$6:$I$3307,G487)</x:f>
        <x:v>20376</x:v>
      </x:c>
      <x:c r="F487" s="13" t="n">
        <x:f>COUNTIFS('Stocking details'!$I$6:$I$3307,G487)</x:f>
        <x:v>2</x:v>
      </x:c>
      <x:c r="G487" s="8" t="str">
        <x:f>B487&amp;" / "&amp;C487&amp;" / "&amp;D487</x:f>
        <x:v>4446 / 2021 / RAINBOW TROUT</x:v>
      </x:c>
    </x:row>
    <x:row r="488" ht="23" customHeight="1">
      <x:c r="A488" s="8" t="str">
        <x:v>Dillberry Lake</x:v>
      </x:c>
      <x:c r="B488" s="8" t="str">
        <x:v>4446</x:v>
      </x:c>
      <x:c r="C488" s="17" t="n">
        <x:v>2021</x:v>
      </x:c>
      <x:c r="D488" s="8" t="str">
        <x:v>TIGER TROUT</x:v>
      </x:c>
      <x:c r="E488" s="13" t="n">
        <x:f>SUMIFS('Stocking details'!$F$6:$F$3307,'Stocking details'!$I$6:$I$3307,G488)</x:f>
        <x:v>3500</x:v>
      </x:c>
      <x:c r="F488" s="13" t="n">
        <x:f>COUNTIFS('Stocking details'!$I$6:$I$3307,G488)</x:f>
        <x:v>1</x:v>
      </x:c>
      <x:c r="G488" s="8" t="str">
        <x:f>B488&amp;" / "&amp;C488&amp;" / "&amp;D488</x:f>
        <x:v>4446 / 2021 / TIGER TROUT</x:v>
      </x:c>
    </x:row>
    <x:row r="489" ht="23" customHeight="1">
      <x:c r="A489" s="8" t="str">
        <x:v>Diplomat Mine Pond</x:v>
      </x:c>
      <x:c r="B489" s="8" t="str">
        <x:v>6833</x:v>
      </x:c>
      <x:c r="C489" s="17" t="n">
        <x:v>2026</x:v>
      </x:c>
      <x:c r="D489" s="8" t="str">
        <x:v>RAINBOW TROUT</x:v>
      </x:c>
      <x:c r="E489" s="13" t="n">
        <x:f>SUMIFS('Stocking details'!$F$6:$F$3307,'Stocking details'!$I$6:$I$3307,G489)</x:f>
        <x:v>5000</x:v>
      </x:c>
      <x:c r="F489" s="13" t="n">
        <x:f>COUNTIFS('Stocking details'!$I$6:$I$3307,G489)</x:f>
        <x:v>1</x:v>
      </x:c>
      <x:c r="G489" s="8" t="str">
        <x:f>B489&amp;" / "&amp;C489&amp;" / "&amp;D489</x:f>
        <x:v>6833 / 2026 / RAINBOW TROUT</x:v>
      </x:c>
    </x:row>
    <x:row r="490" ht="23" customHeight="1">
      <x:c r="A490" s="8" t="str">
        <x:v>Diplomat Mine Pond</x:v>
      </x:c>
      <x:c r="B490" s="8" t="str">
        <x:v>6833</x:v>
      </x:c>
      <x:c r="C490" s="17" t="n">
        <x:v>2026</x:v>
      </x:c>
      <x:c r="D490" s="8" t="str">
        <x:v>TIGER TROUT</x:v>
      </x:c>
      <x:c r="E490" s="13" t="n">
        <x:f>SUMIFS('Stocking details'!$F$6:$F$3307,'Stocking details'!$I$6:$I$3307,G490)</x:f>
        <x:v>1500</x:v>
      </x:c>
      <x:c r="F490" s="13" t="n">
        <x:f>COUNTIFS('Stocking details'!$I$6:$I$3307,G490)</x:f>
        <x:v>1</x:v>
      </x:c>
      <x:c r="G490" s="8" t="str">
        <x:f>B490&amp;" / "&amp;C490&amp;" / "&amp;D490</x:f>
        <x:v>6833 / 2026 / TIGER TROUT</x:v>
      </x:c>
    </x:row>
    <x:row r="491" ht="23" customHeight="1">
      <x:c r="A491" s="8" t="str">
        <x:v>Diplomat Mine Pond</x:v>
      </x:c>
      <x:c r="B491" s="8" t="str">
        <x:v>6833</x:v>
      </x:c>
      <x:c r="C491" s="17" t="n">
        <x:v>2025</x:v>
      </x:c>
      <x:c r="D491" s="8" t="str">
        <x:v>RAINBOW TROUT</x:v>
      </x:c>
      <x:c r="E491" s="13" t="n">
        <x:f>SUMIFS('Stocking details'!$F$6:$F$3307,'Stocking details'!$I$6:$I$3307,G491)</x:f>
        <x:v>5000</x:v>
      </x:c>
      <x:c r="F491" s="13" t="n">
        <x:f>COUNTIFS('Stocking details'!$I$6:$I$3307,G491)</x:f>
        <x:v>1</x:v>
      </x:c>
      <x:c r="G491" s="8" t="str">
        <x:f>B491&amp;" / "&amp;C491&amp;" / "&amp;D491</x:f>
        <x:v>6833 / 2025 / RAINBOW TROUT</x:v>
      </x:c>
    </x:row>
    <x:row r="492" ht="23" customHeight="1">
      <x:c r="A492" s="8" t="str">
        <x:v>Diplomat Mine Pond</x:v>
      </x:c>
      <x:c r="B492" s="8" t="str">
        <x:v>6833</x:v>
      </x:c>
      <x:c r="C492" s="17" t="n">
        <x:v>2025</x:v>
      </x:c>
      <x:c r="D492" s="8" t="str">
        <x:v>TIGER TROUT</x:v>
      </x:c>
      <x:c r="E492" s="13" t="n">
        <x:f>SUMIFS('Stocking details'!$F$6:$F$3307,'Stocking details'!$I$6:$I$3307,G492)</x:f>
        <x:v>1500</x:v>
      </x:c>
      <x:c r="F492" s="13" t="n">
        <x:f>COUNTIFS('Stocking details'!$I$6:$I$3307,G492)</x:f>
        <x:v>2</x:v>
      </x:c>
      <x:c r="G492" s="8" t="str">
        <x:f>B492&amp;" / "&amp;C492&amp;" / "&amp;D492</x:f>
        <x:v>6833 / 2025 / TIGER TROUT</x:v>
      </x:c>
    </x:row>
    <x:row r="493" ht="23" customHeight="1">
      <x:c r="A493" s="8" t="str">
        <x:v>Diplomat Mine Pond</x:v>
      </x:c>
      <x:c r="B493" s="8" t="str">
        <x:v>6833</x:v>
      </x:c>
      <x:c r="C493" s="17" t="n">
        <x:v>2024</x:v>
      </x:c>
      <x:c r="D493" s="8" t="str">
        <x:v>RAINBOW TROUT</x:v>
      </x:c>
      <x:c r="E493" s="13" t="n">
        <x:f>SUMIFS('Stocking details'!$F$6:$F$3307,'Stocking details'!$I$6:$I$3307,G493)</x:f>
        <x:v>2085</x:v>
      </x:c>
      <x:c r="F493" s="13" t="n">
        <x:f>COUNTIFS('Stocking details'!$I$6:$I$3307,G493)</x:f>
        <x:v>3</x:v>
      </x:c>
      <x:c r="G493" s="8" t="str">
        <x:f>B493&amp;" / "&amp;C493&amp;" / "&amp;D493</x:f>
        <x:v>6833 / 2024 / RAINBOW TROUT</x:v>
      </x:c>
    </x:row>
    <x:row r="494" ht="23" customHeight="1">
      <x:c r="A494" s="8" t="str">
        <x:v>Diplomat Mine Pond</x:v>
      </x:c>
      <x:c r="B494" s="8" t="str">
        <x:v>6833</x:v>
      </x:c>
      <x:c r="C494" s="17" t="n">
        <x:v>2024</x:v>
      </x:c>
      <x:c r="D494" s="8" t="str">
        <x:v>TIGER TROUT</x:v>
      </x:c>
      <x:c r="E494" s="13" t="n">
        <x:f>SUMIFS('Stocking details'!$F$6:$F$3307,'Stocking details'!$I$6:$I$3307,G494)</x:f>
        <x:v>1500</x:v>
      </x:c>
      <x:c r="F494" s="13" t="n">
        <x:f>COUNTIFS('Stocking details'!$I$6:$I$3307,G494)</x:f>
        <x:v>1</x:v>
      </x:c>
      <x:c r="G494" s="8" t="str">
        <x:f>B494&amp;" / "&amp;C494&amp;" / "&amp;D494</x:f>
        <x:v>6833 / 2024 / TIGER TROUT</x:v>
      </x:c>
    </x:row>
    <x:row r="495" ht="23" customHeight="1">
      <x:c r="A495" s="8" t="str">
        <x:v>Diplomat Mine Pond</x:v>
      </x:c>
      <x:c r="B495" s="8" t="str">
        <x:v>6833</x:v>
      </x:c>
      <x:c r="C495" s="17" t="n">
        <x:v>2023</x:v>
      </x:c>
      <x:c r="D495" s="8" t="str">
        <x:v>RAINBOW TROUT</x:v>
      </x:c>
      <x:c r="E495" s="13" t="n">
        <x:f>SUMIFS('Stocking details'!$F$6:$F$3307,'Stocking details'!$I$6:$I$3307,G495)</x:f>
        <x:v>6509</x:v>
      </x:c>
      <x:c r="F495" s="13" t="n">
        <x:f>COUNTIFS('Stocking details'!$I$6:$I$3307,G495)</x:f>
        <x:v>3</x:v>
      </x:c>
      <x:c r="G495" s="8" t="str">
        <x:f>B495&amp;" / "&amp;C495&amp;" / "&amp;D495</x:f>
        <x:v>6833 / 2023 / RAINBOW TROUT</x:v>
      </x:c>
    </x:row>
    <x:row r="496" ht="23" customHeight="1">
      <x:c r="A496" s="8" t="str">
        <x:v>Diplomat Mine Pond</x:v>
      </x:c>
      <x:c r="B496" s="8" t="str">
        <x:v>6833</x:v>
      </x:c>
      <x:c r="C496" s="17" t="n">
        <x:v>2023</x:v>
      </x:c>
      <x:c r="D496" s="8" t="str">
        <x:v>TIGER TROUT</x:v>
      </x:c>
      <x:c r="E496" s="13" t="n">
        <x:f>SUMIFS('Stocking details'!$F$6:$F$3307,'Stocking details'!$I$6:$I$3307,G496)</x:f>
        <x:v>1500</x:v>
      </x:c>
      <x:c r="F496" s="13" t="n">
        <x:f>COUNTIFS('Stocking details'!$I$6:$I$3307,G496)</x:f>
        <x:v>1</x:v>
      </x:c>
      <x:c r="G496" s="8" t="str">
        <x:f>B496&amp;" / "&amp;C496&amp;" / "&amp;D496</x:f>
        <x:v>6833 / 2023 / TIGER TROUT</x:v>
      </x:c>
    </x:row>
    <x:row r="497" ht="23" customHeight="1">
      <x:c r="A497" s="8" t="str">
        <x:v>Diplomat Mine Pond</x:v>
      </x:c>
      <x:c r="B497" s="8" t="str">
        <x:v>6833</x:v>
      </x:c>
      <x:c r="C497" s="17" t="n">
        <x:v>2022</x:v>
      </x:c>
      <x:c r="D497" s="8" t="str">
        <x:v>RAINBOW TROUT</x:v>
      </x:c>
      <x:c r="E497" s="13" t="n">
        <x:f>SUMIFS('Stocking details'!$F$6:$F$3307,'Stocking details'!$I$6:$I$3307,G497)</x:f>
        <x:v>10000</x:v>
      </x:c>
      <x:c r="F497" s="13" t="n">
        <x:f>COUNTIFS('Stocking details'!$I$6:$I$3307,G497)</x:f>
        <x:v>3</x:v>
      </x:c>
      <x:c r="G497" s="8" t="str">
        <x:f>B497&amp;" / "&amp;C497&amp;" / "&amp;D497</x:f>
        <x:v>6833 / 2022 / RAINBOW TROUT</x:v>
      </x:c>
    </x:row>
    <x:row r="498" ht="23" customHeight="1">
      <x:c r="A498" s="8" t="str">
        <x:v>Diplomat Mine Pond</x:v>
      </x:c>
      <x:c r="B498" s="8" t="str">
        <x:v>6833</x:v>
      </x:c>
      <x:c r="C498" s="17" t="n">
        <x:v>2022</x:v>
      </x:c>
      <x:c r="D498" s="8" t="str">
        <x:v>TIGER TROUT</x:v>
      </x:c>
      <x:c r="E498" s="13" t="n">
        <x:f>SUMIFS('Stocking details'!$F$6:$F$3307,'Stocking details'!$I$6:$I$3307,G498)</x:f>
        <x:v>1500</x:v>
      </x:c>
      <x:c r="F498" s="13" t="n">
        <x:f>COUNTIFS('Stocking details'!$I$6:$I$3307,G498)</x:f>
        <x:v>1</x:v>
      </x:c>
      <x:c r="G498" s="8" t="str">
        <x:f>B498&amp;" / "&amp;C498&amp;" / "&amp;D498</x:f>
        <x:v>6833 / 2022 / TIGER TROUT</x:v>
      </x:c>
    </x:row>
    <x:row r="499" ht="23" customHeight="1">
      <x:c r="A499" s="8" t="str">
        <x:v>Diplomat Mine Pond</x:v>
      </x:c>
      <x:c r="B499" s="8" t="str">
        <x:v>6833</x:v>
      </x:c>
      <x:c r="C499" s="17" t="n">
        <x:v>2021</x:v>
      </x:c>
      <x:c r="D499" s="8" t="str">
        <x:v>RAINBOW TROUT</x:v>
      </x:c>
      <x:c r="E499" s="13" t="n">
        <x:f>SUMIFS('Stocking details'!$F$6:$F$3307,'Stocking details'!$I$6:$I$3307,G499)</x:f>
        <x:v>10260</x:v>
      </x:c>
      <x:c r="F499" s="13" t="n">
        <x:f>COUNTIFS('Stocking details'!$I$6:$I$3307,G499)</x:f>
        <x:v>4</x:v>
      </x:c>
      <x:c r="G499" s="8" t="str">
        <x:f>B499&amp;" / "&amp;C499&amp;" / "&amp;D499</x:f>
        <x:v>6833 / 2021 / RAINBOW TROUT</x:v>
      </x:c>
    </x:row>
    <x:row r="500" ht="23" customHeight="1">
      <x:c r="A500" s="8" t="str">
        <x:v>Diplomat Mine Pond</x:v>
      </x:c>
      <x:c r="B500" s="8" t="str">
        <x:v>6833</x:v>
      </x:c>
      <x:c r="C500" s="17" t="n">
        <x:v>2021</x:v>
      </x:c>
      <x:c r="D500" s="8" t="str">
        <x:v>TIGER TROUT</x:v>
      </x:c>
      <x:c r="E500" s="13" t="n">
        <x:f>SUMIFS('Stocking details'!$F$6:$F$3307,'Stocking details'!$I$6:$I$3307,G500)</x:f>
        <x:v>1500</x:v>
      </x:c>
      <x:c r="F500" s="13" t="n">
        <x:f>COUNTIFS('Stocking details'!$I$6:$I$3307,G500)</x:f>
        <x:v>1</x:v>
      </x:c>
      <x:c r="G500" s="8" t="str">
        <x:f>B500&amp;" / "&amp;C500&amp;" / "&amp;D500</x:f>
        <x:v>6833 / 2021 / TIGER TROUT</x:v>
      </x:c>
    </x:row>
    <x:row r="501" ht="23" customHeight="1">
      <x:c r="A501" s="8" t="str">
        <x:v>Dolberg Lake</x:v>
      </x:c>
      <x:c r="B501" s="8" t="str">
        <x:v>4458</x:v>
      </x:c>
      <x:c r="C501" s="17" t="n">
        <x:v>2026</x:v>
      </x:c>
      <x:c r="D501" s="8" t="str">
        <x:v>BROWN TROUT</x:v>
      </x:c>
      <x:c r="E501" s="13" t="n">
        <x:f>SUMIFS('Stocking details'!$F$6:$F$3307,'Stocking details'!$I$6:$I$3307,G501)</x:f>
        <x:v>2000</x:v>
      </x:c>
      <x:c r="F501" s="13" t="n">
        <x:f>COUNTIFS('Stocking details'!$I$6:$I$3307,G501)</x:f>
        <x:v>1</x:v>
      </x:c>
      <x:c r="G501" s="8" t="str">
        <x:f>B501&amp;" / "&amp;C501&amp;" / "&amp;D501</x:f>
        <x:v>4458 / 2026 / BROWN TROUT</x:v>
      </x:c>
    </x:row>
    <x:row r="502" ht="23" customHeight="1">
      <x:c r="A502" s="8" t="str">
        <x:v>Dolberg Lake</x:v>
      </x:c>
      <x:c r="B502" s="8" t="str">
        <x:v>4458</x:v>
      </x:c>
      <x:c r="C502" s="17" t="n">
        <x:v>2026</x:v>
      </x:c>
      <x:c r="D502" s="8" t="str">
        <x:v>RAINBOW TROUT</x:v>
      </x:c>
      <x:c r="E502" s="13" t="n">
        <x:f>SUMIFS('Stocking details'!$F$6:$F$3307,'Stocking details'!$I$6:$I$3307,G502)</x:f>
        <x:v>8000</x:v>
      </x:c>
      <x:c r="F502" s="13" t="n">
        <x:f>COUNTIFS('Stocking details'!$I$6:$I$3307,G502)</x:f>
        <x:v>1</x:v>
      </x:c>
      <x:c r="G502" s="8" t="str">
        <x:f>B502&amp;" / "&amp;C502&amp;" / "&amp;D502</x:f>
        <x:v>4458 / 2026 / RAINBOW TROUT</x:v>
      </x:c>
    </x:row>
    <x:row r="503" ht="23" customHeight="1">
      <x:c r="A503" s="8" t="str">
        <x:v>Dolberg Lake</x:v>
      </x:c>
      <x:c r="B503" s="8" t="str">
        <x:v>4458</x:v>
      </x:c>
      <x:c r="C503" s="17" t="n">
        <x:v>2026</x:v>
      </x:c>
      <x:c r="D503" s="8" t="str">
        <x:v>TIGER TROUT</x:v>
      </x:c>
      <x:c r="E503" s="13" t="n">
        <x:f>SUMIFS('Stocking details'!$F$6:$F$3307,'Stocking details'!$I$6:$I$3307,G503)</x:f>
        <x:v>2000</x:v>
      </x:c>
      <x:c r="F503" s="13" t="n">
        <x:f>COUNTIFS('Stocking details'!$I$6:$I$3307,G503)</x:f>
        <x:v>1</x:v>
      </x:c>
      <x:c r="G503" s="8" t="str">
        <x:f>B503&amp;" / "&amp;C503&amp;" / "&amp;D503</x:f>
        <x:v>4458 / 2026 / TIGER TROUT</x:v>
      </x:c>
    </x:row>
    <x:row r="504" ht="23" customHeight="1">
      <x:c r="A504" s="8" t="str">
        <x:v>Dolberg Lake</x:v>
      </x:c>
      <x:c r="B504" s="8" t="str">
        <x:v>4458</x:v>
      </x:c>
      <x:c r="C504" s="17" t="n">
        <x:v>2025</x:v>
      </x:c>
      <x:c r="D504" s="8" t="str">
        <x:v>RAINBOW TROUT</x:v>
      </x:c>
      <x:c r="E504" s="13" t="n">
        <x:f>SUMIFS('Stocking details'!$F$6:$F$3307,'Stocking details'!$I$6:$I$3307,G504)</x:f>
        <x:v>8000</x:v>
      </x:c>
      <x:c r="F504" s="13" t="n">
        <x:f>COUNTIFS('Stocking details'!$I$6:$I$3307,G504)</x:f>
        <x:v>1</x:v>
      </x:c>
      <x:c r="G504" s="8" t="str">
        <x:f>B504&amp;" / "&amp;C504&amp;" / "&amp;D504</x:f>
        <x:v>4458 / 2025 / RAINBOW TROUT</x:v>
      </x:c>
    </x:row>
    <x:row r="505" ht="23" customHeight="1">
      <x:c r="A505" s="8" t="str">
        <x:v>Dolberg Lake</x:v>
      </x:c>
      <x:c r="B505" s="8" t="str">
        <x:v>4458</x:v>
      </x:c>
      <x:c r="C505" s="17" t="n">
        <x:v>2024</x:v>
      </x:c>
      <x:c r="D505" s="8" t="str">
        <x:v>BROWN TROUT</x:v>
      </x:c>
      <x:c r="E505" s="13" t="n">
        <x:f>SUMIFS('Stocking details'!$F$6:$F$3307,'Stocking details'!$I$6:$I$3307,G505)</x:f>
        <x:v>1400</x:v>
      </x:c>
      <x:c r="F505" s="13" t="n">
        <x:f>COUNTIFS('Stocking details'!$I$6:$I$3307,G505)</x:f>
        <x:v>1</x:v>
      </x:c>
      <x:c r="G505" s="8" t="str">
        <x:f>B505&amp;" / "&amp;C505&amp;" / "&amp;D505</x:f>
        <x:v>4458 / 2024 / BROWN TROUT</x:v>
      </x:c>
    </x:row>
    <x:row r="506" ht="23" customHeight="1">
      <x:c r="A506" s="8" t="str">
        <x:v>Dolberg Lake</x:v>
      </x:c>
      <x:c r="B506" s="8" t="str">
        <x:v>4458</x:v>
      </x:c>
      <x:c r="C506" s="17" t="n">
        <x:v>2024</x:v>
      </x:c>
      <x:c r="D506" s="8" t="str">
        <x:v>RAINBOW TROUT</x:v>
      </x:c>
      <x:c r="E506" s="13" t="n">
        <x:f>SUMIFS('Stocking details'!$F$6:$F$3307,'Stocking details'!$I$6:$I$3307,G506)</x:f>
        <x:v>13200</x:v>
      </x:c>
      <x:c r="F506" s="13" t="n">
        <x:f>COUNTIFS('Stocking details'!$I$6:$I$3307,G506)</x:f>
        <x:v>3</x:v>
      </x:c>
      <x:c r="G506" s="8" t="str">
        <x:f>B506&amp;" / "&amp;C506&amp;" / "&amp;D506</x:f>
        <x:v>4458 / 2024 / RAINBOW TROUT</x:v>
      </x:c>
    </x:row>
    <x:row r="507" ht="23" customHeight="1">
      <x:c r="A507" s="8" t="str">
        <x:v>Dolberg Lake</x:v>
      </x:c>
      <x:c r="B507" s="8" t="str">
        <x:v>4458</x:v>
      </x:c>
      <x:c r="C507" s="17" t="n">
        <x:v>2024</x:v>
      </x:c>
      <x:c r="D507" s="8" t="str">
        <x:v>TIGER TROUT</x:v>
      </x:c>
      <x:c r="E507" s="13" t="n">
        <x:f>SUMIFS('Stocking details'!$F$6:$F$3307,'Stocking details'!$I$6:$I$3307,G507)</x:f>
        <x:v>9155</x:v>
      </x:c>
      <x:c r="F507" s="13" t="n">
        <x:f>COUNTIFS('Stocking details'!$I$6:$I$3307,G507)</x:f>
        <x:v>2</x:v>
      </x:c>
      <x:c r="G507" s="8" t="str">
        <x:f>B507&amp;" / "&amp;C507&amp;" / "&amp;D507</x:f>
        <x:v>4458 / 2024 / TIGER TROUT</x:v>
      </x:c>
    </x:row>
    <x:row r="508" ht="23" customHeight="1">
      <x:c r="A508" s="8" t="str">
        <x:v>Dolberg Lake</x:v>
      </x:c>
      <x:c r="B508" s="8" t="str">
        <x:v>4458</x:v>
      </x:c>
      <x:c r="C508" s="17" t="n">
        <x:v>2023</x:v>
      </x:c>
      <x:c r="D508" s="8" t="str">
        <x:v>RAINBOW TROUT</x:v>
      </x:c>
      <x:c r="E508" s="13" t="n">
        <x:f>SUMIFS('Stocking details'!$F$6:$F$3307,'Stocking details'!$I$6:$I$3307,G508)</x:f>
        <x:v>8192</x:v>
      </x:c>
      <x:c r="F508" s="13" t="n">
        <x:f>COUNTIFS('Stocking details'!$I$6:$I$3307,G508)</x:f>
        <x:v>2</x:v>
      </x:c>
      <x:c r="G508" s="8" t="str">
        <x:f>B508&amp;" / "&amp;C508&amp;" / "&amp;D508</x:f>
        <x:v>4458 / 2023 / RAINBOW TROUT</x:v>
      </x:c>
    </x:row>
    <x:row r="509" ht="23" customHeight="1">
      <x:c r="A509" s="8" t="str">
        <x:v>Dolberg Lake</x:v>
      </x:c>
      <x:c r="B509" s="8" t="str">
        <x:v>4458</x:v>
      </x:c>
      <x:c r="C509" s="17" t="n">
        <x:v>2022</x:v>
      </x:c>
      <x:c r="D509" s="8" t="str">
        <x:v>BROWN TROUT</x:v>
      </x:c>
      <x:c r="E509" s="13" t="n">
        <x:f>SUMIFS('Stocking details'!$F$6:$F$3307,'Stocking details'!$I$6:$I$3307,G509)</x:f>
        <x:v>2000</x:v>
      </x:c>
      <x:c r="F509" s="13" t="n">
        <x:f>COUNTIFS('Stocking details'!$I$6:$I$3307,G509)</x:f>
        <x:v>1</x:v>
      </x:c>
      <x:c r="G509" s="8" t="str">
        <x:f>B509&amp;" / "&amp;C509&amp;" / "&amp;D509</x:f>
        <x:v>4458 / 2022 / BROWN TROUT</x:v>
      </x:c>
    </x:row>
    <x:row r="510" ht="23" customHeight="1">
      <x:c r="A510" s="8" t="str">
        <x:v>Dolberg Lake</x:v>
      </x:c>
      <x:c r="B510" s="8" t="str">
        <x:v>4458</x:v>
      </x:c>
      <x:c r="C510" s="17" t="n">
        <x:v>2022</x:v>
      </x:c>
      <x:c r="D510" s="8" t="str">
        <x:v>RAINBOW TROUT</x:v>
      </x:c>
      <x:c r="E510" s="13" t="n">
        <x:f>SUMIFS('Stocking details'!$F$6:$F$3307,'Stocking details'!$I$6:$I$3307,G510)</x:f>
        <x:v>8000</x:v>
      </x:c>
      <x:c r="F510" s="13" t="n">
        <x:f>COUNTIFS('Stocking details'!$I$6:$I$3307,G510)</x:f>
        <x:v>1</x:v>
      </x:c>
      <x:c r="G510" s="8" t="str">
        <x:f>B510&amp;" / "&amp;C510&amp;" / "&amp;D510</x:f>
        <x:v>4458 / 2022 / RAINBOW TROUT</x:v>
      </x:c>
    </x:row>
    <x:row r="511" ht="23" customHeight="1">
      <x:c r="A511" s="8" t="str">
        <x:v>Dolberg Lake</x:v>
      </x:c>
      <x:c r="B511" s="8" t="str">
        <x:v>4458</x:v>
      </x:c>
      <x:c r="C511" s="17" t="n">
        <x:v>2022</x:v>
      </x:c>
      <x:c r="D511" s="8" t="str">
        <x:v>TIGER TROUT</x:v>
      </x:c>
      <x:c r="E511" s="13" t="n">
        <x:f>SUMIFS('Stocking details'!$F$6:$F$3307,'Stocking details'!$I$6:$I$3307,G511)</x:f>
        <x:v>2000</x:v>
      </x:c>
      <x:c r="F511" s="13" t="n">
        <x:f>COUNTIFS('Stocking details'!$I$6:$I$3307,G511)</x:f>
        <x:v>1</x:v>
      </x:c>
      <x:c r="G511" s="8" t="str">
        <x:f>B511&amp;" / "&amp;C511&amp;" / "&amp;D511</x:f>
        <x:v>4458 / 2022 / TIGER TROUT</x:v>
      </x:c>
    </x:row>
    <x:row r="512" ht="23" customHeight="1">
      <x:c r="A512" s="8" t="str">
        <x:v>Dolberg Lake</x:v>
      </x:c>
      <x:c r="B512" s="8" t="str">
        <x:v>4458</x:v>
      </x:c>
      <x:c r="C512" s="17" t="n">
        <x:v>2021</x:v>
      </x:c>
      <x:c r="D512" s="8" t="str">
        <x:v>RAINBOW TROUT</x:v>
      </x:c>
      <x:c r="E512" s="13" t="n">
        <x:f>SUMIFS('Stocking details'!$F$6:$F$3307,'Stocking details'!$I$6:$I$3307,G512)</x:f>
        <x:v>8000</x:v>
      </x:c>
      <x:c r="F512" s="13" t="n">
        <x:f>COUNTIFS('Stocking details'!$I$6:$I$3307,G512)</x:f>
        <x:v>1</x:v>
      </x:c>
      <x:c r="G512" s="8" t="str">
        <x:f>B512&amp;" / "&amp;C512&amp;" / "&amp;D512</x:f>
        <x:v>4458 / 2021 / RAINBOW TROUT</x:v>
      </x:c>
    </x:row>
    <x:row r="513" ht="23" customHeight="1">
      <x:c r="A513" s="8" t="str">
        <x:v>Dormer Lake</x:v>
      </x:c>
      <x:c r="B513" s="8" t="str">
        <x:v>6836</x:v>
      </x:c>
      <x:c r="C513" s="17" t="n">
        <x:v>2022</x:v>
      </x:c>
      <x:c r="D513" s="8" t="str">
        <x:v>CUTTHROAT TROUT</x:v>
      </x:c>
      <x:c r="E513" s="13" t="n">
        <x:f>SUMIFS('Stocking details'!$F$6:$F$3307,'Stocking details'!$I$6:$I$3307,G513)</x:f>
        <x:v>1500</x:v>
      </x:c>
      <x:c r="F513" s="13" t="n">
        <x:f>COUNTIFS('Stocking details'!$I$6:$I$3307,G513)</x:f>
        <x:v>1</x:v>
      </x:c>
      <x:c r="G513" s="8" t="str">
        <x:f>B513&amp;" / "&amp;C513&amp;" / "&amp;D513</x:f>
        <x:v>6836 / 2022 / CUTTHROAT TROUT</x:v>
      </x:c>
    </x:row>
    <x:row r="514" ht="23" customHeight="1">
      <x:c r="A514" s="8" t="str">
        <x:v>Dunn Lake</x:v>
      </x:c>
      <x:c r="B514" s="8" t="str">
        <x:v>4488</x:v>
      </x:c>
      <x:c r="C514" s="17" t="n">
        <x:v>2026</x:v>
      </x:c>
      <x:c r="D514" s="8" t="str">
        <x:v>BROOK TROUT</x:v>
      </x:c>
      <x:c r="E514" s="13" t="n">
        <x:f>SUMIFS('Stocking details'!$F$6:$F$3307,'Stocking details'!$I$6:$I$3307,G514)</x:f>
        <x:v>3000</x:v>
      </x:c>
      <x:c r="F514" s="13" t="n">
        <x:f>COUNTIFS('Stocking details'!$I$6:$I$3307,G514)</x:f>
        <x:v>1</x:v>
      </x:c>
      <x:c r="G514" s="8" t="str">
        <x:f>B514&amp;" / "&amp;C514&amp;" / "&amp;D514</x:f>
        <x:v>4488 / 2026 / BROOK TROUT</x:v>
      </x:c>
    </x:row>
    <x:row r="515" ht="23" customHeight="1">
      <x:c r="A515" s="8" t="str">
        <x:v>Dunn Lake</x:v>
      </x:c>
      <x:c r="B515" s="8" t="str">
        <x:v>4488</x:v>
      </x:c>
      <x:c r="C515" s="17" t="n">
        <x:v>2025</x:v>
      </x:c>
      <x:c r="D515" s="8" t="str">
        <x:v>BROOK TROUT</x:v>
      </x:c>
      <x:c r="E515" s="13" t="n">
        <x:f>SUMIFS('Stocking details'!$F$6:$F$3307,'Stocking details'!$I$6:$I$3307,G515)</x:f>
        <x:v>3000</x:v>
      </x:c>
      <x:c r="F515" s="13" t="n">
        <x:f>COUNTIFS('Stocking details'!$I$6:$I$3307,G515)</x:f>
        <x:v>1</x:v>
      </x:c>
      <x:c r="G515" s="8" t="str">
        <x:f>B515&amp;" / "&amp;C515&amp;" / "&amp;D515</x:f>
        <x:v>4488 / 2025 / BROOK TROUT</x:v>
      </x:c>
    </x:row>
    <x:row r="516" ht="23" customHeight="1">
      <x:c r="A516" s="8" t="str">
        <x:v>Dunn Lake</x:v>
      </x:c>
      <x:c r="B516" s="8" t="str">
        <x:v>4488</x:v>
      </x:c>
      <x:c r="C516" s="17" t="n">
        <x:v>2024</x:v>
      </x:c>
      <x:c r="D516" s="8" t="str">
        <x:v>BROOK TROUT</x:v>
      </x:c>
      <x:c r="E516" s="13" t="n">
        <x:f>SUMIFS('Stocking details'!$F$6:$F$3307,'Stocking details'!$I$6:$I$3307,G516)</x:f>
        <x:v>1500</x:v>
      </x:c>
      <x:c r="F516" s="13" t="n">
        <x:f>COUNTIFS('Stocking details'!$I$6:$I$3307,G516)</x:f>
        <x:v>1</x:v>
      </x:c>
      <x:c r="G516" s="8" t="str">
        <x:f>B516&amp;" / "&amp;C516&amp;" / "&amp;D516</x:f>
        <x:v>4488 / 2024 / BROOK TROUT</x:v>
      </x:c>
    </x:row>
    <x:row r="517" ht="23" customHeight="1">
      <x:c r="A517" s="8" t="str">
        <x:v>Dunn Lake</x:v>
      </x:c>
      <x:c r="B517" s="8" t="str">
        <x:v>4488</x:v>
      </x:c>
      <x:c r="C517" s="17" t="n">
        <x:v>2023</x:v>
      </x:c>
      <x:c r="D517" s="8" t="str">
        <x:v>BROOK TROUT</x:v>
      </x:c>
      <x:c r="E517" s="13" t="n">
        <x:f>SUMIFS('Stocking details'!$F$6:$F$3307,'Stocking details'!$I$6:$I$3307,G517)</x:f>
        <x:v>2000</x:v>
      </x:c>
      <x:c r="F517" s="13" t="n">
        <x:f>COUNTIFS('Stocking details'!$I$6:$I$3307,G517)</x:f>
        <x:v>1</x:v>
      </x:c>
      <x:c r="G517" s="8" t="str">
        <x:f>B517&amp;" / "&amp;C517&amp;" / "&amp;D517</x:f>
        <x:v>4488 / 2023 / BROOK TROUT</x:v>
      </x:c>
    </x:row>
    <x:row r="518" ht="23" customHeight="1">
      <x:c r="A518" s="8" t="str">
        <x:v>Dunn Lake</x:v>
      </x:c>
      <x:c r="B518" s="8" t="str">
        <x:v>4488</x:v>
      </x:c>
      <x:c r="C518" s="17" t="n">
        <x:v>2022</x:v>
      </x:c>
      <x:c r="D518" s="8" t="str">
        <x:v>BROOK TROUT</x:v>
      </x:c>
      <x:c r="E518" s="13" t="n">
        <x:f>SUMIFS('Stocking details'!$F$6:$F$3307,'Stocking details'!$I$6:$I$3307,G518)</x:f>
        <x:v>3000</x:v>
      </x:c>
      <x:c r="F518" s="13" t="n">
        <x:f>COUNTIFS('Stocking details'!$I$6:$I$3307,G518)</x:f>
        <x:v>1</x:v>
      </x:c>
      <x:c r="G518" s="8" t="str">
        <x:f>B518&amp;" / "&amp;C518&amp;" / "&amp;D518</x:f>
        <x:v>4488 / 2022 / BROOK TROUT</x:v>
      </x:c>
    </x:row>
    <x:row r="519" ht="23" customHeight="1">
      <x:c r="A519" s="8" t="str">
        <x:v>Dunn Lake</x:v>
      </x:c>
      <x:c r="B519" s="8" t="str">
        <x:v>4488</x:v>
      </x:c>
      <x:c r="C519" s="17" t="n">
        <x:v>2021</x:v>
      </x:c>
      <x:c r="D519" s="8" t="str">
        <x:v>BROOK TROUT</x:v>
      </x:c>
      <x:c r="E519" s="13" t="n">
        <x:f>SUMIFS('Stocking details'!$F$6:$F$3307,'Stocking details'!$I$6:$I$3307,G519)</x:f>
        <x:v>3000</x:v>
      </x:c>
      <x:c r="F519" s="13" t="n">
        <x:f>COUNTIFS('Stocking details'!$I$6:$I$3307,G519)</x:f>
        <x:v>1</x:v>
      </x:c>
      <x:c r="G519" s="8" t="str">
        <x:f>B519&amp;" / "&amp;C519&amp;" / "&amp;D519</x:f>
        <x:v>4488 / 2021 / BROOK TROUT</x:v>
      </x:c>
    </x:row>
    <x:row r="520" ht="23" customHeight="1">
      <x:c r="A520" s="8" t="str">
        <x:v>Eagle Lake</x:v>
      </x:c>
      <x:c r="B520" s="8" t="str">
        <x:v>4495</x:v>
      </x:c>
      <x:c r="C520" s="17" t="n">
        <x:v>2025</x:v>
      </x:c>
      <x:c r="D520" s="8" t="str">
        <x:v>CUTTHROAT TROUT</x:v>
      </x:c>
      <x:c r="E520" s="13" t="n">
        <x:f>SUMIFS('Stocking details'!$F$6:$F$3307,'Stocking details'!$I$6:$I$3307,G520)</x:f>
        <x:v>750</x:v>
      </x:c>
      <x:c r="F520" s="13" t="n">
        <x:f>COUNTIFS('Stocking details'!$I$6:$I$3307,G520)</x:f>
        <x:v>1</x:v>
      </x:c>
      <x:c r="G520" s="8" t="str">
        <x:f>B520&amp;" / "&amp;C520&amp;" / "&amp;D520</x:f>
        <x:v>4495 / 2025 / CUTTHROAT TROUT</x:v>
      </x:c>
    </x:row>
    <x:row r="521" ht="23" customHeight="1">
      <x:c r="A521" s="8" t="str">
        <x:v>Eagle Lake</x:v>
      </x:c>
      <x:c r="B521" s="8" t="str">
        <x:v>4495</x:v>
      </x:c>
      <x:c r="C521" s="17" t="n">
        <x:v>2023</x:v>
      </x:c>
      <x:c r="D521" s="8" t="str">
        <x:v>CUTTHROAT TROUT</x:v>
      </x:c>
      <x:c r="E521" s="13" t="n">
        <x:f>SUMIFS('Stocking details'!$F$6:$F$3307,'Stocking details'!$I$6:$I$3307,G521)</x:f>
        <x:v>1500</x:v>
      </x:c>
      <x:c r="F521" s="13" t="n">
        <x:f>COUNTIFS('Stocking details'!$I$6:$I$3307,G521)</x:f>
        <x:v>1</x:v>
      </x:c>
      <x:c r="G521" s="8" t="str">
        <x:f>B521&amp;" / "&amp;C521&amp;" / "&amp;D521</x:f>
        <x:v>4495 / 2023 / CUTTHROAT TROUT</x:v>
      </x:c>
    </x:row>
    <x:row r="522" ht="23" customHeight="1">
      <x:c r="A522" s="8" t="str">
        <x:v>Eagle Lake</x:v>
      </x:c>
      <x:c r="B522" s="8" t="str">
        <x:v>4495</x:v>
      </x:c>
      <x:c r="C522" s="17" t="n">
        <x:v>2021</x:v>
      </x:c>
      <x:c r="D522" s="8" t="str">
        <x:v>CUTTHROAT TROUT</x:v>
      </x:c>
      <x:c r="E522" s="13" t="n">
        <x:f>SUMIFS('Stocking details'!$F$6:$F$3307,'Stocking details'!$I$6:$I$3307,G522)</x:f>
        <x:v>7500</x:v>
      </x:c>
      <x:c r="F522" s="13" t="n">
        <x:f>COUNTIFS('Stocking details'!$I$6:$I$3307,G522)</x:f>
        <x:v>1</x:v>
      </x:c>
      <x:c r="G522" s="8" t="str">
        <x:f>B522&amp;" / "&amp;C522&amp;" / "&amp;D522</x:f>
        <x:v>4495 / 2021 / CUTTHROAT TROUT</x:v>
      </x:c>
    </x:row>
    <x:row r="523" ht="23" customHeight="1">
      <x:c r="A523" s="8" t="str">
        <x:v>East Dollar Lake</x:v>
      </x:c>
      <x:c r="B523" s="8" t="str">
        <x:v>4460</x:v>
      </x:c>
      <x:c r="C523" s="17" t="n">
        <x:v>2026</x:v>
      </x:c>
      <x:c r="D523" s="8" t="str">
        <x:v>BROWN TROUT</x:v>
      </x:c>
      <x:c r="E523" s="13" t="n">
        <x:f>SUMIFS('Stocking details'!$F$6:$F$3307,'Stocking details'!$I$6:$I$3307,G523)</x:f>
        <x:v>500</x:v>
      </x:c>
      <x:c r="F523" s="13" t="n">
        <x:f>COUNTIFS('Stocking details'!$I$6:$I$3307,G523)</x:f>
        <x:v>1</x:v>
      </x:c>
      <x:c r="G523" s="8" t="str">
        <x:f>B523&amp;" / "&amp;C523&amp;" / "&amp;D523</x:f>
        <x:v>4460 / 2026 / BROWN TROUT</x:v>
      </x:c>
    </x:row>
    <x:row r="524" ht="23" customHeight="1">
      <x:c r="A524" s="8" t="str">
        <x:v>East Dollar Lake</x:v>
      </x:c>
      <x:c r="B524" s="8" t="str">
        <x:v>4460</x:v>
      </x:c>
      <x:c r="C524" s="17" t="n">
        <x:v>2026</x:v>
      </x:c>
      <x:c r="D524" s="8" t="str">
        <x:v>RAINBOW TROUT</x:v>
      </x:c>
      <x:c r="E524" s="13" t="n">
        <x:f>SUMIFS('Stocking details'!$F$6:$F$3307,'Stocking details'!$I$6:$I$3307,G524)</x:f>
        <x:v>3000</x:v>
      </x:c>
      <x:c r="F524" s="13" t="n">
        <x:f>COUNTIFS('Stocking details'!$I$6:$I$3307,G524)</x:f>
        <x:v>1</x:v>
      </x:c>
      <x:c r="G524" s="8" t="str">
        <x:f>B524&amp;" / "&amp;C524&amp;" / "&amp;D524</x:f>
        <x:v>4460 / 2026 / RAINBOW TROUT</x:v>
      </x:c>
    </x:row>
    <x:row r="525" ht="23" customHeight="1">
      <x:c r="A525" s="8" t="str">
        <x:v>East Dollar Lake</x:v>
      </x:c>
      <x:c r="B525" s="8" t="str">
        <x:v>4460</x:v>
      </x:c>
      <x:c r="C525" s="17" t="n">
        <x:v>2026</x:v>
      </x:c>
      <x:c r="D525" s="8" t="str">
        <x:v>TIGER TROUT</x:v>
      </x:c>
      <x:c r="E525" s="13" t="n">
        <x:f>SUMIFS('Stocking details'!$F$6:$F$3307,'Stocking details'!$I$6:$I$3307,G525)</x:f>
        <x:v>300</x:v>
      </x:c>
      <x:c r="F525" s="13" t="n">
        <x:f>COUNTIFS('Stocking details'!$I$6:$I$3307,G525)</x:f>
        <x:v>1</x:v>
      </x:c>
      <x:c r="G525" s="8" t="str">
        <x:f>B525&amp;" / "&amp;C525&amp;" / "&amp;D525</x:f>
        <x:v>4460 / 2026 / TIGER TROUT</x:v>
      </x:c>
    </x:row>
    <x:row r="526" ht="23" customHeight="1">
      <x:c r="A526" s="8" t="str">
        <x:v>East Dollar Lake</x:v>
      </x:c>
      <x:c r="B526" s="8" t="str">
        <x:v>4460</x:v>
      </x:c>
      <x:c r="C526" s="17" t="n">
        <x:v>2025</x:v>
      </x:c>
      <x:c r="D526" s="8" t="str">
        <x:v>BROWN TROUT</x:v>
      </x:c>
      <x:c r="E526" s="13" t="n">
        <x:f>SUMIFS('Stocking details'!$F$6:$F$3307,'Stocking details'!$I$6:$I$3307,G526)</x:f>
        <x:v>500</x:v>
      </x:c>
      <x:c r="F526" s="13" t="n">
        <x:f>COUNTIFS('Stocking details'!$I$6:$I$3307,G526)</x:f>
        <x:v>1</x:v>
      </x:c>
      <x:c r="G526" s="8" t="str">
        <x:f>B526&amp;" / "&amp;C526&amp;" / "&amp;D526</x:f>
        <x:v>4460 / 2025 / BROWN TROUT</x:v>
      </x:c>
    </x:row>
    <x:row r="527" ht="23" customHeight="1">
      <x:c r="A527" s="8" t="str">
        <x:v>East Dollar Lake</x:v>
      </x:c>
      <x:c r="B527" s="8" t="str">
        <x:v>4460</x:v>
      </x:c>
      <x:c r="C527" s="17" t="n">
        <x:v>2025</x:v>
      </x:c>
      <x:c r="D527" s="8" t="str">
        <x:v>RAINBOW TROUT</x:v>
      </x:c>
      <x:c r="E527" s="13" t="n">
        <x:f>SUMIFS('Stocking details'!$F$6:$F$3307,'Stocking details'!$I$6:$I$3307,G527)</x:f>
        <x:v>3000</x:v>
      </x:c>
      <x:c r="F527" s="13" t="n">
        <x:f>COUNTIFS('Stocking details'!$I$6:$I$3307,G527)</x:f>
        <x:v>1</x:v>
      </x:c>
      <x:c r="G527" s="8" t="str">
        <x:f>B527&amp;" / "&amp;C527&amp;" / "&amp;D527</x:f>
        <x:v>4460 / 2025 / RAINBOW TROUT</x:v>
      </x:c>
    </x:row>
    <x:row r="528" ht="23" customHeight="1">
      <x:c r="A528" s="8" t="str">
        <x:v>East Dollar Lake</x:v>
      </x:c>
      <x:c r="B528" s="8" t="str">
        <x:v>4460</x:v>
      </x:c>
      <x:c r="C528" s="17" t="n">
        <x:v>2025</x:v>
      </x:c>
      <x:c r="D528" s="8" t="str">
        <x:v>TIGER TROUT</x:v>
      </x:c>
      <x:c r="E528" s="13" t="n">
        <x:f>SUMIFS('Stocking details'!$F$6:$F$3307,'Stocking details'!$I$6:$I$3307,G528)</x:f>
        <x:v>300</x:v>
      </x:c>
      <x:c r="F528" s="13" t="n">
        <x:f>COUNTIFS('Stocking details'!$I$6:$I$3307,G528)</x:f>
        <x:v>1</x:v>
      </x:c>
      <x:c r="G528" s="8" t="str">
        <x:f>B528&amp;" / "&amp;C528&amp;" / "&amp;D528</x:f>
        <x:v>4460 / 2025 / TIGER TROUT</x:v>
      </x:c>
    </x:row>
    <x:row r="529" ht="23" customHeight="1">
      <x:c r="A529" s="8" t="str">
        <x:v>East Dollar Lake</x:v>
      </x:c>
      <x:c r="B529" s="8" t="str">
        <x:v>4460</x:v>
      </x:c>
      <x:c r="C529" s="17" t="n">
        <x:v>2024</x:v>
      </x:c>
      <x:c r="D529" s="8" t="str">
        <x:v>BROWN TROUT</x:v>
      </x:c>
      <x:c r="E529" s="13" t="n">
        <x:f>SUMIFS('Stocking details'!$F$6:$F$3307,'Stocking details'!$I$6:$I$3307,G529)</x:f>
        <x:v>500</x:v>
      </x:c>
      <x:c r="F529" s="13" t="n">
        <x:f>COUNTIFS('Stocking details'!$I$6:$I$3307,G529)</x:f>
        <x:v>1</x:v>
      </x:c>
      <x:c r="G529" s="8" t="str">
        <x:f>B529&amp;" / "&amp;C529&amp;" / "&amp;D529</x:f>
        <x:v>4460 / 2024 / BROWN TROUT</x:v>
      </x:c>
    </x:row>
    <x:row r="530" ht="23" customHeight="1">
      <x:c r="A530" s="8" t="str">
        <x:v>East Dollar Lake</x:v>
      </x:c>
      <x:c r="B530" s="8" t="str">
        <x:v>4460</x:v>
      </x:c>
      <x:c r="C530" s="17" t="n">
        <x:v>2024</x:v>
      </x:c>
      <x:c r="D530" s="8" t="str">
        <x:v>RAINBOW TROUT</x:v>
      </x:c>
      <x:c r="E530" s="13" t="n">
        <x:f>SUMIFS('Stocking details'!$F$6:$F$3307,'Stocking details'!$I$6:$I$3307,G530)</x:f>
        <x:v>1500</x:v>
      </x:c>
      <x:c r="F530" s="13" t="n">
        <x:f>COUNTIFS('Stocking details'!$I$6:$I$3307,G530)</x:f>
        <x:v>1</x:v>
      </x:c>
      <x:c r="G530" s="8" t="str">
        <x:f>B530&amp;" / "&amp;C530&amp;" / "&amp;D530</x:f>
        <x:v>4460 / 2024 / RAINBOW TROUT</x:v>
      </x:c>
    </x:row>
    <x:row r="531" ht="23" customHeight="1">
      <x:c r="A531" s="8" t="str">
        <x:v>East Dollar Lake</x:v>
      </x:c>
      <x:c r="B531" s="8" t="str">
        <x:v>4460</x:v>
      </x:c>
      <x:c r="C531" s="17" t="n">
        <x:v>2024</x:v>
      </x:c>
      <x:c r="D531" s="8" t="str">
        <x:v>TIGER TROUT</x:v>
      </x:c>
      <x:c r="E531" s="13" t="n">
        <x:f>SUMIFS('Stocking details'!$F$6:$F$3307,'Stocking details'!$I$6:$I$3307,G531)</x:f>
        <x:v>300</x:v>
      </x:c>
      <x:c r="F531" s="13" t="n">
        <x:f>COUNTIFS('Stocking details'!$I$6:$I$3307,G531)</x:f>
        <x:v>1</x:v>
      </x:c>
      <x:c r="G531" s="8" t="str">
        <x:f>B531&amp;" / "&amp;C531&amp;" / "&amp;D531</x:f>
        <x:v>4460 / 2024 / TIGER TROUT</x:v>
      </x:c>
    </x:row>
    <x:row r="532" ht="23" customHeight="1">
      <x:c r="A532" s="8" t="str">
        <x:v>East Dollar Lake</x:v>
      </x:c>
      <x:c r="B532" s="8" t="str">
        <x:v>4460</x:v>
      </x:c>
      <x:c r="C532" s="17" t="n">
        <x:v>2023</x:v>
      </x:c>
      <x:c r="D532" s="8" t="str">
        <x:v>BROWN TROUT</x:v>
      </x:c>
      <x:c r="E532" s="13" t="n">
        <x:f>SUMIFS('Stocking details'!$F$6:$F$3307,'Stocking details'!$I$6:$I$3307,G532)</x:f>
        <x:v>500</x:v>
      </x:c>
      <x:c r="F532" s="13" t="n">
        <x:f>COUNTIFS('Stocking details'!$I$6:$I$3307,G532)</x:f>
        <x:v>1</x:v>
      </x:c>
      <x:c r="G532" s="8" t="str">
        <x:f>B532&amp;" / "&amp;C532&amp;" / "&amp;D532</x:f>
        <x:v>4460 / 2023 / BROWN TROUT</x:v>
      </x:c>
    </x:row>
    <x:row r="533" ht="23" customHeight="1">
      <x:c r="A533" s="8" t="str">
        <x:v>East Dollar Lake</x:v>
      </x:c>
      <x:c r="B533" s="8" t="str">
        <x:v>4460</x:v>
      </x:c>
      <x:c r="C533" s="17" t="n">
        <x:v>2023</x:v>
      </x:c>
      <x:c r="D533" s="8" t="str">
        <x:v>RAINBOW TROUT</x:v>
      </x:c>
      <x:c r="E533" s="13" t="n">
        <x:f>SUMIFS('Stocking details'!$F$6:$F$3307,'Stocking details'!$I$6:$I$3307,G533)</x:f>
        <x:v>1506</x:v>
      </x:c>
      <x:c r="F533" s="13" t="n">
        <x:f>COUNTIFS('Stocking details'!$I$6:$I$3307,G533)</x:f>
        <x:v>1</x:v>
      </x:c>
      <x:c r="G533" s="8" t="str">
        <x:f>B533&amp;" / "&amp;C533&amp;" / "&amp;D533</x:f>
        <x:v>4460 / 2023 / RAINBOW TROUT</x:v>
      </x:c>
    </x:row>
    <x:row r="534" ht="23" customHeight="1">
      <x:c r="A534" s="8" t="str">
        <x:v>East Dollar Lake</x:v>
      </x:c>
      <x:c r="B534" s="8" t="str">
        <x:v>4460</x:v>
      </x:c>
      <x:c r="C534" s="17" t="n">
        <x:v>2023</x:v>
      </x:c>
      <x:c r="D534" s="8" t="str">
        <x:v>TIGER TROUT</x:v>
      </x:c>
      <x:c r="E534" s="13" t="n">
        <x:f>SUMIFS('Stocking details'!$F$6:$F$3307,'Stocking details'!$I$6:$I$3307,G534)</x:f>
        <x:v>300</x:v>
      </x:c>
      <x:c r="F534" s="13" t="n">
        <x:f>COUNTIFS('Stocking details'!$I$6:$I$3307,G534)</x:f>
        <x:v>1</x:v>
      </x:c>
      <x:c r="G534" s="8" t="str">
        <x:f>B534&amp;" / "&amp;C534&amp;" / "&amp;D534</x:f>
        <x:v>4460 / 2023 / TIGER TROUT</x:v>
      </x:c>
    </x:row>
    <x:row r="535" ht="23" customHeight="1">
      <x:c r="A535" s="8" t="str">
        <x:v>East Dollar Lake</x:v>
      </x:c>
      <x:c r="B535" s="8" t="str">
        <x:v>4460</x:v>
      </x:c>
      <x:c r="C535" s="17" t="n">
        <x:v>2022</x:v>
      </x:c>
      <x:c r="D535" s="8" t="str">
        <x:v>BROWN TROUT</x:v>
      </x:c>
      <x:c r="E535" s="13" t="n">
        <x:f>SUMIFS('Stocking details'!$F$6:$F$3307,'Stocking details'!$I$6:$I$3307,G535)</x:f>
        <x:v>500</x:v>
      </x:c>
      <x:c r="F535" s="13" t="n">
        <x:f>COUNTIFS('Stocking details'!$I$6:$I$3307,G535)</x:f>
        <x:v>1</x:v>
      </x:c>
      <x:c r="G535" s="8" t="str">
        <x:f>B535&amp;" / "&amp;C535&amp;" / "&amp;D535</x:f>
        <x:v>4460 / 2022 / BROWN TROUT</x:v>
      </x:c>
    </x:row>
    <x:row r="536" ht="23" customHeight="1">
      <x:c r="A536" s="8" t="str">
        <x:v>East Dollar Lake</x:v>
      </x:c>
      <x:c r="B536" s="8" t="str">
        <x:v>4460</x:v>
      </x:c>
      <x:c r="C536" s="17" t="n">
        <x:v>2022</x:v>
      </x:c>
      <x:c r="D536" s="8" t="str">
        <x:v>RAINBOW TROUT</x:v>
      </x:c>
      <x:c r="E536" s="13" t="n">
        <x:f>SUMIFS('Stocking details'!$F$6:$F$3307,'Stocking details'!$I$6:$I$3307,G536)</x:f>
        <x:v>3000</x:v>
      </x:c>
      <x:c r="F536" s="13" t="n">
        <x:f>COUNTIFS('Stocking details'!$I$6:$I$3307,G536)</x:f>
        <x:v>1</x:v>
      </x:c>
      <x:c r="G536" s="8" t="str">
        <x:f>B536&amp;" / "&amp;C536&amp;" / "&amp;D536</x:f>
        <x:v>4460 / 2022 / RAINBOW TROUT</x:v>
      </x:c>
    </x:row>
    <x:row r="537" ht="23" customHeight="1">
      <x:c r="A537" s="8" t="str">
        <x:v>East Dollar Lake</x:v>
      </x:c>
      <x:c r="B537" s="8" t="str">
        <x:v>4460</x:v>
      </x:c>
      <x:c r="C537" s="17" t="n">
        <x:v>2022</x:v>
      </x:c>
      <x:c r="D537" s="8" t="str">
        <x:v>TIGER TROUT</x:v>
      </x:c>
      <x:c r="E537" s="13" t="n">
        <x:f>SUMIFS('Stocking details'!$F$6:$F$3307,'Stocking details'!$I$6:$I$3307,G537)</x:f>
        <x:v>300</x:v>
      </x:c>
      <x:c r="F537" s="13" t="n">
        <x:f>COUNTIFS('Stocking details'!$I$6:$I$3307,G537)</x:f>
        <x:v>1</x:v>
      </x:c>
      <x:c r="G537" s="8" t="str">
        <x:f>B537&amp;" / "&amp;C537&amp;" / "&amp;D537</x:f>
        <x:v>4460 / 2022 / TIGER TROUT</x:v>
      </x:c>
    </x:row>
    <x:row r="538" ht="23" customHeight="1">
      <x:c r="A538" s="8" t="str">
        <x:v>East Dollar Lake</x:v>
      </x:c>
      <x:c r="B538" s="8" t="str">
        <x:v>4460</x:v>
      </x:c>
      <x:c r="C538" s="17" t="n">
        <x:v>2021</x:v>
      </x:c>
      <x:c r="D538" s="8" t="str">
        <x:v>BROWN TROUT</x:v>
      </x:c>
      <x:c r="E538" s="13" t="n">
        <x:f>SUMIFS('Stocking details'!$F$6:$F$3307,'Stocking details'!$I$6:$I$3307,G538)</x:f>
        <x:v>500</x:v>
      </x:c>
      <x:c r="F538" s="13" t="n">
        <x:f>COUNTIFS('Stocking details'!$I$6:$I$3307,G538)</x:f>
        <x:v>1</x:v>
      </x:c>
      <x:c r="G538" s="8" t="str">
        <x:f>B538&amp;" / "&amp;C538&amp;" / "&amp;D538</x:f>
        <x:v>4460 / 2021 / BROWN TROUT</x:v>
      </x:c>
    </x:row>
    <x:row r="539" ht="23" customHeight="1">
      <x:c r="A539" s="8" t="str">
        <x:v>East Dollar Lake</x:v>
      </x:c>
      <x:c r="B539" s="8" t="str">
        <x:v>4460</x:v>
      </x:c>
      <x:c r="C539" s="17" t="n">
        <x:v>2021</x:v>
      </x:c>
      <x:c r="D539" s="8" t="str">
        <x:v>RAINBOW TROUT</x:v>
      </x:c>
      <x:c r="E539" s="13" t="n">
        <x:f>SUMIFS('Stocking details'!$F$6:$F$3307,'Stocking details'!$I$6:$I$3307,G539)</x:f>
        <x:v>3000</x:v>
      </x:c>
      <x:c r="F539" s="13" t="n">
        <x:f>COUNTIFS('Stocking details'!$I$6:$I$3307,G539)</x:f>
        <x:v>1</x:v>
      </x:c>
      <x:c r="G539" s="8" t="str">
        <x:f>B539&amp;" / "&amp;C539&amp;" / "&amp;D539</x:f>
        <x:v>4460 / 2021 / RAINBOW TROUT</x:v>
      </x:c>
    </x:row>
    <x:row r="540" ht="23" customHeight="1">
      <x:c r="A540" s="8" t="str">
        <x:v>East Dollar Lake</x:v>
      </x:c>
      <x:c r="B540" s="8" t="str">
        <x:v>4460</x:v>
      </x:c>
      <x:c r="C540" s="17" t="n">
        <x:v>2021</x:v>
      </x:c>
      <x:c r="D540" s="8" t="str">
        <x:v>TIGER TROUT</x:v>
      </x:c>
      <x:c r="E540" s="13" t="n">
        <x:f>SUMIFS('Stocking details'!$F$6:$F$3307,'Stocking details'!$I$6:$I$3307,G540)</x:f>
        <x:v>300</x:v>
      </x:c>
      <x:c r="F540" s="13" t="n">
        <x:f>COUNTIFS('Stocking details'!$I$6:$I$3307,G540)</x:f>
        <x:v>1</x:v>
      </x:c>
      <x:c r="G540" s="8" t="str">
        <x:f>B540&amp;" / "&amp;C540&amp;" / "&amp;D540</x:f>
        <x:v>4460 / 2021 / TIGER TROUT</x:v>
      </x:c>
    </x:row>
    <x:row r="541" ht="23" customHeight="1">
      <x:c r="A541" s="8" t="str">
        <x:v>East Pit Lake</x:v>
      </x:c>
      <x:c r="B541" s="8" t="str">
        <x:v>6840</x:v>
      </x:c>
      <x:c r="C541" s="17" t="n">
        <x:v>2026</x:v>
      </x:c>
      <x:c r="D541" s="8" t="str">
        <x:v>RAINBOW TROUT</x:v>
      </x:c>
      <x:c r="E541" s="13" t="n">
        <x:f>SUMIFS('Stocking details'!$F$6:$F$3307,'Stocking details'!$I$6:$I$3307,G541)</x:f>
        <x:v>11600</x:v>
      </x:c>
      <x:c r="F541" s="13" t="n">
        <x:f>COUNTIFS('Stocking details'!$I$6:$I$3307,G541)</x:f>
        <x:v>1</x:v>
      </x:c>
      <x:c r="G541" s="8" t="str">
        <x:f>B541&amp;" / "&amp;C541&amp;" / "&amp;D541</x:f>
        <x:v>6840 / 2026 / RAINBOW TROUT</x:v>
      </x:c>
    </x:row>
    <x:row r="542" ht="23" customHeight="1">
      <x:c r="A542" s="8" t="str">
        <x:v>East Pit Lake</x:v>
      </x:c>
      <x:c r="B542" s="8" t="str">
        <x:v>6840</x:v>
      </x:c>
      <x:c r="C542" s="17" t="n">
        <x:v>2025</x:v>
      </x:c>
      <x:c r="D542" s="8" t="str">
        <x:v>RAINBOW TROUT</x:v>
      </x:c>
      <x:c r="E542" s="13" t="n">
        <x:f>SUMIFS('Stocking details'!$F$6:$F$3307,'Stocking details'!$I$6:$I$3307,G542)</x:f>
        <x:v>11600</x:v>
      </x:c>
      <x:c r="F542" s="13" t="n">
        <x:f>COUNTIFS('Stocking details'!$I$6:$I$3307,G542)</x:f>
        <x:v>1</x:v>
      </x:c>
      <x:c r="G542" s="8" t="str">
        <x:f>B542&amp;" / "&amp;C542&amp;" / "&amp;D542</x:f>
        <x:v>6840 / 2025 / RAINBOW TROUT</x:v>
      </x:c>
    </x:row>
    <x:row r="543" ht="23" customHeight="1">
      <x:c r="A543" s="8" t="str">
        <x:v>East Pit Lake</x:v>
      </x:c>
      <x:c r="B543" s="8" t="str">
        <x:v>6840</x:v>
      </x:c>
      <x:c r="C543" s="17" t="n">
        <x:v>2024</x:v>
      </x:c>
      <x:c r="D543" s="8" t="str">
        <x:v>RAINBOW TROUT</x:v>
      </x:c>
      <x:c r="E543" s="13" t="n">
        <x:f>SUMIFS('Stocking details'!$F$6:$F$3307,'Stocking details'!$I$6:$I$3307,G543)</x:f>
        <x:v>19620</x:v>
      </x:c>
      <x:c r="F543" s="13" t="n">
        <x:f>COUNTIFS('Stocking details'!$I$6:$I$3307,G543)</x:f>
        <x:v>3</x:v>
      </x:c>
      <x:c r="G543" s="8" t="str">
        <x:f>B543&amp;" / "&amp;C543&amp;" / "&amp;D543</x:f>
        <x:v>6840 / 2024 / RAINBOW TROUT</x:v>
      </x:c>
    </x:row>
    <x:row r="544" ht="23" customHeight="1">
      <x:c r="A544" s="8" t="str">
        <x:v>East Pit Lake</x:v>
      </x:c>
      <x:c r="B544" s="8" t="str">
        <x:v>6840</x:v>
      </x:c>
      <x:c r="C544" s="17" t="n">
        <x:v>2023</x:v>
      </x:c>
      <x:c r="D544" s="8" t="str">
        <x:v>RAINBOW TROUT</x:v>
      </x:c>
      <x:c r="E544" s="13" t="n">
        <x:f>SUMIFS('Stocking details'!$F$6:$F$3307,'Stocking details'!$I$6:$I$3307,G544)</x:f>
        <x:v>12394</x:v>
      </x:c>
      <x:c r="F544" s="13" t="n">
        <x:f>COUNTIFS('Stocking details'!$I$6:$I$3307,G544)</x:f>
        <x:v>2</x:v>
      </x:c>
      <x:c r="G544" s="8" t="str">
        <x:f>B544&amp;" / "&amp;C544&amp;" / "&amp;D544</x:f>
        <x:v>6840 / 2023 / RAINBOW TROUT</x:v>
      </x:c>
    </x:row>
    <x:row r="545" ht="23" customHeight="1">
      <x:c r="A545" s="8" t="str">
        <x:v>East Pit Lake</x:v>
      </x:c>
      <x:c r="B545" s="8" t="str">
        <x:v>6840</x:v>
      </x:c>
      <x:c r="C545" s="17" t="n">
        <x:v>2022</x:v>
      </x:c>
      <x:c r="D545" s="8" t="str">
        <x:v>RAINBOW TROUT</x:v>
      </x:c>
      <x:c r="E545" s="13" t="n">
        <x:f>SUMIFS('Stocking details'!$F$6:$F$3307,'Stocking details'!$I$6:$I$3307,G545)</x:f>
        <x:v>14600</x:v>
      </x:c>
      <x:c r="F545" s="13" t="n">
        <x:f>COUNTIFS('Stocking details'!$I$6:$I$3307,G545)</x:f>
        <x:v>3</x:v>
      </x:c>
      <x:c r="G545" s="8" t="str">
        <x:f>B545&amp;" / "&amp;C545&amp;" / "&amp;D545</x:f>
        <x:v>6840 / 2022 / RAINBOW TROUT</x:v>
      </x:c>
    </x:row>
    <x:row r="546" ht="23" customHeight="1">
      <x:c r="A546" s="8" t="str">
        <x:v>East Pit Lake</x:v>
      </x:c>
      <x:c r="B546" s="8" t="str">
        <x:v>6840</x:v>
      </x:c>
      <x:c r="C546" s="17" t="n">
        <x:v>2021</x:v>
      </x:c>
      <x:c r="D546" s="8" t="str">
        <x:v>RAINBOW TROUT</x:v>
      </x:c>
      <x:c r="E546" s="13" t="n">
        <x:f>SUMIFS('Stocking details'!$F$6:$F$3307,'Stocking details'!$I$6:$I$3307,G546)</x:f>
        <x:v>11600</x:v>
      </x:c>
      <x:c r="F546" s="13" t="n">
        <x:f>COUNTIFS('Stocking details'!$I$6:$I$3307,G546)</x:f>
        <x:v>2</x:v>
      </x:c>
      <x:c r="G546" s="8" t="str">
        <x:f>B546&amp;" / "&amp;C546&amp;" / "&amp;D546</x:f>
        <x:v>6840 / 2021 / RAINBOW TROUT</x:v>
      </x:c>
    </x:row>
    <x:row r="547" ht="23" customHeight="1">
      <x:c r="A547" s="8" t="str">
        <x:v>East Stormwater Pond</x:v>
      </x:c>
      <x:c r="B547" s="8" t="str">
        <x:v>22993</x:v>
      </x:c>
      <x:c r="C547" s="17" t="n">
        <x:v>2026</x:v>
      </x:c>
      <x:c r="D547" s="8" t="str">
        <x:v>BROWN TROUT</x:v>
      </x:c>
      <x:c r="E547" s="13" t="n">
        <x:f>SUMIFS('Stocking details'!$F$6:$F$3307,'Stocking details'!$I$6:$I$3307,G547)</x:f>
        <x:v>150</x:v>
      </x:c>
      <x:c r="F547" s="13" t="n">
        <x:f>COUNTIFS('Stocking details'!$I$6:$I$3307,G547)</x:f>
        <x:v>2</x:v>
      </x:c>
      <x:c r="G547" s="8" t="str">
        <x:f>B547&amp;" / "&amp;C547&amp;" / "&amp;D547</x:f>
        <x:v>22993 / 2026 / BROWN TROUT</x:v>
      </x:c>
    </x:row>
    <x:row r="548" ht="23" customHeight="1">
      <x:c r="A548" s="8" t="str">
        <x:v>East Stormwater Pond</x:v>
      </x:c>
      <x:c r="B548" s="8" t="str">
        <x:v>22993</x:v>
      </x:c>
      <x:c r="C548" s="17" t="n">
        <x:v>2026</x:v>
      </x:c>
      <x:c r="D548" s="8" t="str">
        <x:v>RAINBOW TROUT</x:v>
      </x:c>
      <x:c r="E548" s="13" t="n">
        <x:f>SUMIFS('Stocking details'!$F$6:$F$3307,'Stocking details'!$I$6:$I$3307,G548)</x:f>
        <x:v>1000</x:v>
      </x:c>
      <x:c r="F548" s="13" t="n">
        <x:f>COUNTIFS('Stocking details'!$I$6:$I$3307,G548)</x:f>
        <x:v>1</x:v>
      </x:c>
      <x:c r="G548" s="8" t="str">
        <x:f>B548&amp;" / "&amp;C548&amp;" / "&amp;D548</x:f>
        <x:v>22993 / 2026 / RAINBOW TROUT</x:v>
      </x:c>
    </x:row>
    <x:row r="549" ht="23" customHeight="1">
      <x:c r="A549" s="8" t="str">
        <x:v>East Stormwater Pond</x:v>
      </x:c>
      <x:c r="B549" s="8" t="str">
        <x:v>22993</x:v>
      </x:c>
      <x:c r="C549" s="17" t="n">
        <x:v>2025</x:v>
      </x:c>
      <x:c r="D549" s="8" t="str">
        <x:v>BROWN TROUT</x:v>
      </x:c>
      <x:c r="E549" s="13" t="n">
        <x:f>SUMIFS('Stocking details'!$F$6:$F$3307,'Stocking details'!$I$6:$I$3307,G549)</x:f>
        <x:v>100</x:v>
      </x:c>
      <x:c r="F549" s="13" t="n">
        <x:f>COUNTIFS('Stocking details'!$I$6:$I$3307,G549)</x:f>
        <x:v>1</x:v>
      </x:c>
      <x:c r="G549" s="8" t="str">
        <x:f>B549&amp;" / "&amp;C549&amp;" / "&amp;D549</x:f>
        <x:v>22993 / 2025 / BROWN TROUT</x:v>
      </x:c>
    </x:row>
    <x:row r="550" ht="23" customHeight="1">
      <x:c r="A550" s="8" t="str">
        <x:v>East Stormwater Pond</x:v>
      </x:c>
      <x:c r="B550" s="8" t="str">
        <x:v>22993</x:v>
      </x:c>
      <x:c r="C550" s="17" t="n">
        <x:v>2025</x:v>
      </x:c>
      <x:c r="D550" s="8" t="str">
        <x:v>RAINBOW TROUT</x:v>
      </x:c>
      <x:c r="E550" s="13" t="n">
        <x:f>SUMIFS('Stocking details'!$F$6:$F$3307,'Stocking details'!$I$6:$I$3307,G550)</x:f>
        <x:v>1000</x:v>
      </x:c>
      <x:c r="F550" s="13" t="n">
        <x:f>COUNTIFS('Stocking details'!$I$6:$I$3307,G550)</x:f>
        <x:v>1</x:v>
      </x:c>
      <x:c r="G550" s="8" t="str">
        <x:f>B550&amp;" / "&amp;C550&amp;" / "&amp;D550</x:f>
        <x:v>22993 / 2025 / RAINBOW TROUT</x:v>
      </x:c>
    </x:row>
    <x:row r="551" ht="23" customHeight="1">
      <x:c r="A551" s="8" t="str">
        <x:v>East Stormwater Pond</x:v>
      </x:c>
      <x:c r="B551" s="8" t="str">
        <x:v>22993</x:v>
      </x:c>
      <x:c r="C551" s="17" t="n">
        <x:v>2024</x:v>
      </x:c>
      <x:c r="D551" s="8" t="str">
        <x:v>BROWN TROUT</x:v>
      </x:c>
      <x:c r="E551" s="13" t="n">
        <x:f>SUMIFS('Stocking details'!$F$6:$F$3307,'Stocking details'!$I$6:$I$3307,G551)</x:f>
        <x:v>100</x:v>
      </x:c>
      <x:c r="F551" s="13" t="n">
        <x:f>COUNTIFS('Stocking details'!$I$6:$I$3307,G551)</x:f>
        <x:v>1</x:v>
      </x:c>
      <x:c r="G551" s="8" t="str">
        <x:f>B551&amp;" / "&amp;C551&amp;" / "&amp;D551</x:f>
        <x:v>22993 / 2024 / BROWN TROUT</x:v>
      </x:c>
    </x:row>
    <x:row r="552" ht="23" customHeight="1">
      <x:c r="A552" s="8" t="str">
        <x:v>East Stormwater Pond</x:v>
      </x:c>
      <x:c r="B552" s="8" t="str">
        <x:v>22993</x:v>
      </x:c>
      <x:c r="C552" s="17" t="n">
        <x:v>2024</x:v>
      </x:c>
      <x:c r="D552" s="8" t="str">
        <x:v>RAINBOW TROUT</x:v>
      </x:c>
      <x:c r="E552" s="13" t="n">
        <x:f>SUMIFS('Stocking details'!$F$6:$F$3307,'Stocking details'!$I$6:$I$3307,G552)</x:f>
        <x:v>1000</x:v>
      </x:c>
      <x:c r="F552" s="13" t="n">
        <x:f>COUNTIFS('Stocking details'!$I$6:$I$3307,G552)</x:f>
        <x:v>1</x:v>
      </x:c>
      <x:c r="G552" s="8" t="str">
        <x:f>B552&amp;" / "&amp;C552&amp;" / "&amp;D552</x:f>
        <x:v>22993 / 2024 / RAINBOW TROUT</x:v>
      </x:c>
    </x:row>
    <x:row r="553" ht="23" customHeight="1">
      <x:c r="A553" s="8" t="str">
        <x:v>East Stormwater Pond</x:v>
      </x:c>
      <x:c r="B553" s="8" t="str">
        <x:v>22993</x:v>
      </x:c>
      <x:c r="C553" s="17" t="n">
        <x:v>2023</x:v>
      </x:c>
      <x:c r="D553" s="8" t="str">
        <x:v>BROWN TROUT</x:v>
      </x:c>
      <x:c r="E553" s="13" t="n">
        <x:f>SUMIFS('Stocking details'!$F$6:$F$3307,'Stocking details'!$I$6:$I$3307,G553)</x:f>
        <x:v>100</x:v>
      </x:c>
      <x:c r="F553" s="13" t="n">
        <x:f>COUNTIFS('Stocking details'!$I$6:$I$3307,G553)</x:f>
        <x:v>1</x:v>
      </x:c>
      <x:c r="G553" s="8" t="str">
        <x:f>B553&amp;" / "&amp;C553&amp;" / "&amp;D553</x:f>
        <x:v>22993 / 2023 / BROWN TROUT</x:v>
      </x:c>
    </x:row>
    <x:row r="554" ht="23" customHeight="1">
      <x:c r="A554" s="8" t="str">
        <x:v>East Stormwater Pond</x:v>
      </x:c>
      <x:c r="B554" s="8" t="str">
        <x:v>22993</x:v>
      </x:c>
      <x:c r="C554" s="17" t="n">
        <x:v>2023</x:v>
      </x:c>
      <x:c r="D554" s="8" t="str">
        <x:v>RAINBOW TROUT</x:v>
      </x:c>
      <x:c r="E554" s="13" t="n">
        <x:f>SUMIFS('Stocking details'!$F$6:$F$3307,'Stocking details'!$I$6:$I$3307,G554)</x:f>
        <x:v>1500</x:v>
      </x:c>
      <x:c r="F554" s="13" t="n">
        <x:f>COUNTIFS('Stocking details'!$I$6:$I$3307,G554)</x:f>
        <x:v>2</x:v>
      </x:c>
      <x:c r="G554" s="8" t="str">
        <x:f>B554&amp;" / "&amp;C554&amp;" / "&amp;D554</x:f>
        <x:v>22993 / 2023 / RAINBOW TROUT</x:v>
      </x:c>
    </x:row>
    <x:row r="555" ht="23" customHeight="1">
      <x:c r="A555" s="8" t="str">
        <x:v>East Stormwater Pond</x:v>
      </x:c>
      <x:c r="B555" s="8" t="str">
        <x:v>22993</x:v>
      </x:c>
      <x:c r="C555" s="17" t="n">
        <x:v>2022</x:v>
      </x:c>
      <x:c r="D555" s="8" t="str">
        <x:v>BROWN TROUT</x:v>
      </x:c>
      <x:c r="E555" s="13" t="n">
        <x:f>SUMIFS('Stocking details'!$F$6:$F$3307,'Stocking details'!$I$6:$I$3307,G555)</x:f>
        <x:v>150</x:v>
      </x:c>
      <x:c r="F555" s="13" t="n">
        <x:f>COUNTIFS('Stocking details'!$I$6:$I$3307,G555)</x:f>
        <x:v>1</x:v>
      </x:c>
      <x:c r="G555" s="8" t="str">
        <x:f>B555&amp;" / "&amp;C555&amp;" / "&amp;D555</x:f>
        <x:v>22993 / 2022 / BROWN TROUT</x:v>
      </x:c>
    </x:row>
    <x:row r="556" ht="23" customHeight="1">
      <x:c r="A556" s="8" t="str">
        <x:v>East Stormwater Pond</x:v>
      </x:c>
      <x:c r="B556" s="8" t="str">
        <x:v>22993</x:v>
      </x:c>
      <x:c r="C556" s="17" t="n">
        <x:v>2021</x:v>
      </x:c>
      <x:c r="D556" s="8" t="str">
        <x:v>RAINBOW TROUT</x:v>
      </x:c>
      <x:c r="E556" s="13" t="n">
        <x:f>SUMIFS('Stocking details'!$F$6:$F$3307,'Stocking details'!$I$6:$I$3307,G556)</x:f>
        <x:v>500</x:v>
      </x:c>
      <x:c r="F556" s="13" t="n">
        <x:f>COUNTIFS('Stocking details'!$I$6:$I$3307,G556)</x:f>
        <x:v>1</x:v>
      </x:c>
      <x:c r="G556" s="8" t="str">
        <x:f>B556&amp;" / "&amp;C556&amp;" / "&amp;D556</x:f>
        <x:v>22993 / 2021 / RAINBOW TROUT</x:v>
      </x:c>
    </x:row>
    <x:row r="557" ht="23" customHeight="1">
      <x:c r="A557" s="8" t="str">
        <x:v>East Twin Lake</x:v>
      </x:c>
      <x:c r="B557" s="8" t="str">
        <x:v>6044</x:v>
      </x:c>
      <x:c r="C557" s="17" t="n">
        <x:v>2026</x:v>
      </x:c>
      <x:c r="D557" s="8" t="str">
        <x:v>RAINBOW TROUT</x:v>
      </x:c>
      <x:c r="E557" s="13" t="n">
        <x:f>SUMIFS('Stocking details'!$F$6:$F$3307,'Stocking details'!$I$6:$I$3307,G557)</x:f>
        <x:v>4200</x:v>
      </x:c>
      <x:c r="F557" s="13" t="n">
        <x:f>COUNTIFS('Stocking details'!$I$6:$I$3307,G557)</x:f>
        <x:v>1</x:v>
      </x:c>
      <x:c r="G557" s="8" t="str">
        <x:f>B557&amp;" / "&amp;C557&amp;" / "&amp;D557</x:f>
        <x:v>6044 / 2026 / RAINBOW TROUT</x:v>
      </x:c>
    </x:row>
    <x:row r="558" ht="23" customHeight="1">
      <x:c r="A558" s="8" t="str">
        <x:v>East Twin Lake</x:v>
      </x:c>
      <x:c r="B558" s="8" t="str">
        <x:v>6044</x:v>
      </x:c>
      <x:c r="C558" s="17" t="n">
        <x:v>2026</x:v>
      </x:c>
      <x:c r="D558" s="8" t="str">
        <x:v>TIGER TROUT</x:v>
      </x:c>
      <x:c r="E558" s="13" t="n">
        <x:f>SUMIFS('Stocking details'!$F$6:$F$3307,'Stocking details'!$I$6:$I$3307,G558)</x:f>
        <x:v>1000</x:v>
      </x:c>
      <x:c r="F558" s="13" t="n">
        <x:f>COUNTIFS('Stocking details'!$I$6:$I$3307,G558)</x:f>
        <x:v>1</x:v>
      </x:c>
      <x:c r="G558" s="8" t="str">
        <x:f>B558&amp;" / "&amp;C558&amp;" / "&amp;D558</x:f>
        <x:v>6044 / 2026 / TIGER TROUT</x:v>
      </x:c>
    </x:row>
    <x:row r="559" ht="23" customHeight="1">
      <x:c r="A559" s="8" t="str">
        <x:v>East Twin Lake</x:v>
      </x:c>
      <x:c r="B559" s="8" t="str">
        <x:v>6044</x:v>
      </x:c>
      <x:c r="C559" s="17" t="n">
        <x:v>2025</x:v>
      </x:c>
      <x:c r="D559" s="8" t="str">
        <x:v>RAINBOW TROUT</x:v>
      </x:c>
      <x:c r="E559" s="13" t="n">
        <x:f>SUMIFS('Stocking details'!$F$6:$F$3307,'Stocking details'!$I$6:$I$3307,G559)</x:f>
        <x:v>8400</x:v>
      </x:c>
      <x:c r="F559" s="13" t="n">
        <x:f>COUNTIFS('Stocking details'!$I$6:$I$3307,G559)</x:f>
        <x:v>2</x:v>
      </x:c>
      <x:c r="G559" s="8" t="str">
        <x:f>B559&amp;" / "&amp;C559&amp;" / "&amp;D559</x:f>
        <x:v>6044 / 2025 / RAINBOW TROUT</x:v>
      </x:c>
    </x:row>
    <x:row r="560" ht="23" customHeight="1">
      <x:c r="A560" s="8" t="str">
        <x:v>East Twin Lake</x:v>
      </x:c>
      <x:c r="B560" s="8" t="str">
        <x:v>6044</x:v>
      </x:c>
      <x:c r="C560" s="17" t="n">
        <x:v>2025</x:v>
      </x:c>
      <x:c r="D560" s="8" t="str">
        <x:v>TIGER TROUT</x:v>
      </x:c>
      <x:c r="E560" s="13" t="n">
        <x:f>SUMIFS('Stocking details'!$F$6:$F$3307,'Stocking details'!$I$6:$I$3307,G560)</x:f>
        <x:v>1000</x:v>
      </x:c>
      <x:c r="F560" s="13" t="n">
        <x:f>COUNTIFS('Stocking details'!$I$6:$I$3307,G560)</x:f>
        <x:v>1</x:v>
      </x:c>
      <x:c r="G560" s="8" t="str">
        <x:f>B560&amp;" / "&amp;C560&amp;" / "&amp;D560</x:f>
        <x:v>6044 / 2025 / TIGER TROUT</x:v>
      </x:c>
    </x:row>
    <x:row r="561" ht="23" customHeight="1">
      <x:c r="A561" s="8" t="str">
        <x:v>East Twin Lake</x:v>
      </x:c>
      <x:c r="B561" s="8" t="str">
        <x:v>6044</x:v>
      </x:c>
      <x:c r="C561" s="17" t="n">
        <x:v>2024</x:v>
      </x:c>
      <x:c r="D561" s="8" t="str">
        <x:v>RAINBOW TROUT</x:v>
      </x:c>
      <x:c r="E561" s="13" t="n">
        <x:f>SUMIFS('Stocking details'!$F$6:$F$3307,'Stocking details'!$I$6:$I$3307,G561)</x:f>
        <x:v>5880</x:v>
      </x:c>
      <x:c r="F561" s="13" t="n">
        <x:f>COUNTIFS('Stocking details'!$I$6:$I$3307,G561)</x:f>
        <x:v>2</x:v>
      </x:c>
      <x:c r="G561" s="8" t="str">
        <x:f>B561&amp;" / "&amp;C561&amp;" / "&amp;D561</x:f>
        <x:v>6044 / 2024 / RAINBOW TROUT</x:v>
      </x:c>
    </x:row>
    <x:row r="562" ht="23" customHeight="1">
      <x:c r="A562" s="8" t="str">
        <x:v>East Twin Lake</x:v>
      </x:c>
      <x:c r="B562" s="8" t="str">
        <x:v>6044</x:v>
      </x:c>
      <x:c r="C562" s="17" t="n">
        <x:v>2024</x:v>
      </x:c>
      <x:c r="D562" s="8" t="str">
        <x:v>TIGER TROUT</x:v>
      </x:c>
      <x:c r="E562" s="13" t="n">
        <x:f>SUMIFS('Stocking details'!$F$6:$F$3307,'Stocking details'!$I$6:$I$3307,G562)</x:f>
        <x:v>1000</x:v>
      </x:c>
      <x:c r="F562" s="13" t="n">
        <x:f>COUNTIFS('Stocking details'!$I$6:$I$3307,G562)</x:f>
        <x:v>1</x:v>
      </x:c>
      <x:c r="G562" s="8" t="str">
        <x:f>B562&amp;" / "&amp;C562&amp;" / "&amp;D562</x:f>
        <x:v>6044 / 2024 / TIGER TROUT</x:v>
      </x:c>
    </x:row>
    <x:row r="563" ht="23" customHeight="1">
      <x:c r="A563" s="8" t="str">
        <x:v>East Twin Lake</x:v>
      </x:c>
      <x:c r="B563" s="8" t="str">
        <x:v>6044</x:v>
      </x:c>
      <x:c r="C563" s="17" t="n">
        <x:v>2023</x:v>
      </x:c>
      <x:c r="D563" s="8" t="str">
        <x:v>RAINBOW TROUT</x:v>
      </x:c>
      <x:c r="E563" s="13" t="n">
        <x:f>SUMIFS('Stocking details'!$F$6:$F$3307,'Stocking details'!$I$6:$I$3307,G563)</x:f>
        <x:v>1676</x:v>
      </x:c>
      <x:c r="F563" s="13" t="n">
        <x:f>COUNTIFS('Stocking details'!$I$6:$I$3307,G563)</x:f>
        <x:v>2</x:v>
      </x:c>
      <x:c r="G563" s="8" t="str">
        <x:f>B563&amp;" / "&amp;C563&amp;" / "&amp;D563</x:f>
        <x:v>6044 / 2023 / RAINBOW TROUT</x:v>
      </x:c>
    </x:row>
    <x:row r="564" ht="23" customHeight="1">
      <x:c r="A564" s="8" t="str">
        <x:v>East Twin Lake</x:v>
      </x:c>
      <x:c r="B564" s="8" t="str">
        <x:v>6044</x:v>
      </x:c>
      <x:c r="C564" s="17" t="n">
        <x:v>2023</x:v>
      </x:c>
      <x:c r="D564" s="8" t="str">
        <x:v>TIGER TROUT</x:v>
      </x:c>
      <x:c r="E564" s="13" t="n">
        <x:f>SUMIFS('Stocking details'!$F$6:$F$3307,'Stocking details'!$I$6:$I$3307,G564)</x:f>
        <x:v>1000</x:v>
      </x:c>
      <x:c r="F564" s="13" t="n">
        <x:f>COUNTIFS('Stocking details'!$I$6:$I$3307,G564)</x:f>
        <x:v>1</x:v>
      </x:c>
      <x:c r="G564" s="8" t="str">
        <x:f>B564&amp;" / "&amp;C564&amp;" / "&amp;D564</x:f>
        <x:v>6044 / 2023 / TIGER TROUT</x:v>
      </x:c>
    </x:row>
    <x:row r="565" ht="23" customHeight="1">
      <x:c r="A565" s="8" t="str">
        <x:v>East Twin Lake</x:v>
      </x:c>
      <x:c r="B565" s="8" t="str">
        <x:v>6044</x:v>
      </x:c>
      <x:c r="C565" s="17" t="n">
        <x:v>2022</x:v>
      </x:c>
      <x:c r="D565" s="8" t="str">
        <x:v>RAINBOW TROUT</x:v>
      </x:c>
      <x:c r="E565" s="13" t="n">
        <x:f>SUMIFS('Stocking details'!$F$6:$F$3307,'Stocking details'!$I$6:$I$3307,G565)</x:f>
        <x:v>4200</x:v>
      </x:c>
      <x:c r="F565" s="13" t="n">
        <x:f>COUNTIFS('Stocking details'!$I$6:$I$3307,G565)</x:f>
        <x:v>1</x:v>
      </x:c>
      <x:c r="G565" s="8" t="str">
        <x:f>B565&amp;" / "&amp;C565&amp;" / "&amp;D565</x:f>
        <x:v>6044 / 2022 / RAINBOW TROUT</x:v>
      </x:c>
    </x:row>
    <x:row r="566" ht="23" customHeight="1">
      <x:c r="A566" s="8" t="str">
        <x:v>East Twin Lake</x:v>
      </x:c>
      <x:c r="B566" s="8" t="str">
        <x:v>6044</x:v>
      </x:c>
      <x:c r="C566" s="17" t="n">
        <x:v>2022</x:v>
      </x:c>
      <x:c r="D566" s="8" t="str">
        <x:v>TIGER TROUT</x:v>
      </x:c>
      <x:c r="E566" s="13" t="n">
        <x:f>SUMIFS('Stocking details'!$F$6:$F$3307,'Stocking details'!$I$6:$I$3307,G566)</x:f>
        <x:v>1000</x:v>
      </x:c>
      <x:c r="F566" s="13" t="n">
        <x:f>COUNTIFS('Stocking details'!$I$6:$I$3307,G566)</x:f>
        <x:v>1</x:v>
      </x:c>
      <x:c r="G566" s="8" t="str">
        <x:f>B566&amp;" / "&amp;C566&amp;" / "&amp;D566</x:f>
        <x:v>6044 / 2022 / TIGER TROUT</x:v>
      </x:c>
    </x:row>
    <x:row r="567" ht="23" customHeight="1">
      <x:c r="A567" s="8" t="str">
        <x:v>East Twin Lake</x:v>
      </x:c>
      <x:c r="B567" s="8" t="str">
        <x:v>6044</x:v>
      </x:c>
      <x:c r="C567" s="17" t="n">
        <x:v>2021</x:v>
      </x:c>
      <x:c r="D567" s="8" t="str">
        <x:v>RAINBOW TROUT</x:v>
      </x:c>
      <x:c r="E567" s="13" t="n">
        <x:f>SUMIFS('Stocking details'!$F$6:$F$3307,'Stocking details'!$I$6:$I$3307,G567)</x:f>
        <x:v>4200</x:v>
      </x:c>
      <x:c r="F567" s="13" t="n">
        <x:f>COUNTIFS('Stocking details'!$I$6:$I$3307,G567)</x:f>
        <x:v>1</x:v>
      </x:c>
      <x:c r="G567" s="8" t="str">
        <x:f>B567&amp;" / "&amp;C567&amp;" / "&amp;D567</x:f>
        <x:v>6044 / 2021 / RAINBOW TROUT</x:v>
      </x:c>
    </x:row>
    <x:row r="568" ht="23" customHeight="1">
      <x:c r="A568" s="8" t="str">
        <x:v>East Twin Lake</x:v>
      </x:c>
      <x:c r="B568" s="8" t="str">
        <x:v>6044</x:v>
      </x:c>
      <x:c r="C568" s="17" t="n">
        <x:v>2021</x:v>
      </x:c>
      <x:c r="D568" s="8" t="str">
        <x:v>TIGER TROUT</x:v>
      </x:c>
      <x:c r="E568" s="13" t="n">
        <x:f>SUMIFS('Stocking details'!$F$6:$F$3307,'Stocking details'!$I$6:$I$3307,G568)</x:f>
        <x:v>1000</x:v>
      </x:c>
      <x:c r="F568" s="13" t="n">
        <x:f>COUNTIFS('Stocking details'!$I$6:$I$3307,G568)</x:f>
        <x:v>1</x:v>
      </x:c>
      <x:c r="G568" s="8" t="str">
        <x:f>B568&amp;" / "&amp;C568&amp;" / "&amp;D568</x:f>
        <x:v>6044 / 2021 / TIGER TROUT</x:v>
      </x:c>
    </x:row>
    <x:row r="569" ht="23" customHeight="1">
      <x:c r="A569" s="8" t="str">
        <x:v>Echo Dale Regional Park Pond</x:v>
      </x:c>
      <x:c r="B569" s="8" t="str">
        <x:v>6842</x:v>
      </x:c>
      <x:c r="C569" s="17" t="n">
        <x:v>2024</x:v>
      </x:c>
      <x:c r="D569" s="8" t="str">
        <x:v>RAINBOW TROUT</x:v>
      </x:c>
      <x:c r="E569" s="13" t="n">
        <x:f>SUMIFS('Stocking details'!$F$6:$F$3307,'Stocking details'!$I$6:$I$3307,G569)</x:f>
        <x:v>1800</x:v>
      </x:c>
      <x:c r="F569" s="13" t="n">
        <x:f>COUNTIFS('Stocking details'!$I$6:$I$3307,G569)</x:f>
        <x:v>2</x:v>
      </x:c>
      <x:c r="G569" s="8" t="str">
        <x:f>B569&amp;" / "&amp;C569&amp;" / "&amp;D569</x:f>
        <x:v>6842 / 2024 / RAINBOW TROUT</x:v>
      </x:c>
    </x:row>
    <x:row r="570" ht="23" customHeight="1">
      <x:c r="A570" s="8" t="str">
        <x:v>Echo Dale Regional Park Pond</x:v>
      </x:c>
      <x:c r="B570" s="8" t="str">
        <x:v>6842</x:v>
      </x:c>
      <x:c r="C570" s="17" t="n">
        <x:v>2021</x:v>
      </x:c>
      <x:c r="D570" s="8" t="str">
        <x:v>RAINBOW TROUT</x:v>
      </x:c>
      <x:c r="E570" s="13" t="n">
        <x:f>SUMIFS('Stocking details'!$F$6:$F$3307,'Stocking details'!$I$6:$I$3307,G570)</x:f>
        <x:v>1800</x:v>
      </x:c>
      <x:c r="F570" s="13" t="n">
        <x:f>COUNTIFS('Stocking details'!$I$6:$I$3307,G570)</x:f>
        <x:v>1</x:v>
      </x:c>
      <x:c r="G570" s="8" t="str">
        <x:f>B570&amp;" / "&amp;C570&amp;" / "&amp;D570</x:f>
        <x:v>6842 / 2021 / RAINBOW TROUT</x:v>
      </x:c>
    </x:row>
    <x:row r="571" ht="23" customHeight="1">
      <x:c r="A571" s="8" t="str">
        <x:v>Edith Lake</x:v>
      </x:c>
      <x:c r="B571" s="8" t="str">
        <x:v>4505</x:v>
      </x:c>
      <x:c r="C571" s="17" t="n">
        <x:v>2026</x:v>
      </x:c>
      <x:c r="D571" s="8" t="str">
        <x:v>BROOK TROUT</x:v>
      </x:c>
      <x:c r="E571" s="13" t="n">
        <x:f>SUMIFS('Stocking details'!$F$6:$F$3307,'Stocking details'!$I$6:$I$3307,G571)</x:f>
        <x:v>2100</x:v>
      </x:c>
      <x:c r="F571" s="13" t="n">
        <x:f>COUNTIFS('Stocking details'!$I$6:$I$3307,G571)</x:f>
        <x:v>1</x:v>
      </x:c>
      <x:c r="G571" s="8" t="str">
        <x:f>B571&amp;" / "&amp;C571&amp;" / "&amp;D571</x:f>
        <x:v>4505 / 2026 / BROOK TROUT</x:v>
      </x:c>
    </x:row>
    <x:row r="572" ht="23" customHeight="1">
      <x:c r="A572" s="8" t="str">
        <x:v>Edith Lake</x:v>
      </x:c>
      <x:c r="B572" s="8" t="str">
        <x:v>4505</x:v>
      </x:c>
      <x:c r="C572" s="17" t="n">
        <x:v>2025</x:v>
      </x:c>
      <x:c r="D572" s="8" t="str">
        <x:v>BROOK TROUT</x:v>
      </x:c>
      <x:c r="E572" s="13" t="n">
        <x:f>SUMIFS('Stocking details'!$F$6:$F$3307,'Stocking details'!$I$6:$I$3307,G572)</x:f>
        <x:v>2100</x:v>
      </x:c>
      <x:c r="F572" s="13" t="n">
        <x:f>COUNTIFS('Stocking details'!$I$6:$I$3307,G572)</x:f>
        <x:v>1</x:v>
      </x:c>
      <x:c r="G572" s="8" t="str">
        <x:f>B572&amp;" / "&amp;C572&amp;" / "&amp;D572</x:f>
        <x:v>4505 / 2025 / BROOK TROUT</x:v>
      </x:c>
    </x:row>
    <x:row r="573" ht="23" customHeight="1">
      <x:c r="A573" s="8" t="str">
        <x:v>Edith Lake</x:v>
      </x:c>
      <x:c r="B573" s="8" t="str">
        <x:v>4505</x:v>
      </x:c>
      <x:c r="C573" s="17" t="n">
        <x:v>2024</x:v>
      </x:c>
      <x:c r="D573" s="8" t="str">
        <x:v>BROOK TROUT</x:v>
      </x:c>
      <x:c r="E573" s="13" t="n">
        <x:f>SUMIFS('Stocking details'!$F$6:$F$3307,'Stocking details'!$I$6:$I$3307,G573)</x:f>
        <x:v>1550</x:v>
      </x:c>
      <x:c r="F573" s="13" t="n">
        <x:f>COUNTIFS('Stocking details'!$I$6:$I$3307,G573)</x:f>
        <x:v>1</x:v>
      </x:c>
      <x:c r="G573" s="8" t="str">
        <x:f>B573&amp;" / "&amp;C573&amp;" / "&amp;D573</x:f>
        <x:v>4505 / 2024 / BROOK TROUT</x:v>
      </x:c>
    </x:row>
    <x:row r="574" ht="23" customHeight="1">
      <x:c r="A574" s="8" t="str">
        <x:v>Edith Lake</x:v>
      </x:c>
      <x:c r="B574" s="8" t="str">
        <x:v>4505</x:v>
      </x:c>
      <x:c r="C574" s="17" t="n">
        <x:v>2023</x:v>
      </x:c>
      <x:c r="D574" s="8" t="str">
        <x:v>BROOK TROUT</x:v>
      </x:c>
      <x:c r="E574" s="13" t="n">
        <x:f>SUMIFS('Stocking details'!$F$6:$F$3307,'Stocking details'!$I$6:$I$3307,G574)</x:f>
        <x:v>1550</x:v>
      </x:c>
      <x:c r="F574" s="13" t="n">
        <x:f>COUNTIFS('Stocking details'!$I$6:$I$3307,G574)</x:f>
        <x:v>1</x:v>
      </x:c>
      <x:c r="G574" s="8" t="str">
        <x:f>B574&amp;" / "&amp;C574&amp;" / "&amp;D574</x:f>
        <x:v>4505 / 2023 / BROOK TROUT</x:v>
      </x:c>
    </x:row>
    <x:row r="575" ht="23" customHeight="1">
      <x:c r="A575" s="8" t="str">
        <x:v>Edith Lake</x:v>
      </x:c>
      <x:c r="B575" s="8" t="str">
        <x:v>4505</x:v>
      </x:c>
      <x:c r="C575" s="17" t="n">
        <x:v>2022</x:v>
      </x:c>
      <x:c r="D575" s="8" t="str">
        <x:v>BROOK TROUT</x:v>
      </x:c>
      <x:c r="E575" s="13" t="n">
        <x:f>SUMIFS('Stocking details'!$F$6:$F$3307,'Stocking details'!$I$6:$I$3307,G575)</x:f>
        <x:v>2100</x:v>
      </x:c>
      <x:c r="F575" s="13" t="n">
        <x:f>COUNTIFS('Stocking details'!$I$6:$I$3307,G575)</x:f>
        <x:v>1</x:v>
      </x:c>
      <x:c r="G575" s="8" t="str">
        <x:f>B575&amp;" / "&amp;C575&amp;" / "&amp;D575</x:f>
        <x:v>4505 / 2022 / BROOK TROUT</x:v>
      </x:c>
    </x:row>
    <x:row r="576" ht="23" customHeight="1">
      <x:c r="A576" s="8" t="str">
        <x:v>Edith Lake</x:v>
      </x:c>
      <x:c r="B576" s="8" t="str">
        <x:v>4505</x:v>
      </x:c>
      <x:c r="C576" s="17" t="n">
        <x:v>2021</x:v>
      </x:c>
      <x:c r="D576" s="8" t="str">
        <x:v>BROOK TROUT</x:v>
      </x:c>
      <x:c r="E576" s="13" t="n">
        <x:f>SUMIFS('Stocking details'!$F$6:$F$3307,'Stocking details'!$I$6:$I$3307,G576)</x:f>
        <x:v>2100</x:v>
      </x:c>
      <x:c r="F576" s="13" t="n">
        <x:f>COUNTIFS('Stocking details'!$I$6:$I$3307,G576)</x:f>
        <x:v>1</x:v>
      </x:c>
      <x:c r="G576" s="8" t="str">
        <x:f>B576&amp;" / "&amp;C576&amp;" / "&amp;D576</x:f>
        <x:v>4505 / 2021 / BROOK TROUT</x:v>
      </x:c>
    </x:row>
    <x:row r="577" ht="23" customHeight="1">
      <x:c r="A577" s="8" t="str">
        <x:v>Elk Creek Pond</x:v>
      </x:c>
      <x:c r="B577" s="8" t="str">
        <x:v>6820</x:v>
      </x:c>
      <x:c r="C577" s="17" t="n">
        <x:v>2026</x:v>
      </x:c>
      <x:c r="D577" s="8" t="str">
        <x:v>RAINBOW TROUT</x:v>
      </x:c>
      <x:c r="E577" s="13" t="n">
        <x:f>SUMIFS('Stocking details'!$F$6:$F$3307,'Stocking details'!$I$6:$I$3307,G577)</x:f>
        <x:v>500</x:v>
      </x:c>
      <x:c r="F577" s="13" t="n">
        <x:f>COUNTIFS('Stocking details'!$I$6:$I$3307,G577)</x:f>
        <x:v>1</x:v>
      </x:c>
      <x:c r="G577" s="8" t="str">
        <x:f>B577&amp;" / "&amp;C577&amp;" / "&amp;D577</x:f>
        <x:v>6820 / 2026 / RAINBOW TROUT</x:v>
      </x:c>
    </x:row>
    <x:row r="578" ht="23" customHeight="1">
      <x:c r="A578" s="8" t="str">
        <x:v>Elk Creek Pond</x:v>
      </x:c>
      <x:c r="B578" s="8" t="str">
        <x:v>6820</x:v>
      </x:c>
      <x:c r="C578" s="17" t="n">
        <x:v>2025</x:v>
      </x:c>
      <x:c r="D578" s="8" t="str">
        <x:v>RAINBOW TROUT</x:v>
      </x:c>
      <x:c r="E578" s="13" t="n">
        <x:f>SUMIFS('Stocking details'!$F$6:$F$3307,'Stocking details'!$I$6:$I$3307,G578)</x:f>
        <x:v>500</x:v>
      </x:c>
      <x:c r="F578" s="13" t="n">
        <x:f>COUNTIFS('Stocking details'!$I$6:$I$3307,G578)</x:f>
        <x:v>1</x:v>
      </x:c>
      <x:c r="G578" s="8" t="str">
        <x:f>B578&amp;" / "&amp;C578&amp;" / "&amp;D578</x:f>
        <x:v>6820 / 2025 / RAINBOW TROUT</x:v>
      </x:c>
    </x:row>
    <x:row r="579" ht="23" customHeight="1">
      <x:c r="A579" s="8" t="str">
        <x:v>Elk Creek Pond</x:v>
      </x:c>
      <x:c r="B579" s="8" t="str">
        <x:v>6820</x:v>
      </x:c>
      <x:c r="C579" s="17" t="n">
        <x:v>2024</x:v>
      </x:c>
      <x:c r="D579" s="8" t="str">
        <x:v>RAINBOW TROUT</x:v>
      </x:c>
      <x:c r="E579" s="13" t="n">
        <x:f>SUMIFS('Stocking details'!$F$6:$F$3307,'Stocking details'!$I$6:$I$3307,G579)</x:f>
        <x:v>250</x:v>
      </x:c>
      <x:c r="F579" s="13" t="n">
        <x:f>COUNTIFS('Stocking details'!$I$6:$I$3307,G579)</x:f>
        <x:v>1</x:v>
      </x:c>
      <x:c r="G579" s="8" t="str">
        <x:f>B579&amp;" / "&amp;C579&amp;" / "&amp;D579</x:f>
        <x:v>6820 / 2024 / RAINBOW TROUT</x:v>
      </x:c>
    </x:row>
    <x:row r="580" ht="23" customHeight="1">
      <x:c r="A580" s="8" t="str">
        <x:v>Elk Creek Pond</x:v>
      </x:c>
      <x:c r="B580" s="8" t="str">
        <x:v>6820</x:v>
      </x:c>
      <x:c r="C580" s="17" t="n">
        <x:v>2023</x:v>
      </x:c>
      <x:c r="D580" s="8" t="str">
        <x:v>RAINBOW TROUT</x:v>
      </x:c>
      <x:c r="E580" s="13" t="n">
        <x:f>SUMIFS('Stocking details'!$F$6:$F$3307,'Stocking details'!$I$6:$I$3307,G580)</x:f>
        <x:v>251</x:v>
      </x:c>
      <x:c r="F580" s="13" t="n">
        <x:f>COUNTIFS('Stocking details'!$I$6:$I$3307,G580)</x:f>
        <x:v>1</x:v>
      </x:c>
      <x:c r="G580" s="8" t="str">
        <x:f>B580&amp;" / "&amp;C580&amp;" / "&amp;D580</x:f>
        <x:v>6820 / 2023 / RAINBOW TROUT</x:v>
      </x:c>
    </x:row>
    <x:row r="581" ht="23" customHeight="1">
      <x:c r="A581" s="8" t="str">
        <x:v>Elk Creek Pond</x:v>
      </x:c>
      <x:c r="B581" s="8" t="str">
        <x:v>6820</x:v>
      </x:c>
      <x:c r="C581" s="17" t="n">
        <x:v>2022</x:v>
      </x:c>
      <x:c r="D581" s="8" t="str">
        <x:v>RAINBOW TROUT</x:v>
      </x:c>
      <x:c r="E581" s="13" t="n">
        <x:f>SUMIFS('Stocking details'!$F$6:$F$3307,'Stocking details'!$I$6:$I$3307,G581)</x:f>
        <x:v>500</x:v>
      </x:c>
      <x:c r="F581" s="13" t="n">
        <x:f>COUNTIFS('Stocking details'!$I$6:$I$3307,G581)</x:f>
        <x:v>1</x:v>
      </x:c>
      <x:c r="G581" s="8" t="str">
        <x:f>B581&amp;" / "&amp;C581&amp;" / "&amp;D581</x:f>
        <x:v>6820 / 2022 / RAINBOW TROUT</x:v>
      </x:c>
    </x:row>
    <x:row r="582" ht="23" customHeight="1">
      <x:c r="A582" s="8" t="str">
        <x:v>Elk Creek Pond</x:v>
      </x:c>
      <x:c r="B582" s="8" t="str">
        <x:v>6820</x:v>
      </x:c>
      <x:c r="C582" s="17" t="n">
        <x:v>2021</x:v>
      </x:c>
      <x:c r="D582" s="8" t="str">
        <x:v>RAINBOW TROUT</x:v>
      </x:c>
      <x:c r="E582" s="13" t="n">
        <x:f>SUMIFS('Stocking details'!$F$6:$F$3307,'Stocking details'!$I$6:$I$3307,G582)</x:f>
        <x:v>500</x:v>
      </x:c>
      <x:c r="F582" s="13" t="n">
        <x:f>COUNTIFS('Stocking details'!$I$6:$I$3307,G582)</x:f>
        <x:v>1</x:v>
      </x:c>
      <x:c r="G582" s="8" t="str">
        <x:f>B582&amp;" / "&amp;C582&amp;" / "&amp;D582</x:f>
        <x:v>6820 / 2021 / RAINBOW TROUT</x:v>
      </x:c>
    </x:row>
    <x:row r="583" ht="23" customHeight="1">
      <x:c r="A583" s="8" t="str">
        <x:v>Elk Point Pond</x:v>
      </x:c>
      <x:c r="B583" s="8" t="str">
        <x:v>417505</x:v>
      </x:c>
      <x:c r="C583" s="17" t="n">
        <x:v>2026</x:v>
      </x:c>
      <x:c r="D583" s="8" t="str">
        <x:v>BROOK TROUT</x:v>
      </x:c>
      <x:c r="E583" s="13" t="n">
        <x:f>SUMIFS('Stocking details'!$F$6:$F$3307,'Stocking details'!$I$6:$I$3307,G583)</x:f>
        <x:v>500</x:v>
      </x:c>
      <x:c r="F583" s="13" t="n">
        <x:f>COUNTIFS('Stocking details'!$I$6:$I$3307,G583)</x:f>
        <x:v>1</x:v>
      </x:c>
      <x:c r="G583" s="8" t="str">
        <x:f>B583&amp;" / "&amp;C583&amp;" / "&amp;D583</x:f>
        <x:v>417505 / 2026 / BROOK TROUT</x:v>
      </x:c>
    </x:row>
    <x:row r="584" ht="23" customHeight="1">
      <x:c r="A584" s="8" t="str">
        <x:v>Elk Point Pond</x:v>
      </x:c>
      <x:c r="B584" s="8" t="str">
        <x:v>417505</x:v>
      </x:c>
      <x:c r="C584" s="17" t="n">
        <x:v>2026</x:v>
      </x:c>
      <x:c r="D584" s="8" t="str">
        <x:v>RAINBOW TROUT</x:v>
      </x:c>
      <x:c r="E584" s="13" t="n">
        <x:f>SUMIFS('Stocking details'!$F$6:$F$3307,'Stocking details'!$I$6:$I$3307,G584)</x:f>
        <x:v>900</x:v>
      </x:c>
      <x:c r="F584" s="13" t="n">
        <x:f>COUNTIFS('Stocking details'!$I$6:$I$3307,G584)</x:f>
        <x:v>1</x:v>
      </x:c>
      <x:c r="G584" s="8" t="str">
        <x:f>B584&amp;" / "&amp;C584&amp;" / "&amp;D584</x:f>
        <x:v>417505 / 2026 / RAINBOW TROUT</x:v>
      </x:c>
    </x:row>
    <x:row r="585" ht="23" customHeight="1">
      <x:c r="A585" s="8" t="str">
        <x:v>Elk Point Pond</x:v>
      </x:c>
      <x:c r="B585" s="8" t="str">
        <x:v>417505</x:v>
      </x:c>
      <x:c r="C585" s="17" t="n">
        <x:v>2026</x:v>
      </x:c>
      <x:c r="D585" s="8" t="str">
        <x:v>TIGER TROUT</x:v>
      </x:c>
      <x:c r="E585" s="13" t="n">
        <x:f>SUMIFS('Stocking details'!$F$6:$F$3307,'Stocking details'!$I$6:$I$3307,G585)</x:f>
        <x:v>150</x:v>
      </x:c>
      <x:c r="F585" s="13" t="n">
        <x:f>COUNTIFS('Stocking details'!$I$6:$I$3307,G585)</x:f>
        <x:v>1</x:v>
      </x:c>
      <x:c r="G585" s="8" t="str">
        <x:f>B585&amp;" / "&amp;C585&amp;" / "&amp;D585</x:f>
        <x:v>417505 / 2026 / TIGER TROUT</x:v>
      </x:c>
    </x:row>
    <x:row r="586" ht="23" customHeight="1">
      <x:c r="A586" s="8" t="str">
        <x:v>Elk Point Pond</x:v>
      </x:c>
      <x:c r="B586" s="8" t="str">
        <x:v>417505</x:v>
      </x:c>
      <x:c r="C586" s="17" t="n">
        <x:v>2025</x:v>
      </x:c>
      <x:c r="D586" s="8" t="str">
        <x:v>BROOK TROUT</x:v>
      </x:c>
      <x:c r="E586" s="13" t="n">
        <x:f>SUMIFS('Stocking details'!$F$6:$F$3307,'Stocking details'!$I$6:$I$3307,G586)</x:f>
        <x:v>500</x:v>
      </x:c>
      <x:c r="F586" s="13" t="n">
        <x:f>COUNTIFS('Stocking details'!$I$6:$I$3307,G586)</x:f>
        <x:v>1</x:v>
      </x:c>
      <x:c r="G586" s="8" t="str">
        <x:f>B586&amp;" / "&amp;C586&amp;" / "&amp;D586</x:f>
        <x:v>417505 / 2025 / BROOK TROUT</x:v>
      </x:c>
    </x:row>
    <x:row r="587" ht="23" customHeight="1">
      <x:c r="A587" s="8" t="str">
        <x:v>Elk Point Pond</x:v>
      </x:c>
      <x:c r="B587" s="8" t="str">
        <x:v>417505</x:v>
      </x:c>
      <x:c r="C587" s="17" t="n">
        <x:v>2025</x:v>
      </x:c>
      <x:c r="D587" s="8" t="str">
        <x:v>RAINBOW TROUT</x:v>
      </x:c>
      <x:c r="E587" s="13" t="n">
        <x:f>SUMIFS('Stocking details'!$F$6:$F$3307,'Stocking details'!$I$6:$I$3307,G587)</x:f>
        <x:v>900</x:v>
      </x:c>
      <x:c r="F587" s="13" t="n">
        <x:f>COUNTIFS('Stocking details'!$I$6:$I$3307,G587)</x:f>
        <x:v>1</x:v>
      </x:c>
      <x:c r="G587" s="8" t="str">
        <x:f>B587&amp;" / "&amp;C587&amp;" / "&amp;D587</x:f>
        <x:v>417505 / 2025 / RAINBOW TROUT</x:v>
      </x:c>
    </x:row>
    <x:row r="588" ht="23" customHeight="1">
      <x:c r="A588" s="8" t="str">
        <x:v>Elk Point Pond</x:v>
      </x:c>
      <x:c r="B588" s="8" t="str">
        <x:v>417505</x:v>
      </x:c>
      <x:c r="C588" s="17" t="n">
        <x:v>2025</x:v>
      </x:c>
      <x:c r="D588" s="8" t="str">
        <x:v>TIGER TROUT</x:v>
      </x:c>
      <x:c r="E588" s="13" t="n">
        <x:f>SUMIFS('Stocking details'!$F$6:$F$3307,'Stocking details'!$I$6:$I$3307,G588)</x:f>
        <x:v>150</x:v>
      </x:c>
      <x:c r="F588" s="13" t="n">
        <x:f>COUNTIFS('Stocking details'!$I$6:$I$3307,G588)</x:f>
        <x:v>1</x:v>
      </x:c>
      <x:c r="G588" s="8" t="str">
        <x:f>B588&amp;" / "&amp;C588&amp;" / "&amp;D588</x:f>
        <x:v>417505 / 2025 / TIGER TROUT</x:v>
      </x:c>
    </x:row>
    <x:row r="589" ht="23" customHeight="1">
      <x:c r="A589" s="8" t="str">
        <x:v>Elk Point Pond</x:v>
      </x:c>
      <x:c r="B589" s="8" t="str">
        <x:v>417505</x:v>
      </x:c>
      <x:c r="C589" s="17" t="n">
        <x:v>2024</x:v>
      </x:c>
      <x:c r="D589" s="8" t="str">
        <x:v>BROOK TROUT</x:v>
      </x:c>
      <x:c r="E589" s="13" t="n">
        <x:f>SUMIFS('Stocking details'!$F$6:$F$3307,'Stocking details'!$I$6:$I$3307,G589)</x:f>
        <x:v>500</x:v>
      </x:c>
      <x:c r="F589" s="13" t="n">
        <x:f>COUNTIFS('Stocking details'!$I$6:$I$3307,G589)</x:f>
        <x:v>1</x:v>
      </x:c>
      <x:c r="G589" s="8" t="str">
        <x:f>B589&amp;" / "&amp;C589&amp;" / "&amp;D589</x:f>
        <x:v>417505 / 2024 / BROOK TROUT</x:v>
      </x:c>
    </x:row>
    <x:row r="590" ht="23" customHeight="1">
      <x:c r="A590" s="8" t="str">
        <x:v>Elk Point Pond</x:v>
      </x:c>
      <x:c r="B590" s="8" t="str">
        <x:v>417505</x:v>
      </x:c>
      <x:c r="C590" s="17" t="n">
        <x:v>2024</x:v>
      </x:c>
      <x:c r="D590" s="8" t="str">
        <x:v>RAINBOW TROUT</x:v>
      </x:c>
      <x:c r="E590" s="13" t="n">
        <x:f>SUMIFS('Stocking details'!$F$6:$F$3307,'Stocking details'!$I$6:$I$3307,G590)</x:f>
        <x:v>360</x:v>
      </x:c>
      <x:c r="F590" s="13" t="n">
        <x:f>COUNTIFS('Stocking details'!$I$6:$I$3307,G590)</x:f>
        <x:v>1</x:v>
      </x:c>
      <x:c r="G590" s="8" t="str">
        <x:f>B590&amp;" / "&amp;C590&amp;" / "&amp;D590</x:f>
        <x:v>417505 / 2024 / RAINBOW TROUT</x:v>
      </x:c>
    </x:row>
    <x:row r="591" ht="23" customHeight="1">
      <x:c r="A591" s="8" t="str">
        <x:v>Elk Point Pond</x:v>
      </x:c>
      <x:c r="B591" s="8" t="str">
        <x:v>417505</x:v>
      </x:c>
      <x:c r="C591" s="17" t="n">
        <x:v>2024</x:v>
      </x:c>
      <x:c r="D591" s="8" t="str">
        <x:v>TIGER TROUT</x:v>
      </x:c>
      <x:c r="E591" s="13" t="n">
        <x:f>SUMIFS('Stocking details'!$F$6:$F$3307,'Stocking details'!$I$6:$I$3307,G591)</x:f>
        <x:v>150</x:v>
      </x:c>
      <x:c r="F591" s="13" t="n">
        <x:f>COUNTIFS('Stocking details'!$I$6:$I$3307,G591)</x:f>
        <x:v>1</x:v>
      </x:c>
      <x:c r="G591" s="8" t="str">
        <x:f>B591&amp;" / "&amp;C591&amp;" / "&amp;D591</x:f>
        <x:v>417505 / 2024 / TIGER TROUT</x:v>
      </x:c>
    </x:row>
    <x:row r="592" ht="23" customHeight="1">
      <x:c r="A592" s="8" t="str">
        <x:v>Elk Point Pond</x:v>
      </x:c>
      <x:c r="B592" s="8" t="str">
        <x:v>417505</x:v>
      </x:c>
      <x:c r="C592" s="17" t="n">
        <x:v>2023</x:v>
      </x:c>
      <x:c r="D592" s="8" t="str">
        <x:v>BROOK TROUT</x:v>
      </x:c>
      <x:c r="E592" s="13" t="n">
        <x:f>SUMIFS('Stocking details'!$F$6:$F$3307,'Stocking details'!$I$6:$I$3307,G592)</x:f>
        <x:v>500</x:v>
      </x:c>
      <x:c r="F592" s="13" t="n">
        <x:f>COUNTIFS('Stocking details'!$I$6:$I$3307,G592)</x:f>
        <x:v>1</x:v>
      </x:c>
      <x:c r="G592" s="8" t="str">
        <x:f>B592&amp;" / "&amp;C592&amp;" / "&amp;D592</x:f>
        <x:v>417505 / 2023 / BROOK TROUT</x:v>
      </x:c>
    </x:row>
    <x:row r="593" ht="23" customHeight="1">
      <x:c r="A593" s="8" t="str">
        <x:v>Elk Point Pond</x:v>
      </x:c>
      <x:c r="B593" s="8" t="str">
        <x:v>417505</x:v>
      </x:c>
      <x:c r="C593" s="17" t="n">
        <x:v>2023</x:v>
      </x:c>
      <x:c r="D593" s="8" t="str">
        <x:v>RAINBOW TROUT</x:v>
      </x:c>
      <x:c r="E593" s="13" t="n">
        <x:f>SUMIFS('Stocking details'!$F$6:$F$3307,'Stocking details'!$I$6:$I$3307,G593)</x:f>
        <x:v>359</x:v>
      </x:c>
      <x:c r="F593" s="13" t="n">
        <x:f>COUNTIFS('Stocking details'!$I$6:$I$3307,G593)</x:f>
        <x:v>1</x:v>
      </x:c>
      <x:c r="G593" s="8" t="str">
        <x:f>B593&amp;" / "&amp;C593&amp;" / "&amp;D593</x:f>
        <x:v>417505 / 2023 / RAINBOW TROUT</x:v>
      </x:c>
    </x:row>
    <x:row r="594" ht="23" customHeight="1">
      <x:c r="A594" s="8" t="str">
        <x:v>Elk Point Pond</x:v>
      </x:c>
      <x:c r="B594" s="8" t="str">
        <x:v>417505</x:v>
      </x:c>
      <x:c r="C594" s="17" t="n">
        <x:v>2023</x:v>
      </x:c>
      <x:c r="D594" s="8" t="str">
        <x:v>TIGER TROUT</x:v>
      </x:c>
      <x:c r="E594" s="13" t="n">
        <x:f>SUMIFS('Stocking details'!$F$6:$F$3307,'Stocking details'!$I$6:$I$3307,G594)</x:f>
        <x:v>150</x:v>
      </x:c>
      <x:c r="F594" s="13" t="n">
        <x:f>COUNTIFS('Stocking details'!$I$6:$I$3307,G594)</x:f>
        <x:v>1</x:v>
      </x:c>
      <x:c r="G594" s="8" t="str">
        <x:f>B594&amp;" / "&amp;C594&amp;" / "&amp;D594</x:f>
        <x:v>417505 / 2023 / TIGER TROUT</x:v>
      </x:c>
    </x:row>
    <x:row r="595" ht="23" customHeight="1">
      <x:c r="A595" s="8" t="str">
        <x:v>Elk Point Pond</x:v>
      </x:c>
      <x:c r="B595" s="8" t="str">
        <x:v>417505</x:v>
      </x:c>
      <x:c r="C595" s="17" t="n">
        <x:v>2022</x:v>
      </x:c>
      <x:c r="D595" s="8" t="str">
        <x:v>BROOK TROUT</x:v>
      </x:c>
      <x:c r="E595" s="13" t="n">
        <x:f>SUMIFS('Stocking details'!$F$6:$F$3307,'Stocking details'!$I$6:$I$3307,G595)</x:f>
        <x:v>500</x:v>
      </x:c>
      <x:c r="F595" s="13" t="n">
        <x:f>COUNTIFS('Stocking details'!$I$6:$I$3307,G595)</x:f>
        <x:v>1</x:v>
      </x:c>
      <x:c r="G595" s="8" t="str">
        <x:f>B595&amp;" / "&amp;C595&amp;" / "&amp;D595</x:f>
        <x:v>417505 / 2022 / BROOK TROUT</x:v>
      </x:c>
    </x:row>
    <x:row r="596" ht="23" customHeight="1">
      <x:c r="A596" s="8" t="str">
        <x:v>Elk Point Pond</x:v>
      </x:c>
      <x:c r="B596" s="8" t="str">
        <x:v>417505</x:v>
      </x:c>
      <x:c r="C596" s="17" t="n">
        <x:v>2022</x:v>
      </x:c>
      <x:c r="D596" s="8" t="str">
        <x:v>RAINBOW TROUT</x:v>
      </x:c>
      <x:c r="E596" s="13" t="n">
        <x:f>SUMIFS('Stocking details'!$F$6:$F$3307,'Stocking details'!$I$6:$I$3307,G596)</x:f>
        <x:v>900</x:v>
      </x:c>
      <x:c r="F596" s="13" t="n">
        <x:f>COUNTIFS('Stocking details'!$I$6:$I$3307,G596)</x:f>
        <x:v>1</x:v>
      </x:c>
      <x:c r="G596" s="8" t="str">
        <x:f>B596&amp;" / "&amp;C596&amp;" / "&amp;D596</x:f>
        <x:v>417505 / 2022 / RAINBOW TROUT</x:v>
      </x:c>
    </x:row>
    <x:row r="597" ht="23" customHeight="1">
      <x:c r="A597" s="8" t="str">
        <x:v>Elk Point Pond</x:v>
      </x:c>
      <x:c r="B597" s="8" t="str">
        <x:v>417505</x:v>
      </x:c>
      <x:c r="C597" s="17" t="n">
        <x:v>2022</x:v>
      </x:c>
      <x:c r="D597" s="8" t="str">
        <x:v>TIGER TROUT</x:v>
      </x:c>
      <x:c r="E597" s="13" t="n">
        <x:f>SUMIFS('Stocking details'!$F$6:$F$3307,'Stocking details'!$I$6:$I$3307,G597)</x:f>
        <x:v>150</x:v>
      </x:c>
      <x:c r="F597" s="13" t="n">
        <x:f>COUNTIFS('Stocking details'!$I$6:$I$3307,G597)</x:f>
        <x:v>1</x:v>
      </x:c>
      <x:c r="G597" s="8" t="str">
        <x:f>B597&amp;" / "&amp;C597&amp;" / "&amp;D597</x:f>
        <x:v>417505 / 2022 / TIGER TROUT</x:v>
      </x:c>
    </x:row>
    <x:row r="598" ht="23" customHeight="1">
      <x:c r="A598" s="8" t="str">
        <x:v>Elk Point Pond</x:v>
      </x:c>
      <x:c r="B598" s="8" t="str">
        <x:v>417505</x:v>
      </x:c>
      <x:c r="C598" s="17" t="n">
        <x:v>2021</x:v>
      </x:c>
      <x:c r="D598" s="8" t="str">
        <x:v>RAINBOW TROUT</x:v>
      </x:c>
      <x:c r="E598" s="13" t="n">
        <x:f>SUMIFS('Stocking details'!$F$6:$F$3307,'Stocking details'!$I$6:$I$3307,G598)</x:f>
        <x:v>900</x:v>
      </x:c>
      <x:c r="F598" s="13" t="n">
        <x:f>COUNTIFS('Stocking details'!$I$6:$I$3307,G598)</x:f>
        <x:v>1</x:v>
      </x:c>
      <x:c r="G598" s="8" t="str">
        <x:f>B598&amp;" / "&amp;C598&amp;" / "&amp;D598</x:f>
        <x:v>417505 / 2021 / RAINBOW TROUT</x:v>
      </x:c>
    </x:row>
    <x:row r="599" ht="23" customHeight="1">
      <x:c r="A599" s="8" t="str">
        <x:v>Emerald Lake</x:v>
      </x:c>
      <x:c r="B599" s="8" t="str">
        <x:v>6821</x:v>
      </x:c>
      <x:c r="C599" s="17" t="n">
        <x:v>2026</x:v>
      </x:c>
      <x:c r="D599" s="8" t="str">
        <x:v>BROOK TROUT</x:v>
      </x:c>
      <x:c r="E599" s="13" t="n">
        <x:f>SUMIFS('Stocking details'!$F$6:$F$3307,'Stocking details'!$I$6:$I$3307,G599)</x:f>
        <x:v>2600</x:v>
      </x:c>
      <x:c r="F599" s="13" t="n">
        <x:f>COUNTIFS('Stocking details'!$I$6:$I$3307,G599)</x:f>
        <x:v>1</x:v>
      </x:c>
      <x:c r="G599" s="8" t="str">
        <x:f>B599&amp;" / "&amp;C599&amp;" / "&amp;D599</x:f>
        <x:v>6821 / 2026 / BROOK TROUT</x:v>
      </x:c>
    </x:row>
    <x:row r="600" ht="23" customHeight="1">
      <x:c r="A600" s="8" t="str">
        <x:v>Emerald Lake</x:v>
      </x:c>
      <x:c r="B600" s="8" t="str">
        <x:v>6821</x:v>
      </x:c>
      <x:c r="C600" s="17" t="n">
        <x:v>2025</x:v>
      </x:c>
      <x:c r="D600" s="8" t="str">
        <x:v>BROOK TROUT</x:v>
      </x:c>
      <x:c r="E600" s="13" t="n">
        <x:f>SUMIFS('Stocking details'!$F$6:$F$3307,'Stocking details'!$I$6:$I$3307,G600)</x:f>
        <x:v>2600</x:v>
      </x:c>
      <x:c r="F600" s="13" t="n">
        <x:f>COUNTIFS('Stocking details'!$I$6:$I$3307,G600)</x:f>
        <x:v>1</x:v>
      </x:c>
      <x:c r="G600" s="8" t="str">
        <x:f>B600&amp;" / "&amp;C600&amp;" / "&amp;D600</x:f>
        <x:v>6821 / 2025 / BROOK TROUT</x:v>
      </x:c>
    </x:row>
    <x:row r="601" ht="23" customHeight="1">
      <x:c r="A601" s="8" t="str">
        <x:v>Emerald Lake</x:v>
      </x:c>
      <x:c r="B601" s="8" t="str">
        <x:v>6821</x:v>
      </x:c>
      <x:c r="C601" s="17" t="n">
        <x:v>2024</x:v>
      </x:c>
      <x:c r="D601" s="8" t="str">
        <x:v>BROOK TROUT</x:v>
      </x:c>
      <x:c r="E601" s="13" t="n">
        <x:f>SUMIFS('Stocking details'!$F$6:$F$3307,'Stocking details'!$I$6:$I$3307,G601)</x:f>
        <x:v>1800</x:v>
      </x:c>
      <x:c r="F601" s="13" t="n">
        <x:f>COUNTIFS('Stocking details'!$I$6:$I$3307,G601)</x:f>
        <x:v>1</x:v>
      </x:c>
      <x:c r="G601" s="8" t="str">
        <x:f>B601&amp;" / "&amp;C601&amp;" / "&amp;D601</x:f>
        <x:v>6821 / 2024 / BROOK TROUT</x:v>
      </x:c>
    </x:row>
    <x:row r="602" ht="23" customHeight="1">
      <x:c r="A602" s="8" t="str">
        <x:v>Emerald Lake</x:v>
      </x:c>
      <x:c r="B602" s="8" t="str">
        <x:v>6821</x:v>
      </x:c>
      <x:c r="C602" s="17" t="n">
        <x:v>2023</x:v>
      </x:c>
      <x:c r="D602" s="8" t="str">
        <x:v>BROOK TROUT</x:v>
      </x:c>
      <x:c r="E602" s="13" t="n">
        <x:f>SUMIFS('Stocking details'!$F$6:$F$3307,'Stocking details'!$I$6:$I$3307,G602)</x:f>
        <x:v>1800</x:v>
      </x:c>
      <x:c r="F602" s="13" t="n">
        <x:f>COUNTIFS('Stocking details'!$I$6:$I$3307,G602)</x:f>
        <x:v>1</x:v>
      </x:c>
      <x:c r="G602" s="8" t="str">
        <x:f>B602&amp;" / "&amp;C602&amp;" / "&amp;D602</x:f>
        <x:v>6821 / 2023 / BROOK TROUT</x:v>
      </x:c>
    </x:row>
    <x:row r="603" ht="23" customHeight="1">
      <x:c r="A603" s="8" t="str">
        <x:v>Emerald Lake</x:v>
      </x:c>
      <x:c r="B603" s="8" t="str">
        <x:v>6821</x:v>
      </x:c>
      <x:c r="C603" s="17" t="n">
        <x:v>2022</x:v>
      </x:c>
      <x:c r="D603" s="8" t="str">
        <x:v>BROOK TROUT</x:v>
      </x:c>
      <x:c r="E603" s="13" t="n">
        <x:f>SUMIFS('Stocking details'!$F$6:$F$3307,'Stocking details'!$I$6:$I$3307,G603)</x:f>
        <x:v>2600</x:v>
      </x:c>
      <x:c r="F603" s="13" t="n">
        <x:f>COUNTIFS('Stocking details'!$I$6:$I$3307,G603)</x:f>
        <x:v>1</x:v>
      </x:c>
      <x:c r="G603" s="8" t="str">
        <x:f>B603&amp;" / "&amp;C603&amp;" / "&amp;D603</x:f>
        <x:v>6821 / 2022 / BROOK TROUT</x:v>
      </x:c>
    </x:row>
    <x:row r="604" ht="23" customHeight="1">
      <x:c r="A604" s="8" t="str">
        <x:v>Emerald Lake</x:v>
      </x:c>
      <x:c r="B604" s="8" t="str">
        <x:v>6821</x:v>
      </x:c>
      <x:c r="C604" s="17" t="n">
        <x:v>2021</x:v>
      </x:c>
      <x:c r="D604" s="8" t="str">
        <x:v>BROOK TROUT</x:v>
      </x:c>
      <x:c r="E604" s="13" t="n">
        <x:f>SUMIFS('Stocking details'!$F$6:$F$3307,'Stocking details'!$I$6:$I$3307,G604)</x:f>
        <x:v>2600</x:v>
      </x:c>
      <x:c r="F604" s="13" t="n">
        <x:f>COUNTIFS('Stocking details'!$I$6:$I$3307,G604)</x:f>
        <x:v>1</x:v>
      </x:c>
      <x:c r="G604" s="8" t="str">
        <x:f>B604&amp;" / "&amp;C604&amp;" / "&amp;D604</x:f>
        <x:v>6821 / 2021 / BROOK TROUT</x:v>
      </x:c>
    </x:row>
    <x:row r="605" ht="23" customHeight="1">
      <x:c r="A605" s="8" t="str">
        <x:v>Emerson Lake</x:v>
      </x:c>
      <x:c r="B605" s="8" t="str">
        <x:v>6822</x:v>
      </x:c>
      <x:c r="C605" s="17" t="n">
        <x:v>2026</x:v>
      </x:c>
      <x:c r="D605" s="8" t="str">
        <x:v>BROWN TROUT</x:v>
      </x:c>
      <x:c r="E605" s="13" t="n">
        <x:f>SUMIFS('Stocking details'!$F$6:$F$3307,'Stocking details'!$I$6:$I$3307,G605)</x:f>
        <x:v>200</x:v>
      </x:c>
      <x:c r="F605" s="13" t="n">
        <x:f>COUNTIFS('Stocking details'!$I$6:$I$3307,G605)</x:f>
        <x:v>1</x:v>
      </x:c>
      <x:c r="G605" s="8" t="str">
        <x:f>B605&amp;" / "&amp;C605&amp;" / "&amp;D605</x:f>
        <x:v>6822 / 2026 / BROWN TROUT</x:v>
      </x:c>
    </x:row>
    <x:row r="606" ht="23" customHeight="1">
      <x:c r="A606" s="8" t="str">
        <x:v>Emerson Lake</x:v>
      </x:c>
      <x:c r="B606" s="8" t="str">
        <x:v>6822</x:v>
      </x:c>
      <x:c r="C606" s="17" t="n">
        <x:v>2026</x:v>
      </x:c>
      <x:c r="D606" s="8" t="str">
        <x:v>RAINBOW TROUT</x:v>
      </x:c>
      <x:c r="E606" s="13" t="n">
        <x:f>SUMIFS('Stocking details'!$F$6:$F$3307,'Stocking details'!$I$6:$I$3307,G606)</x:f>
        <x:v>2800</x:v>
      </x:c>
      <x:c r="F606" s="13" t="n">
        <x:f>COUNTIFS('Stocking details'!$I$6:$I$3307,G606)</x:f>
        <x:v>2</x:v>
      </x:c>
      <x:c r="G606" s="8" t="str">
        <x:f>B606&amp;" / "&amp;C606&amp;" / "&amp;D606</x:f>
        <x:v>6822 / 2026 / RAINBOW TROUT</x:v>
      </x:c>
    </x:row>
    <x:row r="607" ht="23" customHeight="1">
      <x:c r="A607" s="8" t="str">
        <x:v>Emerson Lake</x:v>
      </x:c>
      <x:c r="B607" s="8" t="str">
        <x:v>6822</x:v>
      </x:c>
      <x:c r="C607" s="17" t="n">
        <x:v>2025</x:v>
      </x:c>
      <x:c r="D607" s="8" t="str">
        <x:v>BROWN TROUT</x:v>
      </x:c>
      <x:c r="E607" s="13" t="n">
        <x:f>SUMIFS('Stocking details'!$F$6:$F$3307,'Stocking details'!$I$6:$I$3307,G607)</x:f>
        <x:v>200</x:v>
      </x:c>
      <x:c r="F607" s="13" t="n">
        <x:f>COUNTIFS('Stocking details'!$I$6:$I$3307,G607)</x:f>
        <x:v>1</x:v>
      </x:c>
      <x:c r="G607" s="8" t="str">
        <x:f>B607&amp;" / "&amp;C607&amp;" / "&amp;D607</x:f>
        <x:v>6822 / 2025 / BROWN TROUT</x:v>
      </x:c>
    </x:row>
    <x:row r="608" ht="23" customHeight="1">
      <x:c r="A608" s="8" t="str">
        <x:v>Emerson Lake</x:v>
      </x:c>
      <x:c r="B608" s="8" t="str">
        <x:v>6822</x:v>
      </x:c>
      <x:c r="C608" s="17" t="n">
        <x:v>2025</x:v>
      </x:c>
      <x:c r="D608" s="8" t="str">
        <x:v>RAINBOW TROUT</x:v>
      </x:c>
      <x:c r="E608" s="13" t="n">
        <x:f>SUMIFS('Stocking details'!$F$6:$F$3307,'Stocking details'!$I$6:$I$3307,G608)</x:f>
        <x:v>3762</x:v>
      </x:c>
      <x:c r="F608" s="13" t="n">
        <x:f>COUNTIFS('Stocking details'!$I$6:$I$3307,G608)</x:f>
        <x:v>2</x:v>
      </x:c>
      <x:c r="G608" s="8" t="str">
        <x:f>B608&amp;" / "&amp;C608&amp;" / "&amp;D608</x:f>
        <x:v>6822 / 2025 / RAINBOW TROUT</x:v>
      </x:c>
    </x:row>
    <x:row r="609" ht="23" customHeight="1">
      <x:c r="A609" s="8" t="str">
        <x:v>Emerson Lake</x:v>
      </x:c>
      <x:c r="B609" s="8" t="str">
        <x:v>6822</x:v>
      </x:c>
      <x:c r="C609" s="17" t="n">
        <x:v>2024</x:v>
      </x:c>
      <x:c r="D609" s="8" t="str">
        <x:v>BROWN TROUT</x:v>
      </x:c>
      <x:c r="E609" s="13" t="n">
        <x:f>SUMIFS('Stocking details'!$F$6:$F$3307,'Stocking details'!$I$6:$I$3307,G609)</x:f>
        <x:v>200</x:v>
      </x:c>
      <x:c r="F609" s="13" t="n">
        <x:f>COUNTIFS('Stocking details'!$I$6:$I$3307,G609)</x:f>
        <x:v>1</x:v>
      </x:c>
      <x:c r="G609" s="8" t="str">
        <x:f>B609&amp;" / "&amp;C609&amp;" / "&amp;D609</x:f>
        <x:v>6822 / 2024 / BROWN TROUT</x:v>
      </x:c>
    </x:row>
    <x:row r="610" ht="23" customHeight="1">
      <x:c r="A610" s="8" t="str">
        <x:v>Emerson Lake</x:v>
      </x:c>
      <x:c r="B610" s="8" t="str">
        <x:v>6822</x:v>
      </x:c>
      <x:c r="C610" s="17" t="n">
        <x:v>2024</x:v>
      </x:c>
      <x:c r="D610" s="8" t="str">
        <x:v>RAINBOW TROUT</x:v>
      </x:c>
      <x:c r="E610" s="13" t="n">
        <x:f>SUMIFS('Stocking details'!$F$6:$F$3307,'Stocking details'!$I$6:$I$3307,G610)</x:f>
        <x:v>2850</x:v>
      </x:c>
      <x:c r="F610" s="13" t="n">
        <x:f>COUNTIFS('Stocking details'!$I$6:$I$3307,G610)</x:f>
        <x:v>3</x:v>
      </x:c>
      <x:c r="G610" s="8" t="str">
        <x:f>B610&amp;" / "&amp;C610&amp;" / "&amp;D610</x:f>
        <x:v>6822 / 2024 / RAINBOW TROUT</x:v>
      </x:c>
    </x:row>
    <x:row r="611" ht="23" customHeight="1">
      <x:c r="A611" s="8" t="str">
        <x:v>Emerson Lake</x:v>
      </x:c>
      <x:c r="B611" s="8" t="str">
        <x:v>6822</x:v>
      </x:c>
      <x:c r="C611" s="17" t="n">
        <x:v>2023</x:v>
      </x:c>
      <x:c r="D611" s="8" t="str">
        <x:v>BROWN TROUT</x:v>
      </x:c>
      <x:c r="E611" s="13" t="n">
        <x:f>SUMIFS('Stocking details'!$F$6:$F$3307,'Stocking details'!$I$6:$I$3307,G611)</x:f>
        <x:v>200</x:v>
      </x:c>
      <x:c r="F611" s="13" t="n">
        <x:f>COUNTIFS('Stocking details'!$I$6:$I$3307,G611)</x:f>
        <x:v>1</x:v>
      </x:c>
      <x:c r="G611" s="8" t="str">
        <x:f>B611&amp;" / "&amp;C611&amp;" / "&amp;D611</x:f>
        <x:v>6822 / 2023 / BROWN TROUT</x:v>
      </x:c>
    </x:row>
    <x:row r="612" ht="23" customHeight="1">
      <x:c r="A612" s="8" t="str">
        <x:v>Emerson Lake</x:v>
      </x:c>
      <x:c r="B612" s="8" t="str">
        <x:v>6822</x:v>
      </x:c>
      <x:c r="C612" s="17" t="n">
        <x:v>2023</x:v>
      </x:c>
      <x:c r="D612" s="8" t="str">
        <x:v>RAINBOW TROUT</x:v>
      </x:c>
      <x:c r="E612" s="13" t="n">
        <x:f>SUMIFS('Stocking details'!$F$6:$F$3307,'Stocking details'!$I$6:$I$3307,G612)</x:f>
        <x:v>2900</x:v>
      </x:c>
      <x:c r="F612" s="13" t="n">
        <x:f>COUNTIFS('Stocking details'!$I$6:$I$3307,G612)</x:f>
        <x:v>2</x:v>
      </x:c>
      <x:c r="G612" s="8" t="str">
        <x:f>B612&amp;" / "&amp;C612&amp;" / "&amp;D612</x:f>
        <x:v>6822 / 2023 / RAINBOW TROUT</x:v>
      </x:c>
    </x:row>
    <x:row r="613" ht="23" customHeight="1">
      <x:c r="A613" s="8" t="str">
        <x:v>Emerson Lake</x:v>
      </x:c>
      <x:c r="B613" s="8" t="str">
        <x:v>6822</x:v>
      </x:c>
      <x:c r="C613" s="17" t="n">
        <x:v>2022</x:v>
      </x:c>
      <x:c r="D613" s="8" t="str">
        <x:v>BROWN TROUT</x:v>
      </x:c>
      <x:c r="E613" s="13" t="n">
        <x:f>SUMIFS('Stocking details'!$F$6:$F$3307,'Stocking details'!$I$6:$I$3307,G613)</x:f>
        <x:v>200</x:v>
      </x:c>
      <x:c r="F613" s="13" t="n">
        <x:f>COUNTIFS('Stocking details'!$I$6:$I$3307,G613)</x:f>
        <x:v>1</x:v>
      </x:c>
      <x:c r="G613" s="8" t="str">
        <x:f>B613&amp;" / "&amp;C613&amp;" / "&amp;D613</x:f>
        <x:v>6822 / 2022 / BROWN TROUT</x:v>
      </x:c>
    </x:row>
    <x:row r="614" ht="23" customHeight="1">
      <x:c r="A614" s="8" t="str">
        <x:v>Emerson Lake</x:v>
      </x:c>
      <x:c r="B614" s="8" t="str">
        <x:v>6822</x:v>
      </x:c>
      <x:c r="C614" s="17" t="n">
        <x:v>2022</x:v>
      </x:c>
      <x:c r="D614" s="8" t="str">
        <x:v>RAINBOW TROUT</x:v>
      </x:c>
      <x:c r="E614" s="13" t="n">
        <x:f>SUMIFS('Stocking details'!$F$6:$F$3307,'Stocking details'!$I$6:$I$3307,G614)</x:f>
        <x:v>2800</x:v>
      </x:c>
      <x:c r="F614" s="13" t="n">
        <x:f>COUNTIFS('Stocking details'!$I$6:$I$3307,G614)</x:f>
        <x:v>2</x:v>
      </x:c>
      <x:c r="G614" s="8" t="str">
        <x:f>B614&amp;" / "&amp;C614&amp;" / "&amp;D614</x:f>
        <x:v>6822 / 2022 / RAINBOW TROUT</x:v>
      </x:c>
    </x:row>
    <x:row r="615" ht="23" customHeight="1">
      <x:c r="A615" s="8" t="str">
        <x:v>Emerson Lake</x:v>
      </x:c>
      <x:c r="B615" s="8" t="str">
        <x:v>6822</x:v>
      </x:c>
      <x:c r="C615" s="17" t="n">
        <x:v>2021</x:v>
      </x:c>
      <x:c r="D615" s="8" t="str">
        <x:v>BROWN TROUT</x:v>
      </x:c>
      <x:c r="E615" s="13" t="n">
        <x:f>SUMIFS('Stocking details'!$F$6:$F$3307,'Stocking details'!$I$6:$I$3307,G615)</x:f>
        <x:v>200</x:v>
      </x:c>
      <x:c r="F615" s="13" t="n">
        <x:f>COUNTIFS('Stocking details'!$I$6:$I$3307,G615)</x:f>
        <x:v>1</x:v>
      </x:c>
      <x:c r="G615" s="8" t="str">
        <x:f>B615&amp;" / "&amp;C615&amp;" / "&amp;D615</x:f>
        <x:v>6822 / 2021 / BROWN TROUT</x:v>
      </x:c>
    </x:row>
    <x:row r="616" ht="23" customHeight="1">
      <x:c r="A616" s="8" t="str">
        <x:v>Emerson Lake</x:v>
      </x:c>
      <x:c r="B616" s="8" t="str">
        <x:v>6822</x:v>
      </x:c>
      <x:c r="C616" s="17" t="n">
        <x:v>2021</x:v>
      </x:c>
      <x:c r="D616" s="8" t="str">
        <x:v>RAINBOW TROUT</x:v>
      </x:c>
      <x:c r="E616" s="13" t="n">
        <x:f>SUMIFS('Stocking details'!$F$6:$F$3307,'Stocking details'!$I$6:$I$3307,G616)</x:f>
        <x:v>3800</x:v>
      </x:c>
      <x:c r="F616" s="13" t="n">
        <x:f>COUNTIFS('Stocking details'!$I$6:$I$3307,G616)</x:f>
        <x:v>3</x:v>
      </x:c>
      <x:c r="G616" s="8" t="str">
        <x:f>B616&amp;" / "&amp;C616&amp;" / "&amp;D616</x:f>
        <x:v>6822 / 2021 / RAINBOW TROUT</x:v>
      </x:c>
    </x:row>
    <x:row r="617" ht="23" customHeight="1">
      <x:c r="A617" s="8" t="str">
        <x:v>Emerson Lakes</x:v>
      </x:c>
      <x:c r="B617" s="8" t="str">
        <x:v>4535</x:v>
      </x:c>
      <x:c r="C617" s="17" t="n">
        <x:v>2026</x:v>
      </x:c>
      <x:c r="D617" s="8" t="str">
        <x:v>RAINBOW TROUT</x:v>
      </x:c>
      <x:c r="E617" s="13" t="n">
        <x:f>SUMIFS('Stocking details'!$F$6:$F$3307,'Stocking details'!$I$6:$I$3307,G617)</x:f>
        <x:v>2250</x:v>
      </x:c>
      <x:c r="F617" s="13" t="n">
        <x:f>COUNTIFS('Stocking details'!$I$6:$I$3307,G617)</x:f>
        <x:v>1</x:v>
      </x:c>
      <x:c r="G617" s="8" t="str">
        <x:f>B617&amp;" / "&amp;C617&amp;" / "&amp;D617</x:f>
        <x:v>4535 / 2026 / RAINBOW TROUT</x:v>
      </x:c>
    </x:row>
    <x:row r="618" ht="23" customHeight="1">
      <x:c r="A618" s="8" t="str">
        <x:v>Emerson Lakes</x:v>
      </x:c>
      <x:c r="B618" s="8" t="str">
        <x:v>4535</x:v>
      </x:c>
      <x:c r="C618" s="17" t="n">
        <x:v>2024</x:v>
      </x:c>
      <x:c r="D618" s="8" t="str">
        <x:v>RAINBOW TROUT</x:v>
      </x:c>
      <x:c r="E618" s="13" t="n">
        <x:f>SUMIFS('Stocking details'!$F$6:$F$3307,'Stocking details'!$I$6:$I$3307,G618)</x:f>
        <x:v>1125</x:v>
      </x:c>
      <x:c r="F618" s="13" t="n">
        <x:f>COUNTIFS('Stocking details'!$I$6:$I$3307,G618)</x:f>
        <x:v>1</x:v>
      </x:c>
      <x:c r="G618" s="8" t="str">
        <x:f>B618&amp;" / "&amp;C618&amp;" / "&amp;D618</x:f>
        <x:v>4535 / 2024 / RAINBOW TROUT</x:v>
      </x:c>
    </x:row>
    <x:row r="619" ht="23" customHeight="1">
      <x:c r="A619" s="8" t="str">
        <x:v>Emerson Lakes</x:v>
      </x:c>
      <x:c r="B619" s="8" t="str">
        <x:v>4535</x:v>
      </x:c>
      <x:c r="C619" s="17" t="n">
        <x:v>2023</x:v>
      </x:c>
      <x:c r="D619" s="8" t="str">
        <x:v>RAINBOW TROUT</x:v>
      </x:c>
      <x:c r="E619" s="13" t="n">
        <x:f>SUMIFS('Stocking details'!$F$6:$F$3307,'Stocking details'!$I$6:$I$3307,G619)</x:f>
        <x:v>1067</x:v>
      </x:c>
      <x:c r="F619" s="13" t="n">
        <x:f>COUNTIFS('Stocking details'!$I$6:$I$3307,G619)</x:f>
        <x:v>1</x:v>
      </x:c>
      <x:c r="G619" s="8" t="str">
        <x:f>B619&amp;" / "&amp;C619&amp;" / "&amp;D619</x:f>
        <x:v>4535 / 2023 / RAINBOW TROUT</x:v>
      </x:c>
    </x:row>
    <x:row r="620" ht="23" customHeight="1">
      <x:c r="A620" s="8" t="str">
        <x:v>Emerson Lakes</x:v>
      </x:c>
      <x:c r="B620" s="8" t="str">
        <x:v>4535</x:v>
      </x:c>
      <x:c r="C620" s="17" t="n">
        <x:v>2022</x:v>
      </x:c>
      <x:c r="D620" s="8" t="str">
        <x:v>RAINBOW TROUT</x:v>
      </x:c>
      <x:c r="E620" s="13" t="n">
        <x:f>SUMIFS('Stocking details'!$F$6:$F$3307,'Stocking details'!$I$6:$I$3307,G620)</x:f>
        <x:v>2250</x:v>
      </x:c>
      <x:c r="F620" s="13" t="n">
        <x:f>COUNTIFS('Stocking details'!$I$6:$I$3307,G620)</x:f>
        <x:v>1</x:v>
      </x:c>
      <x:c r="G620" s="8" t="str">
        <x:f>B620&amp;" / "&amp;C620&amp;" / "&amp;D620</x:f>
        <x:v>4535 / 2022 / RAINBOW TROUT</x:v>
      </x:c>
    </x:row>
    <x:row r="621" ht="23" customHeight="1">
      <x:c r="A621" s="8" t="str">
        <x:v>Emerson Lakes</x:v>
      </x:c>
      <x:c r="B621" s="8" t="str">
        <x:v>4535</x:v>
      </x:c>
      <x:c r="C621" s="17" t="n">
        <x:v>2021</x:v>
      </x:c>
      <x:c r="D621" s="8" t="str">
        <x:v>RAINBOW TROUT</x:v>
      </x:c>
      <x:c r="E621" s="13" t="n">
        <x:f>SUMIFS('Stocking details'!$F$6:$F$3307,'Stocking details'!$I$6:$I$3307,G621)</x:f>
        <x:v>2250</x:v>
      </x:c>
      <x:c r="F621" s="13" t="n">
        <x:f>COUNTIFS('Stocking details'!$I$6:$I$3307,G621)</x:f>
        <x:v>1</x:v>
      </x:c>
      <x:c r="G621" s="8" t="str">
        <x:f>B621&amp;" / "&amp;C621&amp;" / "&amp;D621</x:f>
        <x:v>4535 / 2021 / RAINBOW TROUT</x:v>
      </x:c>
    </x:row>
    <x:row r="622" ht="23" customHeight="1">
      <x:c r="A622" s="8" t="str">
        <x:v>Enchant Pond</x:v>
      </x:c>
      <x:c r="B622" s="8" t="str">
        <x:v>6823</x:v>
      </x:c>
      <x:c r="C622" s="17" t="n">
        <x:v>2026</x:v>
      </x:c>
      <x:c r="D622" s="8" t="str">
        <x:v>RAINBOW TROUT</x:v>
      </x:c>
      <x:c r="E622" s="13" t="n">
        <x:f>SUMIFS('Stocking details'!$F$6:$F$3307,'Stocking details'!$I$6:$I$3307,G622)</x:f>
        <x:v>2000</x:v>
      </x:c>
      <x:c r="F622" s="13" t="n">
        <x:f>COUNTIFS('Stocking details'!$I$6:$I$3307,G622)</x:f>
        <x:v>1</x:v>
      </x:c>
      <x:c r="G622" s="8" t="str">
        <x:f>B622&amp;" / "&amp;C622&amp;" / "&amp;D622</x:f>
        <x:v>6823 / 2026 / RAINBOW TROUT</x:v>
      </x:c>
    </x:row>
    <x:row r="623" ht="23" customHeight="1">
      <x:c r="A623" s="8" t="str">
        <x:v>Enchant Pond</x:v>
      </x:c>
      <x:c r="B623" s="8" t="str">
        <x:v>6823</x:v>
      </x:c>
      <x:c r="C623" s="17" t="n">
        <x:v>2026</x:v>
      </x:c>
      <x:c r="D623" s="8" t="str">
        <x:v>TIGER TROUT</x:v>
      </x:c>
      <x:c r="E623" s="13" t="n">
        <x:f>SUMIFS('Stocking details'!$F$6:$F$3307,'Stocking details'!$I$6:$I$3307,G623)</x:f>
        <x:v>200</x:v>
      </x:c>
      <x:c r="F623" s="13" t="n">
        <x:f>COUNTIFS('Stocking details'!$I$6:$I$3307,G623)</x:f>
        <x:v>1</x:v>
      </x:c>
      <x:c r="G623" s="8" t="str">
        <x:f>B623&amp;" / "&amp;C623&amp;" / "&amp;D623</x:f>
        <x:v>6823 / 2026 / TIGER TROUT</x:v>
      </x:c>
    </x:row>
    <x:row r="624" ht="23" customHeight="1">
      <x:c r="A624" s="8" t="str">
        <x:v>Enchant Pond</x:v>
      </x:c>
      <x:c r="B624" s="8" t="str">
        <x:v>6823</x:v>
      </x:c>
      <x:c r="C624" s="17" t="n">
        <x:v>2025</x:v>
      </x:c>
      <x:c r="D624" s="8" t="str">
        <x:v>RAINBOW TROUT</x:v>
      </x:c>
      <x:c r="E624" s="13" t="n">
        <x:f>SUMIFS('Stocking details'!$F$6:$F$3307,'Stocking details'!$I$6:$I$3307,G624)</x:f>
        <x:v>2000</x:v>
      </x:c>
      <x:c r="F624" s="13" t="n">
        <x:f>COUNTIFS('Stocking details'!$I$6:$I$3307,G624)</x:f>
        <x:v>1</x:v>
      </x:c>
      <x:c r="G624" s="8" t="str">
        <x:f>B624&amp;" / "&amp;C624&amp;" / "&amp;D624</x:f>
        <x:v>6823 / 2025 / RAINBOW TROUT</x:v>
      </x:c>
    </x:row>
    <x:row r="625" ht="23" customHeight="1">
      <x:c r="A625" s="8" t="str">
        <x:v>Enchant Pond</x:v>
      </x:c>
      <x:c r="B625" s="8" t="str">
        <x:v>6823</x:v>
      </x:c>
      <x:c r="C625" s="17" t="n">
        <x:v>2025</x:v>
      </x:c>
      <x:c r="D625" s="8" t="str">
        <x:v>TIGER TROUT</x:v>
      </x:c>
      <x:c r="E625" s="13" t="n">
        <x:f>SUMIFS('Stocking details'!$F$6:$F$3307,'Stocking details'!$I$6:$I$3307,G625)</x:f>
        <x:v>200</x:v>
      </x:c>
      <x:c r="F625" s="13" t="n">
        <x:f>COUNTIFS('Stocking details'!$I$6:$I$3307,G625)</x:f>
        <x:v>1</x:v>
      </x:c>
      <x:c r="G625" s="8" t="str">
        <x:f>B625&amp;" / "&amp;C625&amp;" / "&amp;D625</x:f>
        <x:v>6823 / 2025 / TIGER TROUT</x:v>
      </x:c>
    </x:row>
    <x:row r="626" ht="23" customHeight="1">
      <x:c r="A626" s="8" t="str">
        <x:v>Enchant Pond</x:v>
      </x:c>
      <x:c r="B626" s="8" t="str">
        <x:v>6823</x:v>
      </x:c>
      <x:c r="C626" s="17" t="n">
        <x:v>2024</x:v>
      </x:c>
      <x:c r="D626" s="8" t="str">
        <x:v>RAINBOW TROUT</x:v>
      </x:c>
      <x:c r="E626" s="13" t="n">
        <x:f>SUMIFS('Stocking details'!$F$6:$F$3307,'Stocking details'!$I$6:$I$3307,G626)</x:f>
        <x:v>2000</x:v>
      </x:c>
      <x:c r="F626" s="13" t="n">
        <x:f>COUNTIFS('Stocking details'!$I$6:$I$3307,G626)</x:f>
        <x:v>1</x:v>
      </x:c>
      <x:c r="G626" s="8" t="str">
        <x:f>B626&amp;" / "&amp;C626&amp;" / "&amp;D626</x:f>
        <x:v>6823 / 2024 / RAINBOW TROUT</x:v>
      </x:c>
    </x:row>
    <x:row r="627" ht="23" customHeight="1">
      <x:c r="A627" s="8" t="str">
        <x:v>Enchant Pond</x:v>
      </x:c>
      <x:c r="B627" s="8" t="str">
        <x:v>6823</x:v>
      </x:c>
      <x:c r="C627" s="17" t="n">
        <x:v>2024</x:v>
      </x:c>
      <x:c r="D627" s="8" t="str">
        <x:v>TIGER TROUT</x:v>
      </x:c>
      <x:c r="E627" s="13" t="n">
        <x:f>SUMIFS('Stocking details'!$F$6:$F$3307,'Stocking details'!$I$6:$I$3307,G627)</x:f>
        <x:v>200</x:v>
      </x:c>
      <x:c r="F627" s="13" t="n">
        <x:f>COUNTIFS('Stocking details'!$I$6:$I$3307,G627)</x:f>
        <x:v>1</x:v>
      </x:c>
      <x:c r="G627" s="8" t="str">
        <x:f>B627&amp;" / "&amp;C627&amp;" / "&amp;D627</x:f>
        <x:v>6823 / 2024 / TIGER TROUT</x:v>
      </x:c>
    </x:row>
    <x:row r="628" ht="23" customHeight="1">
      <x:c r="A628" s="8" t="str">
        <x:v>Enchant Pond</x:v>
      </x:c>
      <x:c r="B628" s="8" t="str">
        <x:v>6823</x:v>
      </x:c>
      <x:c r="C628" s="17" t="n">
        <x:v>2023</x:v>
      </x:c>
      <x:c r="D628" s="8" t="str">
        <x:v>RAINBOW TROUT</x:v>
      </x:c>
      <x:c r="E628" s="13" t="n">
        <x:f>SUMIFS('Stocking details'!$F$6:$F$3307,'Stocking details'!$I$6:$I$3307,G628)</x:f>
        <x:v>2200</x:v>
      </x:c>
      <x:c r="F628" s="13" t="n">
        <x:f>COUNTIFS('Stocking details'!$I$6:$I$3307,G628)</x:f>
        <x:v>1</x:v>
      </x:c>
      <x:c r="G628" s="8" t="str">
        <x:f>B628&amp;" / "&amp;C628&amp;" / "&amp;D628</x:f>
        <x:v>6823 / 2023 / RAINBOW TROUT</x:v>
      </x:c>
    </x:row>
    <x:row r="629" ht="23" customHeight="1">
      <x:c r="A629" s="8" t="str">
        <x:v>Enchant Pond</x:v>
      </x:c>
      <x:c r="B629" s="8" t="str">
        <x:v>6823</x:v>
      </x:c>
      <x:c r="C629" s="17" t="n">
        <x:v>2023</x:v>
      </x:c>
      <x:c r="D629" s="8" t="str">
        <x:v>TIGER TROUT</x:v>
      </x:c>
      <x:c r="E629" s="13" t="n">
        <x:f>SUMIFS('Stocking details'!$F$6:$F$3307,'Stocking details'!$I$6:$I$3307,G629)</x:f>
        <x:v>200</x:v>
      </x:c>
      <x:c r="F629" s="13" t="n">
        <x:f>COUNTIFS('Stocking details'!$I$6:$I$3307,G629)</x:f>
        <x:v>1</x:v>
      </x:c>
      <x:c r="G629" s="8" t="str">
        <x:f>B629&amp;" / "&amp;C629&amp;" / "&amp;D629</x:f>
        <x:v>6823 / 2023 / TIGER TROUT</x:v>
      </x:c>
    </x:row>
    <x:row r="630" ht="23" customHeight="1">
      <x:c r="A630" s="8" t="str">
        <x:v>Enchant Pond</x:v>
      </x:c>
      <x:c r="B630" s="8" t="str">
        <x:v>6823</x:v>
      </x:c>
      <x:c r="C630" s="17" t="n">
        <x:v>2022</x:v>
      </x:c>
      <x:c r="D630" s="8" t="str">
        <x:v>RAINBOW TROUT</x:v>
      </x:c>
      <x:c r="E630" s="13" t="n">
        <x:f>SUMIFS('Stocking details'!$F$6:$F$3307,'Stocking details'!$I$6:$I$3307,G630)</x:f>
        <x:v>2475</x:v>
      </x:c>
      <x:c r="F630" s="13" t="n">
        <x:f>COUNTIFS('Stocking details'!$I$6:$I$3307,G630)</x:f>
        <x:v>2</x:v>
      </x:c>
      <x:c r="G630" s="8" t="str">
        <x:f>B630&amp;" / "&amp;C630&amp;" / "&amp;D630</x:f>
        <x:v>6823 / 2022 / RAINBOW TROUT</x:v>
      </x:c>
    </x:row>
    <x:row r="631" ht="23" customHeight="1">
      <x:c r="A631" s="8" t="str">
        <x:v>Enchant Pond</x:v>
      </x:c>
      <x:c r="B631" s="8" t="str">
        <x:v>6823</x:v>
      </x:c>
      <x:c r="C631" s="17" t="n">
        <x:v>2021</x:v>
      </x:c>
      <x:c r="D631" s="8" t="str">
        <x:v>RAINBOW TROUT</x:v>
      </x:c>
      <x:c r="E631" s="13" t="n">
        <x:f>SUMIFS('Stocking details'!$F$6:$F$3307,'Stocking details'!$I$6:$I$3307,G631)</x:f>
        <x:v>3175</x:v>
      </x:c>
      <x:c r="F631" s="13" t="n">
        <x:f>COUNTIFS('Stocking details'!$I$6:$I$3307,G631)</x:f>
        <x:v>3</x:v>
      </x:c>
      <x:c r="G631" s="8" t="str">
        <x:f>B631&amp;" / "&amp;C631&amp;" / "&amp;D631</x:f>
        <x:v>6823 / 2021 / RAINBOW TROUT</x:v>
      </x:c>
    </x:row>
    <x:row r="632" ht="23" customHeight="1">
      <x:c r="A632" s="8" t="str">
        <x:v>Engstrom Lake</x:v>
      </x:c>
      <x:c r="B632" s="8" t="str">
        <x:v>4539</x:v>
      </x:c>
      <x:c r="C632" s="17" t="n">
        <x:v>2026</x:v>
      </x:c>
      <x:c r="D632" s="8" t="str">
        <x:v>RAINBOW TROUT</x:v>
      </x:c>
      <x:c r="E632" s="13" t="n">
        <x:f>SUMIFS('Stocking details'!$F$6:$F$3307,'Stocking details'!$I$6:$I$3307,G632)</x:f>
        <x:v>23000</x:v>
      </x:c>
      <x:c r="F632" s="13" t="n">
        <x:f>COUNTIFS('Stocking details'!$I$6:$I$3307,G632)</x:f>
        <x:v>2</x:v>
      </x:c>
      <x:c r="G632" s="8" t="str">
        <x:f>B632&amp;" / "&amp;C632&amp;" / "&amp;D632</x:f>
        <x:v>4539 / 2026 / RAINBOW TROUT</x:v>
      </x:c>
    </x:row>
    <x:row r="633" ht="23" customHeight="1">
      <x:c r="A633" s="8" t="str">
        <x:v>Engstrom Lake</x:v>
      </x:c>
      <x:c r="B633" s="8" t="str">
        <x:v>4539</x:v>
      </x:c>
      <x:c r="C633" s="17" t="n">
        <x:v>2025</x:v>
      </x:c>
      <x:c r="D633" s="8" t="str">
        <x:v>RAINBOW TROUT</x:v>
      </x:c>
      <x:c r="E633" s="13" t="n">
        <x:f>SUMIFS('Stocking details'!$F$6:$F$3307,'Stocking details'!$I$6:$I$3307,G633)</x:f>
        <x:v>45000</x:v>
      </x:c>
      <x:c r="F633" s="13" t="n">
        <x:f>COUNTIFS('Stocking details'!$I$6:$I$3307,G633)</x:f>
        <x:v>4</x:v>
      </x:c>
      <x:c r="G633" s="8" t="str">
        <x:f>B633&amp;" / "&amp;C633&amp;" / "&amp;D633</x:f>
        <x:v>4539 / 2025 / RAINBOW TROUT</x:v>
      </x:c>
    </x:row>
    <x:row r="634" ht="23" customHeight="1">
      <x:c r="A634" s="8" t="str">
        <x:v>Engstrom Lake</x:v>
      </x:c>
      <x:c r="B634" s="8" t="str">
        <x:v>4539</x:v>
      </x:c>
      <x:c r="C634" s="17" t="n">
        <x:v>2024</x:v>
      </x:c>
      <x:c r="D634" s="8" t="str">
        <x:v>RAINBOW TROUT</x:v>
      </x:c>
      <x:c r="E634" s="13" t="n">
        <x:f>SUMIFS('Stocking details'!$F$6:$F$3307,'Stocking details'!$I$6:$I$3307,G634)</x:f>
        <x:v>31000</x:v>
      </x:c>
      <x:c r="F634" s="13" t="n">
        <x:f>COUNTIFS('Stocking details'!$I$6:$I$3307,G634)</x:f>
        <x:v>3</x:v>
      </x:c>
      <x:c r="G634" s="8" t="str">
        <x:f>B634&amp;" / "&amp;C634&amp;" / "&amp;D634</x:f>
        <x:v>4539 / 2024 / RAINBOW TROUT</x:v>
      </x:c>
    </x:row>
    <x:row r="635" ht="23" customHeight="1">
      <x:c r="A635" s="8" t="str">
        <x:v>Engstrom Lake</x:v>
      </x:c>
      <x:c r="B635" s="8" t="str">
        <x:v>4539</x:v>
      </x:c>
      <x:c r="C635" s="17" t="n">
        <x:v>2023</x:v>
      </x:c>
      <x:c r="D635" s="8" t="str">
        <x:v>RAINBOW TROUT</x:v>
      </x:c>
      <x:c r="E635" s="13" t="n">
        <x:f>SUMIFS('Stocking details'!$F$6:$F$3307,'Stocking details'!$I$6:$I$3307,G635)</x:f>
        <x:v>41541</x:v>
      </x:c>
      <x:c r="F635" s="13" t="n">
        <x:f>COUNTIFS('Stocking details'!$I$6:$I$3307,G635)</x:f>
        <x:v>3</x:v>
      </x:c>
      <x:c r="G635" s="8" t="str">
        <x:f>B635&amp;" / "&amp;C635&amp;" / "&amp;D635</x:f>
        <x:v>4539 / 2023 / RAINBOW TROUT</x:v>
      </x:c>
    </x:row>
    <x:row r="636" ht="23" customHeight="1">
      <x:c r="A636" s="8" t="str">
        <x:v>Engstrom Lake</x:v>
      </x:c>
      <x:c r="B636" s="8" t="str">
        <x:v>4539</x:v>
      </x:c>
      <x:c r="C636" s="17" t="n">
        <x:v>2022</x:v>
      </x:c>
      <x:c r="D636" s="8" t="str">
        <x:v>RAINBOW TROUT</x:v>
      </x:c>
      <x:c r="E636" s="13" t="n">
        <x:f>SUMIFS('Stocking details'!$F$6:$F$3307,'Stocking details'!$I$6:$I$3307,G636)</x:f>
        <x:v>50094</x:v>
      </x:c>
      <x:c r="F636" s="13" t="n">
        <x:f>COUNTIFS('Stocking details'!$I$6:$I$3307,G636)</x:f>
        <x:v>3</x:v>
      </x:c>
      <x:c r="G636" s="8" t="str">
        <x:f>B636&amp;" / "&amp;C636&amp;" / "&amp;D636</x:f>
        <x:v>4539 / 2022 / RAINBOW TROUT</x:v>
      </x:c>
    </x:row>
    <x:row r="637" ht="23" customHeight="1">
      <x:c r="A637" s="8" t="str">
        <x:v>Engstrom Lake</x:v>
      </x:c>
      <x:c r="B637" s="8" t="str">
        <x:v>4539</x:v>
      </x:c>
      <x:c r="C637" s="17" t="n">
        <x:v>2021</x:v>
      </x:c>
      <x:c r="D637" s="8" t="str">
        <x:v>RAINBOW TROUT</x:v>
      </x:c>
      <x:c r="E637" s="13" t="n">
        <x:f>SUMIFS('Stocking details'!$F$6:$F$3307,'Stocking details'!$I$6:$I$3307,G637)</x:f>
        <x:v>44850</x:v>
      </x:c>
      <x:c r="F637" s="13" t="n">
        <x:f>COUNTIFS('Stocking details'!$I$6:$I$3307,G637)</x:f>
        <x:v>4</x:v>
      </x:c>
      <x:c r="G637" s="8" t="str">
        <x:f>B637&amp;" / "&amp;C637&amp;" / "&amp;D637</x:f>
        <x:v>4539 / 2021 / RAINBOW TROUT</x:v>
      </x:c>
    </x:row>
    <x:row r="638" ht="23" customHeight="1">
      <x:c r="A638" s="8" t="str">
        <x:v>Entry Lake</x:v>
      </x:c>
      <x:c r="B638" s="8" t="str">
        <x:v>6662</x:v>
      </x:c>
      <x:c r="C638" s="17" t="n">
        <x:v>2025</x:v>
      </x:c>
      <x:c r="D638" s="8" t="str">
        <x:v>CUTTHROAT TROUT</x:v>
      </x:c>
      <x:c r="E638" s="13" t="n">
        <x:f>SUMIFS('Stocking details'!$F$6:$F$3307,'Stocking details'!$I$6:$I$3307,G638)</x:f>
        <x:v>668</x:v>
      </x:c>
      <x:c r="F638" s="13" t="n">
        <x:f>COUNTIFS('Stocking details'!$I$6:$I$3307,G638)</x:f>
        <x:v>1</x:v>
      </x:c>
      <x:c r="G638" s="8" t="str">
        <x:f>B638&amp;" / "&amp;C638&amp;" / "&amp;D638</x:f>
        <x:v>6662 / 2025 / CUTTHROAT TROUT</x:v>
      </x:c>
    </x:row>
    <x:row r="639" ht="23" customHeight="1">
      <x:c r="A639" s="8" t="str">
        <x:v>Entry Lake</x:v>
      </x:c>
      <x:c r="B639" s="8" t="str">
        <x:v>6662</x:v>
      </x:c>
      <x:c r="C639" s="17" t="n">
        <x:v>2021</x:v>
      </x:c>
      <x:c r="D639" s="8" t="str">
        <x:v>CUTTHROAT TROUT</x:v>
      </x:c>
      <x:c r="E639" s="13" t="n">
        <x:f>SUMIFS('Stocking details'!$F$6:$F$3307,'Stocking details'!$I$6:$I$3307,G639)</x:f>
        <x:v>500</x:v>
      </x:c>
      <x:c r="F639" s="13" t="n">
        <x:f>COUNTIFS('Stocking details'!$I$6:$I$3307,G639)</x:f>
        <x:v>1</x:v>
      </x:c>
      <x:c r="G639" s="8" t="str">
        <x:f>B639&amp;" / "&amp;C639&amp;" / "&amp;D639</x:f>
        <x:v>6662 / 2021 / CUTTHROAT TROUT</x:v>
      </x:c>
    </x:row>
    <x:row r="640" ht="23" customHeight="1">
      <x:c r="A640" s="8" t="str">
        <x:v>Fairfax Lake</x:v>
      </x:c>
      <x:c r="B640" s="8" t="str">
        <x:v>4562</x:v>
      </x:c>
      <x:c r="C640" s="17" t="n">
        <x:v>2026</x:v>
      </x:c>
      <x:c r="D640" s="8" t="str">
        <x:v>RAINBOW TROUT</x:v>
      </x:c>
      <x:c r="E640" s="13" t="n">
        <x:f>SUMIFS('Stocking details'!$F$6:$F$3307,'Stocking details'!$I$6:$I$3307,G640)</x:f>
        <x:v>10000</x:v>
      </x:c>
      <x:c r="F640" s="13" t="n">
        <x:f>COUNTIFS('Stocking details'!$I$6:$I$3307,G640)</x:f>
        <x:v>1</x:v>
      </x:c>
      <x:c r="G640" s="8" t="str">
        <x:f>B640&amp;" / "&amp;C640&amp;" / "&amp;D640</x:f>
        <x:v>4562 / 2026 / RAINBOW TROUT</x:v>
      </x:c>
    </x:row>
    <x:row r="641" ht="23" customHeight="1">
      <x:c r="A641" s="8" t="str">
        <x:v>Fairfax Lake</x:v>
      </x:c>
      <x:c r="B641" s="8" t="str">
        <x:v>4562</x:v>
      </x:c>
      <x:c r="C641" s="17" t="n">
        <x:v>2025</x:v>
      </x:c>
      <x:c r="D641" s="8" t="str">
        <x:v>RAINBOW TROUT</x:v>
      </x:c>
      <x:c r="E641" s="13" t="n">
        <x:f>SUMIFS('Stocking details'!$F$6:$F$3307,'Stocking details'!$I$6:$I$3307,G641)</x:f>
        <x:v>10000</x:v>
      </x:c>
      <x:c r="F641" s="13" t="n">
        <x:f>COUNTIFS('Stocking details'!$I$6:$I$3307,G641)</x:f>
        <x:v>1</x:v>
      </x:c>
      <x:c r="G641" s="8" t="str">
        <x:f>B641&amp;" / "&amp;C641&amp;" / "&amp;D641</x:f>
        <x:v>4562 / 2025 / RAINBOW TROUT</x:v>
      </x:c>
    </x:row>
    <x:row r="642" ht="23" customHeight="1">
      <x:c r="A642" s="8" t="str">
        <x:v>Fairfax Lake</x:v>
      </x:c>
      <x:c r="B642" s="8" t="str">
        <x:v>4562</x:v>
      </x:c>
      <x:c r="C642" s="17" t="n">
        <x:v>2024</x:v>
      </x:c>
      <x:c r="D642" s="8" t="str">
        <x:v>RAINBOW TROUT</x:v>
      </x:c>
      <x:c r="E642" s="13" t="n">
        <x:f>SUMIFS('Stocking details'!$F$6:$F$3307,'Stocking details'!$I$6:$I$3307,G642)</x:f>
        <x:v>10000</x:v>
      </x:c>
      <x:c r="F642" s="13" t="n">
        <x:f>COUNTIFS('Stocking details'!$I$6:$I$3307,G642)</x:f>
        <x:v>2</x:v>
      </x:c>
      <x:c r="G642" s="8" t="str">
        <x:f>B642&amp;" / "&amp;C642&amp;" / "&amp;D642</x:f>
        <x:v>4562 / 2024 / RAINBOW TROUT</x:v>
      </x:c>
    </x:row>
    <x:row r="643" ht="23" customHeight="1">
      <x:c r="A643" s="8" t="str">
        <x:v>Fairfax Lake</x:v>
      </x:c>
      <x:c r="B643" s="8" t="str">
        <x:v>4562</x:v>
      </x:c>
      <x:c r="C643" s="17" t="n">
        <x:v>2023</x:v>
      </x:c>
      <x:c r="D643" s="8" t="str">
        <x:v>RAINBOW TROUT</x:v>
      </x:c>
      <x:c r="E643" s="13" t="n">
        <x:f>SUMIFS('Stocking details'!$F$6:$F$3307,'Stocking details'!$I$6:$I$3307,G643)</x:f>
        <x:v>4740</x:v>
      </x:c>
      <x:c r="F643" s="13" t="n">
        <x:f>COUNTIFS('Stocking details'!$I$6:$I$3307,G643)</x:f>
        <x:v>1</x:v>
      </x:c>
      <x:c r="G643" s="8" t="str">
        <x:f>B643&amp;" / "&amp;C643&amp;" / "&amp;D643</x:f>
        <x:v>4562 / 2023 / RAINBOW TROUT</x:v>
      </x:c>
    </x:row>
    <x:row r="644" ht="23" customHeight="1">
      <x:c r="A644" s="8" t="str">
        <x:v>Fairfax Lake</x:v>
      </x:c>
      <x:c r="B644" s="8" t="str">
        <x:v>4562</x:v>
      </x:c>
      <x:c r="C644" s="17" t="n">
        <x:v>2022</x:v>
      </x:c>
      <x:c r="D644" s="8" t="str">
        <x:v>RAINBOW TROUT</x:v>
      </x:c>
      <x:c r="E644" s="13" t="n">
        <x:f>SUMIFS('Stocking details'!$F$6:$F$3307,'Stocking details'!$I$6:$I$3307,G644)</x:f>
        <x:v>10000</x:v>
      </x:c>
      <x:c r="F644" s="13" t="n">
        <x:f>COUNTIFS('Stocking details'!$I$6:$I$3307,G644)</x:f>
        <x:v>1</x:v>
      </x:c>
      <x:c r="G644" s="8" t="str">
        <x:f>B644&amp;" / "&amp;C644&amp;" / "&amp;D644</x:f>
        <x:v>4562 / 2022 / RAINBOW TROUT</x:v>
      </x:c>
    </x:row>
    <x:row r="645" ht="23" customHeight="1">
      <x:c r="A645" s="8" t="str">
        <x:v>Fairfax Lake</x:v>
      </x:c>
      <x:c r="B645" s="8" t="str">
        <x:v>4562</x:v>
      </x:c>
      <x:c r="C645" s="17" t="n">
        <x:v>2021</x:v>
      </x:c>
      <x:c r="D645" s="8" t="str">
        <x:v>RAINBOW TROUT</x:v>
      </x:c>
      <x:c r="E645" s="13" t="n">
        <x:f>SUMIFS('Stocking details'!$F$6:$F$3307,'Stocking details'!$I$6:$I$3307,G645)</x:f>
        <x:v>10000</x:v>
      </x:c>
      <x:c r="F645" s="13" t="n">
        <x:f>COUNTIFS('Stocking details'!$I$6:$I$3307,G645)</x:f>
        <x:v>1</x:v>
      </x:c>
      <x:c r="G645" s="8" t="str">
        <x:f>B645&amp;" / "&amp;C645&amp;" / "&amp;D645</x:f>
        <x:v>4562 / 2021 / RAINBOW TROUT</x:v>
      </x:c>
    </x:row>
    <x:row r="646" ht="23" customHeight="1">
      <x:c r="A646" s="8" t="str">
        <x:v>Fairview College Pond</x:v>
      </x:c>
      <x:c r="B646" s="8" t="str">
        <x:v>6825</x:v>
      </x:c>
      <x:c r="C646" s="17" t="n">
        <x:v>2026</x:v>
      </x:c>
      <x:c r="D646" s="8" t="str">
        <x:v>RAINBOW TROUT</x:v>
      </x:c>
      <x:c r="E646" s="13" t="n">
        <x:f>SUMIFS('Stocking details'!$F$6:$F$3307,'Stocking details'!$I$6:$I$3307,G646)</x:f>
        <x:v>500</x:v>
      </x:c>
      <x:c r="F646" s="13" t="n">
        <x:f>COUNTIFS('Stocking details'!$I$6:$I$3307,G646)</x:f>
        <x:v>1</x:v>
      </x:c>
      <x:c r="G646" s="8" t="str">
        <x:f>B646&amp;" / "&amp;C646&amp;" / "&amp;D646</x:f>
        <x:v>6825 / 2026 / RAINBOW TROUT</x:v>
      </x:c>
    </x:row>
    <x:row r="647" ht="23" customHeight="1">
      <x:c r="A647" s="8" t="str">
        <x:v>Fairview College Pond</x:v>
      </x:c>
      <x:c r="B647" s="8" t="str">
        <x:v>6825</x:v>
      </x:c>
      <x:c r="C647" s="17" t="n">
        <x:v>2025</x:v>
      </x:c>
      <x:c r="D647" s="8" t="str">
        <x:v>RAINBOW TROUT</x:v>
      </x:c>
      <x:c r="E647" s="13" t="n">
        <x:f>SUMIFS('Stocking details'!$F$6:$F$3307,'Stocking details'!$I$6:$I$3307,G647)</x:f>
        <x:v>500</x:v>
      </x:c>
      <x:c r="F647" s="13" t="n">
        <x:f>COUNTIFS('Stocking details'!$I$6:$I$3307,G647)</x:f>
        <x:v>1</x:v>
      </x:c>
      <x:c r="G647" s="8" t="str">
        <x:f>B647&amp;" / "&amp;C647&amp;" / "&amp;D647</x:f>
        <x:v>6825 / 2025 / RAINBOW TROUT</x:v>
      </x:c>
    </x:row>
    <x:row r="648" ht="23" customHeight="1">
      <x:c r="A648" s="8" t="str">
        <x:v>Fairview College Pond</x:v>
      </x:c>
      <x:c r="B648" s="8" t="str">
        <x:v>6825</x:v>
      </x:c>
      <x:c r="C648" s="17" t="n">
        <x:v>2024</x:v>
      </x:c>
      <x:c r="D648" s="8" t="str">
        <x:v>RAINBOW TROUT</x:v>
      </x:c>
      <x:c r="E648" s="13" t="n">
        <x:f>SUMIFS('Stocking details'!$F$6:$F$3307,'Stocking details'!$I$6:$I$3307,G648)</x:f>
        <x:v>500</x:v>
      </x:c>
      <x:c r="F648" s="13" t="n">
        <x:f>COUNTIFS('Stocking details'!$I$6:$I$3307,G648)</x:f>
        <x:v>1</x:v>
      </x:c>
      <x:c r="G648" s="8" t="str">
        <x:f>B648&amp;" / "&amp;C648&amp;" / "&amp;D648</x:f>
        <x:v>6825 / 2024 / RAINBOW TROUT</x:v>
      </x:c>
    </x:row>
    <x:row r="649" ht="23" customHeight="1">
      <x:c r="A649" s="8" t="str">
        <x:v>Fairview College Pond</x:v>
      </x:c>
      <x:c r="B649" s="8" t="str">
        <x:v>6825</x:v>
      </x:c>
      <x:c r="C649" s="17" t="n">
        <x:v>2023</x:v>
      </x:c>
      <x:c r="D649" s="8" t="str">
        <x:v>RAINBOW TROUT</x:v>
      </x:c>
      <x:c r="E649" s="13" t="n">
        <x:f>SUMIFS('Stocking details'!$F$6:$F$3307,'Stocking details'!$I$6:$I$3307,G649)</x:f>
        <x:v>251</x:v>
      </x:c>
      <x:c r="F649" s="13" t="n">
        <x:f>COUNTIFS('Stocking details'!$I$6:$I$3307,G649)</x:f>
        <x:v>1</x:v>
      </x:c>
      <x:c r="G649" s="8" t="str">
        <x:f>B649&amp;" / "&amp;C649&amp;" / "&amp;D649</x:f>
        <x:v>6825 / 2023 / RAINBOW TROUT</x:v>
      </x:c>
    </x:row>
    <x:row r="650" ht="23" customHeight="1">
      <x:c r="A650" s="8" t="str">
        <x:v>Fairview College Pond</x:v>
      </x:c>
      <x:c r="B650" s="8" t="str">
        <x:v>6825</x:v>
      </x:c>
      <x:c r="C650" s="17" t="n">
        <x:v>2022</x:v>
      </x:c>
      <x:c r="D650" s="8" t="str">
        <x:v>RAINBOW TROUT</x:v>
      </x:c>
      <x:c r="E650" s="13" t="n">
        <x:f>SUMIFS('Stocking details'!$F$6:$F$3307,'Stocking details'!$I$6:$I$3307,G650)</x:f>
        <x:v>500</x:v>
      </x:c>
      <x:c r="F650" s="13" t="n">
        <x:f>COUNTIFS('Stocking details'!$I$6:$I$3307,G650)</x:f>
        <x:v>1</x:v>
      </x:c>
      <x:c r="G650" s="8" t="str">
        <x:f>B650&amp;" / "&amp;C650&amp;" / "&amp;D650</x:f>
        <x:v>6825 / 2022 / RAINBOW TROUT</x:v>
      </x:c>
    </x:row>
    <x:row r="651" ht="23" customHeight="1">
      <x:c r="A651" s="8" t="str">
        <x:v>Fairview College Pond</x:v>
      </x:c>
      <x:c r="B651" s="8" t="str">
        <x:v>6825</x:v>
      </x:c>
      <x:c r="C651" s="17" t="n">
        <x:v>2021</x:v>
      </x:c>
      <x:c r="D651" s="8" t="str">
        <x:v>RAINBOW TROUT</x:v>
      </x:c>
      <x:c r="E651" s="13" t="n">
        <x:f>SUMIFS('Stocking details'!$F$6:$F$3307,'Stocking details'!$I$6:$I$3307,G651)</x:f>
        <x:v>500</x:v>
      </x:c>
      <x:c r="F651" s="13" t="n">
        <x:f>COUNTIFS('Stocking details'!$I$6:$I$3307,G651)</x:f>
        <x:v>1</x:v>
      </x:c>
      <x:c r="G651" s="8" t="str">
        <x:f>B651&amp;" / "&amp;C651&amp;" / "&amp;D651</x:f>
        <x:v>6825 / 2021 / RAINBOW TROUT</x:v>
      </x:c>
    </x:row>
    <x:row r="652" ht="23" customHeight="1">
      <x:c r="A652" s="8" t="str">
        <x:v>Fickle Lake</x:v>
      </x:c>
      <x:c r="B652" s="8" t="str">
        <x:v>4571</x:v>
      </x:c>
      <x:c r="C652" s="17" t="n">
        <x:v>2025</x:v>
      </x:c>
      <x:c r="D652" s="8" t="str">
        <x:v>WALLEYE</x:v>
      </x:c>
      <x:c r="E652" s="13" t="n">
        <x:f>SUMIFS('Stocking details'!$F$6:$F$3307,'Stocking details'!$I$6:$I$3307,G652)</x:f>
        <x:v>343980</x:v>
      </x:c>
      <x:c r="F652" s="13" t="n">
        <x:f>COUNTIFS('Stocking details'!$I$6:$I$3307,G652)</x:f>
        <x:v>1</x:v>
      </x:c>
      <x:c r="G652" s="8" t="str">
        <x:f>B652&amp;" / "&amp;C652&amp;" / "&amp;D652</x:f>
        <x:v>4571 / 2025 / WALLEYE</x:v>
      </x:c>
    </x:row>
    <x:row r="653" ht="23" customHeight="1">
      <x:c r="A653" s="8" t="str">
        <x:v>Fiesta Lake</x:v>
      </x:c>
      <x:c r="B653" s="8" t="str">
        <x:v>24364</x:v>
      </x:c>
      <x:c r="C653" s="17" t="n">
        <x:v>2026</x:v>
      </x:c>
      <x:c r="D653" s="8" t="str">
        <x:v>RAINBOW TROUT</x:v>
      </x:c>
      <x:c r="E653" s="13" t="n">
        <x:f>SUMIFS('Stocking details'!$F$6:$F$3307,'Stocking details'!$I$6:$I$3307,G653)</x:f>
        <x:v>550</x:v>
      </x:c>
      <x:c r="F653" s="13" t="n">
        <x:f>COUNTIFS('Stocking details'!$I$6:$I$3307,G653)</x:f>
        <x:v>1</x:v>
      </x:c>
      <x:c r="G653" s="8" t="str">
        <x:f>B653&amp;" / "&amp;C653&amp;" / "&amp;D653</x:f>
        <x:v>24364 / 2026 / RAINBOW TROUT</x:v>
      </x:c>
    </x:row>
    <x:row r="654" ht="23" customHeight="1">
      <x:c r="A654" s="8" t="str">
        <x:v>Fiesta Lake</x:v>
      </x:c>
      <x:c r="B654" s="8" t="str">
        <x:v>24364</x:v>
      </x:c>
      <x:c r="C654" s="17" t="n">
        <x:v>2025</x:v>
      </x:c>
      <x:c r="D654" s="8" t="str">
        <x:v>RAINBOW TROUT</x:v>
      </x:c>
      <x:c r="E654" s="13" t="n">
        <x:f>SUMIFS('Stocking details'!$F$6:$F$3307,'Stocking details'!$I$6:$I$3307,G654)</x:f>
        <x:v>550</x:v>
      </x:c>
      <x:c r="F654" s="13" t="n">
        <x:f>COUNTIFS('Stocking details'!$I$6:$I$3307,G654)</x:f>
        <x:v>1</x:v>
      </x:c>
      <x:c r="G654" s="8" t="str">
        <x:f>B654&amp;" / "&amp;C654&amp;" / "&amp;D654</x:f>
        <x:v>24364 / 2025 / RAINBOW TROUT</x:v>
      </x:c>
    </x:row>
    <x:row r="655" ht="23" customHeight="1">
      <x:c r="A655" s="8" t="str">
        <x:v>Fiesta Lake</x:v>
      </x:c>
      <x:c r="B655" s="8" t="str">
        <x:v>24364</x:v>
      </x:c>
      <x:c r="C655" s="17" t="n">
        <x:v>2024</x:v>
      </x:c>
      <x:c r="D655" s="8" t="str">
        <x:v>RAINBOW TROUT</x:v>
      </x:c>
      <x:c r="E655" s="13" t="n">
        <x:f>SUMIFS('Stocking details'!$F$6:$F$3307,'Stocking details'!$I$6:$I$3307,G655)</x:f>
        <x:v>275</x:v>
      </x:c>
      <x:c r="F655" s="13" t="n">
        <x:f>COUNTIFS('Stocking details'!$I$6:$I$3307,G655)</x:f>
        <x:v>1</x:v>
      </x:c>
      <x:c r="G655" s="8" t="str">
        <x:f>B655&amp;" / "&amp;C655&amp;" / "&amp;D655</x:f>
        <x:v>24364 / 2024 / RAINBOW TROUT</x:v>
      </x:c>
    </x:row>
    <x:row r="656" ht="23" customHeight="1">
      <x:c r="A656" s="8" t="str">
        <x:v>Fiesta Lake</x:v>
      </x:c>
      <x:c r="B656" s="8" t="str">
        <x:v>24364</x:v>
      </x:c>
      <x:c r="C656" s="17" t="n">
        <x:v>2023</x:v>
      </x:c>
      <x:c r="D656" s="8" t="str">
        <x:v>RAINBOW TROUT</x:v>
      </x:c>
      <x:c r="E656" s="13" t="n">
        <x:f>SUMIFS('Stocking details'!$F$6:$F$3307,'Stocking details'!$I$6:$I$3307,G656)</x:f>
        <x:v>276</x:v>
      </x:c>
      <x:c r="F656" s="13" t="n">
        <x:f>COUNTIFS('Stocking details'!$I$6:$I$3307,G656)</x:f>
        <x:v>1</x:v>
      </x:c>
      <x:c r="G656" s="8" t="str">
        <x:f>B656&amp;" / "&amp;C656&amp;" / "&amp;D656</x:f>
        <x:v>24364 / 2023 / RAINBOW TROUT</x:v>
      </x:c>
    </x:row>
    <x:row r="657" ht="23" customHeight="1">
      <x:c r="A657" s="8" t="str">
        <x:v>Fiesta Lake</x:v>
      </x:c>
      <x:c r="B657" s="8" t="str">
        <x:v>24364</x:v>
      </x:c>
      <x:c r="C657" s="17" t="n">
        <x:v>2022</x:v>
      </x:c>
      <x:c r="D657" s="8" t="str">
        <x:v>RAINBOW TROUT</x:v>
      </x:c>
      <x:c r="E657" s="13" t="n">
        <x:f>SUMIFS('Stocking details'!$F$6:$F$3307,'Stocking details'!$I$6:$I$3307,G657)</x:f>
        <x:v>550</x:v>
      </x:c>
      <x:c r="F657" s="13" t="n">
        <x:f>COUNTIFS('Stocking details'!$I$6:$I$3307,G657)</x:f>
        <x:v>1</x:v>
      </x:c>
      <x:c r="G657" s="8" t="str">
        <x:f>B657&amp;" / "&amp;C657&amp;" / "&amp;D657</x:f>
        <x:v>24364 / 2022 / RAINBOW TROUT</x:v>
      </x:c>
    </x:row>
    <x:row r="658" ht="23" customHeight="1">
      <x:c r="A658" s="8" t="str">
        <x:v>Fiesta Lake</x:v>
      </x:c>
      <x:c r="B658" s="8" t="str">
        <x:v>24364</x:v>
      </x:c>
      <x:c r="C658" s="17" t="n">
        <x:v>2021</x:v>
      </x:c>
      <x:c r="D658" s="8" t="str">
        <x:v>RAINBOW TROUT</x:v>
      </x:c>
      <x:c r="E658" s="13" t="n">
        <x:f>SUMIFS('Stocking details'!$F$6:$F$3307,'Stocking details'!$I$6:$I$3307,G658)</x:f>
        <x:v>500</x:v>
      </x:c>
      <x:c r="F658" s="13" t="n">
        <x:f>COUNTIFS('Stocking details'!$I$6:$I$3307,G658)</x:f>
        <x:v>1</x:v>
      </x:c>
      <x:c r="G658" s="8" t="str">
        <x:f>B658&amp;" / "&amp;C658&amp;" / "&amp;D658</x:f>
        <x:v>24364 / 2021 / RAINBOW TROUT</x:v>
      </x:c>
    </x:row>
    <x:row r="659" ht="23" customHeight="1">
      <x:c r="A659" s="8" t="str">
        <x:v>Figure Eight Lake</x:v>
      </x:c>
      <x:c r="B659" s="8" t="str">
        <x:v>6827</x:v>
      </x:c>
      <x:c r="C659" s="17" t="n">
        <x:v>2026</x:v>
      </x:c>
      <x:c r="D659" s="8" t="str">
        <x:v>RAINBOW TROUT</x:v>
      </x:c>
      <x:c r="E659" s="13" t="n">
        <x:f>SUMIFS('Stocking details'!$F$6:$F$3307,'Stocking details'!$I$6:$I$3307,G659)</x:f>
        <x:v>9000</x:v>
      </x:c>
      <x:c r="F659" s="13" t="n">
        <x:f>COUNTIFS('Stocking details'!$I$6:$I$3307,G659)</x:f>
        <x:v>1</x:v>
      </x:c>
      <x:c r="G659" s="8" t="str">
        <x:f>B659&amp;" / "&amp;C659&amp;" / "&amp;D659</x:f>
        <x:v>6827 / 2026 / RAINBOW TROUT</x:v>
      </x:c>
    </x:row>
    <x:row r="660" ht="23" customHeight="1">
      <x:c r="A660" s="8" t="str">
        <x:v>Figure Eight Lake</x:v>
      </x:c>
      <x:c r="B660" s="8" t="str">
        <x:v>6827</x:v>
      </x:c>
      <x:c r="C660" s="17" t="n">
        <x:v>2025</x:v>
      </x:c>
      <x:c r="D660" s="8" t="str">
        <x:v>RAINBOW TROUT</x:v>
      </x:c>
      <x:c r="E660" s="13" t="n">
        <x:f>SUMIFS('Stocking details'!$F$6:$F$3307,'Stocking details'!$I$6:$I$3307,G660)</x:f>
        <x:v>9000</x:v>
      </x:c>
      <x:c r="F660" s="13" t="n">
        <x:f>COUNTIFS('Stocking details'!$I$6:$I$3307,G660)</x:f>
        <x:v>1</x:v>
      </x:c>
      <x:c r="G660" s="8" t="str">
        <x:f>B660&amp;" / "&amp;C660&amp;" / "&amp;D660</x:f>
        <x:v>6827 / 2025 / RAINBOW TROUT</x:v>
      </x:c>
    </x:row>
    <x:row r="661" ht="23" customHeight="1">
      <x:c r="A661" s="8" t="str">
        <x:v>Figure Eight Lake</x:v>
      </x:c>
      <x:c r="B661" s="8" t="str">
        <x:v>6827</x:v>
      </x:c>
      <x:c r="C661" s="17" t="n">
        <x:v>2024</x:v>
      </x:c>
      <x:c r="D661" s="8" t="str">
        <x:v>RAINBOW TROUT</x:v>
      </x:c>
      <x:c r="E661" s="13" t="n">
        <x:f>SUMIFS('Stocking details'!$F$6:$F$3307,'Stocking details'!$I$6:$I$3307,G661)</x:f>
        <x:v>10500</x:v>
      </x:c>
      <x:c r="F661" s="13" t="n">
        <x:f>COUNTIFS('Stocking details'!$I$6:$I$3307,G661)</x:f>
        <x:v>2</x:v>
      </x:c>
      <x:c r="G661" s="8" t="str">
        <x:f>B661&amp;" / "&amp;C661&amp;" / "&amp;D661</x:f>
        <x:v>6827 / 2024 / RAINBOW TROUT</x:v>
      </x:c>
    </x:row>
    <x:row r="662" ht="23" customHeight="1">
      <x:c r="A662" s="8" t="str">
        <x:v>Figure Eight Lake</x:v>
      </x:c>
      <x:c r="B662" s="8" t="str">
        <x:v>6827</x:v>
      </x:c>
      <x:c r="C662" s="17" t="n">
        <x:v>2023</x:v>
      </x:c>
      <x:c r="D662" s="8" t="str">
        <x:v>RAINBOW TROUT</x:v>
      </x:c>
      <x:c r="E662" s="13" t="n">
        <x:f>SUMIFS('Stocking details'!$F$6:$F$3307,'Stocking details'!$I$6:$I$3307,G662)</x:f>
        <x:v>4518</x:v>
      </x:c>
      <x:c r="F662" s="13" t="n">
        <x:f>COUNTIFS('Stocking details'!$I$6:$I$3307,G662)</x:f>
        <x:v>1</x:v>
      </x:c>
      <x:c r="G662" s="8" t="str">
        <x:f>B662&amp;" / "&amp;C662&amp;" / "&amp;D662</x:f>
        <x:v>6827 / 2023 / RAINBOW TROUT</x:v>
      </x:c>
    </x:row>
    <x:row r="663" ht="23" customHeight="1">
      <x:c r="A663" s="8" t="str">
        <x:v>Figure Eight Lake</x:v>
      </x:c>
      <x:c r="B663" s="8" t="str">
        <x:v>6827</x:v>
      </x:c>
      <x:c r="C663" s="17" t="n">
        <x:v>2022</x:v>
      </x:c>
      <x:c r="D663" s="8" t="str">
        <x:v>RAINBOW TROUT</x:v>
      </x:c>
      <x:c r="E663" s="13" t="n">
        <x:f>SUMIFS('Stocking details'!$F$6:$F$3307,'Stocking details'!$I$6:$I$3307,G663)</x:f>
        <x:v>9000</x:v>
      </x:c>
      <x:c r="F663" s="13" t="n">
        <x:f>COUNTIFS('Stocking details'!$I$6:$I$3307,G663)</x:f>
        <x:v>1</x:v>
      </x:c>
      <x:c r="G663" s="8" t="str">
        <x:f>B663&amp;" / "&amp;C663&amp;" / "&amp;D663</x:f>
        <x:v>6827 / 2022 / RAINBOW TROUT</x:v>
      </x:c>
    </x:row>
    <x:row r="664" ht="23" customHeight="1">
      <x:c r="A664" s="8" t="str">
        <x:v>Figure Eight Lake</x:v>
      </x:c>
      <x:c r="B664" s="8" t="str">
        <x:v>6827</x:v>
      </x:c>
      <x:c r="C664" s="17" t="n">
        <x:v>2021</x:v>
      </x:c>
      <x:c r="D664" s="8" t="str">
        <x:v>RAINBOW TROUT</x:v>
      </x:c>
      <x:c r="E664" s="13" t="n">
        <x:f>SUMIFS('Stocking details'!$F$6:$F$3307,'Stocking details'!$I$6:$I$3307,G664)</x:f>
        <x:v>9000</x:v>
      </x:c>
      <x:c r="F664" s="13" t="n">
        <x:f>COUNTIFS('Stocking details'!$I$6:$I$3307,G664)</x:f>
        <x:v>1</x:v>
      </x:c>
      <x:c r="G664" s="8" t="str">
        <x:f>B664&amp;" / "&amp;C664&amp;" / "&amp;D664</x:f>
        <x:v>6827 / 2021 / RAINBOW TROUT</x:v>
      </x:c>
    </x:row>
    <x:row r="665" ht="23" customHeight="1">
      <x:c r="A665" s="8" t="str">
        <x:v>Fish Lake</x:v>
      </x:c>
      <x:c r="B665" s="8" t="str">
        <x:v>5804</x:v>
      </x:c>
      <x:c r="C665" s="17" t="n">
        <x:v>2026</x:v>
      </x:c>
      <x:c r="D665" s="8" t="str">
        <x:v>RAINBOW TROUT</x:v>
      </x:c>
      <x:c r="E665" s="13" t="n">
        <x:f>SUMIFS('Stocking details'!$F$6:$F$3307,'Stocking details'!$I$6:$I$3307,G665)</x:f>
        <x:v>20000</x:v>
      </x:c>
      <x:c r="F665" s="13" t="n">
        <x:f>COUNTIFS('Stocking details'!$I$6:$I$3307,G665)</x:f>
        <x:v>1</x:v>
      </x:c>
      <x:c r="G665" s="8" t="str">
        <x:f>B665&amp;" / "&amp;C665&amp;" / "&amp;D665</x:f>
        <x:v>5804 / 2026 / RAINBOW TROUT</x:v>
      </x:c>
    </x:row>
    <x:row r="666" ht="23" customHeight="1">
      <x:c r="A666" s="8" t="str">
        <x:v>Fish Lake</x:v>
      </x:c>
      <x:c r="B666" s="8" t="str">
        <x:v>5804</x:v>
      </x:c>
      <x:c r="C666" s="17" t="n">
        <x:v>2025</x:v>
      </x:c>
      <x:c r="D666" s="8" t="str">
        <x:v>RAINBOW TROUT</x:v>
      </x:c>
      <x:c r="E666" s="13" t="n">
        <x:f>SUMIFS('Stocking details'!$F$6:$F$3307,'Stocking details'!$I$6:$I$3307,G666)</x:f>
        <x:v>20000</x:v>
      </x:c>
      <x:c r="F666" s="13" t="n">
        <x:f>COUNTIFS('Stocking details'!$I$6:$I$3307,G666)</x:f>
        <x:v>2</x:v>
      </x:c>
      <x:c r="G666" s="8" t="str">
        <x:f>B666&amp;" / "&amp;C666&amp;" / "&amp;D666</x:f>
        <x:v>5804 / 2025 / RAINBOW TROUT</x:v>
      </x:c>
    </x:row>
    <x:row r="667" ht="23" customHeight="1">
      <x:c r="A667" s="8" t="str">
        <x:v>Fish Lake</x:v>
      </x:c>
      <x:c r="B667" s="8" t="str">
        <x:v>5804</x:v>
      </x:c>
      <x:c r="C667" s="17" t="n">
        <x:v>2024</x:v>
      </x:c>
      <x:c r="D667" s="8" t="str">
        <x:v>RAINBOW TROUT</x:v>
      </x:c>
      <x:c r="E667" s="13" t="n">
        <x:f>SUMIFS('Stocking details'!$F$6:$F$3307,'Stocking details'!$I$6:$I$3307,G667)</x:f>
        <x:v>28000</x:v>
      </x:c>
      <x:c r="F667" s="13" t="n">
        <x:f>COUNTIFS('Stocking details'!$I$6:$I$3307,G667)</x:f>
        <x:v>4</x:v>
      </x:c>
      <x:c r="G667" s="8" t="str">
        <x:f>B667&amp;" / "&amp;C667&amp;" / "&amp;D667</x:f>
        <x:v>5804 / 2024 / RAINBOW TROUT</x:v>
      </x:c>
    </x:row>
    <x:row r="668" ht="23" customHeight="1">
      <x:c r="A668" s="8" t="str">
        <x:v>Fish Lake</x:v>
      </x:c>
      <x:c r="B668" s="8" t="str">
        <x:v>5804</x:v>
      </x:c>
      <x:c r="C668" s="17" t="n">
        <x:v>2023</x:v>
      </x:c>
      <x:c r="D668" s="8" t="str">
        <x:v>RAINBOW TROUT</x:v>
      </x:c>
      <x:c r="E668" s="13" t="n">
        <x:f>SUMIFS('Stocking details'!$F$6:$F$3307,'Stocking details'!$I$6:$I$3307,G668)</x:f>
        <x:v>26152</x:v>
      </x:c>
      <x:c r="F668" s="13" t="n">
        <x:f>COUNTIFS('Stocking details'!$I$6:$I$3307,G668)</x:f>
        <x:v>4</x:v>
      </x:c>
      <x:c r="G668" s="8" t="str">
        <x:f>B668&amp;" / "&amp;C668&amp;" / "&amp;D668</x:f>
        <x:v>5804 / 2023 / RAINBOW TROUT</x:v>
      </x:c>
    </x:row>
    <x:row r="669" ht="23" customHeight="1">
      <x:c r="A669" s="8" t="str">
        <x:v>Fish Lake</x:v>
      </x:c>
      <x:c r="B669" s="8" t="str">
        <x:v>5804</x:v>
      </x:c>
      <x:c r="C669" s="17" t="n">
        <x:v>2022</x:v>
      </x:c>
      <x:c r="D669" s="8" t="str">
        <x:v>RAINBOW TROUT</x:v>
      </x:c>
      <x:c r="E669" s="13" t="n">
        <x:f>SUMIFS('Stocking details'!$F$6:$F$3307,'Stocking details'!$I$6:$I$3307,G669)</x:f>
        <x:v>20450</x:v>
      </x:c>
      <x:c r="F669" s="13" t="n">
        <x:f>COUNTIFS('Stocking details'!$I$6:$I$3307,G669)</x:f>
        <x:v>2</x:v>
      </x:c>
      <x:c r="G669" s="8" t="str">
        <x:f>B669&amp;" / "&amp;C669&amp;" / "&amp;D669</x:f>
        <x:v>5804 / 2022 / RAINBOW TROUT</x:v>
      </x:c>
    </x:row>
    <x:row r="670" ht="23" customHeight="1">
      <x:c r="A670" s="8" t="str">
        <x:v>Fish Lake</x:v>
      </x:c>
      <x:c r="B670" s="8" t="str">
        <x:v>5804</x:v>
      </x:c>
      <x:c r="C670" s="17" t="n">
        <x:v>2021</x:v>
      </x:c>
      <x:c r="D670" s="8" t="str">
        <x:v>RAINBOW TROUT</x:v>
      </x:c>
      <x:c r="E670" s="13" t="n">
        <x:f>SUMIFS('Stocking details'!$F$6:$F$3307,'Stocking details'!$I$6:$I$3307,G670)</x:f>
        <x:v>20652</x:v>
      </x:c>
      <x:c r="F670" s="13" t="n">
        <x:f>COUNTIFS('Stocking details'!$I$6:$I$3307,G670)</x:f>
        <x:v>1</x:v>
      </x:c>
      <x:c r="G670" s="8" t="str">
        <x:f>B670&amp;" / "&amp;C670&amp;" / "&amp;D670</x:f>
        <x:v>5804 / 2021 / RAINBOW TROUT</x:v>
      </x:c>
    </x:row>
    <x:row r="671" ht="23" customHeight="1">
      <x:c r="A671" s="8" t="str">
        <x:v>Footner Pond</x:v>
      </x:c>
      <x:c r="B671" s="8" t="str">
        <x:v>6830</x:v>
      </x:c>
      <x:c r="C671" s="17" t="n">
        <x:v>2026</x:v>
      </x:c>
      <x:c r="D671" s="8" t="str">
        <x:v>RAINBOW TROUT</x:v>
      </x:c>
      <x:c r="E671" s="13" t="n">
        <x:f>SUMIFS('Stocking details'!$F$6:$F$3307,'Stocking details'!$I$6:$I$3307,G671)</x:f>
        <x:v>500</x:v>
      </x:c>
      <x:c r="F671" s="13" t="n">
        <x:f>COUNTIFS('Stocking details'!$I$6:$I$3307,G671)</x:f>
        <x:v>1</x:v>
      </x:c>
      <x:c r="G671" s="8" t="str">
        <x:f>B671&amp;" / "&amp;C671&amp;" / "&amp;D671</x:f>
        <x:v>6830 / 2026 / RAINBOW TROUT</x:v>
      </x:c>
    </x:row>
    <x:row r="672" ht="23" customHeight="1">
      <x:c r="A672" s="8" t="str">
        <x:v>Footner Pond</x:v>
      </x:c>
      <x:c r="B672" s="8" t="str">
        <x:v>6830</x:v>
      </x:c>
      <x:c r="C672" s="17" t="n">
        <x:v>2025</x:v>
      </x:c>
      <x:c r="D672" s="8" t="str">
        <x:v>RAINBOW TROUT</x:v>
      </x:c>
      <x:c r="E672" s="13" t="n">
        <x:f>SUMIFS('Stocking details'!$F$6:$F$3307,'Stocking details'!$I$6:$I$3307,G672)</x:f>
        <x:v>500</x:v>
      </x:c>
      <x:c r="F672" s="13" t="n">
        <x:f>COUNTIFS('Stocking details'!$I$6:$I$3307,G672)</x:f>
        <x:v>1</x:v>
      </x:c>
      <x:c r="G672" s="8" t="str">
        <x:f>B672&amp;" / "&amp;C672&amp;" / "&amp;D672</x:f>
        <x:v>6830 / 2025 / RAINBOW TROUT</x:v>
      </x:c>
    </x:row>
    <x:row r="673" ht="23" customHeight="1">
      <x:c r="A673" s="8" t="str">
        <x:v>Footner Pond</x:v>
      </x:c>
      <x:c r="B673" s="8" t="str">
        <x:v>6830</x:v>
      </x:c>
      <x:c r="C673" s="17" t="n">
        <x:v>2024</x:v>
      </x:c>
      <x:c r="D673" s="8" t="str">
        <x:v>RAINBOW TROUT</x:v>
      </x:c>
      <x:c r="E673" s="13" t="n">
        <x:f>SUMIFS('Stocking details'!$F$6:$F$3307,'Stocking details'!$I$6:$I$3307,G673)</x:f>
        <x:v>250</x:v>
      </x:c>
      <x:c r="F673" s="13" t="n">
        <x:f>COUNTIFS('Stocking details'!$I$6:$I$3307,G673)</x:f>
        <x:v>1</x:v>
      </x:c>
      <x:c r="G673" s="8" t="str">
        <x:f>B673&amp;" / "&amp;C673&amp;" / "&amp;D673</x:f>
        <x:v>6830 / 2024 / RAINBOW TROUT</x:v>
      </x:c>
    </x:row>
    <x:row r="674" ht="23" customHeight="1">
      <x:c r="A674" s="8" t="str">
        <x:v>Footner Pond</x:v>
      </x:c>
      <x:c r="B674" s="8" t="str">
        <x:v>6830</x:v>
      </x:c>
      <x:c r="C674" s="17" t="n">
        <x:v>2023</x:v>
      </x:c>
      <x:c r="D674" s="8" t="str">
        <x:v>RAINBOW TROUT</x:v>
      </x:c>
      <x:c r="E674" s="13" t="n">
        <x:f>SUMIFS('Stocking details'!$F$6:$F$3307,'Stocking details'!$I$6:$I$3307,G674)</x:f>
        <x:v>251</x:v>
      </x:c>
      <x:c r="F674" s="13" t="n">
        <x:f>COUNTIFS('Stocking details'!$I$6:$I$3307,G674)</x:f>
        <x:v>1</x:v>
      </x:c>
      <x:c r="G674" s="8" t="str">
        <x:f>B674&amp;" / "&amp;C674&amp;" / "&amp;D674</x:f>
        <x:v>6830 / 2023 / RAINBOW TROUT</x:v>
      </x:c>
    </x:row>
    <x:row r="675" ht="23" customHeight="1">
      <x:c r="A675" s="8" t="str">
        <x:v>Footner Pond</x:v>
      </x:c>
      <x:c r="B675" s="8" t="str">
        <x:v>6830</x:v>
      </x:c>
      <x:c r="C675" s="17" t="n">
        <x:v>2022</x:v>
      </x:c>
      <x:c r="D675" s="8" t="str">
        <x:v>RAINBOW TROUT</x:v>
      </x:c>
      <x:c r="E675" s="13" t="n">
        <x:f>SUMIFS('Stocking details'!$F$6:$F$3307,'Stocking details'!$I$6:$I$3307,G675)</x:f>
        <x:v>500</x:v>
      </x:c>
      <x:c r="F675" s="13" t="n">
        <x:f>COUNTIFS('Stocking details'!$I$6:$I$3307,G675)</x:f>
        <x:v>1</x:v>
      </x:c>
      <x:c r="G675" s="8" t="str">
        <x:f>B675&amp;" / "&amp;C675&amp;" / "&amp;D675</x:f>
        <x:v>6830 / 2022 / RAINBOW TROUT</x:v>
      </x:c>
    </x:row>
    <x:row r="676" ht="23" customHeight="1">
      <x:c r="A676" s="8" t="str">
        <x:v>Footner Pond</x:v>
      </x:c>
      <x:c r="B676" s="8" t="str">
        <x:v>6830</x:v>
      </x:c>
      <x:c r="C676" s="17" t="n">
        <x:v>2021</x:v>
      </x:c>
      <x:c r="D676" s="8" t="str">
        <x:v>RAINBOW TROUT</x:v>
      </x:c>
      <x:c r="E676" s="13" t="n">
        <x:f>SUMIFS('Stocking details'!$F$6:$F$3307,'Stocking details'!$I$6:$I$3307,G676)</x:f>
        <x:v>500</x:v>
      </x:c>
      <x:c r="F676" s="13" t="n">
        <x:f>COUNTIFS('Stocking details'!$I$6:$I$3307,G676)</x:f>
        <x:v>1</x:v>
      </x:c>
      <x:c r="G676" s="8" t="str">
        <x:f>B676&amp;" / "&amp;C676&amp;" / "&amp;D676</x:f>
        <x:v>6830 / 2021 / RAINBOW TROUT</x:v>
      </x:c>
    </x:row>
    <x:row r="677" ht="23" customHeight="1">
      <x:c r="A677" s="8" t="str">
        <x:v>Foremost Reservoir</x:v>
      </x:c>
      <x:c r="B677" s="8" t="str">
        <x:v>6831</x:v>
      </x:c>
      <x:c r="C677" s="17" t="n">
        <x:v>2026</x:v>
      </x:c>
      <x:c r="D677" s="8" t="str">
        <x:v>RAINBOW TROUT</x:v>
      </x:c>
      <x:c r="E677" s="13" t="n">
        <x:f>SUMIFS('Stocking details'!$F$6:$F$3307,'Stocking details'!$I$6:$I$3307,G677)</x:f>
        <x:v>1500</x:v>
      </x:c>
      <x:c r="F677" s="13" t="n">
        <x:f>COUNTIFS('Stocking details'!$I$6:$I$3307,G677)</x:f>
        <x:v>1</x:v>
      </x:c>
      <x:c r="G677" s="8" t="str">
        <x:f>B677&amp;" / "&amp;C677&amp;" / "&amp;D677</x:f>
        <x:v>6831 / 2026 / RAINBOW TROUT</x:v>
      </x:c>
    </x:row>
    <x:row r="678" ht="23" customHeight="1">
      <x:c r="A678" s="8" t="str">
        <x:v>Foremost Reservoir</x:v>
      </x:c>
      <x:c r="B678" s="8" t="str">
        <x:v>6831</x:v>
      </x:c>
      <x:c r="C678" s="17" t="n">
        <x:v>2025</x:v>
      </x:c>
      <x:c r="D678" s="8" t="str">
        <x:v>RAINBOW TROUT</x:v>
      </x:c>
      <x:c r="E678" s="13" t="n">
        <x:f>SUMIFS('Stocking details'!$F$6:$F$3307,'Stocking details'!$I$6:$I$3307,G678)</x:f>
        <x:v>500</x:v>
      </x:c>
      <x:c r="F678" s="13" t="n">
        <x:f>COUNTIFS('Stocking details'!$I$6:$I$3307,G678)</x:f>
        <x:v>1</x:v>
      </x:c>
      <x:c r="G678" s="8" t="str">
        <x:f>B678&amp;" / "&amp;C678&amp;" / "&amp;D678</x:f>
        <x:v>6831 / 2025 / RAINBOW TROUT</x:v>
      </x:c>
    </x:row>
    <x:row r="679" ht="23" customHeight="1">
      <x:c r="A679" s="8" t="str">
        <x:v>Foremost Reservoir</x:v>
      </x:c>
      <x:c r="B679" s="8" t="str">
        <x:v>6831</x:v>
      </x:c>
      <x:c r="C679" s="17" t="n">
        <x:v>2024</x:v>
      </x:c>
      <x:c r="D679" s="8" t="str">
        <x:v>RAINBOW TROUT</x:v>
      </x:c>
      <x:c r="E679" s="13" t="n">
        <x:f>SUMIFS('Stocking details'!$F$6:$F$3307,'Stocking details'!$I$6:$I$3307,G679)</x:f>
        <x:v>2000</x:v>
      </x:c>
      <x:c r="F679" s="13" t="n">
        <x:f>COUNTIFS('Stocking details'!$I$6:$I$3307,G679)</x:f>
        <x:v>2</x:v>
      </x:c>
      <x:c r="G679" s="8" t="str">
        <x:f>B679&amp;" / "&amp;C679&amp;" / "&amp;D679</x:f>
        <x:v>6831 / 2024 / RAINBOW TROUT</x:v>
      </x:c>
    </x:row>
    <x:row r="680" ht="23" customHeight="1">
      <x:c r="A680" s="8" t="str">
        <x:v>Foremost Reservoir</x:v>
      </x:c>
      <x:c r="B680" s="8" t="str">
        <x:v>6831</x:v>
      </x:c>
      <x:c r="C680" s="17" t="n">
        <x:v>2023</x:v>
      </x:c>
      <x:c r="D680" s="8" t="str">
        <x:v>RAINBOW TROUT</x:v>
      </x:c>
      <x:c r="E680" s="13" t="n">
        <x:f>SUMIFS('Stocking details'!$F$6:$F$3307,'Stocking details'!$I$6:$I$3307,G680)</x:f>
        <x:v>2500</x:v>
      </x:c>
      <x:c r="F680" s="13" t="n">
        <x:f>COUNTIFS('Stocking details'!$I$6:$I$3307,G680)</x:f>
        <x:v>1</x:v>
      </x:c>
      <x:c r="G680" s="8" t="str">
        <x:f>B680&amp;" / "&amp;C680&amp;" / "&amp;D680</x:f>
        <x:v>6831 / 2023 / RAINBOW TROUT</x:v>
      </x:c>
    </x:row>
    <x:row r="681" ht="23" customHeight="1">
      <x:c r="A681" s="8" t="str">
        <x:v>Foremost Reservoir</x:v>
      </x:c>
      <x:c r="B681" s="8" t="str">
        <x:v>6831</x:v>
      </x:c>
      <x:c r="C681" s="17" t="n">
        <x:v>2022</x:v>
      </x:c>
      <x:c r="D681" s="8" t="str">
        <x:v>RAINBOW TROUT</x:v>
      </x:c>
      <x:c r="E681" s="13" t="n">
        <x:f>SUMIFS('Stocking details'!$F$6:$F$3307,'Stocking details'!$I$6:$I$3307,G681)</x:f>
        <x:v>3606</x:v>
      </x:c>
      <x:c r="F681" s="13" t="n">
        <x:f>COUNTIFS('Stocking details'!$I$6:$I$3307,G681)</x:f>
        <x:v>2</x:v>
      </x:c>
      <x:c r="G681" s="8" t="str">
        <x:f>B681&amp;" / "&amp;C681&amp;" / "&amp;D681</x:f>
        <x:v>6831 / 2022 / RAINBOW TROUT</x:v>
      </x:c>
    </x:row>
    <x:row r="682" ht="23" customHeight="1">
      <x:c r="A682" s="8" t="str">
        <x:v>Foremost Reservoir</x:v>
      </x:c>
      <x:c r="B682" s="8" t="str">
        <x:v>6831</x:v>
      </x:c>
      <x:c r="C682" s="17" t="n">
        <x:v>2021</x:v>
      </x:c>
      <x:c r="D682" s="8" t="str">
        <x:v>RAINBOW TROUT</x:v>
      </x:c>
      <x:c r="E682" s="13" t="n">
        <x:f>SUMIFS('Stocking details'!$F$6:$F$3307,'Stocking details'!$I$6:$I$3307,G682)</x:f>
        <x:v>2455</x:v>
      </x:c>
      <x:c r="F682" s="13" t="n">
        <x:f>COUNTIFS('Stocking details'!$I$6:$I$3307,G682)</x:f>
        <x:v>2</x:v>
      </x:c>
      <x:c r="G682" s="8" t="str">
        <x:f>B682&amp;" / "&amp;C682&amp;" / "&amp;D682</x:f>
        <x:v>6831 / 2021 / RAINBOW TROUT</x:v>
      </x:c>
    </x:row>
    <x:row r="683" ht="23" customHeight="1">
      <x:c r="A683" s="8" t="str">
        <x:v>Fort Lions Park Pond</x:v>
      </x:c>
      <x:c r="B683" s="8" t="str">
        <x:v>26854</x:v>
      </x:c>
      <x:c r="C683" s="17" t="n">
        <x:v>2026</x:v>
      </x:c>
      <x:c r="D683" s="8" t="str">
        <x:v>BROWN TROUT</x:v>
      </x:c>
      <x:c r="E683" s="13" t="n">
        <x:f>SUMIFS('Stocking details'!$F$6:$F$3307,'Stocking details'!$I$6:$I$3307,G683)</x:f>
        <x:v>250</x:v>
      </x:c>
      <x:c r="F683" s="13" t="n">
        <x:f>COUNTIFS('Stocking details'!$I$6:$I$3307,G683)</x:f>
        <x:v>1</x:v>
      </x:c>
      <x:c r="G683" s="8" t="str">
        <x:f>B683&amp;" / "&amp;C683&amp;" / "&amp;D683</x:f>
        <x:v>26854 / 2026 / BROWN TROUT</x:v>
      </x:c>
    </x:row>
    <x:row r="684" ht="23" customHeight="1">
      <x:c r="A684" s="8" t="str">
        <x:v>Fort Lions Park Pond</x:v>
      </x:c>
      <x:c r="B684" s="8" t="str">
        <x:v>26854</x:v>
      </x:c>
      <x:c r="C684" s="17" t="n">
        <x:v>2026</x:v>
      </x:c>
      <x:c r="D684" s="8" t="str">
        <x:v>RAINBOW TROUT</x:v>
      </x:c>
      <x:c r="E684" s="13" t="n">
        <x:f>SUMIFS('Stocking details'!$F$6:$F$3307,'Stocking details'!$I$6:$I$3307,G684)</x:f>
        <x:v>1800</x:v>
      </x:c>
      <x:c r="F684" s="13" t="n">
        <x:f>COUNTIFS('Stocking details'!$I$6:$I$3307,G684)</x:f>
        <x:v>2</x:v>
      </x:c>
      <x:c r="G684" s="8" t="str">
        <x:f>B684&amp;" / "&amp;C684&amp;" / "&amp;D684</x:f>
        <x:v>26854 / 2026 / RAINBOW TROUT</x:v>
      </x:c>
    </x:row>
    <x:row r="685" ht="23" customHeight="1">
      <x:c r="A685" s="8" t="str">
        <x:v>Fort Lions Park Pond</x:v>
      </x:c>
      <x:c r="B685" s="8" t="str">
        <x:v>26854</x:v>
      </x:c>
      <x:c r="C685" s="17" t="n">
        <x:v>2026</x:v>
      </x:c>
      <x:c r="D685" s="8" t="str">
        <x:v>TIGER TROUT</x:v>
      </x:c>
      <x:c r="E685" s="13" t="n">
        <x:f>SUMIFS('Stocking details'!$F$6:$F$3307,'Stocking details'!$I$6:$I$3307,G685)</x:f>
        <x:v>450</x:v>
      </x:c>
      <x:c r="F685" s="13" t="n">
        <x:f>COUNTIFS('Stocking details'!$I$6:$I$3307,G685)</x:f>
        <x:v>2</x:v>
      </x:c>
      <x:c r="G685" s="8" t="str">
        <x:f>B685&amp;" / "&amp;C685&amp;" / "&amp;D685</x:f>
        <x:v>26854 / 2026 / TIGER TROUT</x:v>
      </x:c>
    </x:row>
    <x:row r="686" ht="23" customHeight="1">
      <x:c r="A686" s="8" t="str">
        <x:v>Fort Lions Park Pond</x:v>
      </x:c>
      <x:c r="B686" s="8" t="str">
        <x:v>26854</x:v>
      </x:c>
      <x:c r="C686" s="17" t="n">
        <x:v>2025</x:v>
      </x:c>
      <x:c r="D686" s="8" t="str">
        <x:v>BROWN TROUT</x:v>
      </x:c>
      <x:c r="E686" s="13" t="n">
        <x:f>SUMIFS('Stocking details'!$F$6:$F$3307,'Stocking details'!$I$6:$I$3307,G686)</x:f>
        <x:v>250</x:v>
      </x:c>
      <x:c r="F686" s="13" t="n">
        <x:f>COUNTIFS('Stocking details'!$I$6:$I$3307,G686)</x:f>
        <x:v>1</x:v>
      </x:c>
      <x:c r="G686" s="8" t="str">
        <x:f>B686&amp;" / "&amp;C686&amp;" / "&amp;D686</x:f>
        <x:v>26854 / 2025 / BROWN TROUT</x:v>
      </x:c>
    </x:row>
    <x:row r="687" ht="23" customHeight="1">
      <x:c r="A687" s="8" t="str">
        <x:v>Fort Lions Park Pond</x:v>
      </x:c>
      <x:c r="B687" s="8" t="str">
        <x:v>26854</x:v>
      </x:c>
      <x:c r="C687" s="17" t="n">
        <x:v>2025</x:v>
      </x:c>
      <x:c r="D687" s="8" t="str">
        <x:v>RAINBOW TROUT</x:v>
      </x:c>
      <x:c r="E687" s="13" t="n">
        <x:f>SUMIFS('Stocking details'!$F$6:$F$3307,'Stocking details'!$I$6:$I$3307,G687)</x:f>
        <x:v>1850</x:v>
      </x:c>
      <x:c r="F687" s="13" t="n">
        <x:f>COUNTIFS('Stocking details'!$I$6:$I$3307,G687)</x:f>
        <x:v>3</x:v>
      </x:c>
      <x:c r="G687" s="8" t="str">
        <x:f>B687&amp;" / "&amp;C687&amp;" / "&amp;D687</x:f>
        <x:v>26854 / 2025 / RAINBOW TROUT</x:v>
      </x:c>
    </x:row>
    <x:row r="688" ht="23" customHeight="1">
      <x:c r="A688" s="8" t="str">
        <x:v>Fort Lions Park Pond</x:v>
      </x:c>
      <x:c r="B688" s="8" t="str">
        <x:v>26854</x:v>
      </x:c>
      <x:c r="C688" s="17" t="n">
        <x:v>2025</x:v>
      </x:c>
      <x:c r="D688" s="8" t="str">
        <x:v>TIGER TROUT</x:v>
      </x:c>
      <x:c r="E688" s="13" t="n">
        <x:f>SUMIFS('Stocking details'!$F$6:$F$3307,'Stocking details'!$I$6:$I$3307,G688)</x:f>
        <x:v>450</x:v>
      </x:c>
      <x:c r="F688" s="13" t="n">
        <x:f>COUNTIFS('Stocking details'!$I$6:$I$3307,G688)</x:f>
        <x:v>2</x:v>
      </x:c>
      <x:c r="G688" s="8" t="str">
        <x:f>B688&amp;" / "&amp;C688&amp;" / "&amp;D688</x:f>
        <x:v>26854 / 2025 / TIGER TROUT</x:v>
      </x:c>
    </x:row>
    <x:row r="689" ht="23" customHeight="1">
      <x:c r="A689" s="8" t="str">
        <x:v>Fort Lions Park Pond</x:v>
      </x:c>
      <x:c r="B689" s="8" t="str">
        <x:v>26854</x:v>
      </x:c>
      <x:c r="C689" s="17" t="n">
        <x:v>2024</x:v>
      </x:c>
      <x:c r="D689" s="8" t="str">
        <x:v>BROWN TROUT</x:v>
      </x:c>
      <x:c r="E689" s="13" t="n">
        <x:f>SUMIFS('Stocking details'!$F$6:$F$3307,'Stocking details'!$I$6:$I$3307,G689)</x:f>
        <x:v>250</x:v>
      </x:c>
      <x:c r="F689" s="13" t="n">
        <x:f>COUNTIFS('Stocking details'!$I$6:$I$3307,G689)</x:f>
        <x:v>1</x:v>
      </x:c>
      <x:c r="G689" s="8" t="str">
        <x:f>B689&amp;" / "&amp;C689&amp;" / "&amp;D689</x:f>
        <x:v>26854 / 2024 / BROWN TROUT</x:v>
      </x:c>
    </x:row>
    <x:row r="690" ht="23" customHeight="1">
      <x:c r="A690" s="8" t="str">
        <x:v>Fort Lions Park Pond</x:v>
      </x:c>
      <x:c r="B690" s="8" t="str">
        <x:v>26854</x:v>
      </x:c>
      <x:c r="C690" s="17" t="n">
        <x:v>2024</x:v>
      </x:c>
      <x:c r="D690" s="8" t="str">
        <x:v>RAINBOW TROUT</x:v>
      </x:c>
      <x:c r="E690" s="13" t="n">
        <x:f>SUMIFS('Stocking details'!$F$6:$F$3307,'Stocking details'!$I$6:$I$3307,G690)</x:f>
        <x:v>1950</x:v>
      </x:c>
      <x:c r="F690" s="13" t="n">
        <x:f>COUNTIFS('Stocking details'!$I$6:$I$3307,G690)</x:f>
        <x:v>3</x:v>
      </x:c>
      <x:c r="G690" s="8" t="str">
        <x:f>B690&amp;" / "&amp;C690&amp;" / "&amp;D690</x:f>
        <x:v>26854 / 2024 / RAINBOW TROUT</x:v>
      </x:c>
    </x:row>
    <x:row r="691" ht="23" customHeight="1">
      <x:c r="A691" s="8" t="str">
        <x:v>Fort Lions Park Pond</x:v>
      </x:c>
      <x:c r="B691" s="8" t="str">
        <x:v>26854</x:v>
      </x:c>
      <x:c r="C691" s="17" t="n">
        <x:v>2024</x:v>
      </x:c>
      <x:c r="D691" s="8" t="str">
        <x:v>TIGER TROUT</x:v>
      </x:c>
      <x:c r="E691" s="13" t="n">
        <x:f>SUMIFS('Stocking details'!$F$6:$F$3307,'Stocking details'!$I$6:$I$3307,G691)</x:f>
        <x:v>450</x:v>
      </x:c>
      <x:c r="F691" s="13" t="n">
        <x:f>COUNTIFS('Stocking details'!$I$6:$I$3307,G691)</x:f>
        <x:v>1</x:v>
      </x:c>
      <x:c r="G691" s="8" t="str">
        <x:f>B691&amp;" / "&amp;C691&amp;" / "&amp;D691</x:f>
        <x:v>26854 / 2024 / TIGER TROUT</x:v>
      </x:c>
    </x:row>
    <x:row r="692" ht="23" customHeight="1">
      <x:c r="A692" s="8" t="str">
        <x:v>Fort Lions Park Pond</x:v>
      </x:c>
      <x:c r="B692" s="8" t="str">
        <x:v>26854</x:v>
      </x:c>
      <x:c r="C692" s="17" t="n">
        <x:v>2023</x:v>
      </x:c>
      <x:c r="D692" s="8" t="str">
        <x:v>BROWN TROUT</x:v>
      </x:c>
      <x:c r="E692" s="13" t="n">
        <x:f>SUMIFS('Stocking details'!$F$6:$F$3307,'Stocking details'!$I$6:$I$3307,G692)</x:f>
        <x:v>250</x:v>
      </x:c>
      <x:c r="F692" s="13" t="n">
        <x:f>COUNTIFS('Stocking details'!$I$6:$I$3307,G692)</x:f>
        <x:v>1</x:v>
      </x:c>
      <x:c r="G692" s="8" t="str">
        <x:f>B692&amp;" / "&amp;C692&amp;" / "&amp;D692</x:f>
        <x:v>26854 / 2023 / BROWN TROUT</x:v>
      </x:c>
    </x:row>
    <x:row r="693" ht="23" customHeight="1">
      <x:c r="A693" s="8" t="str">
        <x:v>Fort Lions Park Pond</x:v>
      </x:c>
      <x:c r="B693" s="8" t="str">
        <x:v>26854</x:v>
      </x:c>
      <x:c r="C693" s="17" t="n">
        <x:v>2023</x:v>
      </x:c>
      <x:c r="D693" s="8" t="str">
        <x:v>RAINBOW TROUT</x:v>
      </x:c>
      <x:c r="E693" s="13" t="n">
        <x:f>SUMIFS('Stocking details'!$F$6:$F$3307,'Stocking details'!$I$6:$I$3307,G693)</x:f>
        <x:v>2400</x:v>
      </x:c>
      <x:c r="F693" s="13" t="n">
        <x:f>COUNTIFS('Stocking details'!$I$6:$I$3307,G693)</x:f>
        <x:v>3</x:v>
      </x:c>
      <x:c r="G693" s="8" t="str">
        <x:f>B693&amp;" / "&amp;C693&amp;" / "&amp;D693</x:f>
        <x:v>26854 / 2023 / RAINBOW TROUT</x:v>
      </x:c>
    </x:row>
    <x:row r="694" ht="23" customHeight="1">
      <x:c r="A694" s="8" t="str">
        <x:v>Fort Lions Park Pond</x:v>
      </x:c>
      <x:c r="B694" s="8" t="str">
        <x:v>26854</x:v>
      </x:c>
      <x:c r="C694" s="17" t="n">
        <x:v>2023</x:v>
      </x:c>
      <x:c r="D694" s="8" t="str">
        <x:v>TIGER TROUT</x:v>
      </x:c>
      <x:c r="E694" s="13" t="n">
        <x:f>SUMIFS('Stocking details'!$F$6:$F$3307,'Stocking details'!$I$6:$I$3307,G694)</x:f>
        <x:v>450</x:v>
      </x:c>
      <x:c r="F694" s="13" t="n">
        <x:f>COUNTIFS('Stocking details'!$I$6:$I$3307,G694)</x:f>
        <x:v>2</x:v>
      </x:c>
      <x:c r="G694" s="8" t="str">
        <x:f>B694&amp;" / "&amp;C694&amp;" / "&amp;D694</x:f>
        <x:v>26854 / 2023 / TIGER TROUT</x:v>
      </x:c>
    </x:row>
    <x:row r="695" ht="23" customHeight="1">
      <x:c r="A695" s="8" t="str">
        <x:v>Fort Lions Park Pond</x:v>
      </x:c>
      <x:c r="B695" s="8" t="str">
        <x:v>26854</x:v>
      </x:c>
      <x:c r="C695" s="17" t="n">
        <x:v>2022</x:v>
      </x:c>
      <x:c r="D695" s="8" t="str">
        <x:v>BROWN TROUT</x:v>
      </x:c>
      <x:c r="E695" s="13" t="n">
        <x:f>SUMIFS('Stocking details'!$F$6:$F$3307,'Stocking details'!$I$6:$I$3307,G695)</x:f>
        <x:v>250</x:v>
      </x:c>
      <x:c r="F695" s="13" t="n">
        <x:f>COUNTIFS('Stocking details'!$I$6:$I$3307,G695)</x:f>
        <x:v>1</x:v>
      </x:c>
      <x:c r="G695" s="8" t="str">
        <x:f>B695&amp;" / "&amp;C695&amp;" / "&amp;D695</x:f>
        <x:v>26854 / 2022 / BROWN TROUT</x:v>
      </x:c>
    </x:row>
    <x:row r="696" ht="23" customHeight="1">
      <x:c r="A696" s="8" t="str">
        <x:v>Fort Lions Park Pond</x:v>
      </x:c>
      <x:c r="B696" s="8" t="str">
        <x:v>26854</x:v>
      </x:c>
      <x:c r="C696" s="17" t="n">
        <x:v>2022</x:v>
      </x:c>
      <x:c r="D696" s="8" t="str">
        <x:v>RAINBOW TROUT</x:v>
      </x:c>
      <x:c r="E696" s="13" t="n">
        <x:f>SUMIFS('Stocking details'!$F$6:$F$3307,'Stocking details'!$I$6:$I$3307,G696)</x:f>
        <x:v>2500</x:v>
      </x:c>
      <x:c r="F696" s="13" t="n">
        <x:f>COUNTIFS('Stocking details'!$I$6:$I$3307,G696)</x:f>
        <x:v>3</x:v>
      </x:c>
      <x:c r="G696" s="8" t="str">
        <x:f>B696&amp;" / "&amp;C696&amp;" / "&amp;D696</x:f>
        <x:v>26854 / 2022 / RAINBOW TROUT</x:v>
      </x:c>
    </x:row>
    <x:row r="697" ht="23" customHeight="1">
      <x:c r="A697" s="8" t="str">
        <x:v>Fort Lions Park Pond</x:v>
      </x:c>
      <x:c r="B697" s="8" t="str">
        <x:v>26854</x:v>
      </x:c>
      <x:c r="C697" s="17" t="n">
        <x:v>2022</x:v>
      </x:c>
      <x:c r="D697" s="8" t="str">
        <x:v>TIGER TROUT</x:v>
      </x:c>
      <x:c r="E697" s="13" t="n">
        <x:f>SUMIFS('Stocking details'!$F$6:$F$3307,'Stocking details'!$I$6:$I$3307,G697)</x:f>
        <x:v>450</x:v>
      </x:c>
      <x:c r="F697" s="13" t="n">
        <x:f>COUNTIFS('Stocking details'!$I$6:$I$3307,G697)</x:f>
        <x:v>2</x:v>
      </x:c>
      <x:c r="G697" s="8" t="str">
        <x:f>B697&amp;" / "&amp;C697&amp;" / "&amp;D697</x:f>
        <x:v>26854 / 2022 / TIGER TROUT</x:v>
      </x:c>
    </x:row>
    <x:row r="698" ht="23" customHeight="1">
      <x:c r="A698" s="8" t="str">
        <x:v>Fort Lions Park Pond</x:v>
      </x:c>
      <x:c r="B698" s="8" t="str">
        <x:v>26854</x:v>
      </x:c>
      <x:c r="C698" s="17" t="n">
        <x:v>2021</x:v>
      </x:c>
      <x:c r="D698" s="8" t="str">
        <x:v>BROWN TROUT</x:v>
      </x:c>
      <x:c r="E698" s="13" t="n">
        <x:f>SUMIFS('Stocking details'!$F$6:$F$3307,'Stocking details'!$I$6:$I$3307,G698)</x:f>
        <x:v>250</x:v>
      </x:c>
      <x:c r="F698" s="13" t="n">
        <x:f>COUNTIFS('Stocking details'!$I$6:$I$3307,G698)</x:f>
        <x:v>1</x:v>
      </x:c>
      <x:c r="G698" s="8" t="str">
        <x:f>B698&amp;" / "&amp;C698&amp;" / "&amp;D698</x:f>
        <x:v>26854 / 2021 / BROWN TROUT</x:v>
      </x:c>
    </x:row>
    <x:row r="699" ht="23" customHeight="1">
      <x:c r="A699" s="8" t="str">
        <x:v>Fort Lions Park Pond</x:v>
      </x:c>
      <x:c r="B699" s="8" t="str">
        <x:v>26854</x:v>
      </x:c>
      <x:c r="C699" s="17" t="n">
        <x:v>2021</x:v>
      </x:c>
      <x:c r="D699" s="8" t="str">
        <x:v>RAINBOW TROUT</x:v>
      </x:c>
      <x:c r="E699" s="13" t="n">
        <x:f>SUMIFS('Stocking details'!$F$6:$F$3307,'Stocking details'!$I$6:$I$3307,G699)</x:f>
        <x:v>2500</x:v>
      </x:c>
      <x:c r="F699" s="13" t="n">
        <x:f>COUNTIFS('Stocking details'!$I$6:$I$3307,G699)</x:f>
        <x:v>2</x:v>
      </x:c>
      <x:c r="G699" s="8" t="str">
        <x:f>B699&amp;" / "&amp;C699&amp;" / "&amp;D699</x:f>
        <x:v>26854 / 2021 / RAINBOW TROUT</x:v>
      </x:c>
    </x:row>
    <x:row r="700" ht="23" customHeight="1">
      <x:c r="A700" s="8" t="str">
        <x:v>Fort Lions Park Pond</x:v>
      </x:c>
      <x:c r="B700" s="8" t="str">
        <x:v>26854</x:v>
      </x:c>
      <x:c r="C700" s="17" t="n">
        <x:v>2021</x:v>
      </x:c>
      <x:c r="D700" s="8" t="str">
        <x:v>TIGER TROUT</x:v>
      </x:c>
      <x:c r="E700" s="13" t="n">
        <x:f>SUMIFS('Stocking details'!$F$6:$F$3307,'Stocking details'!$I$6:$I$3307,G700)</x:f>
        <x:v>450</x:v>
      </x:c>
      <x:c r="F700" s="13" t="n">
        <x:f>COUNTIFS('Stocking details'!$I$6:$I$3307,G700)</x:f>
        <x:v>1</x:v>
      </x:c>
      <x:c r="G700" s="8" t="str">
        <x:f>B700&amp;" / "&amp;C700&amp;" / "&amp;D700</x:f>
        <x:v>26854 / 2021 / TIGER TROUT</x:v>
      </x:c>
    </x:row>
    <x:row r="701" ht="23" customHeight="1">
      <x:c r="A701" s="8" t="str">
        <x:v>Fort Saskatchewan Fish &amp; Game Pond</x:v>
      </x:c>
      <x:c r="B701" s="8" t="str">
        <x:v>23094</x:v>
      </x:c>
      <x:c r="C701" s="17" t="n">
        <x:v>2025</x:v>
      </x:c>
      <x:c r="D701" s="8" t="str">
        <x:v>RAINBOW TROUT</x:v>
      </x:c>
      <x:c r="E701" s="13" t="n">
        <x:f>SUMIFS('Stocking details'!$F$6:$F$3307,'Stocking details'!$I$6:$I$3307,G701)</x:f>
        <x:v>2000</x:v>
      </x:c>
      <x:c r="F701" s="13" t="n">
        <x:f>COUNTIFS('Stocking details'!$I$6:$I$3307,G701)</x:f>
        <x:v>1</x:v>
      </x:c>
      <x:c r="G701" s="8" t="str">
        <x:f>B701&amp;" / "&amp;C701&amp;" / "&amp;D701</x:f>
        <x:v>23094 / 2025 / RAINBOW TROUT</x:v>
      </x:c>
    </x:row>
    <x:row r="702" ht="23" customHeight="1">
      <x:c r="A702" s="8" t="str">
        <x:v>Fortress Lake</x:v>
      </x:c>
      <x:c r="B702" s="8" t="str">
        <x:v>4614</x:v>
      </x:c>
      <x:c r="C702" s="17" t="n">
        <x:v>2021</x:v>
      </x:c>
      <x:c r="D702" s="8" t="str">
        <x:v>CUTTHROAT TROUT</x:v>
      </x:c>
      <x:c r="E702" s="13" t="n">
        <x:f>SUMIFS('Stocking details'!$F$6:$F$3307,'Stocking details'!$I$6:$I$3307,G702)</x:f>
        <x:v>600</x:v>
      </x:c>
      <x:c r="F702" s="13" t="n">
        <x:f>COUNTIFS('Stocking details'!$I$6:$I$3307,G702)</x:f>
        <x:v>1</x:v>
      </x:c>
      <x:c r="G702" s="8" t="str">
        <x:f>B702&amp;" / "&amp;C702&amp;" / "&amp;D702</x:f>
        <x:v>4614 / 2021 / CUTTHROAT TROUT</x:v>
      </x:c>
    </x:row>
    <x:row r="703" ht="23" customHeight="1">
      <x:c r="A703" s="8" t="str">
        <x:v>Forty Mile Coulee Reservoir</x:v>
      </x:c>
      <x:c r="B703" s="8" t="str">
        <x:v>6813</x:v>
      </x:c>
      <x:c r="C703" s="17" t="n">
        <x:v>2025</x:v>
      </x:c>
      <x:c r="D703" s="8" t="str">
        <x:v>WALLEYE</x:v>
      </x:c>
      <x:c r="E703" s="13" t="n">
        <x:f>SUMIFS('Stocking details'!$F$6:$F$3307,'Stocking details'!$I$6:$I$3307,G703)</x:f>
        <x:v>976</x:v>
      </x:c>
      <x:c r="F703" s="13" t="n">
        <x:f>COUNTIFS('Stocking details'!$I$6:$I$3307,G703)</x:f>
        <x:v>1</x:v>
      </x:c>
      <x:c r="G703" s="8" t="str">
        <x:f>B703&amp;" / "&amp;C703&amp;" / "&amp;D703</x:f>
        <x:v>6813 / 2025 / WALLEYE</x:v>
      </x:c>
    </x:row>
    <x:row r="704" ht="23" customHeight="1">
      <x:c r="A704" s="8" t="str">
        <x:v>Forty Mile Coulee Reservoir</x:v>
      </x:c>
      <x:c r="B704" s="8" t="str">
        <x:v>6813</x:v>
      </x:c>
      <x:c r="C704" s="17" t="n">
        <x:v>2024</x:v>
      </x:c>
      <x:c r="D704" s="8" t="str">
        <x:v>WALLEYE</x:v>
      </x:c>
      <x:c r="E704" s="13" t="n">
        <x:f>SUMIFS('Stocking details'!$F$6:$F$3307,'Stocking details'!$I$6:$I$3307,G704)</x:f>
        <x:v>750000</x:v>
      </x:c>
      <x:c r="F704" s="13" t="n">
        <x:f>COUNTIFS('Stocking details'!$I$6:$I$3307,G704)</x:f>
        <x:v>1</x:v>
      </x:c>
      <x:c r="G704" s="8" t="str">
        <x:f>B704&amp;" / "&amp;C704&amp;" / "&amp;D704</x:f>
        <x:v>6813 / 2024 / WALLEYE</x:v>
      </x:c>
    </x:row>
    <x:row r="705" ht="23" customHeight="1">
      <x:c r="A705" s="8" t="str">
        <x:v>Forty Mile Coulee Reservoir</x:v>
      </x:c>
      <x:c r="B705" s="8" t="str">
        <x:v>6813</x:v>
      </x:c>
      <x:c r="C705" s="17" t="n">
        <x:v>2023</x:v>
      </x:c>
      <x:c r="D705" s="8" t="str">
        <x:v>WALLEYE</x:v>
      </x:c>
      <x:c r="E705" s="13" t="n">
        <x:f>SUMIFS('Stocking details'!$F$6:$F$3307,'Stocking details'!$I$6:$I$3307,G705)</x:f>
        <x:v>347500</x:v>
      </x:c>
      <x:c r="F705" s="13" t="n">
        <x:f>COUNTIFS('Stocking details'!$I$6:$I$3307,G705)</x:f>
        <x:v>2</x:v>
      </x:c>
      <x:c r="G705" s="8" t="str">
        <x:f>B705&amp;" / "&amp;C705&amp;" / "&amp;D705</x:f>
        <x:v>6813 / 2023 / WALLEYE</x:v>
      </x:c>
    </x:row>
    <x:row r="706" ht="23" customHeight="1">
      <x:c r="A706" s="8" t="str">
        <x:v>Forty Mile Coulee Reservoir</x:v>
      </x:c>
      <x:c r="B706" s="8" t="str">
        <x:v>6813</x:v>
      </x:c>
      <x:c r="C706" s="17" t="n">
        <x:v>2022</x:v>
      </x:c>
      <x:c r="D706" s="8" t="str">
        <x:v>WALLEYE</x:v>
      </x:c>
      <x:c r="E706" s="13" t="n">
        <x:f>SUMIFS('Stocking details'!$F$6:$F$3307,'Stocking details'!$I$6:$I$3307,G706)</x:f>
        <x:v>104053</x:v>
      </x:c>
      <x:c r="F706" s="13" t="n">
        <x:f>COUNTIFS('Stocking details'!$I$6:$I$3307,G706)</x:f>
        <x:v>1</x:v>
      </x:c>
      <x:c r="G706" s="8" t="str">
        <x:f>B706&amp;" / "&amp;C706&amp;" / "&amp;D706</x:f>
        <x:v>6813 / 2022 / WALLEYE</x:v>
      </x:c>
    </x:row>
    <x:row r="707" ht="23" customHeight="1">
      <x:c r="A707" s="8" t="str">
        <x:v>Forty Mile Coulee Reservoir</x:v>
      </x:c>
      <x:c r="B707" s="8" t="str">
        <x:v>6813</x:v>
      </x:c>
      <x:c r="C707" s="17" t="n">
        <x:v>2021</x:v>
      </x:c>
      <x:c r="D707" s="8" t="str">
        <x:v>WALLEYE</x:v>
      </x:c>
      <x:c r="E707" s="13" t="n">
        <x:f>SUMIFS('Stocking details'!$F$6:$F$3307,'Stocking details'!$I$6:$I$3307,G707)</x:f>
        <x:v>81000</x:v>
      </x:c>
      <x:c r="F707" s="13" t="n">
        <x:f>COUNTIFS('Stocking details'!$I$6:$I$3307,G707)</x:f>
        <x:v>1</x:v>
      </x:c>
      <x:c r="G707" s="8" t="str">
        <x:f>B707&amp;" / "&amp;C707&amp;" / "&amp;D707</x:f>
        <x:v>6813 / 2021 / WALLEYE</x:v>
      </x:c>
    </x:row>
    <x:row r="708" ht="23" customHeight="1">
      <x:c r="A708" s="8" t="str">
        <x:v>Fox Creek Trout Pond</x:v>
      </x:c>
      <x:c r="B708" s="8" t="str">
        <x:v>6815</x:v>
      </x:c>
      <x:c r="C708" s="17" t="n">
        <x:v>2026</x:v>
      </x:c>
      <x:c r="D708" s="8" t="str">
        <x:v>RAINBOW TROUT</x:v>
      </x:c>
      <x:c r="E708" s="13" t="n">
        <x:f>SUMIFS('Stocking details'!$F$6:$F$3307,'Stocking details'!$I$6:$I$3307,G708)</x:f>
        <x:v>500</x:v>
      </x:c>
      <x:c r="F708" s="13" t="n">
        <x:f>COUNTIFS('Stocking details'!$I$6:$I$3307,G708)</x:f>
        <x:v>1</x:v>
      </x:c>
      <x:c r="G708" s="8" t="str">
        <x:f>B708&amp;" / "&amp;C708&amp;" / "&amp;D708</x:f>
        <x:v>6815 / 2026 / RAINBOW TROUT</x:v>
      </x:c>
    </x:row>
    <x:row r="709" ht="23" customHeight="1">
      <x:c r="A709" s="8" t="str">
        <x:v>Fox Creek Trout Pond</x:v>
      </x:c>
      <x:c r="B709" s="8" t="str">
        <x:v>6815</x:v>
      </x:c>
      <x:c r="C709" s="17" t="n">
        <x:v>2025</x:v>
      </x:c>
      <x:c r="D709" s="8" t="str">
        <x:v>RAINBOW TROUT</x:v>
      </x:c>
      <x:c r="E709" s="13" t="n">
        <x:f>SUMIFS('Stocking details'!$F$6:$F$3307,'Stocking details'!$I$6:$I$3307,G709)</x:f>
        <x:v>500</x:v>
      </x:c>
      <x:c r="F709" s="13" t="n">
        <x:f>COUNTIFS('Stocking details'!$I$6:$I$3307,G709)</x:f>
        <x:v>1</x:v>
      </x:c>
      <x:c r="G709" s="8" t="str">
        <x:f>B709&amp;" / "&amp;C709&amp;" / "&amp;D709</x:f>
        <x:v>6815 / 2025 / RAINBOW TROUT</x:v>
      </x:c>
    </x:row>
    <x:row r="710" ht="23" customHeight="1">
      <x:c r="A710" s="8" t="str">
        <x:v>Fox Creek Trout Pond</x:v>
      </x:c>
      <x:c r="B710" s="8" t="str">
        <x:v>6815</x:v>
      </x:c>
      <x:c r="C710" s="17" t="n">
        <x:v>2024</x:v>
      </x:c>
      <x:c r="D710" s="8" t="str">
        <x:v>RAINBOW TROUT</x:v>
      </x:c>
      <x:c r="E710" s="13" t="n">
        <x:f>SUMIFS('Stocking details'!$F$6:$F$3307,'Stocking details'!$I$6:$I$3307,G710)</x:f>
        <x:v>251</x:v>
      </x:c>
      <x:c r="F710" s="13" t="n">
        <x:f>COUNTIFS('Stocking details'!$I$6:$I$3307,G710)</x:f>
        <x:v>1</x:v>
      </x:c>
      <x:c r="G710" s="8" t="str">
        <x:f>B710&amp;" / "&amp;C710&amp;" / "&amp;D710</x:f>
        <x:v>6815 / 2024 / RAINBOW TROUT</x:v>
      </x:c>
    </x:row>
    <x:row r="711" ht="23" customHeight="1">
      <x:c r="A711" s="8" t="str">
        <x:v>Fox Creek Trout Pond</x:v>
      </x:c>
      <x:c r="B711" s="8" t="str">
        <x:v>6815</x:v>
      </x:c>
      <x:c r="C711" s="17" t="n">
        <x:v>2023</x:v>
      </x:c>
      <x:c r="D711" s="8" t="str">
        <x:v>RAINBOW TROUT</x:v>
      </x:c>
      <x:c r="E711" s="13" t="n">
        <x:f>SUMIFS('Stocking details'!$F$6:$F$3307,'Stocking details'!$I$6:$I$3307,G711)</x:f>
        <x:v>251</x:v>
      </x:c>
      <x:c r="F711" s="13" t="n">
        <x:f>COUNTIFS('Stocking details'!$I$6:$I$3307,G711)</x:f>
        <x:v>1</x:v>
      </x:c>
      <x:c r="G711" s="8" t="str">
        <x:f>B711&amp;" / "&amp;C711&amp;" / "&amp;D711</x:f>
        <x:v>6815 / 2023 / RAINBOW TROUT</x:v>
      </x:c>
    </x:row>
    <x:row r="712" ht="23" customHeight="1">
      <x:c r="A712" s="8" t="str">
        <x:v>Fox Creek Trout Pond</x:v>
      </x:c>
      <x:c r="B712" s="8" t="str">
        <x:v>6815</x:v>
      </x:c>
      <x:c r="C712" s="17" t="n">
        <x:v>2022</x:v>
      </x:c>
      <x:c r="D712" s="8" t="str">
        <x:v>RAINBOW TROUT</x:v>
      </x:c>
      <x:c r="E712" s="13" t="n">
        <x:f>SUMIFS('Stocking details'!$F$6:$F$3307,'Stocking details'!$I$6:$I$3307,G712)</x:f>
        <x:v>500</x:v>
      </x:c>
      <x:c r="F712" s="13" t="n">
        <x:f>COUNTIFS('Stocking details'!$I$6:$I$3307,G712)</x:f>
        <x:v>1</x:v>
      </x:c>
      <x:c r="G712" s="8" t="str">
        <x:f>B712&amp;" / "&amp;C712&amp;" / "&amp;D712</x:f>
        <x:v>6815 / 2022 / RAINBOW TROUT</x:v>
      </x:c>
    </x:row>
    <x:row r="713" ht="23" customHeight="1">
      <x:c r="A713" s="8" t="str">
        <x:v>Fox Creek Trout Pond</x:v>
      </x:c>
      <x:c r="B713" s="8" t="str">
        <x:v>6815</x:v>
      </x:c>
      <x:c r="C713" s="17" t="n">
        <x:v>2021</x:v>
      </x:c>
      <x:c r="D713" s="8" t="str">
        <x:v>RAINBOW TROUT</x:v>
      </x:c>
      <x:c r="E713" s="13" t="n">
        <x:f>SUMIFS('Stocking details'!$F$6:$F$3307,'Stocking details'!$I$6:$I$3307,G713)</x:f>
        <x:v>500</x:v>
      </x:c>
      <x:c r="F713" s="13" t="n">
        <x:f>COUNTIFS('Stocking details'!$I$6:$I$3307,G713)</x:f>
        <x:v>1</x:v>
      </x:c>
      <x:c r="G713" s="8" t="str">
        <x:f>B713&amp;" / "&amp;C713&amp;" / "&amp;D713</x:f>
        <x:v>6815 / 2021 / RAINBOW TROUT</x:v>
      </x:c>
    </x:row>
    <x:row r="714" ht="23" customHeight="1">
      <x:c r="A714" s="8" t="str">
        <x:v>Frog Lake</x:v>
      </x:c>
      <x:c r="B714" s="8" t="str">
        <x:v>4635</x:v>
      </x:c>
      <x:c r="C714" s="17" t="n">
        <x:v>2026</x:v>
      </x:c>
      <x:c r="D714" s="8" t="str">
        <x:v>WALLEYE</x:v>
      </x:c>
      <x:c r="E714" s="13" t="n">
        <x:f>SUMIFS('Stocking details'!$F$6:$F$3307,'Stocking details'!$I$6:$I$3307,G714)</x:f>
        <x:v>2896686</x:v>
      </x:c>
      <x:c r="F714" s="13" t="n">
        <x:f>COUNTIFS('Stocking details'!$I$6:$I$3307,G714)</x:f>
        <x:v>2</x:v>
      </x:c>
      <x:c r="G714" s="8" t="str">
        <x:f>B714&amp;" / "&amp;C714&amp;" / "&amp;D714</x:f>
        <x:v>4635 / 2026 / WALLEYE</x:v>
      </x:c>
    </x:row>
    <x:row r="715" ht="23" customHeight="1">
      <x:c r="A715" s="8" t="str">
        <x:v>Frog Lake</x:v>
      </x:c>
      <x:c r="B715" s="8" t="str">
        <x:v>4635</x:v>
      </x:c>
      <x:c r="C715" s="17" t="n">
        <x:v>2025</x:v>
      </x:c>
      <x:c r="D715" s="8" t="str">
        <x:v>WALLEYE</x:v>
      </x:c>
      <x:c r="E715" s="13" t="n">
        <x:f>SUMIFS('Stocking details'!$F$6:$F$3307,'Stocking details'!$I$6:$I$3307,G715)</x:f>
        <x:v>5408816</x:v>
      </x:c>
      <x:c r="F715" s="13" t="n">
        <x:f>COUNTIFS('Stocking details'!$I$6:$I$3307,G715)</x:f>
        <x:v>3</x:v>
      </x:c>
      <x:c r="G715" s="8" t="str">
        <x:f>B715&amp;" / "&amp;C715&amp;" / "&amp;D715</x:f>
        <x:v>4635 / 2025 / WALLEYE</x:v>
      </x:c>
    </x:row>
    <x:row r="716" ht="23" customHeight="1">
      <x:c r="A716" s="8" t="str">
        <x:v>Gap Lake</x:v>
      </x:c>
      <x:c r="B716" s="8" t="str">
        <x:v>4647</x:v>
      </x:c>
      <x:c r="C716" s="17" t="n">
        <x:v>2025</x:v>
      </x:c>
      <x:c r="D716" s="8" t="str">
        <x:v>CUTTHROAT TROUT</x:v>
      </x:c>
      <x:c r="E716" s="13" t="n">
        <x:f>SUMIFS('Stocking details'!$F$6:$F$3307,'Stocking details'!$I$6:$I$3307,G716)</x:f>
        <x:v>1335</x:v>
      </x:c>
      <x:c r="F716" s="13" t="n">
        <x:f>COUNTIFS('Stocking details'!$I$6:$I$3307,G716)</x:f>
        <x:v>1</x:v>
      </x:c>
      <x:c r="G716" s="8" t="str">
        <x:f>B716&amp;" / "&amp;C716&amp;" / "&amp;D716</x:f>
        <x:v>4647 / 2025 / CUTTHROAT TROUT</x:v>
      </x:c>
    </x:row>
    <x:row r="717" ht="23" customHeight="1">
      <x:c r="A717" s="8" t="str">
        <x:v>Gap Lake</x:v>
      </x:c>
      <x:c r="B717" s="8" t="str">
        <x:v>4647</x:v>
      </x:c>
      <x:c r="C717" s="17" t="n">
        <x:v>2022</x:v>
      </x:c>
      <x:c r="D717" s="8" t="str">
        <x:v>CUTTHROAT TROUT</x:v>
      </x:c>
      <x:c r="E717" s="13" t="n">
        <x:f>SUMIFS('Stocking details'!$F$6:$F$3307,'Stocking details'!$I$6:$I$3307,G717)</x:f>
        <x:v>2000</x:v>
      </x:c>
      <x:c r="F717" s="13" t="n">
        <x:f>COUNTIFS('Stocking details'!$I$6:$I$3307,G717)</x:f>
        <x:v>1</x:v>
      </x:c>
      <x:c r="G717" s="8" t="str">
        <x:f>B717&amp;" / "&amp;C717&amp;" / "&amp;D717</x:f>
        <x:v>4647 / 2022 / CUTTHROAT TROUT</x:v>
      </x:c>
    </x:row>
    <x:row r="718" ht="23" customHeight="1">
      <x:c r="A718" s="8" t="str">
        <x:v>Genesee Trout Pond</x:v>
      </x:c>
      <x:c r="B718" s="8" t="str">
        <x:v>23292</x:v>
      </x:c>
      <x:c r="C718" s="17" t="n">
        <x:v>2025</x:v>
      </x:c>
      <x:c r="D718" s="8" t="str">
        <x:v>RAINBOW TROUT</x:v>
      </x:c>
      <x:c r="E718" s="13" t="n">
        <x:f>SUMIFS('Stocking details'!$F$6:$F$3307,'Stocking details'!$I$6:$I$3307,G718)</x:f>
        <x:v>500</x:v>
      </x:c>
      <x:c r="F718" s="13" t="n">
        <x:f>COUNTIFS('Stocking details'!$I$6:$I$3307,G718)</x:f>
        <x:v>1</x:v>
      </x:c>
      <x:c r="G718" s="8" t="str">
        <x:f>B718&amp;" / "&amp;C718&amp;" / "&amp;D718</x:f>
        <x:v>23292 / 2025 / RAINBOW TROUT</x:v>
      </x:c>
    </x:row>
    <x:row r="719" ht="23" customHeight="1">
      <x:c r="A719" s="8" t="str">
        <x:v>Genesee Trout Pond</x:v>
      </x:c>
      <x:c r="B719" s="8" t="str">
        <x:v>23292</x:v>
      </x:c>
      <x:c r="C719" s="17" t="n">
        <x:v>2024</x:v>
      </x:c>
      <x:c r="D719" s="8" t="str">
        <x:v>RAINBOW TROUT</x:v>
      </x:c>
      <x:c r="E719" s="13" t="n">
        <x:f>SUMIFS('Stocking details'!$F$6:$F$3307,'Stocking details'!$I$6:$I$3307,G719)</x:f>
        <x:v>250</x:v>
      </x:c>
      <x:c r="F719" s="13" t="n">
        <x:f>COUNTIFS('Stocking details'!$I$6:$I$3307,G719)</x:f>
        <x:v>1</x:v>
      </x:c>
      <x:c r="G719" s="8" t="str">
        <x:f>B719&amp;" / "&amp;C719&amp;" / "&amp;D719</x:f>
        <x:v>23292 / 2024 / RAINBOW TROUT</x:v>
      </x:c>
    </x:row>
    <x:row r="720" ht="23" customHeight="1">
      <x:c r="A720" s="8" t="str">
        <x:v>Genesee Trout Pond</x:v>
      </x:c>
      <x:c r="B720" s="8" t="str">
        <x:v>23292</x:v>
      </x:c>
      <x:c r="C720" s="17" t="n">
        <x:v>2023</x:v>
      </x:c>
      <x:c r="D720" s="8" t="str">
        <x:v>RAINBOW TROUT</x:v>
      </x:c>
      <x:c r="E720" s="13" t="n">
        <x:f>SUMIFS('Stocking details'!$F$6:$F$3307,'Stocking details'!$I$6:$I$3307,G720)</x:f>
        <x:v>251</x:v>
      </x:c>
      <x:c r="F720" s="13" t="n">
        <x:f>COUNTIFS('Stocking details'!$I$6:$I$3307,G720)</x:f>
        <x:v>1</x:v>
      </x:c>
      <x:c r="G720" s="8" t="str">
        <x:f>B720&amp;" / "&amp;C720&amp;" / "&amp;D720</x:f>
        <x:v>23292 / 2023 / RAINBOW TROUT</x:v>
      </x:c>
    </x:row>
    <x:row r="721" ht="23" customHeight="1">
      <x:c r="A721" s="8" t="str">
        <x:v>Genesee Trout Pond</x:v>
      </x:c>
      <x:c r="B721" s="8" t="str">
        <x:v>23292</x:v>
      </x:c>
      <x:c r="C721" s="17" t="n">
        <x:v>2022</x:v>
      </x:c>
      <x:c r="D721" s="8" t="str">
        <x:v>RAINBOW TROUT</x:v>
      </x:c>
      <x:c r="E721" s="13" t="n">
        <x:f>SUMIFS('Stocking details'!$F$6:$F$3307,'Stocking details'!$I$6:$I$3307,G721)</x:f>
        <x:v>1000</x:v>
      </x:c>
      <x:c r="F721" s="13" t="n">
        <x:f>COUNTIFS('Stocking details'!$I$6:$I$3307,G721)</x:f>
        <x:v>2</x:v>
      </x:c>
      <x:c r="G721" s="8" t="str">
        <x:f>B721&amp;" / "&amp;C721&amp;" / "&amp;D721</x:f>
        <x:v>23292 / 2022 / RAINBOW TROUT</x:v>
      </x:c>
    </x:row>
    <x:row r="722" ht="23" customHeight="1">
      <x:c r="A722" s="8" t="str">
        <x:v>Genesee Trout Pond</x:v>
      </x:c>
      <x:c r="B722" s="8" t="str">
        <x:v>23292</x:v>
      </x:c>
      <x:c r="C722" s="17" t="n">
        <x:v>2021</x:v>
      </x:c>
      <x:c r="D722" s="8" t="str">
        <x:v>RAINBOW TROUT</x:v>
      </x:c>
      <x:c r="E722" s="13" t="n">
        <x:f>SUMIFS('Stocking details'!$F$6:$F$3307,'Stocking details'!$I$6:$I$3307,G722)</x:f>
        <x:v>500</x:v>
      </x:c>
      <x:c r="F722" s="13" t="n">
        <x:f>COUNTIFS('Stocking details'!$I$6:$I$3307,G722)</x:f>
        <x:v>1</x:v>
      </x:c>
      <x:c r="G722" s="8" t="str">
        <x:f>B722&amp;" / "&amp;C722&amp;" / "&amp;D722</x:f>
        <x:v>23292 / 2021 / RAINBOW TROUT</x:v>
      </x:c>
    </x:row>
    <x:row r="723" ht="23" customHeight="1">
      <x:c r="A723" s="8" t="str">
        <x:v>Gibbons Pond</x:v>
      </x:c>
      <x:c r="B723" s="8" t="str">
        <x:v>6816</x:v>
      </x:c>
      <x:c r="C723" s="17" t="n">
        <x:v>2026</x:v>
      </x:c>
      <x:c r="D723" s="8" t="str">
        <x:v>RAINBOW TROUT</x:v>
      </x:c>
      <x:c r="E723" s="13" t="n">
        <x:f>SUMIFS('Stocking details'!$F$6:$F$3307,'Stocking details'!$I$6:$I$3307,G723)</x:f>
        <x:v>300</x:v>
      </x:c>
      <x:c r="F723" s="13" t="n">
        <x:f>COUNTIFS('Stocking details'!$I$6:$I$3307,G723)</x:f>
        <x:v>1</x:v>
      </x:c>
      <x:c r="G723" s="8" t="str">
        <x:f>B723&amp;" / "&amp;C723&amp;" / "&amp;D723</x:f>
        <x:v>6816 / 2026 / RAINBOW TROUT</x:v>
      </x:c>
    </x:row>
    <x:row r="724" ht="23" customHeight="1">
      <x:c r="A724" s="8" t="str">
        <x:v>Gibbons Pond</x:v>
      </x:c>
      <x:c r="B724" s="8" t="str">
        <x:v>6816</x:v>
      </x:c>
      <x:c r="C724" s="17" t="n">
        <x:v>2025</x:v>
      </x:c>
      <x:c r="D724" s="8" t="str">
        <x:v>RAINBOW TROUT</x:v>
      </x:c>
      <x:c r="E724" s="13" t="n">
        <x:f>SUMIFS('Stocking details'!$F$6:$F$3307,'Stocking details'!$I$6:$I$3307,G724)</x:f>
        <x:v>325</x:v>
      </x:c>
      <x:c r="F724" s="13" t="n">
        <x:f>COUNTIFS('Stocking details'!$I$6:$I$3307,G724)</x:f>
        <x:v>2</x:v>
      </x:c>
      <x:c r="G724" s="8" t="str">
        <x:f>B724&amp;" / "&amp;C724&amp;" / "&amp;D724</x:f>
        <x:v>6816 / 2025 / RAINBOW TROUT</x:v>
      </x:c>
    </x:row>
    <x:row r="725" ht="23" customHeight="1">
      <x:c r="A725" s="8" t="str">
        <x:v>Gibbons Pond</x:v>
      </x:c>
      <x:c r="B725" s="8" t="str">
        <x:v>6816</x:v>
      </x:c>
      <x:c r="C725" s="17" t="n">
        <x:v>2024</x:v>
      </x:c>
      <x:c r="D725" s="8" t="str">
        <x:v>RAINBOW TROUT</x:v>
      </x:c>
      <x:c r="E725" s="13" t="n">
        <x:f>SUMIFS('Stocking details'!$F$6:$F$3307,'Stocking details'!$I$6:$I$3307,G725)</x:f>
        <x:v>325</x:v>
      </x:c>
      <x:c r="F725" s="13" t="n">
        <x:f>COUNTIFS('Stocking details'!$I$6:$I$3307,G725)</x:f>
        <x:v>1</x:v>
      </x:c>
      <x:c r="G725" s="8" t="str">
        <x:f>B725&amp;" / "&amp;C725&amp;" / "&amp;D725</x:f>
        <x:v>6816 / 2024 / RAINBOW TROUT</x:v>
      </x:c>
    </x:row>
    <x:row r="726" ht="23" customHeight="1">
      <x:c r="A726" s="8" t="str">
        <x:v>Gibbons Pond</x:v>
      </x:c>
      <x:c r="B726" s="8" t="str">
        <x:v>6816</x:v>
      </x:c>
      <x:c r="C726" s="17" t="n">
        <x:v>2023</x:v>
      </x:c>
      <x:c r="D726" s="8" t="str">
        <x:v>RAINBOW TROUT</x:v>
      </x:c>
      <x:c r="E726" s="13" t="n">
        <x:f>SUMIFS('Stocking details'!$F$6:$F$3307,'Stocking details'!$I$6:$I$3307,G726)</x:f>
        <x:v>300</x:v>
      </x:c>
      <x:c r="F726" s="13" t="n">
        <x:f>COUNTIFS('Stocking details'!$I$6:$I$3307,G726)</x:f>
        <x:v>1</x:v>
      </x:c>
      <x:c r="G726" s="8" t="str">
        <x:f>B726&amp;" / "&amp;C726&amp;" / "&amp;D726</x:f>
        <x:v>6816 / 2023 / RAINBOW TROUT</x:v>
      </x:c>
    </x:row>
    <x:row r="727" ht="23" customHeight="1">
      <x:c r="A727" s="8" t="str">
        <x:v>Gibbons Pond</x:v>
      </x:c>
      <x:c r="B727" s="8" t="str">
        <x:v>6816</x:v>
      </x:c>
      <x:c r="C727" s="17" t="n">
        <x:v>2022</x:v>
      </x:c>
      <x:c r="D727" s="8" t="str">
        <x:v>RAINBOW TROUT</x:v>
      </x:c>
      <x:c r="E727" s="13" t="n">
        <x:f>SUMIFS('Stocking details'!$F$6:$F$3307,'Stocking details'!$I$6:$I$3307,G727)</x:f>
        <x:v>300</x:v>
      </x:c>
      <x:c r="F727" s="13" t="n">
        <x:f>COUNTIFS('Stocking details'!$I$6:$I$3307,G727)</x:f>
        <x:v>1</x:v>
      </x:c>
      <x:c r="G727" s="8" t="str">
        <x:f>B727&amp;" / "&amp;C727&amp;" / "&amp;D727</x:f>
        <x:v>6816 / 2022 / RAINBOW TROUT</x:v>
      </x:c>
    </x:row>
    <x:row r="728" ht="23" customHeight="1">
      <x:c r="A728" s="8" t="str">
        <x:v>Gibbons Pond</x:v>
      </x:c>
      <x:c r="B728" s="8" t="str">
        <x:v>6816</x:v>
      </x:c>
      <x:c r="C728" s="17" t="n">
        <x:v>2021</x:v>
      </x:c>
      <x:c r="D728" s="8" t="str">
        <x:v>RAINBOW TROUT</x:v>
      </x:c>
      <x:c r="E728" s="13" t="n">
        <x:f>SUMIFS('Stocking details'!$F$6:$F$3307,'Stocking details'!$I$6:$I$3307,G728)</x:f>
        <x:v>300</x:v>
      </x:c>
      <x:c r="F728" s="13" t="n">
        <x:f>COUNTIFS('Stocking details'!$I$6:$I$3307,G728)</x:f>
        <x:v>1</x:v>
      </x:c>
      <x:c r="G728" s="8" t="str">
        <x:f>B728&amp;" / "&amp;C728&amp;" / "&amp;D728</x:f>
        <x:v>6816 / 2021 / RAINBOW TROUT</x:v>
      </x:c>
    </x:row>
    <x:row r="729" ht="23" customHeight="1">
      <x:c r="A729" s="8" t="str">
        <x:v>Goldeye Lake</x:v>
      </x:c>
      <x:c r="B729" s="8" t="str">
        <x:v>4697</x:v>
      </x:c>
      <x:c r="C729" s="17" t="n">
        <x:v>2026</x:v>
      </x:c>
      <x:c r="D729" s="8" t="str">
        <x:v>RAINBOW TROUT</x:v>
      </x:c>
      <x:c r="E729" s="13" t="n">
        <x:f>SUMIFS('Stocking details'!$F$6:$F$3307,'Stocking details'!$I$6:$I$3307,G729)</x:f>
        <x:v>10000</x:v>
      </x:c>
      <x:c r="F729" s="13" t="n">
        <x:f>COUNTIFS('Stocking details'!$I$6:$I$3307,G729)</x:f>
        <x:v>2</x:v>
      </x:c>
      <x:c r="G729" s="8" t="str">
        <x:f>B729&amp;" / "&amp;C729&amp;" / "&amp;D729</x:f>
        <x:v>4697 / 2026 / RAINBOW TROUT</x:v>
      </x:c>
    </x:row>
    <x:row r="730" ht="23" customHeight="1">
      <x:c r="A730" s="8" t="str">
        <x:v>Goldeye Lake</x:v>
      </x:c>
      <x:c r="B730" s="8" t="str">
        <x:v>4697</x:v>
      </x:c>
      <x:c r="C730" s="17" t="n">
        <x:v>2025</x:v>
      </x:c>
      <x:c r="D730" s="8" t="str">
        <x:v>RAINBOW TROUT</x:v>
      </x:c>
      <x:c r="E730" s="13" t="n">
        <x:f>SUMIFS('Stocking details'!$F$6:$F$3307,'Stocking details'!$I$6:$I$3307,G730)</x:f>
        <x:v>12250</x:v>
      </x:c>
      <x:c r="F730" s="13" t="n">
        <x:f>COUNTIFS('Stocking details'!$I$6:$I$3307,G730)</x:f>
        <x:v>2</x:v>
      </x:c>
      <x:c r="G730" s="8" t="str">
        <x:f>B730&amp;" / "&amp;C730&amp;" / "&amp;D730</x:f>
        <x:v>4697 / 2025 / RAINBOW TROUT</x:v>
      </x:c>
    </x:row>
    <x:row r="731" ht="23" customHeight="1">
      <x:c r="A731" s="8" t="str">
        <x:v>Goldeye Lake</x:v>
      </x:c>
      <x:c r="B731" s="8" t="str">
        <x:v>4697</x:v>
      </x:c>
      <x:c r="C731" s="17" t="n">
        <x:v>2024</x:v>
      </x:c>
      <x:c r="D731" s="8" t="str">
        <x:v>RAINBOW TROUT</x:v>
      </x:c>
      <x:c r="E731" s="13" t="n">
        <x:f>SUMIFS('Stocking details'!$F$6:$F$3307,'Stocking details'!$I$6:$I$3307,G731)</x:f>
        <x:v>10000</x:v>
      </x:c>
      <x:c r="F731" s="13" t="n">
        <x:f>COUNTIFS('Stocking details'!$I$6:$I$3307,G731)</x:f>
        <x:v>2</x:v>
      </x:c>
      <x:c r="G731" s="8" t="str">
        <x:f>B731&amp;" / "&amp;C731&amp;" / "&amp;D731</x:f>
        <x:v>4697 / 2024 / RAINBOW TROUT</x:v>
      </x:c>
    </x:row>
    <x:row r="732" ht="23" customHeight="1">
      <x:c r="A732" s="8" t="str">
        <x:v>Goldeye Lake</x:v>
      </x:c>
      <x:c r="B732" s="8" t="str">
        <x:v>4697</x:v>
      </x:c>
      <x:c r="C732" s="17" t="n">
        <x:v>2023</x:v>
      </x:c>
      <x:c r="D732" s="8" t="str">
        <x:v>RAINBOW TROUT</x:v>
      </x:c>
      <x:c r="E732" s="13" t="n">
        <x:f>SUMIFS('Stocking details'!$F$6:$F$3307,'Stocking details'!$I$6:$I$3307,G732)</x:f>
        <x:v>14740</x:v>
      </x:c>
      <x:c r="F732" s="13" t="n">
        <x:f>COUNTIFS('Stocking details'!$I$6:$I$3307,G732)</x:f>
        <x:v>3</x:v>
      </x:c>
      <x:c r="G732" s="8" t="str">
        <x:f>B732&amp;" / "&amp;C732&amp;" / "&amp;D732</x:f>
        <x:v>4697 / 2023 / RAINBOW TROUT</x:v>
      </x:c>
    </x:row>
    <x:row r="733" ht="23" customHeight="1">
      <x:c r="A733" s="8" t="str">
        <x:v>Goldeye Lake</x:v>
      </x:c>
      <x:c r="B733" s="8" t="str">
        <x:v>4697</x:v>
      </x:c>
      <x:c r="C733" s="17" t="n">
        <x:v>2022</x:v>
      </x:c>
      <x:c r="D733" s="8" t="str">
        <x:v>RAINBOW TROUT</x:v>
      </x:c>
      <x:c r="E733" s="13" t="n">
        <x:f>SUMIFS('Stocking details'!$F$6:$F$3307,'Stocking details'!$I$6:$I$3307,G733)</x:f>
        <x:v>10000</x:v>
      </x:c>
      <x:c r="F733" s="13" t="n">
        <x:f>COUNTIFS('Stocking details'!$I$6:$I$3307,G733)</x:f>
        <x:v>1</x:v>
      </x:c>
      <x:c r="G733" s="8" t="str">
        <x:f>B733&amp;" / "&amp;C733&amp;" / "&amp;D733</x:f>
        <x:v>4697 / 2022 / RAINBOW TROUT</x:v>
      </x:c>
    </x:row>
    <x:row r="734" ht="23" customHeight="1">
      <x:c r="A734" s="8" t="str">
        <x:v>Goldeye Lake</x:v>
      </x:c>
      <x:c r="B734" s="8" t="str">
        <x:v>4697</x:v>
      </x:c>
      <x:c r="C734" s="17" t="n">
        <x:v>2021</x:v>
      </x:c>
      <x:c r="D734" s="8" t="str">
        <x:v>RAINBOW TROUT</x:v>
      </x:c>
      <x:c r="E734" s="13" t="n">
        <x:f>SUMIFS('Stocking details'!$F$6:$F$3307,'Stocking details'!$I$6:$I$3307,G734)</x:f>
        <x:v>10000</x:v>
      </x:c>
      <x:c r="F734" s="13" t="n">
        <x:f>COUNTIFS('Stocking details'!$I$6:$I$3307,G734)</x:f>
        <x:v>2</x:v>
      </x:c>
      <x:c r="G734" s="8" t="str">
        <x:f>B734&amp;" / "&amp;C734&amp;" / "&amp;D734</x:f>
        <x:v>4697 / 2021 / RAINBOW TROUT</x:v>
      </x:c>
    </x:row>
    <x:row r="735" ht="23" customHeight="1">
      <x:c r="A735" s="8" t="str">
        <x:v>Goldspring Park Pond</x:v>
      </x:c>
      <x:c r="B735" s="8" t="str">
        <x:v>6818</x:v>
      </x:c>
      <x:c r="C735" s="17" t="n">
        <x:v>2026</x:v>
      </x:c>
      <x:c r="D735" s="8" t="str">
        <x:v>RAINBOW TROUT</x:v>
      </x:c>
      <x:c r="E735" s="13" t="n">
        <x:f>SUMIFS('Stocking details'!$F$6:$F$3307,'Stocking details'!$I$6:$I$3307,G735)</x:f>
        <x:v>2363</x:v>
      </x:c>
      <x:c r="F735" s="13" t="n">
        <x:f>COUNTIFS('Stocking details'!$I$6:$I$3307,G735)</x:f>
        <x:v>1</x:v>
      </x:c>
      <x:c r="G735" s="8" t="str">
        <x:f>B735&amp;" / "&amp;C735&amp;" / "&amp;D735</x:f>
        <x:v>6818 / 2026 / RAINBOW TROUT</x:v>
      </x:c>
    </x:row>
    <x:row r="736" ht="23" customHeight="1">
      <x:c r="A736" s="8" t="str">
        <x:v>Goldspring Park Pond</x:v>
      </x:c>
      <x:c r="B736" s="8" t="str">
        <x:v>6818</x:v>
      </x:c>
      <x:c r="C736" s="17" t="n">
        <x:v>2024</x:v>
      </x:c>
      <x:c r="D736" s="8" t="str">
        <x:v>RAINBOW TROUT</x:v>
      </x:c>
      <x:c r="E736" s="13" t="n">
        <x:f>SUMIFS('Stocking details'!$F$6:$F$3307,'Stocking details'!$I$6:$I$3307,G736)</x:f>
        <x:v>4775</x:v>
      </x:c>
      <x:c r="F736" s="13" t="n">
        <x:f>COUNTIFS('Stocking details'!$I$6:$I$3307,G736)</x:f>
        <x:v>3</x:v>
      </x:c>
      <x:c r="G736" s="8" t="str">
        <x:f>B736&amp;" / "&amp;C736&amp;" / "&amp;D736</x:f>
        <x:v>6818 / 2024 / RAINBOW TROUT</x:v>
      </x:c>
    </x:row>
    <x:row r="737" ht="23" customHeight="1">
      <x:c r="A737" s="8" t="str">
        <x:v>Goldspring Park Pond</x:v>
      </x:c>
      <x:c r="B737" s="8" t="str">
        <x:v>6818</x:v>
      </x:c>
      <x:c r="C737" s="17" t="n">
        <x:v>2023</x:v>
      </x:c>
      <x:c r="D737" s="8" t="str">
        <x:v>RAINBOW TROUT</x:v>
      </x:c>
      <x:c r="E737" s="13" t="n">
        <x:f>SUMIFS('Stocking details'!$F$6:$F$3307,'Stocking details'!$I$6:$I$3307,G737)</x:f>
        <x:v>4890</x:v>
      </x:c>
      <x:c r="F737" s="13" t="n">
        <x:f>COUNTIFS('Stocking details'!$I$6:$I$3307,G737)</x:f>
        <x:v>3</x:v>
      </x:c>
      <x:c r="G737" s="8" t="str">
        <x:f>B737&amp;" / "&amp;C737&amp;" / "&amp;D737</x:f>
        <x:v>6818 / 2023 / RAINBOW TROUT</x:v>
      </x:c>
    </x:row>
    <x:row r="738" ht="23" customHeight="1">
      <x:c r="A738" s="8" t="str">
        <x:v>Goldspring Park Pond</x:v>
      </x:c>
      <x:c r="B738" s="8" t="str">
        <x:v>6818</x:v>
      </x:c>
      <x:c r="C738" s="17" t="n">
        <x:v>2022</x:v>
      </x:c>
      <x:c r="D738" s="8" t="str">
        <x:v>RAINBOW TROUT</x:v>
      </x:c>
      <x:c r="E738" s="13" t="n">
        <x:f>SUMIFS('Stocking details'!$F$6:$F$3307,'Stocking details'!$I$6:$I$3307,G738)</x:f>
        <x:v>4725</x:v>
      </x:c>
      <x:c r="F738" s="13" t="n">
        <x:f>COUNTIFS('Stocking details'!$I$6:$I$3307,G738)</x:f>
        <x:v>2</x:v>
      </x:c>
      <x:c r="G738" s="8" t="str">
        <x:f>B738&amp;" / "&amp;C738&amp;" / "&amp;D738</x:f>
        <x:v>6818 / 2022 / RAINBOW TROUT</x:v>
      </x:c>
    </x:row>
    <x:row r="739" ht="23" customHeight="1">
      <x:c r="A739" s="8" t="str">
        <x:v>Goldspring Park Pond</x:v>
      </x:c>
      <x:c r="B739" s="8" t="str">
        <x:v>6818</x:v>
      </x:c>
      <x:c r="C739" s="17" t="n">
        <x:v>2021</x:v>
      </x:c>
      <x:c r="D739" s="8" t="str">
        <x:v>RAINBOW TROUT</x:v>
      </x:c>
      <x:c r="E739" s="13" t="n">
        <x:f>SUMIFS('Stocking details'!$F$6:$F$3307,'Stocking details'!$I$6:$I$3307,G739)</x:f>
        <x:v>4725</x:v>
      </x:c>
      <x:c r="F739" s="13" t="n">
        <x:f>COUNTIFS('Stocking details'!$I$6:$I$3307,G739)</x:f>
        <x:v>2</x:v>
      </x:c>
      <x:c r="G739" s="8" t="str">
        <x:f>B739&amp;" / "&amp;C739&amp;" / "&amp;D739</x:f>
        <x:v>6818 / 2021 / RAINBOW TROUT</x:v>
      </x:c>
    </x:row>
    <x:row r="740" ht="23" customHeight="1">
      <x:c r="A740" s="8" t="str">
        <x:v>Goodwin Reservoir</x:v>
      </x:c>
      <x:c r="B740" s="8" t="str">
        <x:v>317177</x:v>
      </x:c>
      <x:c r="C740" s="17" t="n">
        <x:v>2024</x:v>
      </x:c>
      <x:c r="D740" s="8" t="str">
        <x:v>RAINBOW TROUT</x:v>
      </x:c>
      <x:c r="E740" s="13" t="n">
        <x:f>SUMIFS('Stocking details'!$F$6:$F$3307,'Stocking details'!$I$6:$I$3307,G740)</x:f>
        <x:v>350</x:v>
      </x:c>
      <x:c r="F740" s="13" t="n">
        <x:f>COUNTIFS('Stocking details'!$I$6:$I$3307,G740)</x:f>
        <x:v>1</x:v>
      </x:c>
      <x:c r="G740" s="8" t="str">
        <x:f>B740&amp;" / "&amp;C740&amp;" / "&amp;D740</x:f>
        <x:v>317177 / 2024 / RAINBOW TROUT</x:v>
      </x:c>
    </x:row>
    <x:row r="741" ht="23" customHeight="1">
      <x:c r="A741" s="8" t="str">
        <x:v>Goodwin Reservoir</x:v>
      </x:c>
      <x:c r="B741" s="8" t="str">
        <x:v>317177</x:v>
      </x:c>
      <x:c r="C741" s="17" t="n">
        <x:v>2023</x:v>
      </x:c>
      <x:c r="D741" s="8" t="str">
        <x:v>RAINBOW TROUT</x:v>
      </x:c>
      <x:c r="E741" s="13" t="n">
        <x:f>SUMIFS('Stocking details'!$F$6:$F$3307,'Stocking details'!$I$6:$I$3307,G741)</x:f>
        <x:v>325</x:v>
      </x:c>
      <x:c r="F741" s="13" t="n">
        <x:f>COUNTIFS('Stocking details'!$I$6:$I$3307,G741)</x:f>
        <x:v>1</x:v>
      </x:c>
      <x:c r="G741" s="8" t="str">
        <x:f>B741&amp;" / "&amp;C741&amp;" / "&amp;D741</x:f>
        <x:v>317177 / 2023 / RAINBOW TROUT</x:v>
      </x:c>
    </x:row>
    <x:row r="742" ht="23" customHeight="1">
      <x:c r="A742" s="8" t="str">
        <x:v>Goose Lake</x:v>
      </x:c>
      <x:c r="B742" s="8" t="str">
        <x:v>4708</x:v>
      </x:c>
      <x:c r="C742" s="17" t="n">
        <x:v>2025</x:v>
      </x:c>
      <x:c r="D742" s="8" t="str">
        <x:v>WALLEYE</x:v>
      </x:c>
      <x:c r="E742" s="13" t="n">
        <x:f>SUMIFS('Stocking details'!$F$6:$F$3307,'Stocking details'!$I$6:$I$3307,G742)</x:f>
        <x:v>272700</x:v>
      </x:c>
      <x:c r="F742" s="13" t="n">
        <x:f>COUNTIFS('Stocking details'!$I$6:$I$3307,G742)</x:f>
        <x:v>1</x:v>
      </x:c>
      <x:c r="G742" s="8" t="str">
        <x:f>B742&amp;" / "&amp;C742&amp;" / "&amp;D742</x:f>
        <x:v>4708 / 2025 / WALLEYE</x:v>
      </x:c>
    </x:row>
    <x:row r="743" ht="23" customHeight="1">
      <x:c r="A743" s="8" t="str">
        <x:v>Goose Lake</x:v>
      </x:c>
      <x:c r="B743" s="8" t="str">
        <x:v>4708</x:v>
      </x:c>
      <x:c r="C743" s="17" t="n">
        <x:v>2024</x:v>
      </x:c>
      <x:c r="D743" s="8" t="str">
        <x:v>WALLEYE</x:v>
      </x:c>
      <x:c r="E743" s="13" t="n">
        <x:f>SUMIFS('Stocking details'!$F$6:$F$3307,'Stocking details'!$I$6:$I$3307,G743)</x:f>
        <x:v>354097</x:v>
      </x:c>
      <x:c r="F743" s="13" t="n">
        <x:f>COUNTIFS('Stocking details'!$I$6:$I$3307,G743)</x:f>
        <x:v>1</x:v>
      </x:c>
      <x:c r="G743" s="8" t="str">
        <x:f>B743&amp;" / "&amp;C743&amp;" / "&amp;D743</x:f>
        <x:v>4708 / 2024 / WALLEYE</x:v>
      </x:c>
    </x:row>
    <x:row r="744" ht="23" customHeight="1">
      <x:c r="A744" s="8" t="str">
        <x:v>Goose Lake</x:v>
      </x:c>
      <x:c r="B744" s="8" t="str">
        <x:v>4708</x:v>
      </x:c>
      <x:c r="C744" s="17" t="n">
        <x:v>2023</x:v>
      </x:c>
      <x:c r="D744" s="8" t="str">
        <x:v>WALLEYE</x:v>
      </x:c>
      <x:c r="E744" s="13" t="n">
        <x:f>SUMIFS('Stocking details'!$F$6:$F$3307,'Stocking details'!$I$6:$I$3307,G744)</x:f>
        <x:v>117099</x:v>
      </x:c>
      <x:c r="F744" s="13" t="n">
        <x:f>COUNTIFS('Stocking details'!$I$6:$I$3307,G744)</x:f>
        <x:v>1</x:v>
      </x:c>
      <x:c r="G744" s="8" t="str">
        <x:f>B744&amp;" / "&amp;C744&amp;" / "&amp;D744</x:f>
        <x:v>4708 / 2023 / WALLEYE</x:v>
      </x:c>
    </x:row>
    <x:row r="745" ht="23" customHeight="1">
      <x:c r="A745" s="8" t="str">
        <x:v>Gooseberry Park Pond</x:v>
      </x:c>
      <x:c r="B745" s="8" t="str">
        <x:v>6809</x:v>
      </x:c>
      <x:c r="C745" s="17" t="n">
        <x:v>2026</x:v>
      </x:c>
      <x:c r="D745" s="8" t="str">
        <x:v>RAINBOW TROUT</x:v>
      </x:c>
      <x:c r="E745" s="13" t="n">
        <x:f>SUMIFS('Stocking details'!$F$6:$F$3307,'Stocking details'!$I$6:$I$3307,G745)</x:f>
        <x:v>2800</x:v>
      </x:c>
      <x:c r="F745" s="13" t="n">
        <x:f>COUNTIFS('Stocking details'!$I$6:$I$3307,G745)</x:f>
        <x:v>1</x:v>
      </x:c>
      <x:c r="G745" s="8" t="str">
        <x:f>B745&amp;" / "&amp;C745&amp;" / "&amp;D745</x:f>
        <x:v>6809 / 2026 / RAINBOW TROUT</x:v>
      </x:c>
    </x:row>
    <x:row r="746" ht="23" customHeight="1">
      <x:c r="A746" s="8" t="str">
        <x:v>Gooseberry Park Pond</x:v>
      </x:c>
      <x:c r="B746" s="8" t="str">
        <x:v>6809</x:v>
      </x:c>
      <x:c r="C746" s="17" t="n">
        <x:v>2025</x:v>
      </x:c>
      <x:c r="D746" s="8" t="str">
        <x:v>RAINBOW TROUT</x:v>
      </x:c>
      <x:c r="E746" s="13" t="n">
        <x:f>SUMIFS('Stocking details'!$F$6:$F$3307,'Stocking details'!$I$6:$I$3307,G746)</x:f>
        <x:v>3000</x:v>
      </x:c>
      <x:c r="F746" s="13" t="n">
        <x:f>COUNTIFS('Stocking details'!$I$6:$I$3307,G746)</x:f>
        <x:v>1</x:v>
      </x:c>
      <x:c r="G746" s="8" t="str">
        <x:f>B746&amp;" / "&amp;C746&amp;" / "&amp;D746</x:f>
        <x:v>6809 / 2025 / RAINBOW TROUT</x:v>
      </x:c>
    </x:row>
    <x:row r="747" ht="23" customHeight="1">
      <x:c r="A747" s="8" t="str">
        <x:v>Gooseberry Park Pond</x:v>
      </x:c>
      <x:c r="B747" s="8" t="str">
        <x:v>6809</x:v>
      </x:c>
      <x:c r="C747" s="17" t="n">
        <x:v>2024</x:v>
      </x:c>
      <x:c r="D747" s="8" t="str">
        <x:v>RAINBOW TROUT</x:v>
      </x:c>
      <x:c r="E747" s="13" t="n">
        <x:f>SUMIFS('Stocking details'!$F$6:$F$3307,'Stocking details'!$I$6:$I$3307,G747)</x:f>
        <x:v>3500</x:v>
      </x:c>
      <x:c r="F747" s="13" t="n">
        <x:f>COUNTIFS('Stocking details'!$I$6:$I$3307,G747)</x:f>
        <x:v>1</x:v>
      </x:c>
      <x:c r="G747" s="8" t="str">
        <x:f>B747&amp;" / "&amp;C747&amp;" / "&amp;D747</x:f>
        <x:v>6809 / 2024 / RAINBOW TROUT</x:v>
      </x:c>
    </x:row>
    <x:row r="748" ht="23" customHeight="1">
      <x:c r="A748" s="8" t="str">
        <x:v>Gooseberry Park Pond</x:v>
      </x:c>
      <x:c r="B748" s="8" t="str">
        <x:v>6809</x:v>
      </x:c>
      <x:c r="C748" s="17" t="n">
        <x:v>2023</x:v>
      </x:c>
      <x:c r="D748" s="8" t="str">
        <x:v>RAINBOW TROUT</x:v>
      </x:c>
      <x:c r="E748" s="13" t="n">
        <x:f>SUMIFS('Stocking details'!$F$6:$F$3307,'Stocking details'!$I$6:$I$3307,G748)</x:f>
        <x:v>3500</x:v>
      </x:c>
      <x:c r="F748" s="13" t="n">
        <x:f>COUNTIFS('Stocking details'!$I$6:$I$3307,G748)</x:f>
        <x:v>1</x:v>
      </x:c>
      <x:c r="G748" s="8" t="str">
        <x:f>B748&amp;" / "&amp;C748&amp;" / "&amp;D748</x:f>
        <x:v>6809 / 2023 / RAINBOW TROUT</x:v>
      </x:c>
    </x:row>
    <x:row r="749" ht="23" customHeight="1">
      <x:c r="A749" s="8" t="str">
        <x:v>Gooseberry Park Pond</x:v>
      </x:c>
      <x:c r="B749" s="8" t="str">
        <x:v>6809</x:v>
      </x:c>
      <x:c r="C749" s="17" t="n">
        <x:v>2022</x:v>
      </x:c>
      <x:c r="D749" s="8" t="str">
        <x:v>RAINBOW TROUT</x:v>
      </x:c>
      <x:c r="E749" s="13" t="n">
        <x:f>SUMIFS('Stocking details'!$F$6:$F$3307,'Stocking details'!$I$6:$I$3307,G749)</x:f>
        <x:v>3400</x:v>
      </x:c>
      <x:c r="F749" s="13" t="n">
        <x:f>COUNTIFS('Stocking details'!$I$6:$I$3307,G749)</x:f>
        <x:v>1</x:v>
      </x:c>
      <x:c r="G749" s="8" t="str">
        <x:f>B749&amp;" / "&amp;C749&amp;" / "&amp;D749</x:f>
        <x:v>6809 / 2022 / RAINBOW TROUT</x:v>
      </x:c>
    </x:row>
    <x:row r="750" ht="23" customHeight="1">
      <x:c r="A750" s="8" t="str">
        <x:v>Gooseberry Park Pond</x:v>
      </x:c>
      <x:c r="B750" s="8" t="str">
        <x:v>6809</x:v>
      </x:c>
      <x:c r="C750" s="17" t="n">
        <x:v>2021</x:v>
      </x:c>
      <x:c r="D750" s="8" t="str">
        <x:v>RAINBOW TROUT</x:v>
      </x:c>
      <x:c r="E750" s="13" t="n">
        <x:f>SUMIFS('Stocking details'!$F$6:$F$3307,'Stocking details'!$I$6:$I$3307,G750)</x:f>
        <x:v>3400</x:v>
      </x:c>
      <x:c r="F750" s="13" t="n">
        <x:f>COUNTIFS('Stocking details'!$I$6:$I$3307,G750)</x:f>
        <x:v>2</x:v>
      </x:c>
      <x:c r="G750" s="8" t="str">
        <x:f>B750&amp;" / "&amp;C750&amp;" / "&amp;D750</x:f>
        <x:v>6809 / 2021 / RAINBOW TROUT</x:v>
      </x:c>
    </x:row>
    <x:row r="751" ht="23" customHeight="1">
      <x:c r="A751" s="8" t="str">
        <x:v>Grande Cache Lake</x:v>
      </x:c>
      <x:c r="B751" s="8" t="str">
        <x:v>4725</x:v>
      </x:c>
      <x:c r="C751" s="17" t="n">
        <x:v>2026</x:v>
      </x:c>
      <x:c r="D751" s="8" t="str">
        <x:v>RAINBOW TROUT</x:v>
      </x:c>
      <x:c r="E751" s="13" t="n">
        <x:f>SUMIFS('Stocking details'!$F$6:$F$3307,'Stocking details'!$I$6:$I$3307,G751)</x:f>
        <x:v>25045</x:v>
      </x:c>
      <x:c r="F751" s="13" t="n">
        <x:f>COUNTIFS('Stocking details'!$I$6:$I$3307,G751)</x:f>
        <x:v>2</x:v>
      </x:c>
      <x:c r="G751" s="8" t="str">
        <x:f>B751&amp;" / "&amp;C751&amp;" / "&amp;D751</x:f>
        <x:v>4725 / 2026 / RAINBOW TROUT</x:v>
      </x:c>
    </x:row>
    <x:row r="752" ht="23" customHeight="1">
      <x:c r="A752" s="8" t="str">
        <x:v>Grande Cache Lake</x:v>
      </x:c>
      <x:c r="B752" s="8" t="str">
        <x:v>4725</x:v>
      </x:c>
      <x:c r="C752" s="17" t="n">
        <x:v>2025</x:v>
      </x:c>
      <x:c r="D752" s="8" t="str">
        <x:v>RAINBOW TROUT</x:v>
      </x:c>
      <x:c r="E752" s="13" t="n">
        <x:f>SUMIFS('Stocking details'!$F$6:$F$3307,'Stocking details'!$I$6:$I$3307,G752)</x:f>
        <x:v>40037</x:v>
      </x:c>
      <x:c r="F752" s="13" t="n">
        <x:f>COUNTIFS('Stocking details'!$I$6:$I$3307,G752)</x:f>
        <x:v>3</x:v>
      </x:c>
      <x:c r="G752" s="8" t="str">
        <x:f>B752&amp;" / "&amp;C752&amp;" / "&amp;D752</x:f>
        <x:v>4725 / 2025 / RAINBOW TROUT</x:v>
      </x:c>
    </x:row>
    <x:row r="753" ht="23" customHeight="1">
      <x:c r="A753" s="8" t="str">
        <x:v>Grande Cache Lake</x:v>
      </x:c>
      <x:c r="B753" s="8" t="str">
        <x:v>4725</x:v>
      </x:c>
      <x:c r="C753" s="17" t="n">
        <x:v>2024</x:v>
      </x:c>
      <x:c r="D753" s="8" t="str">
        <x:v>RAINBOW TROUT</x:v>
      </x:c>
      <x:c r="E753" s="13" t="n">
        <x:f>SUMIFS('Stocking details'!$F$6:$F$3307,'Stocking details'!$I$6:$I$3307,G753)</x:f>
        <x:v>48000</x:v>
      </x:c>
      <x:c r="F753" s="13" t="n">
        <x:f>COUNTIFS('Stocking details'!$I$6:$I$3307,G753)</x:f>
        <x:v>5</x:v>
      </x:c>
      <x:c r="G753" s="8" t="str">
        <x:f>B753&amp;" / "&amp;C753&amp;" / "&amp;D753</x:f>
        <x:v>4725 / 2024 / RAINBOW TROUT</x:v>
      </x:c>
    </x:row>
    <x:row r="754" ht="23" customHeight="1">
      <x:c r="A754" s="8" t="str">
        <x:v>Grande Cache Lake</x:v>
      </x:c>
      <x:c r="B754" s="8" t="str">
        <x:v>4725</x:v>
      </x:c>
      <x:c r="C754" s="17" t="n">
        <x:v>2023</x:v>
      </x:c>
      <x:c r="D754" s="8" t="str">
        <x:v>RAINBOW TROUT</x:v>
      </x:c>
      <x:c r="E754" s="13" t="n">
        <x:f>SUMIFS('Stocking details'!$F$6:$F$3307,'Stocking details'!$I$6:$I$3307,G754)</x:f>
        <x:v>33333</x:v>
      </x:c>
      <x:c r="F754" s="13" t="n">
        <x:f>COUNTIFS('Stocking details'!$I$6:$I$3307,G754)</x:f>
        <x:v>3</x:v>
      </x:c>
      <x:c r="G754" s="8" t="str">
        <x:f>B754&amp;" / "&amp;C754&amp;" / "&amp;D754</x:f>
        <x:v>4725 / 2023 / RAINBOW TROUT</x:v>
      </x:c>
    </x:row>
    <x:row r="755" ht="23" customHeight="1">
      <x:c r="A755" s="8" t="str">
        <x:v>Grande Cache Lake</x:v>
      </x:c>
      <x:c r="B755" s="8" t="str">
        <x:v>4725</x:v>
      </x:c>
      <x:c r="C755" s="17" t="n">
        <x:v>2022</x:v>
      </x:c>
      <x:c r="D755" s="8" t="str">
        <x:v>RAINBOW TROUT</x:v>
      </x:c>
      <x:c r="E755" s="13" t="n">
        <x:f>SUMIFS('Stocking details'!$F$6:$F$3307,'Stocking details'!$I$6:$I$3307,G755)</x:f>
        <x:v>40000</x:v>
      </x:c>
      <x:c r="F755" s="13" t="n">
        <x:f>COUNTIFS('Stocking details'!$I$6:$I$3307,G755)</x:f>
        <x:v>4</x:v>
      </x:c>
      <x:c r="G755" s="8" t="str">
        <x:f>B755&amp;" / "&amp;C755&amp;" / "&amp;D755</x:f>
        <x:v>4725 / 2022 / RAINBOW TROUT</x:v>
      </x:c>
    </x:row>
    <x:row r="756" ht="23" customHeight="1">
      <x:c r="A756" s="8" t="str">
        <x:v>Grande Cache Lake</x:v>
      </x:c>
      <x:c r="B756" s="8" t="str">
        <x:v>4725</x:v>
      </x:c>
      <x:c r="C756" s="17" t="n">
        <x:v>2021</x:v>
      </x:c>
      <x:c r="D756" s="8" t="str">
        <x:v>RAINBOW TROUT</x:v>
      </x:c>
      <x:c r="E756" s="13" t="n">
        <x:f>SUMIFS('Stocking details'!$F$6:$F$3307,'Stocking details'!$I$6:$I$3307,G756)</x:f>
        <x:v>40639</x:v>
      </x:c>
      <x:c r="F756" s="13" t="n">
        <x:f>COUNTIFS('Stocking details'!$I$6:$I$3307,G756)</x:f>
        <x:v>4</x:v>
      </x:c>
      <x:c r="G756" s="8" t="str">
        <x:f>B756&amp;" / "&amp;C756&amp;" / "&amp;D756</x:f>
        <x:v>4725 / 2021 / RAINBOW TROUT</x:v>
      </x:c>
    </x:row>
    <x:row r="757" ht="23" customHeight="1">
      <x:c r="A757" s="8" t="str">
        <x:v>Granum Pond</x:v>
      </x:c>
      <x:c r="B757" s="8" t="str">
        <x:v>6810</x:v>
      </x:c>
      <x:c r="C757" s="17" t="n">
        <x:v>2026</x:v>
      </x:c>
      <x:c r="D757" s="8" t="str">
        <x:v>RAINBOW TROUT</x:v>
      </x:c>
      <x:c r="E757" s="13" t="n">
        <x:f>SUMIFS('Stocking details'!$F$6:$F$3307,'Stocking details'!$I$6:$I$3307,G757)</x:f>
        <x:v>600</x:v>
      </x:c>
      <x:c r="F757" s="13" t="n">
        <x:f>COUNTIFS('Stocking details'!$I$6:$I$3307,G757)</x:f>
        <x:v>1</x:v>
      </x:c>
      <x:c r="G757" s="8" t="str">
        <x:f>B757&amp;" / "&amp;C757&amp;" / "&amp;D757</x:f>
        <x:v>6810 / 2026 / RAINBOW TROUT</x:v>
      </x:c>
    </x:row>
    <x:row r="758" ht="23" customHeight="1">
      <x:c r="A758" s="8" t="str">
        <x:v>Granum Pond</x:v>
      </x:c>
      <x:c r="B758" s="8" t="str">
        <x:v>6810</x:v>
      </x:c>
      <x:c r="C758" s="17" t="n">
        <x:v>2025</x:v>
      </x:c>
      <x:c r="D758" s="8" t="str">
        <x:v>RAINBOW TROUT</x:v>
      </x:c>
      <x:c r="E758" s="13" t="n">
        <x:f>SUMIFS('Stocking details'!$F$6:$F$3307,'Stocking details'!$I$6:$I$3307,G758)</x:f>
        <x:v>600</x:v>
      </x:c>
      <x:c r="F758" s="13" t="n">
        <x:f>COUNTIFS('Stocking details'!$I$6:$I$3307,G758)</x:f>
        <x:v>1</x:v>
      </x:c>
      <x:c r="G758" s="8" t="str">
        <x:f>B758&amp;" / "&amp;C758&amp;" / "&amp;D758</x:f>
        <x:v>6810 / 2025 / RAINBOW TROUT</x:v>
      </x:c>
    </x:row>
    <x:row r="759" ht="23" customHeight="1">
      <x:c r="A759" s="8" t="str">
        <x:v>Granum Pond</x:v>
      </x:c>
      <x:c r="B759" s="8" t="str">
        <x:v>6810</x:v>
      </x:c>
      <x:c r="C759" s="17" t="n">
        <x:v>2023</x:v>
      </x:c>
      <x:c r="D759" s="8" t="str">
        <x:v>RAINBOW TROUT</x:v>
      </x:c>
      <x:c r="E759" s="13" t="n">
        <x:f>SUMIFS('Stocking details'!$F$6:$F$3307,'Stocking details'!$I$6:$I$3307,G759)</x:f>
        <x:v>600</x:v>
      </x:c>
      <x:c r="F759" s="13" t="n">
        <x:f>COUNTIFS('Stocking details'!$I$6:$I$3307,G759)</x:f>
        <x:v>1</x:v>
      </x:c>
      <x:c r="G759" s="8" t="str">
        <x:f>B759&amp;" / "&amp;C759&amp;" / "&amp;D759</x:f>
        <x:v>6810 / 2023 / RAINBOW TROUT</x:v>
      </x:c>
    </x:row>
    <x:row r="760" ht="23" customHeight="1">
      <x:c r="A760" s="8" t="str">
        <x:v>Granum Pond</x:v>
      </x:c>
      <x:c r="B760" s="8" t="str">
        <x:v>6810</x:v>
      </x:c>
      <x:c r="C760" s="17" t="n">
        <x:v>2022</x:v>
      </x:c>
      <x:c r="D760" s="8" t="str">
        <x:v>RAINBOW TROUT</x:v>
      </x:c>
      <x:c r="E760" s="13" t="n">
        <x:f>SUMIFS('Stocking details'!$F$6:$F$3307,'Stocking details'!$I$6:$I$3307,G760)</x:f>
        <x:v>600</x:v>
      </x:c>
      <x:c r="F760" s="13" t="n">
        <x:f>COUNTIFS('Stocking details'!$I$6:$I$3307,G760)</x:f>
        <x:v>1</x:v>
      </x:c>
      <x:c r="G760" s="8" t="str">
        <x:f>B760&amp;" / "&amp;C760&amp;" / "&amp;D760</x:f>
        <x:v>6810 / 2022 / RAINBOW TROUT</x:v>
      </x:c>
    </x:row>
    <x:row r="761" ht="23" customHeight="1">
      <x:c r="A761" s="8" t="str">
        <x:v>Granum Pond</x:v>
      </x:c>
      <x:c r="B761" s="8" t="str">
        <x:v>6810</x:v>
      </x:c>
      <x:c r="C761" s="17" t="n">
        <x:v>2021</x:v>
      </x:c>
      <x:c r="D761" s="8" t="str">
        <x:v>RAINBOW TROUT</x:v>
      </x:c>
      <x:c r="E761" s="13" t="n">
        <x:f>SUMIFS('Stocking details'!$F$6:$F$3307,'Stocking details'!$I$6:$I$3307,G761)</x:f>
        <x:v>900</x:v>
      </x:c>
      <x:c r="F761" s="13" t="n">
        <x:f>COUNTIFS('Stocking details'!$I$6:$I$3307,G761)</x:f>
        <x:v>2</x:v>
      </x:c>
      <x:c r="G761" s="8" t="str">
        <x:f>B761&amp;" / "&amp;C761&amp;" / "&amp;D761</x:f>
        <x:v>6810 / 2021 / RAINBOW TROUT</x:v>
      </x:c>
    </x:row>
    <x:row r="762" ht="23" customHeight="1">
      <x:c r="A762" s="8" t="str">
        <x:v>Grotto Mountain Pond</x:v>
      </x:c>
      <x:c r="B762" s="8" t="str">
        <x:v>3476</x:v>
      </x:c>
      <x:c r="C762" s="17" t="n">
        <x:v>2026</x:v>
      </x:c>
      <x:c r="D762" s="8" t="str">
        <x:v>WESTSLOPE CUTTHROAT TROUT</x:v>
      </x:c>
      <x:c r="E762" s="13" t="n">
        <x:f>SUMIFS('Stocking details'!$F$6:$F$3307,'Stocking details'!$I$6:$I$3307,G762)</x:f>
        <x:v>1600</x:v>
      </x:c>
      <x:c r="F762" s="13" t="n">
        <x:f>COUNTIFS('Stocking details'!$I$6:$I$3307,G762)</x:f>
        <x:v>3</x:v>
      </x:c>
      <x:c r="G762" s="8" t="str">
        <x:f>B762&amp;" / "&amp;C762&amp;" / "&amp;D762</x:f>
        <x:v>3476 / 2026 / WESTSLOPE CUTTHROAT TROUT</x:v>
      </x:c>
    </x:row>
    <x:row r="763" ht="23" customHeight="1">
      <x:c r="A763" s="8" t="str">
        <x:v>Grotto Mountain Pond</x:v>
      </x:c>
      <x:c r="B763" s="8" t="str">
        <x:v>3476</x:v>
      </x:c>
      <x:c r="C763" s="17" t="n">
        <x:v>2025</x:v>
      </x:c>
      <x:c r="D763" s="8" t="str">
        <x:v>CUTTHROAT TROUT</x:v>
      </x:c>
      <x:c r="E763" s="13" t="n">
        <x:f>SUMIFS('Stocking details'!$F$6:$F$3307,'Stocking details'!$I$6:$I$3307,G763)</x:f>
        <x:v>1700</x:v>
      </x:c>
      <x:c r="F763" s="13" t="n">
        <x:f>COUNTIFS('Stocking details'!$I$6:$I$3307,G763)</x:f>
        <x:v>3</x:v>
      </x:c>
      <x:c r="G763" s="8" t="str">
        <x:f>B763&amp;" / "&amp;C763&amp;" / "&amp;D763</x:f>
        <x:v>3476 / 2025 / CUTTHROAT TROUT</x:v>
      </x:c>
    </x:row>
    <x:row r="764" ht="23" customHeight="1">
      <x:c r="A764" s="8" t="str">
        <x:v>Grotto Mountain Pond</x:v>
      </x:c>
      <x:c r="B764" s="8" t="str">
        <x:v>3476</x:v>
      </x:c>
      <x:c r="C764" s="17" t="n">
        <x:v>2024</x:v>
      </x:c>
      <x:c r="D764" s="8" t="str">
        <x:v>RAINBOW TROUT</x:v>
      </x:c>
      <x:c r="E764" s="13" t="n">
        <x:f>SUMIFS('Stocking details'!$F$6:$F$3307,'Stocking details'!$I$6:$I$3307,G764)</x:f>
        <x:v>2838</x:v>
      </x:c>
      <x:c r="F764" s="13" t="n">
        <x:f>COUNTIFS('Stocking details'!$I$6:$I$3307,G764)</x:f>
        <x:v>4</x:v>
      </x:c>
      <x:c r="G764" s="8" t="str">
        <x:f>B764&amp;" / "&amp;C764&amp;" / "&amp;D764</x:f>
        <x:v>3476 / 2024 / RAINBOW TROUT</x:v>
      </x:c>
    </x:row>
    <x:row r="765" ht="23" customHeight="1">
      <x:c r="A765" s="8" t="str">
        <x:v>Grotto Mountain Pond</x:v>
      </x:c>
      <x:c r="B765" s="8" t="str">
        <x:v>3476</x:v>
      </x:c>
      <x:c r="C765" s="17" t="n">
        <x:v>2023</x:v>
      </x:c>
      <x:c r="D765" s="8" t="str">
        <x:v>RAINBOW TROUT</x:v>
      </x:c>
      <x:c r="E765" s="13" t="n">
        <x:f>SUMIFS('Stocking details'!$F$6:$F$3307,'Stocking details'!$I$6:$I$3307,G765)</x:f>
        <x:v>2403</x:v>
      </x:c>
      <x:c r="F765" s="13" t="n">
        <x:f>COUNTIFS('Stocking details'!$I$6:$I$3307,G765)</x:f>
        <x:v>3</x:v>
      </x:c>
      <x:c r="G765" s="8" t="str">
        <x:f>B765&amp;" / "&amp;C765&amp;" / "&amp;D765</x:f>
        <x:v>3476 / 2023 / RAINBOW TROUT</x:v>
      </x:c>
    </x:row>
    <x:row r="766" ht="23" customHeight="1">
      <x:c r="A766" s="8" t="str">
        <x:v>Grotto Mountain Pond</x:v>
      </x:c>
      <x:c r="B766" s="8" t="str">
        <x:v>3476</x:v>
      </x:c>
      <x:c r="C766" s="17" t="n">
        <x:v>2022</x:v>
      </x:c>
      <x:c r="D766" s="8" t="str">
        <x:v>RAINBOW TROUT</x:v>
      </x:c>
      <x:c r="E766" s="13" t="n">
        <x:f>SUMIFS('Stocking details'!$F$6:$F$3307,'Stocking details'!$I$6:$I$3307,G766)</x:f>
        <x:v>2400</x:v>
      </x:c>
      <x:c r="F766" s="13" t="n">
        <x:f>COUNTIFS('Stocking details'!$I$6:$I$3307,G766)</x:f>
        <x:v>2</x:v>
      </x:c>
      <x:c r="G766" s="8" t="str">
        <x:f>B766&amp;" / "&amp;C766&amp;" / "&amp;D766</x:f>
        <x:v>3476 / 2022 / RAINBOW TROUT</x:v>
      </x:c>
    </x:row>
    <x:row r="767" ht="23" customHeight="1">
      <x:c r="A767" s="8" t="str">
        <x:v>Grotto Mountain Pond</x:v>
      </x:c>
      <x:c r="B767" s="8" t="str">
        <x:v>3476</x:v>
      </x:c>
      <x:c r="C767" s="17" t="n">
        <x:v>2021</x:v>
      </x:c>
      <x:c r="D767" s="8" t="str">
        <x:v>RAINBOW TROUT</x:v>
      </x:c>
      <x:c r="E767" s="13" t="n">
        <x:f>SUMIFS('Stocking details'!$F$6:$F$3307,'Stocking details'!$I$6:$I$3307,G767)</x:f>
        <x:v>2400</x:v>
      </x:c>
      <x:c r="F767" s="13" t="n">
        <x:f>COUNTIFS('Stocking details'!$I$6:$I$3307,G767)</x:f>
        <x:v>2</x:v>
      </x:c>
      <x:c r="G767" s="8" t="str">
        <x:f>B767&amp;" / "&amp;C767&amp;" / "&amp;D767</x:f>
        <x:v>3476 / 2021 / RAINBOW TROUT</x:v>
      </x:c>
    </x:row>
    <x:row r="768" ht="23" customHeight="1">
      <x:c r="A768" s="8" t="str">
        <x:v>Hansen's Reservoir</x:v>
      </x:c>
      <x:c r="B768" s="8" t="str">
        <x:v>6806</x:v>
      </x:c>
      <x:c r="C768" s="17" t="n">
        <x:v>2026</x:v>
      </x:c>
      <x:c r="D768" s="8" t="str">
        <x:v>RAINBOW TROUT</x:v>
      </x:c>
      <x:c r="E768" s="13" t="n">
        <x:f>SUMIFS('Stocking details'!$F$6:$F$3307,'Stocking details'!$I$6:$I$3307,G768)</x:f>
        <x:v>1000</x:v>
      </x:c>
      <x:c r="F768" s="13" t="n">
        <x:f>COUNTIFS('Stocking details'!$I$6:$I$3307,G768)</x:f>
        <x:v>1</x:v>
      </x:c>
      <x:c r="G768" s="8" t="str">
        <x:f>B768&amp;" / "&amp;C768&amp;" / "&amp;D768</x:f>
        <x:v>6806 / 2026 / RAINBOW TROUT</x:v>
      </x:c>
    </x:row>
    <x:row r="769" ht="23" customHeight="1">
      <x:c r="A769" s="8" t="str">
        <x:v>Hansen's Reservoir</x:v>
      </x:c>
      <x:c r="B769" s="8" t="str">
        <x:v>6806</x:v>
      </x:c>
      <x:c r="C769" s="17" t="n">
        <x:v>2025</x:v>
      </x:c>
      <x:c r="D769" s="8" t="str">
        <x:v>RAINBOW TROUT</x:v>
      </x:c>
      <x:c r="E769" s="13" t="n">
        <x:f>SUMIFS('Stocking details'!$F$6:$F$3307,'Stocking details'!$I$6:$I$3307,G769)</x:f>
        <x:v>500</x:v>
      </x:c>
      <x:c r="F769" s="13" t="n">
        <x:f>COUNTIFS('Stocking details'!$I$6:$I$3307,G769)</x:f>
        <x:v>1</x:v>
      </x:c>
      <x:c r="G769" s="8" t="str">
        <x:f>B769&amp;" / "&amp;C769&amp;" / "&amp;D769</x:f>
        <x:v>6806 / 2025 / RAINBOW TROUT</x:v>
      </x:c>
    </x:row>
    <x:row r="770" ht="23" customHeight="1">
      <x:c r="A770" s="8" t="str">
        <x:v>Hansen's Reservoir</x:v>
      </x:c>
      <x:c r="B770" s="8" t="str">
        <x:v>6806</x:v>
      </x:c>
      <x:c r="C770" s="17" t="n">
        <x:v>2024</x:v>
      </x:c>
      <x:c r="D770" s="8" t="str">
        <x:v>RAINBOW TROUT</x:v>
      </x:c>
      <x:c r="E770" s="13" t="n">
        <x:f>SUMIFS('Stocking details'!$F$6:$F$3307,'Stocking details'!$I$6:$I$3307,G770)</x:f>
        <x:v>1500</x:v>
      </x:c>
      <x:c r="F770" s="13" t="n">
        <x:f>COUNTIFS('Stocking details'!$I$6:$I$3307,G770)</x:f>
        <x:v>2</x:v>
      </x:c>
      <x:c r="G770" s="8" t="str">
        <x:f>B770&amp;" / "&amp;C770&amp;" / "&amp;D770</x:f>
        <x:v>6806 / 2024 / RAINBOW TROUT</x:v>
      </x:c>
    </x:row>
    <x:row r="771" ht="23" customHeight="1">
      <x:c r="A771" s="8" t="str">
        <x:v>Hansen's Reservoir</x:v>
      </x:c>
      <x:c r="B771" s="8" t="str">
        <x:v>6806</x:v>
      </x:c>
      <x:c r="C771" s="17" t="n">
        <x:v>2023</x:v>
      </x:c>
      <x:c r="D771" s="8" t="str">
        <x:v>RAINBOW TROUT</x:v>
      </x:c>
      <x:c r="E771" s="13" t="n">
        <x:f>SUMIFS('Stocking details'!$F$6:$F$3307,'Stocking details'!$I$6:$I$3307,G771)</x:f>
        <x:v>1505</x:v>
      </x:c>
      <x:c r="F771" s="13" t="n">
        <x:f>COUNTIFS('Stocking details'!$I$6:$I$3307,G771)</x:f>
        <x:v>2</x:v>
      </x:c>
      <x:c r="G771" s="8" t="str">
        <x:f>B771&amp;" / "&amp;C771&amp;" / "&amp;D771</x:f>
        <x:v>6806 / 2023 / RAINBOW TROUT</x:v>
      </x:c>
    </x:row>
    <x:row r="772" ht="23" customHeight="1">
      <x:c r="A772" s="8" t="str">
        <x:v>Hansen's Reservoir</x:v>
      </x:c>
      <x:c r="B772" s="8" t="str">
        <x:v>6806</x:v>
      </x:c>
      <x:c r="C772" s="17" t="n">
        <x:v>2022</x:v>
      </x:c>
      <x:c r="D772" s="8" t="str">
        <x:v>RAINBOW TROUT</x:v>
      </x:c>
      <x:c r="E772" s="13" t="n">
        <x:f>SUMIFS('Stocking details'!$F$6:$F$3307,'Stocking details'!$I$6:$I$3307,G772)</x:f>
        <x:v>1036</x:v>
      </x:c>
      <x:c r="F772" s="13" t="n">
        <x:f>COUNTIFS('Stocking details'!$I$6:$I$3307,G772)</x:f>
        <x:v>1</x:v>
      </x:c>
      <x:c r="G772" s="8" t="str">
        <x:f>B772&amp;" / "&amp;C772&amp;" / "&amp;D772</x:f>
        <x:v>6806 / 2022 / RAINBOW TROUT</x:v>
      </x:c>
    </x:row>
    <x:row r="773" ht="23" customHeight="1">
      <x:c r="A773" s="8" t="str">
        <x:v>Hansen's Reservoir</x:v>
      </x:c>
      <x:c r="B773" s="8" t="str">
        <x:v>6806</x:v>
      </x:c>
      <x:c r="C773" s="17" t="n">
        <x:v>2021</x:v>
      </x:c>
      <x:c r="D773" s="8" t="str">
        <x:v>RAINBOW TROUT</x:v>
      </x:c>
      <x:c r="E773" s="13" t="n">
        <x:f>SUMIFS('Stocking details'!$F$6:$F$3307,'Stocking details'!$I$6:$I$3307,G773)</x:f>
        <x:v>5041</x:v>
      </x:c>
      <x:c r="F773" s="13" t="n">
        <x:f>COUNTIFS('Stocking details'!$I$6:$I$3307,G773)</x:f>
        <x:v>3</x:v>
      </x:c>
      <x:c r="G773" s="8" t="str">
        <x:f>B773&amp;" / "&amp;C773&amp;" / "&amp;D773</x:f>
        <x:v>6806 / 2021 / RAINBOW TROUT</x:v>
      </x:c>
    </x:row>
    <x:row r="774" ht="23" customHeight="1">
      <x:c r="A774" s="8" t="str">
        <x:v>Harleck Pond</x:v>
      </x:c>
      <x:c r="B774" s="8" t="str">
        <x:v>6808</x:v>
      </x:c>
      <x:c r="C774" s="17" t="n">
        <x:v>2026</x:v>
      </x:c>
      <x:c r="D774" s="8" t="str">
        <x:v>RAINBOW TROUT</x:v>
      </x:c>
      <x:c r="E774" s="13" t="n">
        <x:f>SUMIFS('Stocking details'!$F$6:$F$3307,'Stocking details'!$I$6:$I$3307,G774)</x:f>
        <x:v>500</x:v>
      </x:c>
      <x:c r="F774" s="13" t="n">
        <x:f>COUNTIFS('Stocking details'!$I$6:$I$3307,G774)</x:f>
        <x:v>1</x:v>
      </x:c>
      <x:c r="G774" s="8" t="str">
        <x:f>B774&amp;" / "&amp;C774&amp;" / "&amp;D774</x:f>
        <x:v>6808 / 2026 / RAINBOW TROUT</x:v>
      </x:c>
    </x:row>
    <x:row r="775" ht="23" customHeight="1">
      <x:c r="A775" s="8" t="str">
        <x:v>Harleck Pond</x:v>
      </x:c>
      <x:c r="B775" s="8" t="str">
        <x:v>6808</x:v>
      </x:c>
      <x:c r="C775" s="17" t="n">
        <x:v>2025</x:v>
      </x:c>
      <x:c r="D775" s="8" t="str">
        <x:v>RAINBOW TROUT</x:v>
      </x:c>
      <x:c r="E775" s="13" t="n">
        <x:f>SUMIFS('Stocking details'!$F$6:$F$3307,'Stocking details'!$I$6:$I$3307,G775)</x:f>
        <x:v>400</x:v>
      </x:c>
      <x:c r="F775" s="13" t="n">
        <x:f>COUNTIFS('Stocking details'!$I$6:$I$3307,G775)</x:f>
        <x:v>1</x:v>
      </x:c>
      <x:c r="G775" s="8" t="str">
        <x:f>B775&amp;" / "&amp;C775&amp;" / "&amp;D775</x:f>
        <x:v>6808 / 2025 / RAINBOW TROUT</x:v>
      </x:c>
    </x:row>
    <x:row r="776" ht="23" customHeight="1">
      <x:c r="A776" s="8" t="str">
        <x:v>Harleck Pond</x:v>
      </x:c>
      <x:c r="B776" s="8" t="str">
        <x:v>6808</x:v>
      </x:c>
      <x:c r="C776" s="17" t="n">
        <x:v>2024</x:v>
      </x:c>
      <x:c r="D776" s="8" t="str">
        <x:v>RAINBOW TROUT</x:v>
      </x:c>
      <x:c r="E776" s="13" t="n">
        <x:f>SUMIFS('Stocking details'!$F$6:$F$3307,'Stocking details'!$I$6:$I$3307,G776)</x:f>
        <x:v>400</x:v>
      </x:c>
      <x:c r="F776" s="13" t="n">
        <x:f>COUNTIFS('Stocking details'!$I$6:$I$3307,G776)</x:f>
        <x:v>1</x:v>
      </x:c>
      <x:c r="G776" s="8" t="str">
        <x:f>B776&amp;" / "&amp;C776&amp;" / "&amp;D776</x:f>
        <x:v>6808 / 2024 / RAINBOW TROUT</x:v>
      </x:c>
    </x:row>
    <x:row r="777" ht="23" customHeight="1">
      <x:c r="A777" s="8" t="str">
        <x:v>Harleck Pond</x:v>
      </x:c>
      <x:c r="B777" s="8" t="str">
        <x:v>6808</x:v>
      </x:c>
      <x:c r="C777" s="17" t="n">
        <x:v>2023</x:v>
      </x:c>
      <x:c r="D777" s="8" t="str">
        <x:v>RAINBOW TROUT</x:v>
      </x:c>
      <x:c r="E777" s="13" t="n">
        <x:f>SUMIFS('Stocking details'!$F$6:$F$3307,'Stocking details'!$I$6:$I$3307,G777)</x:f>
        <x:v>400</x:v>
      </x:c>
      <x:c r="F777" s="13" t="n">
        <x:f>COUNTIFS('Stocking details'!$I$6:$I$3307,G777)</x:f>
        <x:v>1</x:v>
      </x:c>
      <x:c r="G777" s="8" t="str">
        <x:f>B777&amp;" / "&amp;C777&amp;" / "&amp;D777</x:f>
        <x:v>6808 / 2023 / RAINBOW TROUT</x:v>
      </x:c>
    </x:row>
    <x:row r="778" ht="23" customHeight="1">
      <x:c r="A778" s="8" t="str">
        <x:v>Harleck Pond</x:v>
      </x:c>
      <x:c r="B778" s="8" t="str">
        <x:v>6808</x:v>
      </x:c>
      <x:c r="C778" s="17" t="n">
        <x:v>2022</x:v>
      </x:c>
      <x:c r="D778" s="8" t="str">
        <x:v>RAINBOW TROUT</x:v>
      </x:c>
      <x:c r="E778" s="13" t="n">
        <x:f>SUMIFS('Stocking details'!$F$6:$F$3307,'Stocking details'!$I$6:$I$3307,G778)</x:f>
        <x:v>400</x:v>
      </x:c>
      <x:c r="F778" s="13" t="n">
        <x:f>COUNTIFS('Stocking details'!$I$6:$I$3307,G778)</x:f>
        <x:v>1</x:v>
      </x:c>
      <x:c r="G778" s="8" t="str">
        <x:f>B778&amp;" / "&amp;C778&amp;" / "&amp;D778</x:f>
        <x:v>6808 / 2022 / RAINBOW TROUT</x:v>
      </x:c>
    </x:row>
    <x:row r="779" ht="23" customHeight="1">
      <x:c r="A779" s="8" t="str">
        <x:v>Harleck Pond</x:v>
      </x:c>
      <x:c r="B779" s="8" t="str">
        <x:v>6808</x:v>
      </x:c>
      <x:c r="C779" s="17" t="n">
        <x:v>2021</x:v>
      </x:c>
      <x:c r="D779" s="8" t="str">
        <x:v>RAINBOW TROUT</x:v>
      </x:c>
      <x:c r="E779" s="13" t="n">
        <x:f>SUMIFS('Stocking details'!$F$6:$F$3307,'Stocking details'!$I$6:$I$3307,G779)</x:f>
        <x:v>400</x:v>
      </x:c>
      <x:c r="F779" s="13" t="n">
        <x:f>COUNTIFS('Stocking details'!$I$6:$I$3307,G779)</x:f>
        <x:v>1</x:v>
      </x:c>
      <x:c r="G779" s="8" t="str">
        <x:f>B779&amp;" / "&amp;C779&amp;" / "&amp;D779</x:f>
        <x:v>6808 / 2021 / RAINBOW TROUT</x:v>
      </x:c>
    </x:row>
    <x:row r="780" ht="23" customHeight="1">
      <x:c r="A780" s="8" t="str">
        <x:v>Hasse Lake</x:v>
      </x:c>
      <x:c r="B780" s="8" t="str">
        <x:v>4794</x:v>
      </x:c>
      <x:c r="C780" s="17" t="n">
        <x:v>2026</x:v>
      </x:c>
      <x:c r="D780" s="8" t="str">
        <x:v>RAINBOW TROUT</x:v>
      </x:c>
      <x:c r="E780" s="13" t="n">
        <x:f>SUMIFS('Stocking details'!$F$6:$F$3307,'Stocking details'!$I$6:$I$3307,G780)</x:f>
        <x:v>10000</x:v>
      </x:c>
      <x:c r="F780" s="13" t="n">
        <x:f>COUNTIFS('Stocking details'!$I$6:$I$3307,G780)</x:f>
        <x:v>1</x:v>
      </x:c>
      <x:c r="G780" s="8" t="str">
        <x:f>B780&amp;" / "&amp;C780&amp;" / "&amp;D780</x:f>
        <x:v>4794 / 2026 / RAINBOW TROUT</x:v>
      </x:c>
    </x:row>
    <x:row r="781" ht="23" customHeight="1">
      <x:c r="A781" s="8" t="str">
        <x:v>Hasse Lake</x:v>
      </x:c>
      <x:c r="B781" s="8" t="str">
        <x:v>4794</x:v>
      </x:c>
      <x:c r="C781" s="17" t="n">
        <x:v>2026</x:v>
      </x:c>
      <x:c r="D781" s="8" t="str">
        <x:v>TIGER TROUT</x:v>
      </x:c>
      <x:c r="E781" s="13" t="n">
        <x:f>SUMIFS('Stocking details'!$F$6:$F$3307,'Stocking details'!$I$6:$I$3307,G781)</x:f>
        <x:v>1500</x:v>
      </x:c>
      <x:c r="F781" s="13" t="n">
        <x:f>COUNTIFS('Stocking details'!$I$6:$I$3307,G781)</x:f>
        <x:v>1</x:v>
      </x:c>
      <x:c r="G781" s="8" t="str">
        <x:f>B781&amp;" / "&amp;C781&amp;" / "&amp;D781</x:f>
        <x:v>4794 / 2026 / TIGER TROUT</x:v>
      </x:c>
    </x:row>
    <x:row r="782" ht="23" customHeight="1">
      <x:c r="A782" s="8" t="str">
        <x:v>Hasse Lake</x:v>
      </x:c>
      <x:c r="B782" s="8" t="str">
        <x:v>4794</x:v>
      </x:c>
      <x:c r="C782" s="17" t="n">
        <x:v>2025</x:v>
      </x:c>
      <x:c r="D782" s="8" t="str">
        <x:v>RAINBOW TROUT</x:v>
      </x:c>
      <x:c r="E782" s="13" t="n">
        <x:f>SUMIFS('Stocking details'!$F$6:$F$3307,'Stocking details'!$I$6:$I$3307,G782)</x:f>
        <x:v>15780</x:v>
      </x:c>
      <x:c r="F782" s="13" t="n">
        <x:f>COUNTIFS('Stocking details'!$I$6:$I$3307,G782)</x:f>
        <x:v>3</x:v>
      </x:c>
      <x:c r="G782" s="8" t="str">
        <x:f>B782&amp;" / "&amp;C782&amp;" / "&amp;D782</x:f>
        <x:v>4794 / 2025 / RAINBOW TROUT</x:v>
      </x:c>
    </x:row>
    <x:row r="783" ht="23" customHeight="1">
      <x:c r="A783" s="8" t="str">
        <x:v>Hasse Lake</x:v>
      </x:c>
      <x:c r="B783" s="8" t="str">
        <x:v>4794</x:v>
      </x:c>
      <x:c r="C783" s="17" t="n">
        <x:v>2025</x:v>
      </x:c>
      <x:c r="D783" s="8" t="str">
        <x:v>TIGER TROUT</x:v>
      </x:c>
      <x:c r="E783" s="13" t="n">
        <x:f>SUMIFS('Stocking details'!$F$6:$F$3307,'Stocking details'!$I$6:$I$3307,G783)</x:f>
        <x:v>2000</x:v>
      </x:c>
      <x:c r="F783" s="13" t="n">
        <x:f>COUNTIFS('Stocking details'!$I$6:$I$3307,G783)</x:f>
        <x:v>2</x:v>
      </x:c>
      <x:c r="G783" s="8" t="str">
        <x:f>B783&amp;" / "&amp;C783&amp;" / "&amp;D783</x:f>
        <x:v>4794 / 2025 / TIGER TROUT</x:v>
      </x:c>
    </x:row>
    <x:row r="784" ht="23" customHeight="1">
      <x:c r="A784" s="8" t="str">
        <x:v>Hasse Lake</x:v>
      </x:c>
      <x:c r="B784" s="8" t="str">
        <x:v>4794</x:v>
      </x:c>
      <x:c r="C784" s="17" t="n">
        <x:v>2024</x:v>
      </x:c>
      <x:c r="D784" s="8" t="str">
        <x:v>RAINBOW TROUT</x:v>
      </x:c>
      <x:c r="E784" s="13" t="n">
        <x:f>SUMIFS('Stocking details'!$F$6:$F$3307,'Stocking details'!$I$6:$I$3307,G784)</x:f>
        <x:v>24130</x:v>
      </x:c>
      <x:c r="F784" s="13" t="n">
        <x:f>COUNTIFS('Stocking details'!$I$6:$I$3307,G784)</x:f>
        <x:v>5</x:v>
      </x:c>
      <x:c r="G784" s="8" t="str">
        <x:f>B784&amp;" / "&amp;C784&amp;" / "&amp;D784</x:f>
        <x:v>4794 / 2024 / RAINBOW TROUT</x:v>
      </x:c>
    </x:row>
    <x:row r="785" ht="23" customHeight="1">
      <x:c r="A785" s="8" t="str">
        <x:v>Hasse Lake</x:v>
      </x:c>
      <x:c r="B785" s="8" t="str">
        <x:v>4794</x:v>
      </x:c>
      <x:c r="C785" s="17" t="n">
        <x:v>2024</x:v>
      </x:c>
      <x:c r="D785" s="8" t="str">
        <x:v>TIGER TROUT</x:v>
      </x:c>
      <x:c r="E785" s="13" t="n">
        <x:f>SUMIFS('Stocking details'!$F$6:$F$3307,'Stocking details'!$I$6:$I$3307,G785)</x:f>
        <x:v>2000</x:v>
      </x:c>
      <x:c r="F785" s="13" t="n">
        <x:f>COUNTIFS('Stocking details'!$I$6:$I$3307,G785)</x:f>
        <x:v>2</x:v>
      </x:c>
      <x:c r="G785" s="8" t="str">
        <x:f>B785&amp;" / "&amp;C785&amp;" / "&amp;D785</x:f>
        <x:v>4794 / 2024 / TIGER TROUT</x:v>
      </x:c>
    </x:row>
    <x:row r="786" ht="23" customHeight="1">
      <x:c r="A786" s="8" t="str">
        <x:v>Hasse Lake</x:v>
      </x:c>
      <x:c r="B786" s="8" t="str">
        <x:v>4794</x:v>
      </x:c>
      <x:c r="C786" s="17" t="n">
        <x:v>2023</x:v>
      </x:c>
      <x:c r="D786" s="8" t="str">
        <x:v>RAINBOW TROUT</x:v>
      </x:c>
      <x:c r="E786" s="13" t="n">
        <x:f>SUMIFS('Stocking details'!$F$6:$F$3307,'Stocking details'!$I$6:$I$3307,G786)</x:f>
        <x:v>10078</x:v>
      </x:c>
      <x:c r="F786" s="13" t="n">
        <x:f>COUNTIFS('Stocking details'!$I$6:$I$3307,G786)</x:f>
        <x:v>3</x:v>
      </x:c>
      <x:c r="G786" s="8" t="str">
        <x:f>B786&amp;" / "&amp;C786&amp;" / "&amp;D786</x:f>
        <x:v>4794 / 2023 / RAINBOW TROUT</x:v>
      </x:c>
    </x:row>
    <x:row r="787" ht="23" customHeight="1">
      <x:c r="A787" s="8" t="str">
        <x:v>Hasse Lake</x:v>
      </x:c>
      <x:c r="B787" s="8" t="str">
        <x:v>4794</x:v>
      </x:c>
      <x:c r="C787" s="17" t="n">
        <x:v>2023</x:v>
      </x:c>
      <x:c r="D787" s="8" t="str">
        <x:v>TIGER TROUT</x:v>
      </x:c>
      <x:c r="E787" s="13" t="n">
        <x:f>SUMIFS('Stocking details'!$F$6:$F$3307,'Stocking details'!$I$6:$I$3307,G787)</x:f>
        <x:v>500</x:v>
      </x:c>
      <x:c r="F787" s="13" t="n">
        <x:f>COUNTIFS('Stocking details'!$I$6:$I$3307,G787)</x:f>
        <x:v>1</x:v>
      </x:c>
      <x:c r="G787" s="8" t="str">
        <x:f>B787&amp;" / "&amp;C787&amp;" / "&amp;D787</x:f>
        <x:v>4794 / 2023 / TIGER TROUT</x:v>
      </x:c>
    </x:row>
    <x:row r="788" ht="23" customHeight="1">
      <x:c r="A788" s="8" t="str">
        <x:v>Hasse Lake</x:v>
      </x:c>
      <x:c r="B788" s="8" t="str">
        <x:v>4794</x:v>
      </x:c>
      <x:c r="C788" s="17" t="n">
        <x:v>2022</x:v>
      </x:c>
      <x:c r="D788" s="8" t="str">
        <x:v>RAINBOW TROUT</x:v>
      </x:c>
      <x:c r="E788" s="13" t="n">
        <x:f>SUMIFS('Stocking details'!$F$6:$F$3307,'Stocking details'!$I$6:$I$3307,G788)</x:f>
        <x:v>20149</x:v>
      </x:c>
      <x:c r="F788" s="13" t="n">
        <x:f>COUNTIFS('Stocking details'!$I$6:$I$3307,G788)</x:f>
        <x:v>4</x:v>
      </x:c>
      <x:c r="G788" s="8" t="str">
        <x:f>B788&amp;" / "&amp;C788&amp;" / "&amp;D788</x:f>
        <x:v>4794 / 2022 / RAINBOW TROUT</x:v>
      </x:c>
    </x:row>
    <x:row r="789" ht="23" customHeight="1">
      <x:c r="A789" s="8" t="str">
        <x:v>Hasse Lake</x:v>
      </x:c>
      <x:c r="B789" s="8" t="str">
        <x:v>4794</x:v>
      </x:c>
      <x:c r="C789" s="17" t="n">
        <x:v>2022</x:v>
      </x:c>
      <x:c r="D789" s="8" t="str">
        <x:v>TIGER TROUT</x:v>
      </x:c>
      <x:c r="E789" s="13" t="n">
        <x:f>SUMIFS('Stocking details'!$F$6:$F$3307,'Stocking details'!$I$6:$I$3307,G789)</x:f>
        <x:v>5000</x:v>
      </x:c>
      <x:c r="F789" s="13" t="n">
        <x:f>COUNTIFS('Stocking details'!$I$6:$I$3307,G789)</x:f>
        <x:v>3</x:v>
      </x:c>
      <x:c r="G789" s="8" t="str">
        <x:f>B789&amp;" / "&amp;C789&amp;" / "&amp;D789</x:f>
        <x:v>4794 / 2022 / TIGER TROUT</x:v>
      </x:c>
    </x:row>
    <x:row r="790" ht="23" customHeight="1">
      <x:c r="A790" s="8" t="str">
        <x:v>Hasse Lake</x:v>
      </x:c>
      <x:c r="B790" s="8" t="str">
        <x:v>4794</x:v>
      </x:c>
      <x:c r="C790" s="17" t="n">
        <x:v>2021</x:v>
      </x:c>
      <x:c r="D790" s="8" t="str">
        <x:v>RAINBOW TROUT</x:v>
      </x:c>
      <x:c r="E790" s="13" t="n">
        <x:f>SUMIFS('Stocking details'!$F$6:$F$3307,'Stocking details'!$I$6:$I$3307,G790)</x:f>
        <x:v>15228</x:v>
      </x:c>
      <x:c r="F790" s="13" t="n">
        <x:f>COUNTIFS('Stocking details'!$I$6:$I$3307,G790)</x:f>
        <x:v>3</x:v>
      </x:c>
      <x:c r="G790" s="8" t="str">
        <x:f>B790&amp;" / "&amp;C790&amp;" / "&amp;D790</x:f>
        <x:v>4794 / 2021 / RAINBOW TROUT</x:v>
      </x:c>
    </x:row>
    <x:row r="791" ht="23" customHeight="1">
      <x:c r="A791" s="8" t="str">
        <x:v>Hasse Lake</x:v>
      </x:c>
      <x:c r="B791" s="8" t="str">
        <x:v>4794</x:v>
      </x:c>
      <x:c r="C791" s="17" t="n">
        <x:v>2021</x:v>
      </x:c>
      <x:c r="D791" s="8" t="str">
        <x:v>TIGER TROUT</x:v>
      </x:c>
      <x:c r="E791" s="13" t="n">
        <x:f>SUMIFS('Stocking details'!$F$6:$F$3307,'Stocking details'!$I$6:$I$3307,G791)</x:f>
        <x:v>2000</x:v>
      </x:c>
      <x:c r="F791" s="13" t="n">
        <x:f>COUNTIFS('Stocking details'!$I$6:$I$3307,G791)</x:f>
        <x:v>2</x:v>
      </x:c>
      <x:c r="G791" s="8" t="str">
        <x:f>B791&amp;" / "&amp;C791&amp;" / "&amp;D791</x:f>
        <x:v>4794 / 2021 / TIGER TROUT</x:v>
      </x:c>
    </x:row>
    <x:row r="792" ht="23" customHeight="1">
      <x:c r="A792" s="8" t="str">
        <x:v>Helmer Reservoir</x:v>
      </x:c>
      <x:c r="B792" s="8" t="str">
        <x:v>6803</x:v>
      </x:c>
      <x:c r="C792" s="17" t="n">
        <x:v>2026</x:v>
      </x:c>
      <x:c r="D792" s="8" t="str">
        <x:v>RAINBOW TROUT</x:v>
      </x:c>
      <x:c r="E792" s="13" t="n">
        <x:f>SUMIFS('Stocking details'!$F$6:$F$3307,'Stocking details'!$I$6:$I$3307,G792)</x:f>
        <x:v>5000</x:v>
      </x:c>
      <x:c r="F792" s="13" t="n">
        <x:f>COUNTIFS('Stocking details'!$I$6:$I$3307,G792)</x:f>
        <x:v>1</x:v>
      </x:c>
      <x:c r="G792" s="8" t="str">
        <x:f>B792&amp;" / "&amp;C792&amp;" / "&amp;D792</x:f>
        <x:v>6803 / 2026 / RAINBOW TROUT</x:v>
      </x:c>
    </x:row>
    <x:row r="793" ht="23" customHeight="1">
      <x:c r="A793" s="8" t="str">
        <x:v>Helmer Reservoir</x:v>
      </x:c>
      <x:c r="B793" s="8" t="str">
        <x:v>6803</x:v>
      </x:c>
      <x:c r="C793" s="17" t="n">
        <x:v>2025</x:v>
      </x:c>
      <x:c r="D793" s="8" t="str">
        <x:v>RAINBOW TROUT</x:v>
      </x:c>
      <x:c r="E793" s="13" t="n">
        <x:f>SUMIFS('Stocking details'!$F$6:$F$3307,'Stocking details'!$I$6:$I$3307,G793)</x:f>
        <x:v>10000</x:v>
      </x:c>
      <x:c r="F793" s="13" t="n">
        <x:f>COUNTIFS('Stocking details'!$I$6:$I$3307,G793)</x:f>
        <x:v>2</x:v>
      </x:c>
      <x:c r="G793" s="8" t="str">
        <x:f>B793&amp;" / "&amp;C793&amp;" / "&amp;D793</x:f>
        <x:v>6803 / 2025 / RAINBOW TROUT</x:v>
      </x:c>
    </x:row>
    <x:row r="794" ht="23" customHeight="1">
      <x:c r="A794" s="8" t="str">
        <x:v>Helmer Reservoir</x:v>
      </x:c>
      <x:c r="B794" s="8" t="str">
        <x:v>6803</x:v>
      </x:c>
      <x:c r="C794" s="17" t="n">
        <x:v>2023</x:v>
      </x:c>
      <x:c r="D794" s="8" t="str">
        <x:v>RAINBOW TROUT</x:v>
      </x:c>
      <x:c r="E794" s="13" t="n">
        <x:f>SUMIFS('Stocking details'!$F$6:$F$3307,'Stocking details'!$I$6:$I$3307,G794)</x:f>
        <x:v>4020</x:v>
      </x:c>
      <x:c r="F794" s="13" t="n">
        <x:f>COUNTIFS('Stocking details'!$I$6:$I$3307,G794)</x:f>
        <x:v>2</x:v>
      </x:c>
      <x:c r="G794" s="8" t="str">
        <x:f>B794&amp;" / "&amp;C794&amp;" / "&amp;D794</x:f>
        <x:v>6803 / 2023 / RAINBOW TROUT</x:v>
      </x:c>
    </x:row>
    <x:row r="795" ht="23" customHeight="1">
      <x:c r="A795" s="8" t="str">
        <x:v>Helmer Reservoir</x:v>
      </x:c>
      <x:c r="B795" s="8" t="str">
        <x:v>6803</x:v>
      </x:c>
      <x:c r="C795" s="17" t="n">
        <x:v>2022</x:v>
      </x:c>
      <x:c r="D795" s="8" t="str">
        <x:v>RAINBOW TROUT</x:v>
      </x:c>
      <x:c r="E795" s="13" t="n">
        <x:f>SUMIFS('Stocking details'!$F$6:$F$3307,'Stocking details'!$I$6:$I$3307,G795)</x:f>
        <x:v>10000</x:v>
      </x:c>
      <x:c r="F795" s="13" t="n">
        <x:f>COUNTIFS('Stocking details'!$I$6:$I$3307,G795)</x:f>
        <x:v>3</x:v>
      </x:c>
      <x:c r="G795" s="8" t="str">
        <x:f>B795&amp;" / "&amp;C795&amp;" / "&amp;D795</x:f>
        <x:v>6803 / 2022 / RAINBOW TROUT</x:v>
      </x:c>
    </x:row>
    <x:row r="796" ht="23" customHeight="1">
      <x:c r="A796" s="8" t="str">
        <x:v>Helmer Reservoir</x:v>
      </x:c>
      <x:c r="B796" s="8" t="str">
        <x:v>6803</x:v>
      </x:c>
      <x:c r="C796" s="17" t="n">
        <x:v>2021</x:v>
      </x:c>
      <x:c r="D796" s="8" t="str">
        <x:v>RAINBOW TROUT</x:v>
      </x:c>
      <x:c r="E796" s="13" t="n">
        <x:f>SUMIFS('Stocking details'!$F$6:$F$3307,'Stocking details'!$I$6:$I$3307,G796)</x:f>
        <x:v>5000</x:v>
      </x:c>
      <x:c r="F796" s="13" t="n">
        <x:f>COUNTIFS('Stocking details'!$I$6:$I$3307,G796)</x:f>
        <x:v>1</x:v>
      </x:c>
      <x:c r="G796" s="8" t="str">
        <x:f>B796&amp;" / "&amp;C796&amp;" / "&amp;D796</x:f>
        <x:v>6803 / 2021 / RAINBOW TROUT</x:v>
      </x:c>
    </x:row>
    <x:row r="797" ht="23" customHeight="1">
      <x:c r="A797" s="8" t="str">
        <x:v>Heritage Lake</x:v>
      </x:c>
      <x:c r="B797" s="8" t="str">
        <x:v>6790</x:v>
      </x:c>
      <x:c r="C797" s="17" t="n">
        <x:v>2026</x:v>
      </x:c>
      <x:c r="D797" s="8" t="str">
        <x:v>BROOK TROUT</x:v>
      </x:c>
      <x:c r="E797" s="13" t="n">
        <x:f>SUMIFS('Stocking details'!$F$6:$F$3307,'Stocking details'!$I$6:$I$3307,G797)</x:f>
        <x:v>1600</x:v>
      </x:c>
      <x:c r="F797" s="13" t="n">
        <x:f>COUNTIFS('Stocking details'!$I$6:$I$3307,G797)</x:f>
        <x:v>1</x:v>
      </x:c>
      <x:c r="G797" s="8" t="str">
        <x:f>B797&amp;" / "&amp;C797&amp;" / "&amp;D797</x:f>
        <x:v>6790 / 2026 / BROOK TROUT</x:v>
      </x:c>
    </x:row>
    <x:row r="798" ht="23" customHeight="1">
      <x:c r="A798" s="8" t="str">
        <x:v>Heritage Lake</x:v>
      </x:c>
      <x:c r="B798" s="8" t="str">
        <x:v>6790</x:v>
      </x:c>
      <x:c r="C798" s="17" t="n">
        <x:v>2026</x:v>
      </x:c>
      <x:c r="D798" s="8" t="str">
        <x:v>BROWN TROUT</x:v>
      </x:c>
      <x:c r="E798" s="13" t="n">
        <x:f>SUMIFS('Stocking details'!$F$6:$F$3307,'Stocking details'!$I$6:$I$3307,G798)</x:f>
        <x:v>1000</x:v>
      </x:c>
      <x:c r="F798" s="13" t="n">
        <x:f>COUNTIFS('Stocking details'!$I$6:$I$3307,G798)</x:f>
        <x:v>1</x:v>
      </x:c>
      <x:c r="G798" s="8" t="str">
        <x:f>B798&amp;" / "&amp;C798&amp;" / "&amp;D798</x:f>
        <x:v>6790 / 2026 / BROWN TROUT</x:v>
      </x:c>
    </x:row>
    <x:row r="799" ht="23" customHeight="1">
      <x:c r="A799" s="8" t="str">
        <x:v>Heritage Lake</x:v>
      </x:c>
      <x:c r="B799" s="8" t="str">
        <x:v>6790</x:v>
      </x:c>
      <x:c r="C799" s="17" t="n">
        <x:v>2026</x:v>
      </x:c>
      <x:c r="D799" s="8" t="str">
        <x:v>RAINBOW TROUT</x:v>
      </x:c>
      <x:c r="E799" s="13" t="n">
        <x:f>SUMIFS('Stocking details'!$F$6:$F$3307,'Stocking details'!$I$6:$I$3307,G799)</x:f>
        <x:v>4050</x:v>
      </x:c>
      <x:c r="F799" s="13" t="n">
        <x:f>COUNTIFS('Stocking details'!$I$6:$I$3307,G799)</x:f>
        <x:v>2</x:v>
      </x:c>
      <x:c r="G799" s="8" t="str">
        <x:f>B799&amp;" / "&amp;C799&amp;" / "&amp;D799</x:f>
        <x:v>6790 / 2026 / RAINBOW TROUT</x:v>
      </x:c>
    </x:row>
    <x:row r="800" ht="23" customHeight="1">
      <x:c r="A800" s="8" t="str">
        <x:v>Heritage Lake</x:v>
      </x:c>
      <x:c r="B800" s="8" t="str">
        <x:v>6790</x:v>
      </x:c>
      <x:c r="C800" s="17" t="n">
        <x:v>2025</x:v>
      </x:c>
      <x:c r="D800" s="8" t="str">
        <x:v>BROOK TROUT</x:v>
      </x:c>
      <x:c r="E800" s="13" t="n">
        <x:f>SUMIFS('Stocking details'!$F$6:$F$3307,'Stocking details'!$I$6:$I$3307,G800)</x:f>
        <x:v>1600</x:v>
      </x:c>
      <x:c r="F800" s="13" t="n">
        <x:f>COUNTIFS('Stocking details'!$I$6:$I$3307,G800)</x:f>
        <x:v>1</x:v>
      </x:c>
      <x:c r="G800" s="8" t="str">
        <x:f>B800&amp;" / "&amp;C800&amp;" / "&amp;D800</x:f>
        <x:v>6790 / 2025 / BROOK TROUT</x:v>
      </x:c>
    </x:row>
    <x:row r="801" ht="23" customHeight="1">
      <x:c r="A801" s="8" t="str">
        <x:v>Heritage Lake</x:v>
      </x:c>
      <x:c r="B801" s="8" t="str">
        <x:v>6790</x:v>
      </x:c>
      <x:c r="C801" s="17" t="n">
        <x:v>2025</x:v>
      </x:c>
      <x:c r="D801" s="8" t="str">
        <x:v>BROWN TROUT</x:v>
      </x:c>
      <x:c r="E801" s="13" t="n">
        <x:f>SUMIFS('Stocking details'!$F$6:$F$3307,'Stocking details'!$I$6:$I$3307,G801)</x:f>
        <x:v>1000</x:v>
      </x:c>
      <x:c r="F801" s="13" t="n">
        <x:f>COUNTIFS('Stocking details'!$I$6:$I$3307,G801)</x:f>
        <x:v>1</x:v>
      </x:c>
      <x:c r="G801" s="8" t="str">
        <x:f>B801&amp;" / "&amp;C801&amp;" / "&amp;D801</x:f>
        <x:v>6790 / 2025 / BROWN TROUT</x:v>
      </x:c>
    </x:row>
    <x:row r="802" ht="23" customHeight="1">
      <x:c r="A802" s="8" t="str">
        <x:v>Heritage Lake</x:v>
      </x:c>
      <x:c r="B802" s="8" t="str">
        <x:v>6790</x:v>
      </x:c>
      <x:c r="C802" s="17" t="n">
        <x:v>2025</x:v>
      </x:c>
      <x:c r="D802" s="8" t="str">
        <x:v>RAINBOW TROUT</x:v>
      </x:c>
      <x:c r="E802" s="13" t="n">
        <x:f>SUMIFS('Stocking details'!$F$6:$F$3307,'Stocking details'!$I$6:$I$3307,G802)</x:f>
        <x:v>7050</x:v>
      </x:c>
      <x:c r="F802" s="13" t="n">
        <x:f>COUNTIFS('Stocking details'!$I$6:$I$3307,G802)</x:f>
        <x:v>4</x:v>
      </x:c>
      <x:c r="G802" s="8" t="str">
        <x:f>B802&amp;" / "&amp;C802&amp;" / "&amp;D802</x:f>
        <x:v>6790 / 2025 / RAINBOW TROUT</x:v>
      </x:c>
    </x:row>
    <x:row r="803" ht="23" customHeight="1">
      <x:c r="A803" s="8" t="str">
        <x:v>Heritage Lake</x:v>
      </x:c>
      <x:c r="B803" s="8" t="str">
        <x:v>6790</x:v>
      </x:c>
      <x:c r="C803" s="17" t="n">
        <x:v>2024</x:v>
      </x:c>
      <x:c r="D803" s="8" t="str">
        <x:v>BROOK TROUT</x:v>
      </x:c>
      <x:c r="E803" s="13" t="n">
        <x:f>SUMIFS('Stocking details'!$F$6:$F$3307,'Stocking details'!$I$6:$I$3307,G803)</x:f>
        <x:v>1600</x:v>
      </x:c>
      <x:c r="F803" s="13" t="n">
        <x:f>COUNTIFS('Stocking details'!$I$6:$I$3307,G803)</x:f>
        <x:v>1</x:v>
      </x:c>
      <x:c r="G803" s="8" t="str">
        <x:f>B803&amp;" / "&amp;C803&amp;" / "&amp;D803</x:f>
        <x:v>6790 / 2024 / BROOK TROUT</x:v>
      </x:c>
    </x:row>
    <x:row r="804" ht="23" customHeight="1">
      <x:c r="A804" s="8" t="str">
        <x:v>Heritage Lake</x:v>
      </x:c>
      <x:c r="B804" s="8" t="str">
        <x:v>6790</x:v>
      </x:c>
      <x:c r="C804" s="17" t="n">
        <x:v>2024</x:v>
      </x:c>
      <x:c r="D804" s="8" t="str">
        <x:v>BROWN TROUT</x:v>
      </x:c>
      <x:c r="E804" s="13" t="n">
        <x:f>SUMIFS('Stocking details'!$F$6:$F$3307,'Stocking details'!$I$6:$I$3307,G804)</x:f>
        <x:v>500</x:v>
      </x:c>
      <x:c r="F804" s="13" t="n">
        <x:f>COUNTIFS('Stocking details'!$I$6:$I$3307,G804)</x:f>
        <x:v>1</x:v>
      </x:c>
      <x:c r="G804" s="8" t="str">
        <x:f>B804&amp;" / "&amp;C804&amp;" / "&amp;D804</x:f>
        <x:v>6790 / 2024 / BROWN TROUT</x:v>
      </x:c>
    </x:row>
    <x:row r="805" ht="23" customHeight="1">
      <x:c r="A805" s="8" t="str">
        <x:v>Heritage Lake</x:v>
      </x:c>
      <x:c r="B805" s="8" t="str">
        <x:v>6790</x:v>
      </x:c>
      <x:c r="C805" s="17" t="n">
        <x:v>2024</x:v>
      </x:c>
      <x:c r="D805" s="8" t="str">
        <x:v>RAINBOW TROUT</x:v>
      </x:c>
      <x:c r="E805" s="13" t="n">
        <x:f>SUMIFS('Stocking details'!$F$6:$F$3307,'Stocking details'!$I$6:$I$3307,G805)</x:f>
        <x:v>7050</x:v>
      </x:c>
      <x:c r="F805" s="13" t="n">
        <x:f>COUNTIFS('Stocking details'!$I$6:$I$3307,G805)</x:f>
        <x:v>2</x:v>
      </x:c>
      <x:c r="G805" s="8" t="str">
        <x:f>B805&amp;" / "&amp;C805&amp;" / "&amp;D805</x:f>
        <x:v>6790 / 2024 / RAINBOW TROUT</x:v>
      </x:c>
    </x:row>
    <x:row r="806" ht="23" customHeight="1">
      <x:c r="A806" s="8" t="str">
        <x:v>Heritage Lake</x:v>
      </x:c>
      <x:c r="B806" s="8" t="str">
        <x:v>6790</x:v>
      </x:c>
      <x:c r="C806" s="17" t="n">
        <x:v>2023</x:v>
      </x:c>
      <x:c r="D806" s="8" t="str">
        <x:v>BROOK TROUT</x:v>
      </x:c>
      <x:c r="E806" s="13" t="n">
        <x:f>SUMIFS('Stocking details'!$F$6:$F$3307,'Stocking details'!$I$6:$I$3307,G806)</x:f>
        <x:v>1600</x:v>
      </x:c>
      <x:c r="F806" s="13" t="n">
        <x:f>COUNTIFS('Stocking details'!$I$6:$I$3307,G806)</x:f>
        <x:v>1</x:v>
      </x:c>
      <x:c r="G806" s="8" t="str">
        <x:f>B806&amp;" / "&amp;C806&amp;" / "&amp;D806</x:f>
        <x:v>6790 / 2023 / BROOK TROUT</x:v>
      </x:c>
    </x:row>
    <x:row r="807" ht="23" customHeight="1">
      <x:c r="A807" s="8" t="str">
        <x:v>Heritage Lake</x:v>
      </x:c>
      <x:c r="B807" s="8" t="str">
        <x:v>6790</x:v>
      </x:c>
      <x:c r="C807" s="17" t="n">
        <x:v>2023</x:v>
      </x:c>
      <x:c r="D807" s="8" t="str">
        <x:v>BROWN TROUT</x:v>
      </x:c>
      <x:c r="E807" s="13" t="n">
        <x:f>SUMIFS('Stocking details'!$F$6:$F$3307,'Stocking details'!$I$6:$I$3307,G807)</x:f>
        <x:v>500</x:v>
      </x:c>
      <x:c r="F807" s="13" t="n">
        <x:f>COUNTIFS('Stocking details'!$I$6:$I$3307,G807)</x:f>
        <x:v>1</x:v>
      </x:c>
      <x:c r="G807" s="8" t="str">
        <x:f>B807&amp;" / "&amp;C807&amp;" / "&amp;D807</x:f>
        <x:v>6790 / 2023 / BROWN TROUT</x:v>
      </x:c>
    </x:row>
    <x:row r="808" ht="23" customHeight="1">
      <x:c r="A808" s="8" t="str">
        <x:v>Heritage Lake</x:v>
      </x:c>
      <x:c r="B808" s="8" t="str">
        <x:v>6790</x:v>
      </x:c>
      <x:c r="C808" s="17" t="n">
        <x:v>2023</x:v>
      </x:c>
      <x:c r="D808" s="8" t="str">
        <x:v>RAINBOW TROUT</x:v>
      </x:c>
      <x:c r="E808" s="13" t="n">
        <x:f>SUMIFS('Stocking details'!$F$6:$F$3307,'Stocking details'!$I$6:$I$3307,G808)</x:f>
        <x:v>5061</x:v>
      </x:c>
      <x:c r="F808" s="13" t="n">
        <x:f>COUNTIFS('Stocking details'!$I$6:$I$3307,G808)</x:f>
        <x:v>3</x:v>
      </x:c>
      <x:c r="G808" s="8" t="str">
        <x:f>B808&amp;" / "&amp;C808&amp;" / "&amp;D808</x:f>
        <x:v>6790 / 2023 / RAINBOW TROUT</x:v>
      </x:c>
    </x:row>
    <x:row r="809" ht="23" customHeight="1">
      <x:c r="A809" s="8" t="str">
        <x:v>Heritage Lake</x:v>
      </x:c>
      <x:c r="B809" s="8" t="str">
        <x:v>6790</x:v>
      </x:c>
      <x:c r="C809" s="17" t="n">
        <x:v>2022</x:v>
      </x:c>
      <x:c r="D809" s="8" t="str">
        <x:v>BROOK TROUT</x:v>
      </x:c>
      <x:c r="E809" s="13" t="n">
        <x:f>SUMIFS('Stocking details'!$F$6:$F$3307,'Stocking details'!$I$6:$I$3307,G809)</x:f>
        <x:v>1600</x:v>
      </x:c>
      <x:c r="F809" s="13" t="n">
        <x:f>COUNTIFS('Stocking details'!$I$6:$I$3307,G809)</x:f>
        <x:v>1</x:v>
      </x:c>
      <x:c r="G809" s="8" t="str">
        <x:f>B809&amp;" / "&amp;C809&amp;" / "&amp;D809</x:f>
        <x:v>6790 / 2022 / BROOK TROUT</x:v>
      </x:c>
    </x:row>
    <x:row r="810" ht="23" customHeight="1">
      <x:c r="A810" s="8" t="str">
        <x:v>Heritage Lake</x:v>
      </x:c>
      <x:c r="B810" s="8" t="str">
        <x:v>6790</x:v>
      </x:c>
      <x:c r="C810" s="17" t="n">
        <x:v>2022</x:v>
      </x:c>
      <x:c r="D810" s="8" t="str">
        <x:v>BROWN TROUT</x:v>
      </x:c>
      <x:c r="E810" s="13" t="n">
        <x:f>SUMIFS('Stocking details'!$F$6:$F$3307,'Stocking details'!$I$6:$I$3307,G810)</x:f>
        <x:v>1000</x:v>
      </x:c>
      <x:c r="F810" s="13" t="n">
        <x:f>COUNTIFS('Stocking details'!$I$6:$I$3307,G810)</x:f>
        <x:v>1</x:v>
      </x:c>
      <x:c r="G810" s="8" t="str">
        <x:f>B810&amp;" / "&amp;C810&amp;" / "&amp;D810</x:f>
        <x:v>6790 / 2022 / BROWN TROUT</x:v>
      </x:c>
    </x:row>
    <x:row r="811" ht="23" customHeight="1">
      <x:c r="A811" s="8" t="str">
        <x:v>Heritage Lake</x:v>
      </x:c>
      <x:c r="B811" s="8" t="str">
        <x:v>6790</x:v>
      </x:c>
      <x:c r="C811" s="17" t="n">
        <x:v>2022</x:v>
      </x:c>
      <x:c r="D811" s="8" t="str">
        <x:v>RAINBOW TROUT</x:v>
      </x:c>
      <x:c r="E811" s="13" t="n">
        <x:f>SUMIFS('Stocking details'!$F$6:$F$3307,'Stocking details'!$I$6:$I$3307,G811)</x:f>
        <x:v>7050</x:v>
      </x:c>
      <x:c r="F811" s="13" t="n">
        <x:f>COUNTIFS('Stocking details'!$I$6:$I$3307,G811)</x:f>
        <x:v>3</x:v>
      </x:c>
      <x:c r="G811" s="8" t="str">
        <x:f>B811&amp;" / "&amp;C811&amp;" / "&amp;D811</x:f>
        <x:v>6790 / 2022 / RAINBOW TROUT</x:v>
      </x:c>
    </x:row>
    <x:row r="812" ht="23" customHeight="1">
      <x:c r="A812" s="8" t="str">
        <x:v>Heritage Lake</x:v>
      </x:c>
      <x:c r="B812" s="8" t="str">
        <x:v>6790</x:v>
      </x:c>
      <x:c r="C812" s="17" t="n">
        <x:v>2021</x:v>
      </x:c>
      <x:c r="D812" s="8" t="str">
        <x:v>BROOK TROUT</x:v>
      </x:c>
      <x:c r="E812" s="13" t="n">
        <x:f>SUMIFS('Stocking details'!$F$6:$F$3307,'Stocking details'!$I$6:$I$3307,G812)</x:f>
        <x:v>1600</x:v>
      </x:c>
      <x:c r="F812" s="13" t="n">
        <x:f>COUNTIFS('Stocking details'!$I$6:$I$3307,G812)</x:f>
        <x:v>1</x:v>
      </x:c>
      <x:c r="G812" s="8" t="str">
        <x:f>B812&amp;" / "&amp;C812&amp;" / "&amp;D812</x:f>
        <x:v>6790 / 2021 / BROOK TROUT</x:v>
      </x:c>
    </x:row>
    <x:row r="813" ht="23" customHeight="1">
      <x:c r="A813" s="8" t="str">
        <x:v>Heritage Lake</x:v>
      </x:c>
      <x:c r="B813" s="8" t="str">
        <x:v>6790</x:v>
      </x:c>
      <x:c r="C813" s="17" t="n">
        <x:v>2021</x:v>
      </x:c>
      <x:c r="D813" s="8" t="str">
        <x:v>BROWN TROUT</x:v>
      </x:c>
      <x:c r="E813" s="13" t="n">
        <x:f>SUMIFS('Stocking details'!$F$6:$F$3307,'Stocking details'!$I$6:$I$3307,G813)</x:f>
        <x:v>1000</x:v>
      </x:c>
      <x:c r="F813" s="13" t="n">
        <x:f>COUNTIFS('Stocking details'!$I$6:$I$3307,G813)</x:f>
        <x:v>1</x:v>
      </x:c>
      <x:c r="G813" s="8" t="str">
        <x:f>B813&amp;" / "&amp;C813&amp;" / "&amp;D813</x:f>
        <x:v>6790 / 2021 / BROWN TROUT</x:v>
      </x:c>
    </x:row>
    <x:row r="814" ht="23" customHeight="1">
      <x:c r="A814" s="8" t="str">
        <x:v>Heritage Lake</x:v>
      </x:c>
      <x:c r="B814" s="8" t="str">
        <x:v>6790</x:v>
      </x:c>
      <x:c r="C814" s="17" t="n">
        <x:v>2021</x:v>
      </x:c>
      <x:c r="D814" s="8" t="str">
        <x:v>RAINBOW TROUT</x:v>
      </x:c>
      <x:c r="E814" s="13" t="n">
        <x:f>SUMIFS('Stocking details'!$F$6:$F$3307,'Stocking details'!$I$6:$I$3307,G814)</x:f>
        <x:v>8305</x:v>
      </x:c>
      <x:c r="F814" s="13" t="n">
        <x:f>COUNTIFS('Stocking details'!$I$6:$I$3307,G814)</x:f>
        <x:v>4</x:v>
      </x:c>
      <x:c r="G814" s="8" t="str">
        <x:f>B814&amp;" / "&amp;C814&amp;" / "&amp;D814</x:f>
        <x:v>6790 / 2021 / RAINBOW TROUT</x:v>
      </x:c>
    </x:row>
    <x:row r="815" ht="23" customHeight="1">
      <x:c r="A815" s="8" t="str">
        <x:v>Hermitage Park Pond</x:v>
      </x:c>
      <x:c r="B815" s="8" t="str">
        <x:v>6791</x:v>
      </x:c>
      <x:c r="C815" s="17" t="n">
        <x:v>2026</x:v>
      </x:c>
      <x:c r="D815" s="8" t="str">
        <x:v>BROWN TROUT</x:v>
      </x:c>
      <x:c r="E815" s="13" t="n">
        <x:f>SUMIFS('Stocking details'!$F$6:$F$3307,'Stocking details'!$I$6:$I$3307,G815)</x:f>
        <x:v>300</x:v>
      </x:c>
      <x:c r="F815" s="13" t="n">
        <x:f>COUNTIFS('Stocking details'!$I$6:$I$3307,G815)</x:f>
        <x:v>1</x:v>
      </x:c>
      <x:c r="G815" s="8" t="str">
        <x:f>B815&amp;" / "&amp;C815&amp;" / "&amp;D815</x:f>
        <x:v>6791 / 2026 / BROWN TROUT</x:v>
      </x:c>
    </x:row>
    <x:row r="816" ht="23" customHeight="1">
      <x:c r="A816" s="8" t="str">
        <x:v>Hermitage Park Pond</x:v>
      </x:c>
      <x:c r="B816" s="8" t="str">
        <x:v>6791</x:v>
      </x:c>
      <x:c r="C816" s="17" t="n">
        <x:v>2026</x:v>
      </x:c>
      <x:c r="D816" s="8" t="str">
        <x:v>RAINBOW TROUT</x:v>
      </x:c>
      <x:c r="E816" s="13" t="n">
        <x:f>SUMIFS('Stocking details'!$F$6:$F$3307,'Stocking details'!$I$6:$I$3307,G816)</x:f>
        <x:v>4695</x:v>
      </x:c>
      <x:c r="F816" s="13" t="n">
        <x:f>COUNTIFS('Stocking details'!$I$6:$I$3307,G816)</x:f>
        <x:v>3</x:v>
      </x:c>
      <x:c r="G816" s="8" t="str">
        <x:f>B816&amp;" / "&amp;C816&amp;" / "&amp;D816</x:f>
        <x:v>6791 / 2026 / RAINBOW TROUT</x:v>
      </x:c>
    </x:row>
    <x:row r="817" ht="23" customHeight="1">
      <x:c r="A817" s="8" t="str">
        <x:v>Hermitage Park Pond</x:v>
      </x:c>
      <x:c r="B817" s="8" t="str">
        <x:v>6791</x:v>
      </x:c>
      <x:c r="C817" s="17" t="n">
        <x:v>2025</x:v>
      </x:c>
      <x:c r="D817" s="8" t="str">
        <x:v>BROWN TROUT</x:v>
      </x:c>
      <x:c r="E817" s="13" t="n">
        <x:f>SUMIFS('Stocking details'!$F$6:$F$3307,'Stocking details'!$I$6:$I$3307,G817)</x:f>
        <x:v>300</x:v>
      </x:c>
      <x:c r="F817" s="13" t="n">
        <x:f>COUNTIFS('Stocking details'!$I$6:$I$3307,G817)</x:f>
        <x:v>1</x:v>
      </x:c>
      <x:c r="G817" s="8" t="str">
        <x:f>B817&amp;" / "&amp;C817&amp;" / "&amp;D817</x:f>
        <x:v>6791 / 2025 / BROWN TROUT</x:v>
      </x:c>
    </x:row>
    <x:row r="818" ht="23" customHeight="1">
      <x:c r="A818" s="8" t="str">
        <x:v>Hermitage Park Pond</x:v>
      </x:c>
      <x:c r="B818" s="8" t="str">
        <x:v>6791</x:v>
      </x:c>
      <x:c r="C818" s="17" t="n">
        <x:v>2025</x:v>
      </x:c>
      <x:c r="D818" s="8" t="str">
        <x:v>RAINBOW TROUT</x:v>
      </x:c>
      <x:c r="E818" s="13" t="n">
        <x:f>SUMIFS('Stocking details'!$F$6:$F$3307,'Stocking details'!$I$6:$I$3307,G818)</x:f>
        <x:v>4695</x:v>
      </x:c>
      <x:c r="F818" s="13" t="n">
        <x:f>COUNTIFS('Stocking details'!$I$6:$I$3307,G818)</x:f>
        <x:v>3</x:v>
      </x:c>
      <x:c r="G818" s="8" t="str">
        <x:f>B818&amp;" / "&amp;C818&amp;" / "&amp;D818</x:f>
        <x:v>6791 / 2025 / RAINBOW TROUT</x:v>
      </x:c>
    </x:row>
    <x:row r="819" ht="23" customHeight="1">
      <x:c r="A819" s="8" t="str">
        <x:v>Hermitage Park Pond</x:v>
      </x:c>
      <x:c r="B819" s="8" t="str">
        <x:v>6791</x:v>
      </x:c>
      <x:c r="C819" s="17" t="n">
        <x:v>2024</x:v>
      </x:c>
      <x:c r="D819" s="8" t="str">
        <x:v>BROWN TROUT</x:v>
      </x:c>
      <x:c r="E819" s="13" t="n">
        <x:f>SUMIFS('Stocking details'!$F$6:$F$3307,'Stocking details'!$I$6:$I$3307,G819)</x:f>
        <x:v>300</x:v>
      </x:c>
      <x:c r="F819" s="13" t="n">
        <x:f>COUNTIFS('Stocking details'!$I$6:$I$3307,G819)</x:f>
        <x:v>1</x:v>
      </x:c>
      <x:c r="G819" s="8" t="str">
        <x:f>B819&amp;" / "&amp;C819&amp;" / "&amp;D819</x:f>
        <x:v>6791 / 2024 / BROWN TROUT</x:v>
      </x:c>
    </x:row>
    <x:row r="820" ht="23" customHeight="1">
      <x:c r="A820" s="8" t="str">
        <x:v>Hermitage Park Pond</x:v>
      </x:c>
      <x:c r="B820" s="8" t="str">
        <x:v>6791</x:v>
      </x:c>
      <x:c r="C820" s="17" t="n">
        <x:v>2024</x:v>
      </x:c>
      <x:c r="D820" s="8" t="str">
        <x:v>RAINBOW TROUT</x:v>
      </x:c>
      <x:c r="E820" s="13" t="n">
        <x:f>SUMIFS('Stocking details'!$F$6:$F$3307,'Stocking details'!$I$6:$I$3307,G820)</x:f>
        <x:v>3495</x:v>
      </x:c>
      <x:c r="F820" s="13" t="n">
        <x:f>COUNTIFS('Stocking details'!$I$6:$I$3307,G820)</x:f>
        <x:v>3</x:v>
      </x:c>
      <x:c r="G820" s="8" t="str">
        <x:f>B820&amp;" / "&amp;C820&amp;" / "&amp;D820</x:f>
        <x:v>6791 / 2024 / RAINBOW TROUT</x:v>
      </x:c>
    </x:row>
    <x:row r="821" ht="23" customHeight="1">
      <x:c r="A821" s="8" t="str">
        <x:v>Hermitage Park Pond</x:v>
      </x:c>
      <x:c r="B821" s="8" t="str">
        <x:v>6791</x:v>
      </x:c>
      <x:c r="C821" s="17" t="n">
        <x:v>2023</x:v>
      </x:c>
      <x:c r="D821" s="8" t="str">
        <x:v>BROWN TROUT</x:v>
      </x:c>
      <x:c r="E821" s="13" t="n">
        <x:f>SUMIFS('Stocking details'!$F$6:$F$3307,'Stocking details'!$I$6:$I$3307,G821)</x:f>
        <x:v>300</x:v>
      </x:c>
      <x:c r="F821" s="13" t="n">
        <x:f>COUNTIFS('Stocking details'!$I$6:$I$3307,G821)</x:f>
        <x:v>1</x:v>
      </x:c>
      <x:c r="G821" s="8" t="str">
        <x:f>B821&amp;" / "&amp;C821&amp;" / "&amp;D821</x:f>
        <x:v>6791 / 2023 / BROWN TROUT</x:v>
      </x:c>
    </x:row>
    <x:row r="822" ht="23" customHeight="1">
      <x:c r="A822" s="8" t="str">
        <x:v>Hermitage Park Pond</x:v>
      </x:c>
      <x:c r="B822" s="8" t="str">
        <x:v>6791</x:v>
      </x:c>
      <x:c r="C822" s="17" t="n">
        <x:v>2023</x:v>
      </x:c>
      <x:c r="D822" s="8" t="str">
        <x:v>RAINBOW TROUT</x:v>
      </x:c>
      <x:c r="E822" s="13" t="n">
        <x:f>SUMIFS('Stocking details'!$F$6:$F$3307,'Stocking details'!$I$6:$I$3307,G822)</x:f>
        <x:v>3650</x:v>
      </x:c>
      <x:c r="F822" s="13" t="n">
        <x:f>COUNTIFS('Stocking details'!$I$6:$I$3307,G822)</x:f>
        <x:v>2</x:v>
      </x:c>
      <x:c r="G822" s="8" t="str">
        <x:f>B822&amp;" / "&amp;C822&amp;" / "&amp;D822</x:f>
        <x:v>6791 / 2023 / RAINBOW TROUT</x:v>
      </x:c>
    </x:row>
    <x:row r="823" ht="23" customHeight="1">
      <x:c r="A823" s="8" t="str">
        <x:v>Hermitage Park Pond</x:v>
      </x:c>
      <x:c r="B823" s="8" t="str">
        <x:v>6791</x:v>
      </x:c>
      <x:c r="C823" s="17" t="n">
        <x:v>2022</x:v>
      </x:c>
      <x:c r="D823" s="8" t="str">
        <x:v>BROWN TROUT</x:v>
      </x:c>
      <x:c r="E823" s="13" t="n">
        <x:f>SUMIFS('Stocking details'!$F$6:$F$3307,'Stocking details'!$I$6:$I$3307,G823)</x:f>
        <x:v>300</x:v>
      </x:c>
      <x:c r="F823" s="13" t="n">
        <x:f>COUNTIFS('Stocking details'!$I$6:$I$3307,G823)</x:f>
        <x:v>1</x:v>
      </x:c>
      <x:c r="G823" s="8" t="str">
        <x:f>B823&amp;" / "&amp;C823&amp;" / "&amp;D823</x:f>
        <x:v>6791 / 2022 / BROWN TROUT</x:v>
      </x:c>
    </x:row>
    <x:row r="824" ht="23" customHeight="1">
      <x:c r="A824" s="8" t="str">
        <x:v>Hermitage Park Pond</x:v>
      </x:c>
      <x:c r="B824" s="8" t="str">
        <x:v>6791</x:v>
      </x:c>
      <x:c r="C824" s="17" t="n">
        <x:v>2022</x:v>
      </x:c>
      <x:c r="D824" s="8" t="str">
        <x:v>RAINBOW TROUT</x:v>
      </x:c>
      <x:c r="E824" s="13" t="n">
        <x:f>SUMIFS('Stocking details'!$F$6:$F$3307,'Stocking details'!$I$6:$I$3307,G824)</x:f>
        <x:v>3650</x:v>
      </x:c>
      <x:c r="F824" s="13" t="n">
        <x:f>COUNTIFS('Stocking details'!$I$6:$I$3307,G824)</x:f>
        <x:v>2</x:v>
      </x:c>
      <x:c r="G824" s="8" t="str">
        <x:f>B824&amp;" / "&amp;C824&amp;" / "&amp;D824</x:f>
        <x:v>6791 / 2022 / RAINBOW TROUT</x:v>
      </x:c>
    </x:row>
    <x:row r="825" ht="23" customHeight="1">
      <x:c r="A825" s="8" t="str">
        <x:v>Hermitage Park Pond</x:v>
      </x:c>
      <x:c r="B825" s="8" t="str">
        <x:v>6791</x:v>
      </x:c>
      <x:c r="C825" s="17" t="n">
        <x:v>2021</x:v>
      </x:c>
      <x:c r="D825" s="8" t="str">
        <x:v>BROWN TROUT</x:v>
      </x:c>
      <x:c r="E825" s="13" t="n">
        <x:f>SUMIFS('Stocking details'!$F$6:$F$3307,'Stocking details'!$I$6:$I$3307,G825)</x:f>
        <x:v>300</x:v>
      </x:c>
      <x:c r="F825" s="13" t="n">
        <x:f>COUNTIFS('Stocking details'!$I$6:$I$3307,G825)</x:f>
        <x:v>1</x:v>
      </x:c>
      <x:c r="G825" s="8" t="str">
        <x:f>B825&amp;" / "&amp;C825&amp;" / "&amp;D825</x:f>
        <x:v>6791 / 2021 / BROWN TROUT</x:v>
      </x:c>
    </x:row>
    <x:row r="826" ht="23" customHeight="1">
      <x:c r="A826" s="8" t="str">
        <x:v>Hermitage Park Pond</x:v>
      </x:c>
      <x:c r="B826" s="8" t="str">
        <x:v>6791</x:v>
      </x:c>
      <x:c r="C826" s="17" t="n">
        <x:v>2021</x:v>
      </x:c>
      <x:c r="D826" s="8" t="str">
        <x:v>RAINBOW TROUT</x:v>
      </x:c>
      <x:c r="E826" s="13" t="n">
        <x:f>SUMIFS('Stocking details'!$F$6:$F$3307,'Stocking details'!$I$6:$I$3307,G826)</x:f>
        <x:v>2395</x:v>
      </x:c>
      <x:c r="F826" s="13" t="n">
        <x:f>COUNTIFS('Stocking details'!$I$6:$I$3307,G826)</x:f>
        <x:v>1</x:v>
      </x:c>
      <x:c r="G826" s="8" t="str">
        <x:f>B826&amp;" / "&amp;C826&amp;" / "&amp;D826</x:f>
        <x:v>6791 / 2021 / RAINBOW TROUT</x:v>
      </x:c>
    </x:row>
    <x:row r="827" ht="23" customHeight="1">
      <x:c r="A827" s="8" t="str">
        <x:v>High Level Town Pond</x:v>
      </x:c>
      <x:c r="B827" s="8" t="str">
        <x:v>26431</x:v>
      </x:c>
      <x:c r="C827" s="17" t="n">
        <x:v>2026</x:v>
      </x:c>
      <x:c r="D827" s="8" t="str">
        <x:v>RAINBOW TROUT</x:v>
      </x:c>
      <x:c r="E827" s="13" t="n">
        <x:f>SUMIFS('Stocking details'!$F$6:$F$3307,'Stocking details'!$I$6:$I$3307,G827)</x:f>
        <x:v>500</x:v>
      </x:c>
      <x:c r="F827" s="13" t="n">
        <x:f>COUNTIFS('Stocking details'!$I$6:$I$3307,G827)</x:f>
        <x:v>1</x:v>
      </x:c>
      <x:c r="G827" s="8" t="str">
        <x:f>B827&amp;" / "&amp;C827&amp;" / "&amp;D827</x:f>
        <x:v>26431 / 2026 / RAINBOW TROUT</x:v>
      </x:c>
    </x:row>
    <x:row r="828" ht="23" customHeight="1">
      <x:c r="A828" s="8" t="str">
        <x:v>High Level Town Pond</x:v>
      </x:c>
      <x:c r="B828" s="8" t="str">
        <x:v>26431</x:v>
      </x:c>
      <x:c r="C828" s="17" t="n">
        <x:v>2025</x:v>
      </x:c>
      <x:c r="D828" s="8" t="str">
        <x:v>RAINBOW TROUT</x:v>
      </x:c>
      <x:c r="E828" s="13" t="n">
        <x:f>SUMIFS('Stocking details'!$F$6:$F$3307,'Stocking details'!$I$6:$I$3307,G828)</x:f>
        <x:v>500</x:v>
      </x:c>
      <x:c r="F828" s="13" t="n">
        <x:f>COUNTIFS('Stocking details'!$I$6:$I$3307,G828)</x:f>
        <x:v>1</x:v>
      </x:c>
      <x:c r="G828" s="8" t="str">
        <x:f>B828&amp;" / "&amp;C828&amp;" / "&amp;D828</x:f>
        <x:v>26431 / 2025 / RAINBOW TROUT</x:v>
      </x:c>
    </x:row>
    <x:row r="829" ht="23" customHeight="1">
      <x:c r="A829" s="8" t="str">
        <x:v>High Level Town Pond</x:v>
      </x:c>
      <x:c r="B829" s="8" t="str">
        <x:v>26431</x:v>
      </x:c>
      <x:c r="C829" s="17" t="n">
        <x:v>2021</x:v>
      </x:c>
      <x:c r="D829" s="8" t="str">
        <x:v>RAINBOW TROUT</x:v>
      </x:c>
      <x:c r="E829" s="13" t="n">
        <x:f>SUMIFS('Stocking details'!$F$6:$F$3307,'Stocking details'!$I$6:$I$3307,G829)</x:f>
        <x:v>500</x:v>
      </x:c>
      <x:c r="F829" s="13" t="n">
        <x:f>COUNTIFS('Stocking details'!$I$6:$I$3307,G829)</x:f>
        <x:v>1</x:v>
      </x:c>
      <x:c r="G829" s="8" t="str">
        <x:f>B829&amp;" / "&amp;C829&amp;" / "&amp;D829</x:f>
        <x:v>26431 / 2021 / RAINBOW TROUT</x:v>
      </x:c>
    </x:row>
    <x:row r="830" ht="23" customHeight="1">
      <x:c r="A830" s="8" t="str">
        <x:v>Highway 40 Pond</x:v>
      </x:c>
      <x:c r="B830" s="8" t="str">
        <x:v>6794</x:v>
      </x:c>
      <x:c r="C830" s="17" t="n">
        <x:v>2026</x:v>
      </x:c>
      <x:c r="D830" s="8" t="str">
        <x:v>RAINBOW TROUT</x:v>
      </x:c>
      <x:c r="E830" s="13" t="n">
        <x:f>SUMIFS('Stocking details'!$F$6:$F$3307,'Stocking details'!$I$6:$I$3307,G830)</x:f>
        <x:v>1000</x:v>
      </x:c>
      <x:c r="F830" s="13" t="n">
        <x:f>COUNTIFS('Stocking details'!$I$6:$I$3307,G830)</x:f>
        <x:v>1</x:v>
      </x:c>
      <x:c r="G830" s="8" t="str">
        <x:f>B830&amp;" / "&amp;C830&amp;" / "&amp;D830</x:f>
        <x:v>6794 / 2026 / RAINBOW TROUT</x:v>
      </x:c>
    </x:row>
    <x:row r="831" ht="23" customHeight="1">
      <x:c r="A831" s="8" t="str">
        <x:v>Highway 40 Pond</x:v>
      </x:c>
      <x:c r="B831" s="8" t="str">
        <x:v>6794</x:v>
      </x:c>
      <x:c r="C831" s="17" t="n">
        <x:v>2025</x:v>
      </x:c>
      <x:c r="D831" s="8" t="str">
        <x:v>RAINBOW TROUT</x:v>
      </x:c>
      <x:c r="E831" s="13" t="n">
        <x:f>SUMIFS('Stocking details'!$F$6:$F$3307,'Stocking details'!$I$6:$I$3307,G831)</x:f>
        <x:v>1000</x:v>
      </x:c>
      <x:c r="F831" s="13" t="n">
        <x:f>COUNTIFS('Stocking details'!$I$6:$I$3307,G831)</x:f>
        <x:v>1</x:v>
      </x:c>
      <x:c r="G831" s="8" t="str">
        <x:f>B831&amp;" / "&amp;C831&amp;" / "&amp;D831</x:f>
        <x:v>6794 / 2025 / RAINBOW TROUT</x:v>
      </x:c>
    </x:row>
    <x:row r="832" ht="23" customHeight="1">
      <x:c r="A832" s="8" t="str">
        <x:v>Highway 40 Pond</x:v>
      </x:c>
      <x:c r="B832" s="8" t="str">
        <x:v>6794</x:v>
      </x:c>
      <x:c r="C832" s="17" t="n">
        <x:v>2024</x:v>
      </x:c>
      <x:c r="D832" s="8" t="str">
        <x:v>RAINBOW TROUT</x:v>
      </x:c>
      <x:c r="E832" s="13" t="n">
        <x:f>SUMIFS('Stocking details'!$F$6:$F$3307,'Stocking details'!$I$6:$I$3307,G832)</x:f>
        <x:v>500</x:v>
      </x:c>
      <x:c r="F832" s="13" t="n">
        <x:f>COUNTIFS('Stocking details'!$I$6:$I$3307,G832)</x:f>
        <x:v>1</x:v>
      </x:c>
      <x:c r="G832" s="8" t="str">
        <x:f>B832&amp;" / "&amp;C832&amp;" / "&amp;D832</x:f>
        <x:v>6794 / 2024 / RAINBOW TROUT</x:v>
      </x:c>
    </x:row>
    <x:row r="833" ht="23" customHeight="1">
      <x:c r="A833" s="8" t="str">
        <x:v>Highway 40 Pond</x:v>
      </x:c>
      <x:c r="B833" s="8" t="str">
        <x:v>6794</x:v>
      </x:c>
      <x:c r="C833" s="17" t="n">
        <x:v>2023</x:v>
      </x:c>
      <x:c r="D833" s="8" t="str">
        <x:v>RAINBOW TROUT</x:v>
      </x:c>
      <x:c r="E833" s="13" t="n">
        <x:f>SUMIFS('Stocking details'!$F$6:$F$3307,'Stocking details'!$I$6:$I$3307,G833)</x:f>
        <x:v>502</x:v>
      </x:c>
      <x:c r="F833" s="13" t="n">
        <x:f>COUNTIFS('Stocking details'!$I$6:$I$3307,G833)</x:f>
        <x:v>1</x:v>
      </x:c>
      <x:c r="G833" s="8" t="str">
        <x:f>B833&amp;" / "&amp;C833&amp;" / "&amp;D833</x:f>
        <x:v>6794 / 2023 / RAINBOW TROUT</x:v>
      </x:c>
    </x:row>
    <x:row r="834" ht="23" customHeight="1">
      <x:c r="A834" s="8" t="str">
        <x:v>Highway 40 Pond</x:v>
      </x:c>
      <x:c r="B834" s="8" t="str">
        <x:v>6794</x:v>
      </x:c>
      <x:c r="C834" s="17" t="n">
        <x:v>2022</x:v>
      </x:c>
      <x:c r="D834" s="8" t="str">
        <x:v>RAINBOW TROUT</x:v>
      </x:c>
      <x:c r="E834" s="13" t="n">
        <x:f>SUMIFS('Stocking details'!$F$6:$F$3307,'Stocking details'!$I$6:$I$3307,G834)</x:f>
        <x:v>1000</x:v>
      </x:c>
      <x:c r="F834" s="13" t="n">
        <x:f>COUNTIFS('Stocking details'!$I$6:$I$3307,G834)</x:f>
        <x:v>1</x:v>
      </x:c>
      <x:c r="G834" s="8" t="str">
        <x:f>B834&amp;" / "&amp;C834&amp;" / "&amp;D834</x:f>
        <x:v>6794 / 2022 / RAINBOW TROUT</x:v>
      </x:c>
    </x:row>
    <x:row r="835" ht="23" customHeight="1">
      <x:c r="A835" s="8" t="str">
        <x:v>Highway 40 Pond</x:v>
      </x:c>
      <x:c r="B835" s="8" t="str">
        <x:v>6794</x:v>
      </x:c>
      <x:c r="C835" s="17" t="n">
        <x:v>2021</x:v>
      </x:c>
      <x:c r="D835" s="8" t="str">
        <x:v>RAINBOW TROUT</x:v>
      </x:c>
      <x:c r="E835" s="13" t="n">
        <x:f>SUMIFS('Stocking details'!$F$6:$F$3307,'Stocking details'!$I$6:$I$3307,G835)</x:f>
        <x:v>500</x:v>
      </x:c>
      <x:c r="F835" s="13" t="n">
        <x:f>COUNTIFS('Stocking details'!$I$6:$I$3307,G835)</x:f>
        <x:v>1</x:v>
      </x:c>
      <x:c r="G835" s="8" t="str">
        <x:f>B835&amp;" / "&amp;C835&amp;" / "&amp;D835</x:f>
        <x:v>6794 / 2021 / RAINBOW TROUT</x:v>
      </x:c>
    </x:row>
    <x:row r="836" ht="23" customHeight="1">
      <x:c r="A836" s="8" t="str">
        <x:v>Highway 63 Pond</x:v>
      </x:c>
      <x:c r="B836" s="8" t="str">
        <x:v>6668</x:v>
      </x:c>
      <x:c r="C836" s="17" t="n">
        <x:v>2026</x:v>
      </x:c>
      <x:c r="D836" s="8" t="str">
        <x:v>RAINBOW TROUT</x:v>
      </x:c>
      <x:c r="E836" s="13" t="n">
        <x:f>SUMIFS('Stocking details'!$F$6:$F$3307,'Stocking details'!$I$6:$I$3307,G836)</x:f>
        <x:v>1000</x:v>
      </x:c>
      <x:c r="F836" s="13" t="n">
        <x:f>COUNTIFS('Stocking details'!$I$6:$I$3307,G836)</x:f>
        <x:v>1</x:v>
      </x:c>
      <x:c r="G836" s="8" t="str">
        <x:f>B836&amp;" / "&amp;C836&amp;" / "&amp;D836</x:f>
        <x:v>6668 / 2026 / RAINBOW TROUT</x:v>
      </x:c>
    </x:row>
    <x:row r="837" ht="23" customHeight="1">
      <x:c r="A837" s="8" t="str">
        <x:v>Highway 63 Pond</x:v>
      </x:c>
      <x:c r="B837" s="8" t="str">
        <x:v>6668</x:v>
      </x:c>
      <x:c r="C837" s="17" t="n">
        <x:v>2025</x:v>
      </x:c>
      <x:c r="D837" s="8" t="str">
        <x:v>RAINBOW TROUT</x:v>
      </x:c>
      <x:c r="E837" s="13" t="n">
        <x:f>SUMIFS('Stocking details'!$F$6:$F$3307,'Stocking details'!$I$6:$I$3307,G837)</x:f>
        <x:v>1000</x:v>
      </x:c>
      <x:c r="F837" s="13" t="n">
        <x:f>COUNTIFS('Stocking details'!$I$6:$I$3307,G837)</x:f>
        <x:v>1</x:v>
      </x:c>
      <x:c r="G837" s="8" t="str">
        <x:f>B837&amp;" / "&amp;C837&amp;" / "&amp;D837</x:f>
        <x:v>6668 / 2025 / RAINBOW TROUT</x:v>
      </x:c>
    </x:row>
    <x:row r="838" ht="23" customHeight="1">
      <x:c r="A838" s="8" t="str">
        <x:v>Highway 63 Pond</x:v>
      </x:c>
      <x:c r="B838" s="8" t="str">
        <x:v>6668</x:v>
      </x:c>
      <x:c r="C838" s="17" t="n">
        <x:v>2024</x:v>
      </x:c>
      <x:c r="D838" s="8" t="str">
        <x:v>RAINBOW TROUT</x:v>
      </x:c>
      <x:c r="E838" s="13" t="n">
        <x:f>SUMIFS('Stocking details'!$F$6:$F$3307,'Stocking details'!$I$6:$I$3307,G838)</x:f>
        <x:v>400</x:v>
      </x:c>
      <x:c r="F838" s="13" t="n">
        <x:f>COUNTIFS('Stocking details'!$I$6:$I$3307,G838)</x:f>
        <x:v>1</x:v>
      </x:c>
      <x:c r="G838" s="8" t="str">
        <x:f>B838&amp;" / "&amp;C838&amp;" / "&amp;D838</x:f>
        <x:v>6668 / 2024 / RAINBOW TROUT</x:v>
      </x:c>
    </x:row>
    <x:row r="839" ht="23" customHeight="1">
      <x:c r="A839" s="8" t="str">
        <x:v>Highway 63 Pond</x:v>
      </x:c>
      <x:c r="B839" s="8" t="str">
        <x:v>6668</x:v>
      </x:c>
      <x:c r="C839" s="17" t="n">
        <x:v>2023</x:v>
      </x:c>
      <x:c r="D839" s="8" t="str">
        <x:v>RAINBOW TROUT</x:v>
      </x:c>
      <x:c r="E839" s="13" t="n">
        <x:f>SUMIFS('Stocking details'!$F$6:$F$3307,'Stocking details'!$I$6:$I$3307,G839)</x:f>
        <x:v>399</x:v>
      </x:c>
      <x:c r="F839" s="13" t="n">
        <x:f>COUNTIFS('Stocking details'!$I$6:$I$3307,G839)</x:f>
        <x:v>1</x:v>
      </x:c>
      <x:c r="G839" s="8" t="str">
        <x:f>B839&amp;" / "&amp;C839&amp;" / "&amp;D839</x:f>
        <x:v>6668 / 2023 / RAINBOW TROUT</x:v>
      </x:c>
    </x:row>
    <x:row r="840" ht="23" customHeight="1">
      <x:c r="A840" s="8" t="str">
        <x:v>Highway 63 Pond</x:v>
      </x:c>
      <x:c r="B840" s="8" t="str">
        <x:v>6668</x:v>
      </x:c>
      <x:c r="C840" s="17" t="n">
        <x:v>2022</x:v>
      </x:c>
      <x:c r="D840" s="8" t="str">
        <x:v>RAINBOW TROUT</x:v>
      </x:c>
      <x:c r="E840" s="13" t="n">
        <x:f>SUMIFS('Stocking details'!$F$6:$F$3307,'Stocking details'!$I$6:$I$3307,G840)</x:f>
        <x:v>1000</x:v>
      </x:c>
      <x:c r="F840" s="13" t="n">
        <x:f>COUNTIFS('Stocking details'!$I$6:$I$3307,G840)</x:f>
        <x:v>1</x:v>
      </x:c>
      <x:c r="G840" s="8" t="str">
        <x:f>B840&amp;" / "&amp;C840&amp;" / "&amp;D840</x:f>
        <x:v>6668 / 2022 / RAINBOW TROUT</x:v>
      </x:c>
    </x:row>
    <x:row r="841" ht="23" customHeight="1">
      <x:c r="A841" s="8" t="str">
        <x:v>Highway 63 Pond</x:v>
      </x:c>
      <x:c r="B841" s="8" t="str">
        <x:v>6668</x:v>
      </x:c>
      <x:c r="C841" s="17" t="n">
        <x:v>2021</x:v>
      </x:c>
      <x:c r="D841" s="8" t="str">
        <x:v>RAINBOW TROUT</x:v>
      </x:c>
      <x:c r="E841" s="13" t="n">
        <x:f>SUMIFS('Stocking details'!$F$6:$F$3307,'Stocking details'!$I$6:$I$3307,G841)</x:f>
        <x:v>1000</x:v>
      </x:c>
      <x:c r="F841" s="13" t="n">
        <x:f>COUNTIFS('Stocking details'!$I$6:$I$3307,G841)</x:f>
        <x:v>1</x:v>
      </x:c>
      <x:c r="G841" s="8" t="str">
        <x:f>B841&amp;" / "&amp;C841&amp;" / "&amp;D841</x:f>
        <x:v>6668 / 2021 / RAINBOW TROUT</x:v>
      </x:c>
    </x:row>
    <x:row r="842" ht="23" customHeight="1">
      <x:c r="A842" s="8" t="str">
        <x:v>Highway 686 Pond</x:v>
      </x:c>
      <x:c r="B842" s="8" t="str">
        <x:v>6795</x:v>
      </x:c>
      <x:c r="C842" s="17" t="n">
        <x:v>2026</x:v>
      </x:c>
      <x:c r="D842" s="8" t="str">
        <x:v>RAINBOW TROUT</x:v>
      </x:c>
      <x:c r="E842" s="13" t="n">
        <x:f>SUMIFS('Stocking details'!$F$6:$F$3307,'Stocking details'!$I$6:$I$3307,G842)</x:f>
        <x:v>500</x:v>
      </x:c>
      <x:c r="F842" s="13" t="n">
        <x:f>COUNTIFS('Stocking details'!$I$6:$I$3307,G842)</x:f>
        <x:v>1</x:v>
      </x:c>
      <x:c r="G842" s="8" t="str">
        <x:f>B842&amp;" / "&amp;C842&amp;" / "&amp;D842</x:f>
        <x:v>6795 / 2026 / RAINBOW TROUT</x:v>
      </x:c>
    </x:row>
    <x:row r="843" ht="23" customHeight="1">
      <x:c r="A843" s="8" t="str">
        <x:v>Highway 686 Pond</x:v>
      </x:c>
      <x:c r="B843" s="8" t="str">
        <x:v>6795</x:v>
      </x:c>
      <x:c r="C843" s="17" t="n">
        <x:v>2025</x:v>
      </x:c>
      <x:c r="D843" s="8" t="str">
        <x:v>RAINBOW TROUT</x:v>
      </x:c>
      <x:c r="E843" s="13" t="n">
        <x:f>SUMIFS('Stocking details'!$F$6:$F$3307,'Stocking details'!$I$6:$I$3307,G843)</x:f>
        <x:v>500</x:v>
      </x:c>
      <x:c r="F843" s="13" t="n">
        <x:f>COUNTIFS('Stocking details'!$I$6:$I$3307,G843)</x:f>
        <x:v>1</x:v>
      </x:c>
      <x:c r="G843" s="8" t="str">
        <x:f>B843&amp;" / "&amp;C843&amp;" / "&amp;D843</x:f>
        <x:v>6795 / 2025 / RAINBOW TROUT</x:v>
      </x:c>
    </x:row>
    <x:row r="844" ht="23" customHeight="1">
      <x:c r="A844" s="8" t="str">
        <x:v>Highway 686 Pond</x:v>
      </x:c>
      <x:c r="B844" s="8" t="str">
        <x:v>6795</x:v>
      </x:c>
      <x:c r="C844" s="17" t="n">
        <x:v>2024</x:v>
      </x:c>
      <x:c r="D844" s="8" t="str">
        <x:v>RAINBOW TROUT</x:v>
      </x:c>
      <x:c r="E844" s="13" t="n">
        <x:f>SUMIFS('Stocking details'!$F$6:$F$3307,'Stocking details'!$I$6:$I$3307,G844)</x:f>
        <x:v>250</x:v>
      </x:c>
      <x:c r="F844" s="13" t="n">
        <x:f>COUNTIFS('Stocking details'!$I$6:$I$3307,G844)</x:f>
        <x:v>1</x:v>
      </x:c>
      <x:c r="G844" s="8" t="str">
        <x:f>B844&amp;" / "&amp;C844&amp;" / "&amp;D844</x:f>
        <x:v>6795 / 2024 / RAINBOW TROUT</x:v>
      </x:c>
    </x:row>
    <x:row r="845" ht="23" customHeight="1">
      <x:c r="A845" s="8" t="str">
        <x:v>Highway 686 Pond</x:v>
      </x:c>
      <x:c r="B845" s="8" t="str">
        <x:v>6795</x:v>
      </x:c>
      <x:c r="C845" s="17" t="n">
        <x:v>2023</x:v>
      </x:c>
      <x:c r="D845" s="8" t="str">
        <x:v>RAINBOW TROUT</x:v>
      </x:c>
      <x:c r="E845" s="13" t="n">
        <x:f>SUMIFS('Stocking details'!$F$6:$F$3307,'Stocking details'!$I$6:$I$3307,G845)</x:f>
        <x:v>251</x:v>
      </x:c>
      <x:c r="F845" s="13" t="n">
        <x:f>COUNTIFS('Stocking details'!$I$6:$I$3307,G845)</x:f>
        <x:v>1</x:v>
      </x:c>
      <x:c r="G845" s="8" t="str">
        <x:f>B845&amp;" / "&amp;C845&amp;" / "&amp;D845</x:f>
        <x:v>6795 / 2023 / RAINBOW TROUT</x:v>
      </x:c>
    </x:row>
    <x:row r="846" ht="23" customHeight="1">
      <x:c r="A846" s="8" t="str">
        <x:v>Highway 686 Pond</x:v>
      </x:c>
      <x:c r="B846" s="8" t="str">
        <x:v>6795</x:v>
      </x:c>
      <x:c r="C846" s="17" t="n">
        <x:v>2022</x:v>
      </x:c>
      <x:c r="D846" s="8" t="str">
        <x:v>RAINBOW TROUT</x:v>
      </x:c>
      <x:c r="E846" s="13" t="n">
        <x:f>SUMIFS('Stocking details'!$F$6:$F$3307,'Stocking details'!$I$6:$I$3307,G846)</x:f>
        <x:v>500</x:v>
      </x:c>
      <x:c r="F846" s="13" t="n">
        <x:f>COUNTIFS('Stocking details'!$I$6:$I$3307,G846)</x:f>
        <x:v>1</x:v>
      </x:c>
      <x:c r="G846" s="8" t="str">
        <x:f>B846&amp;" / "&amp;C846&amp;" / "&amp;D846</x:f>
        <x:v>6795 / 2022 / RAINBOW TROUT</x:v>
      </x:c>
    </x:row>
    <x:row r="847" ht="23" customHeight="1">
      <x:c r="A847" s="8" t="str">
        <x:v>Highway 686 Pond</x:v>
      </x:c>
      <x:c r="B847" s="8" t="str">
        <x:v>6795</x:v>
      </x:c>
      <x:c r="C847" s="17" t="n">
        <x:v>2021</x:v>
      </x:c>
      <x:c r="D847" s="8" t="str">
        <x:v>RAINBOW TROUT</x:v>
      </x:c>
      <x:c r="E847" s="13" t="n">
        <x:f>SUMIFS('Stocking details'!$F$6:$F$3307,'Stocking details'!$I$6:$I$3307,G847)</x:f>
        <x:v>500</x:v>
      </x:c>
      <x:c r="F847" s="13" t="n">
        <x:f>COUNTIFS('Stocking details'!$I$6:$I$3307,G847)</x:f>
        <x:v>1</x:v>
      </x:c>
      <x:c r="G847" s="8" t="str">
        <x:f>B847&amp;" / "&amp;C847&amp;" / "&amp;D847</x:f>
        <x:v>6795 / 2021 / RAINBOW TROUT</x:v>
      </x:c>
    </x:row>
    <x:row r="848" ht="23" customHeight="1">
      <x:c r="A848" s="8" t="str">
        <x:v>Hiller's Reservoir</x:v>
      </x:c>
      <x:c r="B848" s="8" t="str">
        <x:v>6796</x:v>
      </x:c>
      <x:c r="C848" s="17" t="n">
        <x:v>2026</x:v>
      </x:c>
      <x:c r="D848" s="8" t="str">
        <x:v>RAINBOW TROUT</x:v>
      </x:c>
      <x:c r="E848" s="13" t="n">
        <x:f>SUMIFS('Stocking details'!$F$6:$F$3307,'Stocking details'!$I$6:$I$3307,G848)</x:f>
        <x:v>7500</x:v>
      </x:c>
      <x:c r="F848" s="13" t="n">
        <x:f>COUNTIFS('Stocking details'!$I$6:$I$3307,G848)</x:f>
        <x:v>1</x:v>
      </x:c>
      <x:c r="G848" s="8" t="str">
        <x:f>B848&amp;" / "&amp;C848&amp;" / "&amp;D848</x:f>
        <x:v>6796 / 2026 / RAINBOW TROUT</x:v>
      </x:c>
    </x:row>
    <x:row r="849" ht="23" customHeight="1">
      <x:c r="A849" s="8" t="str">
        <x:v>Hiller's Reservoir</x:v>
      </x:c>
      <x:c r="B849" s="8" t="str">
        <x:v>6796</x:v>
      </x:c>
      <x:c r="C849" s="17" t="n">
        <x:v>2025</x:v>
      </x:c>
      <x:c r="D849" s="8" t="str">
        <x:v>RAINBOW TROUT</x:v>
      </x:c>
      <x:c r="E849" s="13" t="n">
        <x:f>SUMIFS('Stocking details'!$F$6:$F$3307,'Stocking details'!$I$6:$I$3307,G849)</x:f>
        <x:v>7500</x:v>
      </x:c>
      <x:c r="F849" s="13" t="n">
        <x:f>COUNTIFS('Stocking details'!$I$6:$I$3307,G849)</x:f>
        <x:v>1</x:v>
      </x:c>
      <x:c r="G849" s="8" t="str">
        <x:f>B849&amp;" / "&amp;C849&amp;" / "&amp;D849</x:f>
        <x:v>6796 / 2025 / RAINBOW TROUT</x:v>
      </x:c>
    </x:row>
    <x:row r="850" ht="23" customHeight="1">
      <x:c r="A850" s="8" t="str">
        <x:v>Hiller's Reservoir</x:v>
      </x:c>
      <x:c r="B850" s="8" t="str">
        <x:v>6796</x:v>
      </x:c>
      <x:c r="C850" s="17" t="n">
        <x:v>2024</x:v>
      </x:c>
      <x:c r="D850" s="8" t="str">
        <x:v>RAINBOW TROUT</x:v>
      </x:c>
      <x:c r="E850" s="13" t="n">
        <x:f>SUMIFS('Stocking details'!$F$6:$F$3307,'Stocking details'!$I$6:$I$3307,G850)</x:f>
        <x:v>3000</x:v>
      </x:c>
      <x:c r="F850" s="13" t="n">
        <x:f>COUNTIFS('Stocking details'!$I$6:$I$3307,G850)</x:f>
        <x:v>1</x:v>
      </x:c>
      <x:c r="G850" s="8" t="str">
        <x:f>B850&amp;" / "&amp;C850&amp;" / "&amp;D850</x:f>
        <x:v>6796 / 2024 / RAINBOW TROUT</x:v>
      </x:c>
    </x:row>
    <x:row r="851" ht="23" customHeight="1">
      <x:c r="A851" s="8" t="str">
        <x:v>Hiller's Reservoir</x:v>
      </x:c>
      <x:c r="B851" s="8" t="str">
        <x:v>6796</x:v>
      </x:c>
      <x:c r="C851" s="17" t="n">
        <x:v>2023</x:v>
      </x:c>
      <x:c r="D851" s="8" t="str">
        <x:v>RAINBOW TROUT</x:v>
      </x:c>
      <x:c r="E851" s="13" t="n">
        <x:f>SUMIFS('Stocking details'!$F$6:$F$3307,'Stocking details'!$I$6:$I$3307,G851)</x:f>
        <x:v>2993</x:v>
      </x:c>
      <x:c r="F851" s="13" t="n">
        <x:f>COUNTIFS('Stocking details'!$I$6:$I$3307,G851)</x:f>
        <x:v>1</x:v>
      </x:c>
      <x:c r="G851" s="8" t="str">
        <x:f>B851&amp;" / "&amp;C851&amp;" / "&amp;D851</x:f>
        <x:v>6796 / 2023 / RAINBOW TROUT</x:v>
      </x:c>
    </x:row>
    <x:row r="852" ht="23" customHeight="1">
      <x:c r="A852" s="8" t="str">
        <x:v>Hiller's Reservoir</x:v>
      </x:c>
      <x:c r="B852" s="8" t="str">
        <x:v>6796</x:v>
      </x:c>
      <x:c r="C852" s="17" t="n">
        <x:v>2022</x:v>
      </x:c>
      <x:c r="D852" s="8" t="str">
        <x:v>RAINBOW TROUT</x:v>
      </x:c>
      <x:c r="E852" s="13" t="n">
        <x:f>SUMIFS('Stocking details'!$F$6:$F$3307,'Stocking details'!$I$6:$I$3307,G852)</x:f>
        <x:v>7500</x:v>
      </x:c>
      <x:c r="F852" s="13" t="n">
        <x:f>COUNTIFS('Stocking details'!$I$6:$I$3307,G852)</x:f>
        <x:v>1</x:v>
      </x:c>
      <x:c r="G852" s="8" t="str">
        <x:f>B852&amp;" / "&amp;C852&amp;" / "&amp;D852</x:f>
        <x:v>6796 / 2022 / RAINBOW TROUT</x:v>
      </x:c>
    </x:row>
    <x:row r="853" ht="23" customHeight="1">
      <x:c r="A853" s="8" t="str">
        <x:v>Hiller's Reservoir</x:v>
      </x:c>
      <x:c r="B853" s="8" t="str">
        <x:v>6796</x:v>
      </x:c>
      <x:c r="C853" s="17" t="n">
        <x:v>2021</x:v>
      </x:c>
      <x:c r="D853" s="8" t="str">
        <x:v>RAINBOW TROUT</x:v>
      </x:c>
      <x:c r="E853" s="13" t="n">
        <x:f>SUMIFS('Stocking details'!$F$6:$F$3307,'Stocking details'!$I$6:$I$3307,G853)</x:f>
        <x:v>7500</x:v>
      </x:c>
      <x:c r="F853" s="13" t="n">
        <x:f>COUNTIFS('Stocking details'!$I$6:$I$3307,G853)</x:f>
        <x:v>1</x:v>
      </x:c>
      <x:c r="G853" s="8" t="str">
        <x:f>B853&amp;" / "&amp;C853&amp;" / "&amp;D853</x:f>
        <x:v>6796 / 2021 / RAINBOW TROUT</x:v>
      </x:c>
    </x:row>
    <x:row r="854" ht="23" customHeight="1">
      <x:c r="A854" s="8" t="str">
        <x:v>Hinton Borrow Pit</x:v>
      </x:c>
      <x:c r="B854" s="8" t="str">
        <x:v>6917</x:v>
      </x:c>
      <x:c r="C854" s="17" t="n">
        <x:v>2026</x:v>
      </x:c>
      <x:c r="D854" s="8" t="str">
        <x:v>RAINBOW TROUT</x:v>
      </x:c>
      <x:c r="E854" s="13" t="n">
        <x:f>SUMIFS('Stocking details'!$F$6:$F$3307,'Stocking details'!$I$6:$I$3307,G854)</x:f>
        <x:v>300</x:v>
      </x:c>
      <x:c r="F854" s="13" t="n">
        <x:f>COUNTIFS('Stocking details'!$I$6:$I$3307,G854)</x:f>
        <x:v>1</x:v>
      </x:c>
      <x:c r="G854" s="8" t="str">
        <x:f>B854&amp;" / "&amp;C854&amp;" / "&amp;D854</x:f>
        <x:v>6917 / 2026 / RAINBOW TROUT</x:v>
      </x:c>
    </x:row>
    <x:row r="855" ht="23" customHeight="1">
      <x:c r="A855" s="8" t="str">
        <x:v>Hinton Borrow Pit</x:v>
      </x:c>
      <x:c r="B855" s="8" t="str">
        <x:v>6917</x:v>
      </x:c>
      <x:c r="C855" s="17" t="n">
        <x:v>2025</x:v>
      </x:c>
      <x:c r="D855" s="8" t="str">
        <x:v>RAINBOW TROUT</x:v>
      </x:c>
      <x:c r="E855" s="13" t="n">
        <x:f>SUMIFS('Stocking details'!$F$6:$F$3307,'Stocking details'!$I$6:$I$3307,G855)</x:f>
        <x:v>300</x:v>
      </x:c>
      <x:c r="F855" s="13" t="n">
        <x:f>COUNTIFS('Stocking details'!$I$6:$I$3307,G855)</x:f>
        <x:v>1</x:v>
      </x:c>
      <x:c r="G855" s="8" t="str">
        <x:f>B855&amp;" / "&amp;C855&amp;" / "&amp;D855</x:f>
        <x:v>6917 / 2025 / RAINBOW TROUT</x:v>
      </x:c>
    </x:row>
    <x:row r="856" ht="23" customHeight="1">
      <x:c r="A856" s="8" t="str">
        <x:v>Hinton Borrow Pit</x:v>
      </x:c>
      <x:c r="B856" s="8" t="str">
        <x:v>6917</x:v>
      </x:c>
      <x:c r="C856" s="17" t="n">
        <x:v>2024</x:v>
      </x:c>
      <x:c r="D856" s="8" t="str">
        <x:v>RAINBOW TROUT</x:v>
      </x:c>
      <x:c r="E856" s="13" t="n">
        <x:f>SUMIFS('Stocking details'!$F$6:$F$3307,'Stocking details'!$I$6:$I$3307,G856)</x:f>
        <x:v>150</x:v>
      </x:c>
      <x:c r="F856" s="13" t="n">
        <x:f>COUNTIFS('Stocking details'!$I$6:$I$3307,G856)</x:f>
        <x:v>1</x:v>
      </x:c>
      <x:c r="G856" s="8" t="str">
        <x:f>B856&amp;" / "&amp;C856&amp;" / "&amp;D856</x:f>
        <x:v>6917 / 2024 / RAINBOW TROUT</x:v>
      </x:c>
    </x:row>
    <x:row r="857" ht="23" customHeight="1">
      <x:c r="A857" s="8" t="str">
        <x:v>Hinton Borrow Pit</x:v>
      </x:c>
      <x:c r="B857" s="8" t="str">
        <x:v>6917</x:v>
      </x:c>
      <x:c r="C857" s="17" t="n">
        <x:v>2023</x:v>
      </x:c>
      <x:c r="D857" s="8" t="str">
        <x:v>RAINBOW TROUT</x:v>
      </x:c>
      <x:c r="E857" s="13" t="n">
        <x:f>SUMIFS('Stocking details'!$F$6:$F$3307,'Stocking details'!$I$6:$I$3307,G857)</x:f>
        <x:v>151</x:v>
      </x:c>
      <x:c r="F857" s="13" t="n">
        <x:f>COUNTIFS('Stocking details'!$I$6:$I$3307,G857)</x:f>
        <x:v>1</x:v>
      </x:c>
      <x:c r="G857" s="8" t="str">
        <x:f>B857&amp;" / "&amp;C857&amp;" / "&amp;D857</x:f>
        <x:v>6917 / 2023 / RAINBOW TROUT</x:v>
      </x:c>
    </x:row>
    <x:row r="858" ht="23" customHeight="1">
      <x:c r="A858" s="8" t="str">
        <x:v>Hinton Borrow Pit</x:v>
      </x:c>
      <x:c r="B858" s="8" t="str">
        <x:v>6917</x:v>
      </x:c>
      <x:c r="C858" s="17" t="n">
        <x:v>2022</x:v>
      </x:c>
      <x:c r="D858" s="8" t="str">
        <x:v>RAINBOW TROUT</x:v>
      </x:c>
      <x:c r="E858" s="13" t="n">
        <x:f>SUMIFS('Stocking details'!$F$6:$F$3307,'Stocking details'!$I$6:$I$3307,G858)</x:f>
        <x:v>300</x:v>
      </x:c>
      <x:c r="F858" s="13" t="n">
        <x:f>COUNTIFS('Stocking details'!$I$6:$I$3307,G858)</x:f>
        <x:v>1</x:v>
      </x:c>
      <x:c r="G858" s="8" t="str">
        <x:f>B858&amp;" / "&amp;C858&amp;" / "&amp;D858</x:f>
        <x:v>6917 / 2022 / RAINBOW TROUT</x:v>
      </x:c>
    </x:row>
    <x:row r="859" ht="23" customHeight="1">
      <x:c r="A859" s="8" t="str">
        <x:v>Hinton Borrow Pit</x:v>
      </x:c>
      <x:c r="B859" s="8" t="str">
        <x:v>6917</x:v>
      </x:c>
      <x:c r="C859" s="17" t="n">
        <x:v>2021</x:v>
      </x:c>
      <x:c r="D859" s="8" t="str">
        <x:v>RAINBOW TROUT</x:v>
      </x:c>
      <x:c r="E859" s="13" t="n">
        <x:f>SUMIFS('Stocking details'!$F$6:$F$3307,'Stocking details'!$I$6:$I$3307,G859)</x:f>
        <x:v>300</x:v>
      </x:c>
      <x:c r="F859" s="13" t="n">
        <x:f>COUNTIFS('Stocking details'!$I$6:$I$3307,G859)</x:f>
        <x:v>1</x:v>
      </x:c>
      <x:c r="G859" s="8" t="str">
        <x:f>B859&amp;" / "&amp;C859&amp;" / "&amp;D859</x:f>
        <x:v>6917 / 2021 / RAINBOW TROUT</x:v>
      </x:c>
    </x:row>
    <x:row r="860" ht="23" customHeight="1">
      <x:c r="A860" s="8" t="str">
        <x:v>Horseshoe Lake</x:v>
      </x:c>
      <x:c r="B860" s="8" t="str">
        <x:v>6669</x:v>
      </x:c>
      <x:c r="C860" s="17" t="n">
        <x:v>2026</x:v>
      </x:c>
      <x:c r="D860" s="8" t="str">
        <x:v>BROOK TROUT</x:v>
      </x:c>
      <x:c r="E860" s="13" t="n">
        <x:f>SUMIFS('Stocking details'!$F$6:$F$3307,'Stocking details'!$I$6:$I$3307,G860)</x:f>
        <x:v>1500</x:v>
      </x:c>
      <x:c r="F860" s="13" t="n">
        <x:f>COUNTIFS('Stocking details'!$I$6:$I$3307,G860)</x:f>
        <x:v>1</x:v>
      </x:c>
      <x:c r="G860" s="8" t="str">
        <x:f>B860&amp;" / "&amp;C860&amp;" / "&amp;D860</x:f>
        <x:v>6669 / 2026 / BROOK TROUT</x:v>
      </x:c>
    </x:row>
    <x:row r="861" ht="23" customHeight="1">
      <x:c r="A861" s="8" t="str">
        <x:v>Horseshoe Lake</x:v>
      </x:c>
      <x:c r="B861" s="8" t="str">
        <x:v>6669</x:v>
      </x:c>
      <x:c r="C861" s="17" t="n">
        <x:v>2024</x:v>
      </x:c>
      <x:c r="D861" s="8" t="str">
        <x:v>BROOK TROUT</x:v>
      </x:c>
      <x:c r="E861" s="13" t="n">
        <x:f>SUMIFS('Stocking details'!$F$6:$F$3307,'Stocking details'!$I$6:$I$3307,G861)</x:f>
        <x:v>12500</x:v>
      </x:c>
      <x:c r="F861" s="13" t="n">
        <x:f>COUNTIFS('Stocking details'!$I$6:$I$3307,G861)</x:f>
        <x:v>1</x:v>
      </x:c>
      <x:c r="G861" s="8" t="str">
        <x:f>B861&amp;" / "&amp;C861&amp;" / "&amp;D861</x:f>
        <x:v>6669 / 2024 / BROOK TROUT</x:v>
      </x:c>
    </x:row>
    <x:row r="862" ht="23" customHeight="1">
      <x:c r="A862" s="8" t="str">
        <x:v>Horseshoe Lake</x:v>
      </x:c>
      <x:c r="B862" s="8" t="str">
        <x:v>6669</x:v>
      </x:c>
      <x:c r="C862" s="17" t="n">
        <x:v>2022</x:v>
      </x:c>
      <x:c r="D862" s="8" t="str">
        <x:v>BROOK TROUT</x:v>
      </x:c>
      <x:c r="E862" s="13" t="n">
        <x:f>SUMIFS('Stocking details'!$F$6:$F$3307,'Stocking details'!$I$6:$I$3307,G862)</x:f>
        <x:v>15000</x:v>
      </x:c>
      <x:c r="F862" s="13" t="n">
        <x:f>COUNTIFS('Stocking details'!$I$6:$I$3307,G862)</x:f>
        <x:v>1</x:v>
      </x:c>
      <x:c r="G862" s="8" t="str">
        <x:f>B862&amp;" / "&amp;C862&amp;" / "&amp;D862</x:f>
        <x:v>6669 / 2022 / BROOK TROUT</x:v>
      </x:c>
    </x:row>
    <x:row r="863" ht="23" customHeight="1">
      <x:c r="A863" s="8" t="str">
        <x:v>Huber Reservoir</x:v>
      </x:c>
      <x:c r="B863" s="8" t="str">
        <x:v>6780</x:v>
      </x:c>
      <x:c r="C863" s="17" t="n">
        <x:v>2026</x:v>
      </x:c>
      <x:c r="D863" s="8" t="str">
        <x:v>RAINBOW TROUT</x:v>
      </x:c>
      <x:c r="E863" s="13" t="n">
        <x:f>SUMIFS('Stocking details'!$F$6:$F$3307,'Stocking details'!$I$6:$I$3307,G863)</x:f>
        <x:v>6000</x:v>
      </x:c>
      <x:c r="F863" s="13" t="n">
        <x:f>COUNTIFS('Stocking details'!$I$6:$I$3307,G863)</x:f>
        <x:v>1</x:v>
      </x:c>
      <x:c r="G863" s="8" t="str">
        <x:f>B863&amp;" / "&amp;C863&amp;" / "&amp;D863</x:f>
        <x:v>6780 / 2026 / RAINBOW TROUT</x:v>
      </x:c>
    </x:row>
    <x:row r="864" ht="23" customHeight="1">
      <x:c r="A864" s="8" t="str">
        <x:v>Huber Reservoir</x:v>
      </x:c>
      <x:c r="B864" s="8" t="str">
        <x:v>6780</x:v>
      </x:c>
      <x:c r="C864" s="17" t="n">
        <x:v>2026</x:v>
      </x:c>
      <x:c r="D864" s="8" t="str">
        <x:v>TIGER TROUT</x:v>
      </x:c>
      <x:c r="E864" s="13" t="n">
        <x:f>SUMIFS('Stocking details'!$F$6:$F$3307,'Stocking details'!$I$6:$I$3307,G864)</x:f>
        <x:v>1250</x:v>
      </x:c>
      <x:c r="F864" s="13" t="n">
        <x:f>COUNTIFS('Stocking details'!$I$6:$I$3307,G864)</x:f>
        <x:v>1</x:v>
      </x:c>
      <x:c r="G864" s="8" t="str">
        <x:f>B864&amp;" / "&amp;C864&amp;" / "&amp;D864</x:f>
        <x:v>6780 / 2026 / TIGER TROUT</x:v>
      </x:c>
    </x:row>
    <x:row r="865" ht="23" customHeight="1">
      <x:c r="A865" s="8" t="str">
        <x:v>Huber Reservoir</x:v>
      </x:c>
      <x:c r="B865" s="8" t="str">
        <x:v>6780</x:v>
      </x:c>
      <x:c r="C865" s="17" t="n">
        <x:v>2025</x:v>
      </x:c>
      <x:c r="D865" s="8" t="str">
        <x:v>RAINBOW TROUT</x:v>
      </x:c>
      <x:c r="E865" s="13" t="n">
        <x:f>SUMIFS('Stocking details'!$F$6:$F$3307,'Stocking details'!$I$6:$I$3307,G865)</x:f>
        <x:v>6000</x:v>
      </x:c>
      <x:c r="F865" s="13" t="n">
        <x:f>COUNTIFS('Stocking details'!$I$6:$I$3307,G865)</x:f>
        <x:v>1</x:v>
      </x:c>
      <x:c r="G865" s="8" t="str">
        <x:f>B865&amp;" / "&amp;C865&amp;" / "&amp;D865</x:f>
        <x:v>6780 / 2025 / RAINBOW TROUT</x:v>
      </x:c>
    </x:row>
    <x:row r="866" ht="23" customHeight="1">
      <x:c r="A866" s="8" t="str">
        <x:v>Huber Reservoir</x:v>
      </x:c>
      <x:c r="B866" s="8" t="str">
        <x:v>6780</x:v>
      </x:c>
      <x:c r="C866" s="17" t="n">
        <x:v>2025</x:v>
      </x:c>
      <x:c r="D866" s="8" t="str">
        <x:v>TIGER TROUT</x:v>
      </x:c>
      <x:c r="E866" s="13" t="n">
        <x:f>SUMIFS('Stocking details'!$F$6:$F$3307,'Stocking details'!$I$6:$I$3307,G866)</x:f>
        <x:v>1250</x:v>
      </x:c>
      <x:c r="F866" s="13" t="n">
        <x:f>COUNTIFS('Stocking details'!$I$6:$I$3307,G866)</x:f>
        <x:v>1</x:v>
      </x:c>
      <x:c r="G866" s="8" t="str">
        <x:f>B866&amp;" / "&amp;C866&amp;" / "&amp;D866</x:f>
        <x:v>6780 / 2025 / TIGER TROUT</x:v>
      </x:c>
    </x:row>
    <x:row r="867" ht="23" customHeight="1">
      <x:c r="A867" s="8" t="str">
        <x:v>Huber Reservoir</x:v>
      </x:c>
      <x:c r="B867" s="8" t="str">
        <x:v>6780</x:v>
      </x:c>
      <x:c r="C867" s="17" t="n">
        <x:v>2024</x:v>
      </x:c>
      <x:c r="D867" s="8" t="str">
        <x:v>RAINBOW TROUT</x:v>
      </x:c>
      <x:c r="E867" s="13" t="n">
        <x:f>SUMIFS('Stocking details'!$F$6:$F$3307,'Stocking details'!$I$6:$I$3307,G867)</x:f>
        <x:v>7400</x:v>
      </x:c>
      <x:c r="F867" s="13" t="n">
        <x:f>COUNTIFS('Stocking details'!$I$6:$I$3307,G867)</x:f>
        <x:v>2</x:v>
      </x:c>
      <x:c r="G867" s="8" t="str">
        <x:f>B867&amp;" / "&amp;C867&amp;" / "&amp;D867</x:f>
        <x:v>6780 / 2024 / RAINBOW TROUT</x:v>
      </x:c>
    </x:row>
    <x:row r="868" ht="23" customHeight="1">
      <x:c r="A868" s="8" t="str">
        <x:v>Huber Reservoir</x:v>
      </x:c>
      <x:c r="B868" s="8" t="str">
        <x:v>6780</x:v>
      </x:c>
      <x:c r="C868" s="17" t="n">
        <x:v>2024</x:v>
      </x:c>
      <x:c r="D868" s="8" t="str">
        <x:v>TIGER TROUT</x:v>
      </x:c>
      <x:c r="E868" s="13" t="n">
        <x:f>SUMIFS('Stocking details'!$F$6:$F$3307,'Stocking details'!$I$6:$I$3307,G868)</x:f>
        <x:v>1250</x:v>
      </x:c>
      <x:c r="F868" s="13" t="n">
        <x:f>COUNTIFS('Stocking details'!$I$6:$I$3307,G868)</x:f>
        <x:v>1</x:v>
      </x:c>
      <x:c r="G868" s="8" t="str">
        <x:f>B868&amp;" / "&amp;C868&amp;" / "&amp;D868</x:f>
        <x:v>6780 / 2024 / TIGER TROUT</x:v>
      </x:c>
    </x:row>
    <x:row r="869" ht="23" customHeight="1">
      <x:c r="A869" s="8" t="str">
        <x:v>Huber Reservoir</x:v>
      </x:c>
      <x:c r="B869" s="8" t="str">
        <x:v>6780</x:v>
      </x:c>
      <x:c r="C869" s="17" t="n">
        <x:v>2023</x:v>
      </x:c>
      <x:c r="D869" s="8" t="str">
        <x:v>RAINBOW TROUT</x:v>
      </x:c>
      <x:c r="E869" s="13" t="n">
        <x:f>SUMIFS('Stocking details'!$F$6:$F$3307,'Stocking details'!$I$6:$I$3307,G869)</x:f>
        <x:v>6394</x:v>
      </x:c>
      <x:c r="F869" s="13" t="n">
        <x:f>COUNTIFS('Stocking details'!$I$6:$I$3307,G869)</x:f>
        <x:v>2</x:v>
      </x:c>
      <x:c r="G869" s="8" t="str">
        <x:f>B869&amp;" / "&amp;C869&amp;" / "&amp;D869</x:f>
        <x:v>6780 / 2023 / RAINBOW TROUT</x:v>
      </x:c>
    </x:row>
    <x:row r="870" ht="23" customHeight="1">
      <x:c r="A870" s="8" t="str">
        <x:v>Huber Reservoir</x:v>
      </x:c>
      <x:c r="B870" s="8" t="str">
        <x:v>6780</x:v>
      </x:c>
      <x:c r="C870" s="17" t="n">
        <x:v>2023</x:v>
      </x:c>
      <x:c r="D870" s="8" t="str">
        <x:v>TIGER TROUT</x:v>
      </x:c>
      <x:c r="E870" s="13" t="n">
        <x:f>SUMIFS('Stocking details'!$F$6:$F$3307,'Stocking details'!$I$6:$I$3307,G870)</x:f>
        <x:v>1250</x:v>
      </x:c>
      <x:c r="F870" s="13" t="n">
        <x:f>COUNTIFS('Stocking details'!$I$6:$I$3307,G870)</x:f>
        <x:v>1</x:v>
      </x:c>
      <x:c r="G870" s="8" t="str">
        <x:f>B870&amp;" / "&amp;C870&amp;" / "&amp;D870</x:f>
        <x:v>6780 / 2023 / TIGER TROUT</x:v>
      </x:c>
    </x:row>
    <x:row r="871" ht="23" customHeight="1">
      <x:c r="A871" s="8" t="str">
        <x:v>Huber Reservoir</x:v>
      </x:c>
      <x:c r="B871" s="8" t="str">
        <x:v>6780</x:v>
      </x:c>
      <x:c r="C871" s="17" t="n">
        <x:v>2022</x:v>
      </x:c>
      <x:c r="D871" s="8" t="str">
        <x:v>RAINBOW TROUT</x:v>
      </x:c>
      <x:c r="E871" s="13" t="n">
        <x:f>SUMIFS('Stocking details'!$F$6:$F$3307,'Stocking details'!$I$6:$I$3307,G871)</x:f>
        <x:v>6000</x:v>
      </x:c>
      <x:c r="F871" s="13" t="n">
        <x:f>COUNTIFS('Stocking details'!$I$6:$I$3307,G871)</x:f>
        <x:v>1</x:v>
      </x:c>
      <x:c r="G871" s="8" t="str">
        <x:f>B871&amp;" / "&amp;C871&amp;" / "&amp;D871</x:f>
        <x:v>6780 / 2022 / RAINBOW TROUT</x:v>
      </x:c>
    </x:row>
    <x:row r="872" ht="23" customHeight="1">
      <x:c r="A872" s="8" t="str">
        <x:v>Huber Reservoir</x:v>
      </x:c>
      <x:c r="B872" s="8" t="str">
        <x:v>6780</x:v>
      </x:c>
      <x:c r="C872" s="17" t="n">
        <x:v>2022</x:v>
      </x:c>
      <x:c r="D872" s="8" t="str">
        <x:v>TIGER TROUT</x:v>
      </x:c>
      <x:c r="E872" s="13" t="n">
        <x:f>SUMIFS('Stocking details'!$F$6:$F$3307,'Stocking details'!$I$6:$I$3307,G872)</x:f>
        <x:v>1250</x:v>
      </x:c>
      <x:c r="F872" s="13" t="n">
        <x:f>COUNTIFS('Stocking details'!$I$6:$I$3307,G872)</x:f>
        <x:v>1</x:v>
      </x:c>
      <x:c r="G872" s="8" t="str">
        <x:f>B872&amp;" / "&amp;C872&amp;" / "&amp;D872</x:f>
        <x:v>6780 / 2022 / TIGER TROUT</x:v>
      </x:c>
    </x:row>
    <x:row r="873" ht="23" customHeight="1">
      <x:c r="A873" s="8" t="str">
        <x:v>Huber Reservoir</x:v>
      </x:c>
      <x:c r="B873" s="8" t="str">
        <x:v>6780</x:v>
      </x:c>
      <x:c r="C873" s="17" t="n">
        <x:v>2021</x:v>
      </x:c>
      <x:c r="D873" s="8" t="str">
        <x:v>RAINBOW TROUT</x:v>
      </x:c>
      <x:c r="E873" s="13" t="n">
        <x:f>SUMIFS('Stocking details'!$F$6:$F$3307,'Stocking details'!$I$6:$I$3307,G873)</x:f>
        <x:v>6000</x:v>
      </x:c>
      <x:c r="F873" s="13" t="n">
        <x:f>COUNTIFS('Stocking details'!$I$6:$I$3307,G873)</x:f>
        <x:v>1</x:v>
      </x:c>
      <x:c r="G873" s="8" t="str">
        <x:f>B873&amp;" / "&amp;C873&amp;" / "&amp;D873</x:f>
        <x:v>6780 / 2021 / RAINBOW TROUT</x:v>
      </x:c>
    </x:row>
    <x:row r="874" ht="23" customHeight="1">
      <x:c r="A874" s="8" t="str">
        <x:v>Huber Reservoir</x:v>
      </x:c>
      <x:c r="B874" s="8" t="str">
        <x:v>6780</x:v>
      </x:c>
      <x:c r="C874" s="17" t="n">
        <x:v>2021</x:v>
      </x:c>
      <x:c r="D874" s="8" t="str">
        <x:v>TIGER TROUT</x:v>
      </x:c>
      <x:c r="E874" s="13" t="n">
        <x:f>SUMIFS('Stocking details'!$F$6:$F$3307,'Stocking details'!$I$6:$I$3307,G874)</x:f>
        <x:v>1250</x:v>
      </x:c>
      <x:c r="F874" s="13" t="n">
        <x:f>COUNTIFS('Stocking details'!$I$6:$I$3307,G874)</x:f>
        <x:v>1</x:v>
      </x:c>
      <x:c r="G874" s="8" t="str">
        <x:f>B874&amp;" / "&amp;C874&amp;" / "&amp;D874</x:f>
        <x:v>6780 / 2021 / TIGER TROUT</x:v>
      </x:c>
    </x:row>
    <x:row r="875" ht="23" customHeight="1">
      <x:c r="A875" s="8" t="str">
        <x:v>Ice Lake</x:v>
      </x:c>
      <x:c r="B875" s="8" t="str">
        <x:v>4888</x:v>
      </x:c>
      <x:c r="C875" s="17" t="n">
        <x:v>2021</x:v>
      </x:c>
      <x:c r="D875" s="8" t="str">
        <x:v>CUTTHROAT TROUT</x:v>
      </x:c>
      <x:c r="E875" s="13" t="n">
        <x:f>SUMIFS('Stocking details'!$F$6:$F$3307,'Stocking details'!$I$6:$I$3307,G875)</x:f>
        <x:v>500</x:v>
      </x:c>
      <x:c r="F875" s="13" t="n">
        <x:f>COUNTIFS('Stocking details'!$I$6:$I$3307,G875)</x:f>
        <x:v>1</x:v>
      </x:c>
      <x:c r="G875" s="8" t="str">
        <x:f>B875&amp;" / "&amp;C875&amp;" / "&amp;D875</x:f>
        <x:v>4888 / 2021 / CUTTHROAT TROUT</x:v>
      </x:c>
    </x:row>
    <x:row r="876" ht="23" customHeight="1">
      <x:c r="A876" s="8" t="str">
        <x:v>Innisfree Trout Pond</x:v>
      </x:c>
      <x:c r="B876" s="8" t="str">
        <x:v>6784</x:v>
      </x:c>
      <x:c r="C876" s="17" t="n">
        <x:v>2026</x:v>
      </x:c>
      <x:c r="D876" s="8" t="str">
        <x:v>BROOK TROUT</x:v>
      </x:c>
      <x:c r="E876" s="13" t="n">
        <x:f>SUMIFS('Stocking details'!$F$6:$F$3307,'Stocking details'!$I$6:$I$3307,G876)</x:f>
        <x:v>600</x:v>
      </x:c>
      <x:c r="F876" s="13" t="n">
        <x:f>COUNTIFS('Stocking details'!$I$6:$I$3307,G876)</x:f>
        <x:v>1</x:v>
      </x:c>
      <x:c r="G876" s="8" t="str">
        <x:f>B876&amp;" / "&amp;C876&amp;" / "&amp;D876</x:f>
        <x:v>6784 / 2026 / BROOK TROUT</x:v>
      </x:c>
    </x:row>
    <x:row r="877" ht="23" customHeight="1">
      <x:c r="A877" s="8" t="str">
        <x:v>Innisfree Trout Pond</x:v>
      </x:c>
      <x:c r="B877" s="8" t="str">
        <x:v>6784</x:v>
      </x:c>
      <x:c r="C877" s="17" t="n">
        <x:v>2026</x:v>
      </x:c>
      <x:c r="D877" s="8" t="str">
        <x:v>RAINBOW TROUT</x:v>
      </x:c>
      <x:c r="E877" s="13" t="n">
        <x:f>SUMIFS('Stocking details'!$F$6:$F$3307,'Stocking details'!$I$6:$I$3307,G877)</x:f>
        <x:v>400</x:v>
      </x:c>
      <x:c r="F877" s="13" t="n">
        <x:f>COUNTIFS('Stocking details'!$I$6:$I$3307,G877)</x:f>
        <x:v>1</x:v>
      </x:c>
      <x:c r="G877" s="8" t="str">
        <x:f>B877&amp;" / "&amp;C877&amp;" / "&amp;D877</x:f>
        <x:v>6784 / 2026 / RAINBOW TROUT</x:v>
      </x:c>
    </x:row>
    <x:row r="878" ht="23" customHeight="1">
      <x:c r="A878" s="8" t="str">
        <x:v>Innisfree Trout Pond</x:v>
      </x:c>
      <x:c r="B878" s="8" t="str">
        <x:v>6784</x:v>
      </x:c>
      <x:c r="C878" s="17" t="n">
        <x:v>2025</x:v>
      </x:c>
      <x:c r="D878" s="8" t="str">
        <x:v>BROOK TROUT</x:v>
      </x:c>
      <x:c r="E878" s="13" t="n">
        <x:f>SUMIFS('Stocking details'!$F$6:$F$3307,'Stocking details'!$I$6:$I$3307,G878)</x:f>
        <x:v>600</x:v>
      </x:c>
      <x:c r="F878" s="13" t="n">
        <x:f>COUNTIFS('Stocking details'!$I$6:$I$3307,G878)</x:f>
        <x:v>1</x:v>
      </x:c>
      <x:c r="G878" s="8" t="str">
        <x:f>B878&amp;" / "&amp;C878&amp;" / "&amp;D878</x:f>
        <x:v>6784 / 2025 / BROOK TROUT</x:v>
      </x:c>
    </x:row>
    <x:row r="879" ht="23" customHeight="1">
      <x:c r="A879" s="8" t="str">
        <x:v>Innisfree Trout Pond</x:v>
      </x:c>
      <x:c r="B879" s="8" t="str">
        <x:v>6784</x:v>
      </x:c>
      <x:c r="C879" s="17" t="n">
        <x:v>2025</x:v>
      </x:c>
      <x:c r="D879" s="8" t="str">
        <x:v>RAINBOW TROUT</x:v>
      </x:c>
      <x:c r="E879" s="13" t="n">
        <x:f>SUMIFS('Stocking details'!$F$6:$F$3307,'Stocking details'!$I$6:$I$3307,G879)</x:f>
        <x:v>400</x:v>
      </x:c>
      <x:c r="F879" s="13" t="n">
        <x:f>COUNTIFS('Stocking details'!$I$6:$I$3307,G879)</x:f>
        <x:v>1</x:v>
      </x:c>
      <x:c r="G879" s="8" t="str">
        <x:f>B879&amp;" / "&amp;C879&amp;" / "&amp;D879</x:f>
        <x:v>6784 / 2025 / RAINBOW TROUT</x:v>
      </x:c>
    </x:row>
    <x:row r="880" ht="23" customHeight="1">
      <x:c r="A880" s="8" t="str">
        <x:v>Innisfree Trout Pond</x:v>
      </x:c>
      <x:c r="B880" s="8" t="str">
        <x:v>6784</x:v>
      </x:c>
      <x:c r="C880" s="17" t="n">
        <x:v>2024</x:v>
      </x:c>
      <x:c r="D880" s="8" t="str">
        <x:v>BROOK TROUT</x:v>
      </x:c>
      <x:c r="E880" s="13" t="n">
        <x:f>SUMIFS('Stocking details'!$F$6:$F$3307,'Stocking details'!$I$6:$I$3307,G880)</x:f>
        <x:v>600</x:v>
      </x:c>
      <x:c r="F880" s="13" t="n">
        <x:f>COUNTIFS('Stocking details'!$I$6:$I$3307,G880)</x:f>
        <x:v>1</x:v>
      </x:c>
      <x:c r="G880" s="8" t="str">
        <x:f>B880&amp;" / "&amp;C880&amp;" / "&amp;D880</x:f>
        <x:v>6784 / 2024 / BROOK TROUT</x:v>
      </x:c>
    </x:row>
    <x:row r="881" ht="23" customHeight="1">
      <x:c r="A881" s="8" t="str">
        <x:v>Innisfree Trout Pond</x:v>
      </x:c>
      <x:c r="B881" s="8" t="str">
        <x:v>6784</x:v>
      </x:c>
      <x:c r="C881" s="17" t="n">
        <x:v>2024</x:v>
      </x:c>
      <x:c r="D881" s="8" t="str">
        <x:v>RAINBOW TROUT</x:v>
      </x:c>
      <x:c r="E881" s="13" t="n">
        <x:f>SUMIFS('Stocking details'!$F$6:$F$3307,'Stocking details'!$I$6:$I$3307,G881)</x:f>
        <x:v>400</x:v>
      </x:c>
      <x:c r="F881" s="13" t="n">
        <x:f>COUNTIFS('Stocking details'!$I$6:$I$3307,G881)</x:f>
        <x:v>1</x:v>
      </x:c>
      <x:c r="G881" s="8" t="str">
        <x:f>B881&amp;" / "&amp;C881&amp;" / "&amp;D881</x:f>
        <x:v>6784 / 2024 / RAINBOW TROUT</x:v>
      </x:c>
    </x:row>
    <x:row r="882" ht="23" customHeight="1">
      <x:c r="A882" s="8" t="str">
        <x:v>Innisfree Trout Pond</x:v>
      </x:c>
      <x:c r="B882" s="8" t="str">
        <x:v>6784</x:v>
      </x:c>
      <x:c r="C882" s="17" t="n">
        <x:v>2023</x:v>
      </x:c>
      <x:c r="D882" s="8" t="str">
        <x:v>BROOK TROUT</x:v>
      </x:c>
      <x:c r="E882" s="13" t="n">
        <x:f>SUMIFS('Stocking details'!$F$6:$F$3307,'Stocking details'!$I$6:$I$3307,G882)</x:f>
        <x:v>600</x:v>
      </x:c>
      <x:c r="F882" s="13" t="n">
        <x:f>COUNTIFS('Stocking details'!$I$6:$I$3307,G882)</x:f>
        <x:v>1</x:v>
      </x:c>
      <x:c r="G882" s="8" t="str">
        <x:f>B882&amp;" / "&amp;C882&amp;" / "&amp;D882</x:f>
        <x:v>6784 / 2023 / BROOK TROUT</x:v>
      </x:c>
    </x:row>
    <x:row r="883" ht="23" customHeight="1">
      <x:c r="A883" s="8" t="str">
        <x:v>Innisfree Trout Pond</x:v>
      </x:c>
      <x:c r="B883" s="8" t="str">
        <x:v>6784</x:v>
      </x:c>
      <x:c r="C883" s="17" t="n">
        <x:v>2023</x:v>
      </x:c>
      <x:c r="D883" s="8" t="str">
        <x:v>RAINBOW TROUT</x:v>
      </x:c>
      <x:c r="E883" s="13" t="n">
        <x:f>SUMIFS('Stocking details'!$F$6:$F$3307,'Stocking details'!$I$6:$I$3307,G883)</x:f>
        <x:v>400</x:v>
      </x:c>
      <x:c r="F883" s="13" t="n">
        <x:f>COUNTIFS('Stocking details'!$I$6:$I$3307,G883)</x:f>
        <x:v>1</x:v>
      </x:c>
      <x:c r="G883" s="8" t="str">
        <x:f>B883&amp;" / "&amp;C883&amp;" / "&amp;D883</x:f>
        <x:v>6784 / 2023 / RAINBOW TROUT</x:v>
      </x:c>
    </x:row>
    <x:row r="884" ht="23" customHeight="1">
      <x:c r="A884" s="8" t="str">
        <x:v>Innisfree Trout Pond</x:v>
      </x:c>
      <x:c r="B884" s="8" t="str">
        <x:v>6784</x:v>
      </x:c>
      <x:c r="C884" s="17" t="n">
        <x:v>2022</x:v>
      </x:c>
      <x:c r="D884" s="8" t="str">
        <x:v>BROOK TROUT</x:v>
      </x:c>
      <x:c r="E884" s="13" t="n">
        <x:f>SUMIFS('Stocking details'!$F$6:$F$3307,'Stocking details'!$I$6:$I$3307,G884)</x:f>
        <x:v>600</x:v>
      </x:c>
      <x:c r="F884" s="13" t="n">
        <x:f>COUNTIFS('Stocking details'!$I$6:$I$3307,G884)</x:f>
        <x:v>1</x:v>
      </x:c>
      <x:c r="G884" s="8" t="str">
        <x:f>B884&amp;" / "&amp;C884&amp;" / "&amp;D884</x:f>
        <x:v>6784 / 2022 / BROOK TROUT</x:v>
      </x:c>
    </x:row>
    <x:row r="885" ht="23" customHeight="1">
      <x:c r="A885" s="8" t="str">
        <x:v>Innisfree Trout Pond</x:v>
      </x:c>
      <x:c r="B885" s="8" t="str">
        <x:v>6784</x:v>
      </x:c>
      <x:c r="C885" s="17" t="n">
        <x:v>2022</x:v>
      </x:c>
      <x:c r="D885" s="8" t="str">
        <x:v>RAINBOW TROUT</x:v>
      </x:c>
      <x:c r="E885" s="13" t="n">
        <x:f>SUMIFS('Stocking details'!$F$6:$F$3307,'Stocking details'!$I$6:$I$3307,G885)</x:f>
        <x:v>400</x:v>
      </x:c>
      <x:c r="F885" s="13" t="n">
        <x:f>COUNTIFS('Stocking details'!$I$6:$I$3307,G885)</x:f>
        <x:v>1</x:v>
      </x:c>
      <x:c r="G885" s="8" t="str">
        <x:f>B885&amp;" / "&amp;C885&amp;" / "&amp;D885</x:f>
        <x:v>6784 / 2022 / RAINBOW TROUT</x:v>
      </x:c>
    </x:row>
    <x:row r="886" ht="23" customHeight="1">
      <x:c r="A886" s="8" t="str">
        <x:v>Innisfree Trout Pond</x:v>
      </x:c>
      <x:c r="B886" s="8" t="str">
        <x:v>6784</x:v>
      </x:c>
      <x:c r="C886" s="17" t="n">
        <x:v>2021</x:v>
      </x:c>
      <x:c r="D886" s="8" t="str">
        <x:v>BROOK TROUT</x:v>
      </x:c>
      <x:c r="E886" s="13" t="n">
        <x:f>SUMIFS('Stocking details'!$F$6:$F$3307,'Stocking details'!$I$6:$I$3307,G886)</x:f>
        <x:v>600</x:v>
      </x:c>
      <x:c r="F886" s="13" t="n">
        <x:f>COUNTIFS('Stocking details'!$I$6:$I$3307,G886)</x:f>
        <x:v>1</x:v>
      </x:c>
      <x:c r="G886" s="8" t="str">
        <x:f>B886&amp;" / "&amp;C886&amp;" / "&amp;D886</x:f>
        <x:v>6784 / 2021 / BROOK TROUT</x:v>
      </x:c>
    </x:row>
    <x:row r="887" ht="23" customHeight="1">
      <x:c r="A887" s="8" t="str">
        <x:v>Innisfree Trout Pond</x:v>
      </x:c>
      <x:c r="B887" s="8" t="str">
        <x:v>6784</x:v>
      </x:c>
      <x:c r="C887" s="17" t="n">
        <x:v>2021</x:v>
      </x:c>
      <x:c r="D887" s="8" t="str">
        <x:v>RAINBOW TROUT</x:v>
      </x:c>
      <x:c r="E887" s="13" t="n">
        <x:f>SUMIFS('Stocking details'!$F$6:$F$3307,'Stocking details'!$I$6:$I$3307,G887)</x:f>
        <x:v>400</x:v>
      </x:c>
      <x:c r="F887" s="13" t="n">
        <x:f>COUNTIFS('Stocking details'!$I$6:$I$3307,G887)</x:f>
        <x:v>1</x:v>
      </x:c>
      <x:c r="G887" s="8" t="str">
        <x:f>B887&amp;" / "&amp;C887&amp;" / "&amp;D887</x:f>
        <x:v>6784 / 2021 / RAINBOW TROUT</x:v>
      </x:c>
    </x:row>
    <x:row r="888" ht="23" customHeight="1">
      <x:c r="A888" s="8" t="str">
        <x:v>Invincible Lake</x:v>
      </x:c>
      <x:c r="B888" s="8" t="str">
        <x:v>4897</x:v>
      </x:c>
      <x:c r="C888" s="17" t="n">
        <x:v>2025</x:v>
      </x:c>
      <x:c r="D888" s="8" t="str">
        <x:v>CUTTHROAT TROUT</x:v>
      </x:c>
      <x:c r="E888" s="13" t="n">
        <x:f>SUMIFS('Stocking details'!$F$6:$F$3307,'Stocking details'!$I$6:$I$3307,G888)</x:f>
        <x:v>450</x:v>
      </x:c>
      <x:c r="F888" s="13" t="n">
        <x:f>COUNTIFS('Stocking details'!$I$6:$I$3307,G888)</x:f>
        <x:v>1</x:v>
      </x:c>
      <x:c r="G888" s="8" t="str">
        <x:f>B888&amp;" / "&amp;C888&amp;" / "&amp;D888</x:f>
        <x:v>4897 / 2025 / CUTTHROAT TROUT</x:v>
      </x:c>
    </x:row>
    <x:row r="889" ht="23" customHeight="1">
      <x:c r="A889" s="8" t="str">
        <x:v>Invincible Lake</x:v>
      </x:c>
      <x:c r="B889" s="8" t="str">
        <x:v>4897</x:v>
      </x:c>
      <x:c r="C889" s="17" t="n">
        <x:v>2021</x:v>
      </x:c>
      <x:c r="D889" s="8" t="str">
        <x:v>CUTTHROAT TROUT</x:v>
      </x:c>
      <x:c r="E889" s="13" t="n">
        <x:f>SUMIFS('Stocking details'!$F$6:$F$3307,'Stocking details'!$I$6:$I$3307,G889)</x:f>
        <x:v>300</x:v>
      </x:c>
      <x:c r="F889" s="13" t="n">
        <x:f>COUNTIFS('Stocking details'!$I$6:$I$3307,G889)</x:f>
        <x:v>1</x:v>
      </x:c>
      <x:c r="G889" s="8" t="str">
        <x:f>B889&amp;" / "&amp;C889&amp;" / "&amp;D889</x:f>
        <x:v>4897 / 2021 / CUTTHROAT TROUT</x:v>
      </x:c>
    </x:row>
    <x:row r="890" ht="23" customHeight="1">
      <x:c r="A890" s="8" t="str">
        <x:v>Irma Fish and Game Pond</x:v>
      </x:c>
      <x:c r="B890" s="8" t="str">
        <x:v>6785</x:v>
      </x:c>
      <x:c r="C890" s="17" t="n">
        <x:v>2026</x:v>
      </x:c>
      <x:c r="D890" s="8" t="str">
        <x:v>BROOK TROUT</x:v>
      </x:c>
      <x:c r="E890" s="13" t="n">
        <x:f>SUMIFS('Stocking details'!$F$6:$F$3307,'Stocking details'!$I$6:$I$3307,G890)</x:f>
        <x:v>300</x:v>
      </x:c>
      <x:c r="F890" s="13" t="n">
        <x:f>COUNTIFS('Stocking details'!$I$6:$I$3307,G890)</x:f>
        <x:v>1</x:v>
      </x:c>
      <x:c r="G890" s="8" t="str">
        <x:f>B890&amp;" / "&amp;C890&amp;" / "&amp;D890</x:f>
        <x:v>6785 / 2026 / BROOK TROUT</x:v>
      </x:c>
    </x:row>
    <x:row r="891" ht="23" customHeight="1">
      <x:c r="A891" s="8" t="str">
        <x:v>Irma Fish and Game Pond</x:v>
      </x:c>
      <x:c r="B891" s="8" t="str">
        <x:v>6785</x:v>
      </x:c>
      <x:c r="C891" s="17" t="n">
        <x:v>2026</x:v>
      </x:c>
      <x:c r="D891" s="8" t="str">
        <x:v>RAINBOW TROUT</x:v>
      </x:c>
      <x:c r="E891" s="13" t="n">
        <x:f>SUMIFS('Stocking details'!$F$6:$F$3307,'Stocking details'!$I$6:$I$3307,G891)</x:f>
        <x:v>200</x:v>
      </x:c>
      <x:c r="F891" s="13" t="n">
        <x:f>COUNTIFS('Stocking details'!$I$6:$I$3307,G891)</x:f>
        <x:v>1</x:v>
      </x:c>
      <x:c r="G891" s="8" t="str">
        <x:f>B891&amp;" / "&amp;C891&amp;" / "&amp;D891</x:f>
        <x:v>6785 / 2026 / RAINBOW TROUT</x:v>
      </x:c>
    </x:row>
    <x:row r="892" ht="23" customHeight="1">
      <x:c r="A892" s="8" t="str">
        <x:v>Irma Fish and Game Pond</x:v>
      </x:c>
      <x:c r="B892" s="8" t="str">
        <x:v>6785</x:v>
      </x:c>
      <x:c r="C892" s="17" t="n">
        <x:v>2025</x:v>
      </x:c>
      <x:c r="D892" s="8" t="str">
        <x:v>BROOK TROUT</x:v>
      </x:c>
      <x:c r="E892" s="13" t="n">
        <x:f>SUMIFS('Stocking details'!$F$6:$F$3307,'Stocking details'!$I$6:$I$3307,G892)</x:f>
        <x:v>300</x:v>
      </x:c>
      <x:c r="F892" s="13" t="n">
        <x:f>COUNTIFS('Stocking details'!$I$6:$I$3307,G892)</x:f>
        <x:v>1</x:v>
      </x:c>
      <x:c r="G892" s="8" t="str">
        <x:f>B892&amp;" / "&amp;C892&amp;" / "&amp;D892</x:f>
        <x:v>6785 / 2025 / BROOK TROUT</x:v>
      </x:c>
    </x:row>
    <x:row r="893" ht="23" customHeight="1">
      <x:c r="A893" s="8" t="str">
        <x:v>Irma Fish and Game Pond</x:v>
      </x:c>
      <x:c r="B893" s="8" t="str">
        <x:v>6785</x:v>
      </x:c>
      <x:c r="C893" s="17" t="n">
        <x:v>2025</x:v>
      </x:c>
      <x:c r="D893" s="8" t="str">
        <x:v>RAINBOW TROUT</x:v>
      </x:c>
      <x:c r="E893" s="13" t="n">
        <x:f>SUMIFS('Stocking details'!$F$6:$F$3307,'Stocking details'!$I$6:$I$3307,G893)</x:f>
        <x:v>200</x:v>
      </x:c>
      <x:c r="F893" s="13" t="n">
        <x:f>COUNTIFS('Stocking details'!$I$6:$I$3307,G893)</x:f>
        <x:v>1</x:v>
      </x:c>
      <x:c r="G893" s="8" t="str">
        <x:f>B893&amp;" / "&amp;C893&amp;" / "&amp;D893</x:f>
        <x:v>6785 / 2025 / RAINBOW TROUT</x:v>
      </x:c>
    </x:row>
    <x:row r="894" ht="23" customHeight="1">
      <x:c r="A894" s="8" t="str">
        <x:v>Irma Fish and Game Pond</x:v>
      </x:c>
      <x:c r="B894" s="8" t="str">
        <x:v>6785</x:v>
      </x:c>
      <x:c r="C894" s="17" t="n">
        <x:v>2024</x:v>
      </x:c>
      <x:c r="D894" s="8" t="str">
        <x:v>BROOK TROUT</x:v>
      </x:c>
      <x:c r="E894" s="13" t="n">
        <x:f>SUMIFS('Stocking details'!$F$6:$F$3307,'Stocking details'!$I$6:$I$3307,G894)</x:f>
        <x:v>300</x:v>
      </x:c>
      <x:c r="F894" s="13" t="n">
        <x:f>COUNTIFS('Stocking details'!$I$6:$I$3307,G894)</x:f>
        <x:v>1</x:v>
      </x:c>
      <x:c r="G894" s="8" t="str">
        <x:f>B894&amp;" / "&amp;C894&amp;" / "&amp;D894</x:f>
        <x:v>6785 / 2024 / BROOK TROUT</x:v>
      </x:c>
    </x:row>
    <x:row r="895" ht="23" customHeight="1">
      <x:c r="A895" s="8" t="str">
        <x:v>Irma Fish and Game Pond</x:v>
      </x:c>
      <x:c r="B895" s="8" t="str">
        <x:v>6785</x:v>
      </x:c>
      <x:c r="C895" s="17" t="n">
        <x:v>2024</x:v>
      </x:c>
      <x:c r="D895" s="8" t="str">
        <x:v>RAINBOW TROUT</x:v>
      </x:c>
      <x:c r="E895" s="13" t="n">
        <x:f>SUMIFS('Stocking details'!$F$6:$F$3307,'Stocking details'!$I$6:$I$3307,G895)</x:f>
        <x:v>200</x:v>
      </x:c>
      <x:c r="F895" s="13" t="n">
        <x:f>COUNTIFS('Stocking details'!$I$6:$I$3307,G895)</x:f>
        <x:v>1</x:v>
      </x:c>
      <x:c r="G895" s="8" t="str">
        <x:f>B895&amp;" / "&amp;C895&amp;" / "&amp;D895</x:f>
        <x:v>6785 / 2024 / RAINBOW TROUT</x:v>
      </x:c>
    </x:row>
    <x:row r="896" ht="23" customHeight="1">
      <x:c r="A896" s="8" t="str">
        <x:v>Irma Fish and Game Pond</x:v>
      </x:c>
      <x:c r="B896" s="8" t="str">
        <x:v>6785</x:v>
      </x:c>
      <x:c r="C896" s="17" t="n">
        <x:v>2023</x:v>
      </x:c>
      <x:c r="D896" s="8" t="str">
        <x:v>BROOK TROUT</x:v>
      </x:c>
      <x:c r="E896" s="13" t="n">
        <x:f>SUMIFS('Stocking details'!$F$6:$F$3307,'Stocking details'!$I$6:$I$3307,G896)</x:f>
        <x:v>300</x:v>
      </x:c>
      <x:c r="F896" s="13" t="n">
        <x:f>COUNTIFS('Stocking details'!$I$6:$I$3307,G896)</x:f>
        <x:v>1</x:v>
      </x:c>
      <x:c r="G896" s="8" t="str">
        <x:f>B896&amp;" / "&amp;C896&amp;" / "&amp;D896</x:f>
        <x:v>6785 / 2023 / BROOK TROUT</x:v>
      </x:c>
    </x:row>
    <x:row r="897" ht="23" customHeight="1">
      <x:c r="A897" s="8" t="str">
        <x:v>Irma Fish and Game Pond</x:v>
      </x:c>
      <x:c r="B897" s="8" t="str">
        <x:v>6785</x:v>
      </x:c>
      <x:c r="C897" s="17" t="n">
        <x:v>2023</x:v>
      </x:c>
      <x:c r="D897" s="8" t="str">
        <x:v>RAINBOW TROUT</x:v>
      </x:c>
      <x:c r="E897" s="13" t="n">
        <x:f>SUMIFS('Stocking details'!$F$6:$F$3307,'Stocking details'!$I$6:$I$3307,G897)</x:f>
        <x:v>200</x:v>
      </x:c>
      <x:c r="F897" s="13" t="n">
        <x:f>COUNTIFS('Stocking details'!$I$6:$I$3307,G897)</x:f>
        <x:v>1</x:v>
      </x:c>
      <x:c r="G897" s="8" t="str">
        <x:f>B897&amp;" / "&amp;C897&amp;" / "&amp;D897</x:f>
        <x:v>6785 / 2023 / RAINBOW TROUT</x:v>
      </x:c>
    </x:row>
    <x:row r="898" ht="23" customHeight="1">
      <x:c r="A898" s="8" t="str">
        <x:v>Irma Fish and Game Pond</x:v>
      </x:c>
      <x:c r="B898" s="8" t="str">
        <x:v>6785</x:v>
      </x:c>
      <x:c r="C898" s="17" t="n">
        <x:v>2022</x:v>
      </x:c>
      <x:c r="D898" s="8" t="str">
        <x:v>BROOK TROUT</x:v>
      </x:c>
      <x:c r="E898" s="13" t="n">
        <x:f>SUMIFS('Stocking details'!$F$6:$F$3307,'Stocking details'!$I$6:$I$3307,G898)</x:f>
        <x:v>300</x:v>
      </x:c>
      <x:c r="F898" s="13" t="n">
        <x:f>COUNTIFS('Stocking details'!$I$6:$I$3307,G898)</x:f>
        <x:v>1</x:v>
      </x:c>
      <x:c r="G898" s="8" t="str">
        <x:f>B898&amp;" / "&amp;C898&amp;" / "&amp;D898</x:f>
        <x:v>6785 / 2022 / BROOK TROUT</x:v>
      </x:c>
    </x:row>
    <x:row r="899" ht="23" customHeight="1">
      <x:c r="A899" s="8" t="str">
        <x:v>Irma Fish and Game Pond</x:v>
      </x:c>
      <x:c r="B899" s="8" t="str">
        <x:v>6785</x:v>
      </x:c>
      <x:c r="C899" s="17" t="n">
        <x:v>2022</x:v>
      </x:c>
      <x:c r="D899" s="8" t="str">
        <x:v>RAINBOW TROUT</x:v>
      </x:c>
      <x:c r="E899" s="13" t="n">
        <x:f>SUMIFS('Stocking details'!$F$6:$F$3307,'Stocking details'!$I$6:$I$3307,G899)</x:f>
        <x:v>200</x:v>
      </x:c>
      <x:c r="F899" s="13" t="n">
        <x:f>COUNTIFS('Stocking details'!$I$6:$I$3307,G899)</x:f>
        <x:v>1</x:v>
      </x:c>
      <x:c r="G899" s="8" t="str">
        <x:f>B899&amp;" / "&amp;C899&amp;" / "&amp;D899</x:f>
        <x:v>6785 / 2022 / RAINBOW TROUT</x:v>
      </x:c>
    </x:row>
    <x:row r="900" ht="23" customHeight="1">
      <x:c r="A900" s="8" t="str">
        <x:v>Irma Fish and Game Pond</x:v>
      </x:c>
      <x:c r="B900" s="8" t="str">
        <x:v>6785</x:v>
      </x:c>
      <x:c r="C900" s="17" t="n">
        <x:v>2021</x:v>
      </x:c>
      <x:c r="D900" s="8" t="str">
        <x:v>BROOK TROUT</x:v>
      </x:c>
      <x:c r="E900" s="13" t="n">
        <x:f>SUMIFS('Stocking details'!$F$6:$F$3307,'Stocking details'!$I$6:$I$3307,G900)</x:f>
        <x:v>300</x:v>
      </x:c>
      <x:c r="F900" s="13" t="n">
        <x:f>COUNTIFS('Stocking details'!$I$6:$I$3307,G900)</x:f>
        <x:v>1</x:v>
      </x:c>
      <x:c r="G900" s="8" t="str">
        <x:f>B900&amp;" / "&amp;C900&amp;" / "&amp;D900</x:f>
        <x:v>6785 / 2021 / BROOK TROUT</x:v>
      </x:c>
    </x:row>
    <x:row r="901" ht="23" customHeight="1">
      <x:c r="A901" s="8" t="str">
        <x:v>Irma Fish and Game Pond</x:v>
      </x:c>
      <x:c r="B901" s="8" t="str">
        <x:v>6785</x:v>
      </x:c>
      <x:c r="C901" s="17" t="n">
        <x:v>2021</x:v>
      </x:c>
      <x:c r="D901" s="8" t="str">
        <x:v>RAINBOW TROUT</x:v>
      </x:c>
      <x:c r="E901" s="13" t="n">
        <x:f>SUMIFS('Stocking details'!$F$6:$F$3307,'Stocking details'!$I$6:$I$3307,G901)</x:f>
        <x:v>200</x:v>
      </x:c>
      <x:c r="F901" s="13" t="n">
        <x:f>COUNTIFS('Stocking details'!$I$6:$I$3307,G901)</x:f>
        <x:v>1</x:v>
      </x:c>
      <x:c r="G901" s="8" t="str">
        <x:f>B901&amp;" / "&amp;C901&amp;" / "&amp;D901</x:f>
        <x:v>6785 / 2021 / RAINBOW TROUT</x:v>
      </x:c>
    </x:row>
    <x:row r="902" ht="23" customHeight="1">
      <x:c r="A902" s="8" t="str">
        <x:v>Ironside Pond</x:v>
      </x:c>
      <x:c r="B902" s="8" t="str">
        <x:v>6786</x:v>
      </x:c>
      <x:c r="C902" s="17" t="n">
        <x:v>2026</x:v>
      </x:c>
      <x:c r="D902" s="8" t="str">
        <x:v>RAINBOW TROUT</x:v>
      </x:c>
      <x:c r="E902" s="13" t="n">
        <x:f>SUMIFS('Stocking details'!$F$6:$F$3307,'Stocking details'!$I$6:$I$3307,G902)</x:f>
        <x:v>500</x:v>
      </x:c>
      <x:c r="F902" s="13" t="n">
        <x:f>COUNTIFS('Stocking details'!$I$6:$I$3307,G902)</x:f>
        <x:v>1</x:v>
      </x:c>
      <x:c r="G902" s="8" t="str">
        <x:f>B902&amp;" / "&amp;C902&amp;" / "&amp;D902</x:f>
        <x:v>6786 / 2026 / RAINBOW TROUT</x:v>
      </x:c>
    </x:row>
    <x:row r="903" ht="23" customHeight="1">
      <x:c r="A903" s="8" t="str">
        <x:v>Ironside Pond</x:v>
      </x:c>
      <x:c r="B903" s="8" t="str">
        <x:v>6786</x:v>
      </x:c>
      <x:c r="C903" s="17" t="n">
        <x:v>2025</x:v>
      </x:c>
      <x:c r="D903" s="8" t="str">
        <x:v>RAINBOW TROUT</x:v>
      </x:c>
      <x:c r="E903" s="13" t="n">
        <x:f>SUMIFS('Stocking details'!$F$6:$F$3307,'Stocking details'!$I$6:$I$3307,G903)</x:f>
        <x:v>500</x:v>
      </x:c>
      <x:c r="F903" s="13" t="n">
        <x:f>COUNTIFS('Stocking details'!$I$6:$I$3307,G903)</x:f>
        <x:v>1</x:v>
      </x:c>
      <x:c r="G903" s="8" t="str">
        <x:f>B903&amp;" / "&amp;C903&amp;" / "&amp;D903</x:f>
        <x:v>6786 / 2025 / RAINBOW TROUT</x:v>
      </x:c>
    </x:row>
    <x:row r="904" ht="23" customHeight="1">
      <x:c r="A904" s="8" t="str">
        <x:v>Ironside Pond</x:v>
      </x:c>
      <x:c r="B904" s="8" t="str">
        <x:v>6786</x:v>
      </x:c>
      <x:c r="C904" s="17" t="n">
        <x:v>2025</x:v>
      </x:c>
      <x:c r="D904" s="8" t="str">
        <x:v>TIGER TROUT</x:v>
      </x:c>
      <x:c r="E904" s="13" t="n">
        <x:f>SUMIFS('Stocking details'!$F$6:$F$3307,'Stocking details'!$I$6:$I$3307,G904)</x:f>
        <x:v>400</x:v>
      </x:c>
      <x:c r="F904" s="13" t="n">
        <x:f>COUNTIFS('Stocking details'!$I$6:$I$3307,G904)</x:f>
        <x:v>1</x:v>
      </x:c>
      <x:c r="G904" s="8" t="str">
        <x:f>B904&amp;" / "&amp;C904&amp;" / "&amp;D904</x:f>
        <x:v>6786 / 2025 / TIGER TROUT</x:v>
      </x:c>
    </x:row>
    <x:row r="905" ht="23" customHeight="1">
      <x:c r="A905" s="8" t="str">
        <x:v>Ironside Pond</x:v>
      </x:c>
      <x:c r="B905" s="8" t="str">
        <x:v>6786</x:v>
      </x:c>
      <x:c r="C905" s="17" t="n">
        <x:v>2024</x:v>
      </x:c>
      <x:c r="D905" s="8" t="str">
        <x:v>RAINBOW TROUT</x:v>
      </x:c>
      <x:c r="E905" s="13" t="n">
        <x:f>SUMIFS('Stocking details'!$F$6:$F$3307,'Stocking details'!$I$6:$I$3307,G905)</x:f>
        <x:v>250</x:v>
      </x:c>
      <x:c r="F905" s="13" t="n">
        <x:f>COUNTIFS('Stocking details'!$I$6:$I$3307,G905)</x:f>
        <x:v>1</x:v>
      </x:c>
      <x:c r="G905" s="8" t="str">
        <x:f>B905&amp;" / "&amp;C905&amp;" / "&amp;D905</x:f>
        <x:v>6786 / 2024 / RAINBOW TROUT</x:v>
      </x:c>
    </x:row>
    <x:row r="906" ht="23" customHeight="1">
      <x:c r="A906" s="8" t="str">
        <x:v>Ironside Pond</x:v>
      </x:c>
      <x:c r="B906" s="8" t="str">
        <x:v>6786</x:v>
      </x:c>
      <x:c r="C906" s="17" t="n">
        <x:v>2024</x:v>
      </x:c>
      <x:c r="D906" s="8" t="str">
        <x:v>TIGER TROUT</x:v>
      </x:c>
      <x:c r="E906" s="13" t="n">
        <x:f>SUMIFS('Stocking details'!$F$6:$F$3307,'Stocking details'!$I$6:$I$3307,G906)</x:f>
        <x:v>800</x:v>
      </x:c>
      <x:c r="F906" s="13" t="n">
        <x:f>COUNTIFS('Stocking details'!$I$6:$I$3307,G906)</x:f>
        <x:v>2</x:v>
      </x:c>
      <x:c r="G906" s="8" t="str">
        <x:f>B906&amp;" / "&amp;C906&amp;" / "&amp;D906</x:f>
        <x:v>6786 / 2024 / TIGER TROUT</x:v>
      </x:c>
    </x:row>
    <x:row r="907" ht="23" customHeight="1">
      <x:c r="A907" s="8" t="str">
        <x:v>Ironside Pond</x:v>
      </x:c>
      <x:c r="B907" s="8" t="str">
        <x:v>6786</x:v>
      </x:c>
      <x:c r="C907" s="17" t="n">
        <x:v>2023</x:v>
      </x:c>
      <x:c r="D907" s="8" t="str">
        <x:v>RAINBOW TROUT</x:v>
      </x:c>
      <x:c r="E907" s="13" t="n">
        <x:f>SUMIFS('Stocking details'!$F$6:$F$3307,'Stocking details'!$I$6:$I$3307,G907)</x:f>
        <x:v>251</x:v>
      </x:c>
      <x:c r="F907" s="13" t="n">
        <x:f>COUNTIFS('Stocking details'!$I$6:$I$3307,G907)</x:f>
        <x:v>1</x:v>
      </x:c>
      <x:c r="G907" s="8" t="str">
        <x:f>B907&amp;" / "&amp;C907&amp;" / "&amp;D907</x:f>
        <x:v>6786 / 2023 / RAINBOW TROUT</x:v>
      </x:c>
    </x:row>
    <x:row r="908" ht="23" customHeight="1">
      <x:c r="A908" s="8" t="str">
        <x:v>Ironside Pond</x:v>
      </x:c>
      <x:c r="B908" s="8" t="str">
        <x:v>6786</x:v>
      </x:c>
      <x:c r="C908" s="17" t="n">
        <x:v>2023</x:v>
      </x:c>
      <x:c r="D908" s="8" t="str">
        <x:v>TIGER TROUT</x:v>
      </x:c>
      <x:c r="E908" s="13" t="n">
        <x:f>SUMIFS('Stocking details'!$F$6:$F$3307,'Stocking details'!$I$6:$I$3307,G908)</x:f>
        <x:v>400</x:v>
      </x:c>
      <x:c r="F908" s="13" t="n">
        <x:f>COUNTIFS('Stocking details'!$I$6:$I$3307,G908)</x:f>
        <x:v>1</x:v>
      </x:c>
      <x:c r="G908" s="8" t="str">
        <x:f>B908&amp;" / "&amp;C908&amp;" / "&amp;D908</x:f>
        <x:v>6786 / 2023 / TIGER TROUT</x:v>
      </x:c>
    </x:row>
    <x:row r="909" ht="23" customHeight="1">
      <x:c r="A909" s="8" t="str">
        <x:v>Ironside Pond</x:v>
      </x:c>
      <x:c r="B909" s="8" t="str">
        <x:v>6786</x:v>
      </x:c>
      <x:c r="C909" s="17" t="n">
        <x:v>2022</x:v>
      </x:c>
      <x:c r="D909" s="8" t="str">
        <x:v>RAINBOW TROUT</x:v>
      </x:c>
      <x:c r="E909" s="13" t="n">
        <x:f>SUMIFS('Stocking details'!$F$6:$F$3307,'Stocking details'!$I$6:$I$3307,G909)</x:f>
        <x:v>500</x:v>
      </x:c>
      <x:c r="F909" s="13" t="n">
        <x:f>COUNTIFS('Stocking details'!$I$6:$I$3307,G909)</x:f>
        <x:v>1</x:v>
      </x:c>
      <x:c r="G909" s="8" t="str">
        <x:f>B909&amp;" / "&amp;C909&amp;" / "&amp;D909</x:f>
        <x:v>6786 / 2022 / RAINBOW TROUT</x:v>
      </x:c>
    </x:row>
    <x:row r="910" ht="23" customHeight="1">
      <x:c r="A910" s="8" t="str">
        <x:v>Ironside Pond</x:v>
      </x:c>
      <x:c r="B910" s="8" t="str">
        <x:v>6786</x:v>
      </x:c>
      <x:c r="C910" s="17" t="n">
        <x:v>2022</x:v>
      </x:c>
      <x:c r="D910" s="8" t="str">
        <x:v>TIGER TROUT</x:v>
      </x:c>
      <x:c r="E910" s="13" t="n">
        <x:f>SUMIFS('Stocking details'!$F$6:$F$3307,'Stocking details'!$I$6:$I$3307,G910)</x:f>
        <x:v>400</x:v>
      </x:c>
      <x:c r="F910" s="13" t="n">
        <x:f>COUNTIFS('Stocking details'!$I$6:$I$3307,G910)</x:f>
        <x:v>1</x:v>
      </x:c>
      <x:c r="G910" s="8" t="str">
        <x:f>B910&amp;" / "&amp;C910&amp;" / "&amp;D910</x:f>
        <x:v>6786 / 2022 / TIGER TROUT</x:v>
      </x:c>
    </x:row>
    <x:row r="911" ht="23" customHeight="1">
      <x:c r="A911" s="8" t="str">
        <x:v>Ironside Pond</x:v>
      </x:c>
      <x:c r="B911" s="8" t="str">
        <x:v>6786</x:v>
      </x:c>
      <x:c r="C911" s="17" t="n">
        <x:v>2021</x:v>
      </x:c>
      <x:c r="D911" s="8" t="str">
        <x:v>RAINBOW TROUT</x:v>
      </x:c>
      <x:c r="E911" s="13" t="n">
        <x:f>SUMIFS('Stocking details'!$F$6:$F$3307,'Stocking details'!$I$6:$I$3307,G911)</x:f>
        <x:v>500</x:v>
      </x:c>
      <x:c r="F911" s="13" t="n">
        <x:f>COUNTIFS('Stocking details'!$I$6:$I$3307,G911)</x:f>
        <x:v>1</x:v>
      </x:c>
      <x:c r="G911" s="8" t="str">
        <x:f>B911&amp;" / "&amp;C911&amp;" / "&amp;D911</x:f>
        <x:v>6786 / 2021 / RAINBOW TROUT</x:v>
      </x:c>
    </x:row>
    <x:row r="912" ht="23" customHeight="1">
      <x:c r="A912" s="8" t="str">
        <x:v>Ironside Pond</x:v>
      </x:c>
      <x:c r="B912" s="8" t="str">
        <x:v>6786</x:v>
      </x:c>
      <x:c r="C912" s="17" t="n">
        <x:v>2021</x:v>
      </x:c>
      <x:c r="D912" s="8" t="str">
        <x:v>TIGER TROUT</x:v>
      </x:c>
      <x:c r="E912" s="13" t="n">
        <x:f>SUMIFS('Stocking details'!$F$6:$F$3307,'Stocking details'!$I$6:$I$3307,G912)</x:f>
        <x:v>400</x:v>
      </x:c>
      <x:c r="F912" s="13" t="n">
        <x:f>COUNTIFS('Stocking details'!$I$6:$I$3307,G912)</x:f>
        <x:v>1</x:v>
      </x:c>
      <x:c r="G912" s="8" t="str">
        <x:f>B912&amp;" / "&amp;C912&amp;" / "&amp;D912</x:f>
        <x:v>6786 / 2021 / TIGER TROUT</x:v>
      </x:c>
    </x:row>
    <x:row r="913" ht="23" customHeight="1">
      <x:c r="A913" s="8" t="str">
        <x:v>Island Lake</x:v>
      </x:c>
      <x:c r="B913" s="8" t="str">
        <x:v>4909</x:v>
      </x:c>
      <x:c r="C913" s="17" t="n">
        <x:v>2026</x:v>
      </x:c>
      <x:c r="D913" s="8" t="str">
        <x:v>WESTSLOPE CUTTHROAT TROUT</x:v>
      </x:c>
      <x:c r="E913" s="13" t="n">
        <x:f>SUMIFS('Stocking details'!$F$6:$F$3307,'Stocking details'!$I$6:$I$3307,G913)</x:f>
        <x:v>3500</x:v>
      </x:c>
      <x:c r="F913" s="13" t="n">
        <x:f>COUNTIFS('Stocking details'!$I$6:$I$3307,G913)</x:f>
        <x:v>1</x:v>
      </x:c>
      <x:c r="G913" s="8" t="str">
        <x:f>B913&amp;" / "&amp;C913&amp;" / "&amp;D913</x:f>
        <x:v>4909 / 2026 / WESTSLOPE CUTTHROAT TROUT</x:v>
      </x:c>
    </x:row>
    <x:row r="914" ht="23" customHeight="1">
      <x:c r="A914" s="8" t="str">
        <x:v>Island Lake</x:v>
      </x:c>
      <x:c r="B914" s="8" t="str">
        <x:v>4909</x:v>
      </x:c>
      <x:c r="C914" s="17" t="n">
        <x:v>2025</x:v>
      </x:c>
      <x:c r="D914" s="8" t="str">
        <x:v>CUTTHROAT TROUT</x:v>
      </x:c>
      <x:c r="E914" s="13" t="n">
        <x:f>SUMIFS('Stocking details'!$F$6:$F$3307,'Stocking details'!$I$6:$I$3307,G914)</x:f>
        <x:v>3500</x:v>
      </x:c>
      <x:c r="F914" s="13" t="n">
        <x:f>COUNTIFS('Stocking details'!$I$6:$I$3307,G914)</x:f>
        <x:v>1</x:v>
      </x:c>
      <x:c r="G914" s="8" t="str">
        <x:f>B914&amp;" / "&amp;C914&amp;" / "&amp;D914</x:f>
        <x:v>4909 / 2025 / CUTTHROAT TROUT</x:v>
      </x:c>
    </x:row>
    <x:row r="915" ht="23" customHeight="1">
      <x:c r="A915" s="8" t="str">
        <x:v>Island Lake</x:v>
      </x:c>
      <x:c r="B915" s="8" t="str">
        <x:v>4909</x:v>
      </x:c>
      <x:c r="C915" s="17" t="n">
        <x:v>2024</x:v>
      </x:c>
      <x:c r="D915" s="8" t="str">
        <x:v>RAINBOW TROUT</x:v>
      </x:c>
      <x:c r="E915" s="13" t="n">
        <x:f>SUMIFS('Stocking details'!$F$6:$F$3307,'Stocking details'!$I$6:$I$3307,G915)</x:f>
        <x:v>1900</x:v>
      </x:c>
      <x:c r="F915" s="13" t="n">
        <x:f>COUNTIFS('Stocking details'!$I$6:$I$3307,G915)</x:f>
        <x:v>1</x:v>
      </x:c>
      <x:c r="G915" s="8" t="str">
        <x:f>B915&amp;" / "&amp;C915&amp;" / "&amp;D915</x:f>
        <x:v>4909 / 2024 / RAINBOW TROUT</x:v>
      </x:c>
    </x:row>
    <x:row r="916" ht="23" customHeight="1">
      <x:c r="A916" s="8" t="str">
        <x:v>Island Lake</x:v>
      </x:c>
      <x:c r="B916" s="8" t="str">
        <x:v>4909</x:v>
      </x:c>
      <x:c r="C916" s="17" t="n">
        <x:v>2023</x:v>
      </x:c>
      <x:c r="D916" s="8" t="str">
        <x:v>CUTTHROAT TROUT</x:v>
      </x:c>
      <x:c r="E916" s="13" t="n">
        <x:f>SUMIFS('Stocking details'!$F$6:$F$3307,'Stocking details'!$I$6:$I$3307,G916)</x:f>
        <x:v>1900</x:v>
      </x:c>
      <x:c r="F916" s="13" t="n">
        <x:f>COUNTIFS('Stocking details'!$I$6:$I$3307,G916)</x:f>
        <x:v>1</x:v>
      </x:c>
      <x:c r="G916" s="8" t="str">
        <x:f>B916&amp;" / "&amp;C916&amp;" / "&amp;D916</x:f>
        <x:v>4909 / 2023 / CUTTHROAT TROUT</x:v>
      </x:c>
    </x:row>
    <x:row r="917" ht="23" customHeight="1">
      <x:c r="A917" s="8" t="str">
        <x:v>Island Lake</x:v>
      </x:c>
      <x:c r="B917" s="8" t="str">
        <x:v>4909</x:v>
      </x:c>
      <x:c r="C917" s="17" t="n">
        <x:v>2022</x:v>
      </x:c>
      <x:c r="D917" s="8" t="str">
        <x:v>CUTTHROAT TROUT</x:v>
      </x:c>
      <x:c r="E917" s="13" t="n">
        <x:f>SUMIFS('Stocking details'!$F$6:$F$3307,'Stocking details'!$I$6:$I$3307,G917)</x:f>
        <x:v>1900</x:v>
      </x:c>
      <x:c r="F917" s="13" t="n">
        <x:f>COUNTIFS('Stocking details'!$I$6:$I$3307,G917)</x:f>
        <x:v>1</x:v>
      </x:c>
      <x:c r="G917" s="8" t="str">
        <x:f>B917&amp;" / "&amp;C917&amp;" / "&amp;D917</x:f>
        <x:v>4909 / 2022 / CUTTHROAT TROUT</x:v>
      </x:c>
    </x:row>
    <x:row r="918" ht="23" customHeight="1">
      <x:c r="A918" s="8" t="str">
        <x:v>Island Lake</x:v>
      </x:c>
      <x:c r="B918" s="8" t="str">
        <x:v>4909</x:v>
      </x:c>
      <x:c r="C918" s="17" t="n">
        <x:v>2021</x:v>
      </x:c>
      <x:c r="D918" s="8" t="str">
        <x:v>RAINBOW TROUT</x:v>
      </x:c>
      <x:c r="E918" s="13" t="n">
        <x:f>SUMIFS('Stocking details'!$F$6:$F$3307,'Stocking details'!$I$6:$I$3307,G918)</x:f>
        <x:v>1900</x:v>
      </x:c>
      <x:c r="F918" s="13" t="n">
        <x:f>COUNTIFS('Stocking details'!$I$6:$I$3307,G918)</x:f>
        <x:v>1</x:v>
      </x:c>
      <x:c r="G918" s="8" t="str">
        <x:f>B918&amp;" / "&amp;C918&amp;" / "&amp;D918</x:f>
        <x:v>4909 / 2021 / RAINBOW TROUT</x:v>
      </x:c>
    </x:row>
    <x:row r="919" ht="23" customHeight="1">
      <x:c r="A919" s="8" t="str">
        <x:v>Jackfish Lake</x:v>
      </x:c>
      <x:c r="B919" s="8" t="str">
        <x:v>4920</x:v>
      </x:c>
      <x:c r="C919" s="17" t="n">
        <x:v>2026</x:v>
      </x:c>
      <x:c r="D919" s="8" t="str">
        <x:v>RAINBOW TROUT</x:v>
      </x:c>
      <x:c r="E919" s="13" t="n">
        <x:f>SUMIFS('Stocking details'!$F$6:$F$3307,'Stocking details'!$I$6:$I$3307,G919)</x:f>
        <x:v>8000</x:v>
      </x:c>
      <x:c r="F919" s="13" t="n">
        <x:f>COUNTIFS('Stocking details'!$I$6:$I$3307,G919)</x:f>
        <x:v>3</x:v>
      </x:c>
      <x:c r="G919" s="8" t="str">
        <x:f>B919&amp;" / "&amp;C919&amp;" / "&amp;D919</x:f>
        <x:v>4920 / 2026 / RAINBOW TROUT</x:v>
      </x:c>
    </x:row>
    <x:row r="920" ht="23" customHeight="1">
      <x:c r="A920" s="8" t="str">
        <x:v>Jackfish Lake</x:v>
      </x:c>
      <x:c r="B920" s="8" t="str">
        <x:v>4920</x:v>
      </x:c>
      <x:c r="C920" s="17" t="n">
        <x:v>2026</x:v>
      </x:c>
      <x:c r="D920" s="8" t="str">
        <x:v>TIGER TROUT</x:v>
      </x:c>
      <x:c r="E920" s="13" t="n">
        <x:f>SUMIFS('Stocking details'!$F$6:$F$3307,'Stocking details'!$I$6:$I$3307,G920)</x:f>
        <x:v>2000</x:v>
      </x:c>
      <x:c r="F920" s="13" t="n">
        <x:f>COUNTIFS('Stocking details'!$I$6:$I$3307,G920)</x:f>
        <x:v>1</x:v>
      </x:c>
      <x:c r="G920" s="8" t="str">
        <x:f>B920&amp;" / "&amp;C920&amp;" / "&amp;D920</x:f>
        <x:v>4920 / 2026 / TIGER TROUT</x:v>
      </x:c>
    </x:row>
    <x:row r="921" ht="23" customHeight="1">
      <x:c r="A921" s="8" t="str">
        <x:v>Jackfish Lake</x:v>
      </x:c>
      <x:c r="B921" s="8" t="str">
        <x:v>4920</x:v>
      </x:c>
      <x:c r="C921" s="17" t="n">
        <x:v>2025</x:v>
      </x:c>
      <x:c r="D921" s="8" t="str">
        <x:v>RAINBOW TROUT</x:v>
      </x:c>
      <x:c r="E921" s="13" t="n">
        <x:f>SUMIFS('Stocking details'!$F$6:$F$3307,'Stocking details'!$I$6:$I$3307,G921)</x:f>
        <x:v>5000</x:v>
      </x:c>
      <x:c r="F921" s="13" t="n">
        <x:f>COUNTIFS('Stocking details'!$I$6:$I$3307,G921)</x:f>
        <x:v>1</x:v>
      </x:c>
      <x:c r="G921" s="8" t="str">
        <x:f>B921&amp;" / "&amp;C921&amp;" / "&amp;D921</x:f>
        <x:v>4920 / 2025 / RAINBOW TROUT</x:v>
      </x:c>
    </x:row>
    <x:row r="922" ht="23" customHeight="1">
      <x:c r="A922" s="8" t="str">
        <x:v>Jackfish Lake</x:v>
      </x:c>
      <x:c r="B922" s="8" t="str">
        <x:v>4920</x:v>
      </x:c>
      <x:c r="C922" s="17" t="n">
        <x:v>2025</x:v>
      </x:c>
      <x:c r="D922" s="8" t="str">
        <x:v>TIGER TROUT</x:v>
      </x:c>
      <x:c r="E922" s="13" t="n">
        <x:f>SUMIFS('Stocking details'!$F$6:$F$3307,'Stocking details'!$I$6:$I$3307,G922)</x:f>
        <x:v>1000</x:v>
      </x:c>
      <x:c r="F922" s="13" t="n">
        <x:f>COUNTIFS('Stocking details'!$I$6:$I$3307,G922)</x:f>
        <x:v>1</x:v>
      </x:c>
      <x:c r="G922" s="8" t="str">
        <x:f>B922&amp;" / "&amp;C922&amp;" / "&amp;D922</x:f>
        <x:v>4920 / 2025 / TIGER TROUT</x:v>
      </x:c>
    </x:row>
    <x:row r="923" ht="23" customHeight="1">
      <x:c r="A923" s="8" t="str">
        <x:v>Jackfish Lake</x:v>
      </x:c>
      <x:c r="B923" s="8" t="str">
        <x:v>4920</x:v>
      </x:c>
      <x:c r="C923" s="17" t="n">
        <x:v>2024</x:v>
      </x:c>
      <x:c r="D923" s="8" t="str">
        <x:v>RAINBOW TROUT</x:v>
      </x:c>
      <x:c r="E923" s="13" t="n">
        <x:f>SUMIFS('Stocking details'!$F$6:$F$3307,'Stocking details'!$I$6:$I$3307,G923)</x:f>
        <x:v>10000</x:v>
      </x:c>
      <x:c r="F923" s="13" t="n">
        <x:f>COUNTIFS('Stocking details'!$I$6:$I$3307,G923)</x:f>
        <x:v>3</x:v>
      </x:c>
      <x:c r="G923" s="8" t="str">
        <x:f>B923&amp;" / "&amp;C923&amp;" / "&amp;D923</x:f>
        <x:v>4920 / 2024 / RAINBOW TROUT</x:v>
      </x:c>
    </x:row>
    <x:row r="924" ht="23" customHeight="1">
      <x:c r="A924" s="8" t="str">
        <x:v>Jackfish Lake</x:v>
      </x:c>
      <x:c r="B924" s="8" t="str">
        <x:v>4920</x:v>
      </x:c>
      <x:c r="C924" s="17" t="n">
        <x:v>2024</x:v>
      </x:c>
      <x:c r="D924" s="8" t="str">
        <x:v>TIGER TROUT</x:v>
      </x:c>
      <x:c r="E924" s="13" t="n">
        <x:f>SUMIFS('Stocking details'!$F$6:$F$3307,'Stocking details'!$I$6:$I$3307,G924)</x:f>
        <x:v>1000</x:v>
      </x:c>
      <x:c r="F924" s="13" t="n">
        <x:f>COUNTIFS('Stocking details'!$I$6:$I$3307,G924)</x:f>
        <x:v>1</x:v>
      </x:c>
      <x:c r="G924" s="8" t="str">
        <x:f>B924&amp;" / "&amp;C924&amp;" / "&amp;D924</x:f>
        <x:v>4920 / 2024 / TIGER TROUT</x:v>
      </x:c>
    </x:row>
    <x:row r="925" ht="23" customHeight="1">
      <x:c r="A925" s="8" t="str">
        <x:v>Jackfish Lake</x:v>
      </x:c>
      <x:c r="B925" s="8" t="str">
        <x:v>4920</x:v>
      </x:c>
      <x:c r="C925" s="17" t="n">
        <x:v>2023</x:v>
      </x:c>
      <x:c r="D925" s="8" t="str">
        <x:v>RAINBOW TROUT</x:v>
      </x:c>
      <x:c r="E925" s="13" t="n">
        <x:f>SUMIFS('Stocking details'!$F$6:$F$3307,'Stocking details'!$I$6:$I$3307,G925)</x:f>
        <x:v>9995</x:v>
      </x:c>
      <x:c r="F925" s="13" t="n">
        <x:f>COUNTIFS('Stocking details'!$I$6:$I$3307,G925)</x:f>
        <x:v>2</x:v>
      </x:c>
      <x:c r="G925" s="8" t="str">
        <x:f>B925&amp;" / "&amp;C925&amp;" / "&amp;D925</x:f>
        <x:v>4920 / 2023 / RAINBOW TROUT</x:v>
      </x:c>
    </x:row>
    <x:row r="926" ht="23" customHeight="1">
      <x:c r="A926" s="8" t="str">
        <x:v>Jackfish Lake</x:v>
      </x:c>
      <x:c r="B926" s="8" t="str">
        <x:v>4920</x:v>
      </x:c>
      <x:c r="C926" s="17" t="n">
        <x:v>2023</x:v>
      </x:c>
      <x:c r="D926" s="8" t="str">
        <x:v>TIGER TROUT</x:v>
      </x:c>
      <x:c r="E926" s="13" t="n">
        <x:f>SUMIFS('Stocking details'!$F$6:$F$3307,'Stocking details'!$I$6:$I$3307,G926)</x:f>
        <x:v>1000</x:v>
      </x:c>
      <x:c r="F926" s="13" t="n">
        <x:f>COUNTIFS('Stocking details'!$I$6:$I$3307,G926)</x:f>
        <x:v>1</x:v>
      </x:c>
      <x:c r="G926" s="8" t="str">
        <x:f>B926&amp;" / "&amp;C926&amp;" / "&amp;D926</x:f>
        <x:v>4920 / 2023 / TIGER TROUT</x:v>
      </x:c>
    </x:row>
    <x:row r="927" ht="23" customHeight="1">
      <x:c r="A927" s="8" t="str">
        <x:v>Jackfish Lake</x:v>
      </x:c>
      <x:c r="B927" s="8" t="str">
        <x:v>4920</x:v>
      </x:c>
      <x:c r="C927" s="17" t="n">
        <x:v>2022</x:v>
      </x:c>
      <x:c r="D927" s="8" t="str">
        <x:v>RAINBOW TROUT</x:v>
      </x:c>
      <x:c r="E927" s="13" t="n">
        <x:f>SUMIFS('Stocking details'!$F$6:$F$3307,'Stocking details'!$I$6:$I$3307,G927)</x:f>
        <x:v>5000</x:v>
      </x:c>
      <x:c r="F927" s="13" t="n">
        <x:f>COUNTIFS('Stocking details'!$I$6:$I$3307,G927)</x:f>
        <x:v>1</x:v>
      </x:c>
      <x:c r="G927" s="8" t="str">
        <x:f>B927&amp;" / "&amp;C927&amp;" / "&amp;D927</x:f>
        <x:v>4920 / 2022 / RAINBOW TROUT</x:v>
      </x:c>
    </x:row>
    <x:row r="928" ht="23" customHeight="1">
      <x:c r="A928" s="8" t="str">
        <x:v>Jackfish Lake</x:v>
      </x:c>
      <x:c r="B928" s="8" t="str">
        <x:v>4920</x:v>
      </x:c>
      <x:c r="C928" s="17" t="n">
        <x:v>2022</x:v>
      </x:c>
      <x:c r="D928" s="8" t="str">
        <x:v>TIGER TROUT</x:v>
      </x:c>
      <x:c r="E928" s="13" t="n">
        <x:f>SUMIFS('Stocking details'!$F$6:$F$3307,'Stocking details'!$I$6:$I$3307,G928)</x:f>
        <x:v>1000</x:v>
      </x:c>
      <x:c r="F928" s="13" t="n">
        <x:f>COUNTIFS('Stocking details'!$I$6:$I$3307,G928)</x:f>
        <x:v>1</x:v>
      </x:c>
      <x:c r="G928" s="8" t="str">
        <x:f>B928&amp;" / "&amp;C928&amp;" / "&amp;D928</x:f>
        <x:v>4920 / 2022 / TIGER TROUT</x:v>
      </x:c>
    </x:row>
    <x:row r="929" ht="23" customHeight="1">
      <x:c r="A929" s="8" t="str">
        <x:v>Jackfish Lake</x:v>
      </x:c>
      <x:c r="B929" s="8" t="str">
        <x:v>4920</x:v>
      </x:c>
      <x:c r="C929" s="17" t="n">
        <x:v>2021</x:v>
      </x:c>
      <x:c r="D929" s="8" t="str">
        <x:v>RAINBOW TROUT</x:v>
      </x:c>
      <x:c r="E929" s="13" t="n">
        <x:f>SUMIFS('Stocking details'!$F$6:$F$3307,'Stocking details'!$I$6:$I$3307,G929)</x:f>
        <x:v>5000</x:v>
      </x:c>
      <x:c r="F929" s="13" t="n">
        <x:f>COUNTIFS('Stocking details'!$I$6:$I$3307,G929)</x:f>
        <x:v>1</x:v>
      </x:c>
      <x:c r="G929" s="8" t="str">
        <x:f>B929&amp;" / "&amp;C929&amp;" / "&amp;D929</x:f>
        <x:v>4920 / 2021 / RAINBOW TROUT</x:v>
      </x:c>
    </x:row>
    <x:row r="930" ht="23" customHeight="1">
      <x:c r="A930" s="8" t="str">
        <x:v>Jackfish Lake</x:v>
      </x:c>
      <x:c r="B930" s="8" t="str">
        <x:v>4920</x:v>
      </x:c>
      <x:c r="C930" s="17" t="n">
        <x:v>2021</x:v>
      </x:c>
      <x:c r="D930" s="8" t="str">
        <x:v>TIGER TROUT</x:v>
      </x:c>
      <x:c r="E930" s="13" t="n">
        <x:f>SUMIFS('Stocking details'!$F$6:$F$3307,'Stocking details'!$I$6:$I$3307,G930)</x:f>
        <x:v>1000</x:v>
      </x:c>
      <x:c r="F930" s="13" t="n">
        <x:f>COUNTIFS('Stocking details'!$I$6:$I$3307,G930)</x:f>
        <x:v>1</x:v>
      </x:c>
      <x:c r="G930" s="8" t="str">
        <x:f>B930&amp;" / "&amp;C930&amp;" / "&amp;D930</x:f>
        <x:v>4920 / 2021 / TIGER TROUT</x:v>
      </x:c>
    </x:row>
    <x:row r="931" ht="23" customHeight="1">
      <x:c r="A931" s="8" t="str">
        <x:v>Jane Lake</x:v>
      </x:c>
      <x:c r="B931" s="8" t="str">
        <x:v>4935</x:v>
      </x:c>
      <x:c r="C931" s="17" t="n">
        <x:v>2025</x:v>
      </x:c>
      <x:c r="D931" s="8" t="str">
        <x:v>RAINBOW TROUT</x:v>
      </x:c>
      <x:c r="E931" s="13" t="n">
        <x:f>SUMIFS('Stocking details'!$F$6:$F$3307,'Stocking details'!$I$6:$I$3307,G931)</x:f>
        <x:v>1800</x:v>
      </x:c>
      <x:c r="F931" s="13" t="n">
        <x:f>COUNTIFS('Stocking details'!$I$6:$I$3307,G931)</x:f>
        <x:v>1</x:v>
      </x:c>
      <x:c r="G931" s="8" t="str">
        <x:f>B931&amp;" / "&amp;C931&amp;" / "&amp;D931</x:f>
        <x:v>4935 / 2025 / RAINBOW TROUT</x:v>
      </x:c>
    </x:row>
    <x:row r="932" ht="23" customHeight="1">
      <x:c r="A932" s="8" t="str">
        <x:v>Jane Lake</x:v>
      </x:c>
      <x:c r="B932" s="8" t="str">
        <x:v>4935</x:v>
      </x:c>
      <x:c r="C932" s="17" t="n">
        <x:v>2022</x:v>
      </x:c>
      <x:c r="D932" s="8" t="str">
        <x:v>RAINBOW TROUT</x:v>
      </x:c>
      <x:c r="E932" s="13" t="n">
        <x:f>SUMIFS('Stocking details'!$F$6:$F$3307,'Stocking details'!$I$6:$I$3307,G932)</x:f>
        <x:v>1800</x:v>
      </x:c>
      <x:c r="F932" s="13" t="n">
        <x:f>COUNTIFS('Stocking details'!$I$6:$I$3307,G932)</x:f>
        <x:v>1</x:v>
      </x:c>
      <x:c r="G932" s="8" t="str">
        <x:f>B932&amp;" / "&amp;C932&amp;" / "&amp;D932</x:f>
        <x:v>4935 / 2022 / RAINBOW TROUT</x:v>
      </x:c>
    </x:row>
    <x:row r="933" ht="23" customHeight="1">
      <x:c r="A933" s="8" t="str">
        <x:v>Jarvis Creek Pond</x:v>
      </x:c>
      <x:c r="B933" s="8" t="str">
        <x:v>6788</x:v>
      </x:c>
      <x:c r="C933" s="17" t="n">
        <x:v>2026</x:v>
      </x:c>
      <x:c r="D933" s="8" t="str">
        <x:v>RAINBOW TROUT</x:v>
      </x:c>
      <x:c r="E933" s="13" t="n">
        <x:f>SUMIFS('Stocking details'!$F$6:$F$3307,'Stocking details'!$I$6:$I$3307,G933)</x:f>
        <x:v>700</x:v>
      </x:c>
      <x:c r="F933" s="13" t="n">
        <x:f>COUNTIFS('Stocking details'!$I$6:$I$3307,G933)</x:f>
        <x:v>1</x:v>
      </x:c>
      <x:c r="G933" s="8" t="str">
        <x:f>B933&amp;" / "&amp;C933&amp;" / "&amp;D933</x:f>
        <x:v>6788 / 2026 / RAINBOW TROUT</x:v>
      </x:c>
    </x:row>
    <x:row r="934" ht="23" customHeight="1">
      <x:c r="A934" s="8" t="str">
        <x:v>Jarvis Creek Pond</x:v>
      </x:c>
      <x:c r="B934" s="8" t="str">
        <x:v>6788</x:v>
      </x:c>
      <x:c r="C934" s="17" t="n">
        <x:v>2025</x:v>
      </x:c>
      <x:c r="D934" s="8" t="str">
        <x:v>RAINBOW TROUT</x:v>
      </x:c>
      <x:c r="E934" s="13" t="n">
        <x:f>SUMIFS('Stocking details'!$F$6:$F$3307,'Stocking details'!$I$6:$I$3307,G934)</x:f>
        <x:v>700</x:v>
      </x:c>
      <x:c r="F934" s="13" t="n">
        <x:f>COUNTIFS('Stocking details'!$I$6:$I$3307,G934)</x:f>
        <x:v>1</x:v>
      </x:c>
      <x:c r="G934" s="8" t="str">
        <x:f>B934&amp;" / "&amp;C934&amp;" / "&amp;D934</x:f>
        <x:v>6788 / 2025 / RAINBOW TROUT</x:v>
      </x:c>
    </x:row>
    <x:row r="935" ht="23" customHeight="1">
      <x:c r="A935" s="8" t="str">
        <x:v>Jarvis Creek Pond</x:v>
      </x:c>
      <x:c r="B935" s="8" t="str">
        <x:v>6788</x:v>
      </x:c>
      <x:c r="C935" s="17" t="n">
        <x:v>2024</x:v>
      </x:c>
      <x:c r="D935" s="8" t="str">
        <x:v>RAINBOW TROUT</x:v>
      </x:c>
      <x:c r="E935" s="13" t="n">
        <x:f>SUMIFS('Stocking details'!$F$6:$F$3307,'Stocking details'!$I$6:$I$3307,G935)</x:f>
        <x:v>350</x:v>
      </x:c>
      <x:c r="F935" s="13" t="n">
        <x:f>COUNTIFS('Stocking details'!$I$6:$I$3307,G935)</x:f>
        <x:v>1</x:v>
      </x:c>
      <x:c r="G935" s="8" t="str">
        <x:f>B935&amp;" / "&amp;C935&amp;" / "&amp;D935</x:f>
        <x:v>6788 / 2024 / RAINBOW TROUT</x:v>
      </x:c>
    </x:row>
    <x:row r="936" ht="23" customHeight="1">
      <x:c r="A936" s="8" t="str">
        <x:v>Jarvis Creek Pond</x:v>
      </x:c>
      <x:c r="B936" s="8" t="str">
        <x:v>6788</x:v>
      </x:c>
      <x:c r="C936" s="17" t="n">
        <x:v>2023</x:v>
      </x:c>
      <x:c r="D936" s="8" t="str">
        <x:v>RAINBOW TROUT</x:v>
      </x:c>
      <x:c r="E936" s="13" t="n">
        <x:f>SUMIFS('Stocking details'!$F$6:$F$3307,'Stocking details'!$I$6:$I$3307,G936)</x:f>
        <x:v>351</x:v>
      </x:c>
      <x:c r="F936" s="13" t="n">
        <x:f>COUNTIFS('Stocking details'!$I$6:$I$3307,G936)</x:f>
        <x:v>1</x:v>
      </x:c>
      <x:c r="G936" s="8" t="str">
        <x:f>B936&amp;" / "&amp;C936&amp;" / "&amp;D936</x:f>
        <x:v>6788 / 2023 / RAINBOW TROUT</x:v>
      </x:c>
    </x:row>
    <x:row r="937" ht="23" customHeight="1">
      <x:c r="A937" s="8" t="str">
        <x:v>Jarvis Creek Pond</x:v>
      </x:c>
      <x:c r="B937" s="8" t="str">
        <x:v>6788</x:v>
      </x:c>
      <x:c r="C937" s="17" t="n">
        <x:v>2022</x:v>
      </x:c>
      <x:c r="D937" s="8" t="str">
        <x:v>RAINBOW TROUT</x:v>
      </x:c>
      <x:c r="E937" s="13" t="n">
        <x:f>SUMIFS('Stocking details'!$F$6:$F$3307,'Stocking details'!$I$6:$I$3307,G937)</x:f>
        <x:v>700</x:v>
      </x:c>
      <x:c r="F937" s="13" t="n">
        <x:f>COUNTIFS('Stocking details'!$I$6:$I$3307,G937)</x:f>
        <x:v>1</x:v>
      </x:c>
      <x:c r="G937" s="8" t="str">
        <x:f>B937&amp;" / "&amp;C937&amp;" / "&amp;D937</x:f>
        <x:v>6788 / 2022 / RAINBOW TROUT</x:v>
      </x:c>
    </x:row>
    <x:row r="938" ht="23" customHeight="1">
      <x:c r="A938" s="8" t="str">
        <x:v>Jarvis Creek Pond</x:v>
      </x:c>
      <x:c r="B938" s="8" t="str">
        <x:v>6788</x:v>
      </x:c>
      <x:c r="C938" s="17" t="n">
        <x:v>2021</x:v>
      </x:c>
      <x:c r="D938" s="8" t="str">
        <x:v>RAINBOW TROUT</x:v>
      </x:c>
      <x:c r="E938" s="13" t="n">
        <x:f>SUMIFS('Stocking details'!$F$6:$F$3307,'Stocking details'!$I$6:$I$3307,G938)</x:f>
        <x:v>700</x:v>
      </x:c>
      <x:c r="F938" s="13" t="n">
        <x:f>COUNTIFS('Stocking details'!$I$6:$I$3307,G938)</x:f>
        <x:v>1</x:v>
      </x:c>
      <x:c r="G938" s="8" t="str">
        <x:f>B938&amp;" / "&amp;C938&amp;" / "&amp;D938</x:f>
        <x:v>6788 / 2021 / RAINBOW TROUT</x:v>
      </x:c>
    </x:row>
    <x:row r="939" ht="23" customHeight="1">
      <x:c r="A939" s="8" t="str">
        <x:v>Jessie Lake</x:v>
      </x:c>
      <x:c r="B939" s="8" t="str">
        <x:v>4944</x:v>
      </x:c>
      <x:c r="C939" s="17" t="n">
        <x:v>2025</x:v>
      </x:c>
      <x:c r="D939" s="8" t="str">
        <x:v>RAINBOW TROUT</x:v>
      </x:c>
      <x:c r="E939" s="13" t="n">
        <x:f>SUMIFS('Stocking details'!$F$6:$F$3307,'Stocking details'!$I$6:$I$3307,G939)</x:f>
        <x:v>3500</x:v>
      </x:c>
      <x:c r="F939" s="13" t="n">
        <x:f>COUNTIFS('Stocking details'!$I$6:$I$3307,G939)</x:f>
        <x:v>1</x:v>
      </x:c>
      <x:c r="G939" s="8" t="str">
        <x:f>B939&amp;" / "&amp;C939&amp;" / "&amp;D939</x:f>
        <x:v>4944 / 2025 / RAINBOW TROUT</x:v>
      </x:c>
    </x:row>
    <x:row r="940" ht="23" customHeight="1">
      <x:c r="A940" s="8" t="str">
        <x:v>Jessie Lake</x:v>
      </x:c>
      <x:c r="B940" s="8" t="str">
        <x:v>4944</x:v>
      </x:c>
      <x:c r="C940" s="17" t="n">
        <x:v>2022</x:v>
      </x:c>
      <x:c r="D940" s="8" t="str">
        <x:v>RAINBOW TROUT</x:v>
      </x:c>
      <x:c r="E940" s="13" t="n">
        <x:f>SUMIFS('Stocking details'!$F$6:$F$3307,'Stocking details'!$I$6:$I$3307,G940)</x:f>
        <x:v>3500</x:v>
      </x:c>
      <x:c r="F940" s="13" t="n">
        <x:f>COUNTIFS('Stocking details'!$I$6:$I$3307,G940)</x:f>
        <x:v>1</x:v>
      </x:c>
      <x:c r="G940" s="8" t="str">
        <x:f>B940&amp;" / "&amp;C940&amp;" / "&amp;D940</x:f>
        <x:v>4944 / 2022 / RAINBOW TROUT</x:v>
      </x:c>
    </x:row>
    <x:row r="941" ht="23" customHeight="1">
      <x:c r="A941" s="8" t="str">
        <x:v>Kakut Pond</x:v>
      </x:c>
      <x:c r="B941" s="8" t="str">
        <x:v>26729</x:v>
      </x:c>
      <x:c r="C941" s="17" t="n">
        <x:v>2025</x:v>
      </x:c>
      <x:c r="D941" s="8" t="str">
        <x:v>RAINBOW TROUT</x:v>
      </x:c>
      <x:c r="E941" s="13" t="n">
        <x:f>SUMIFS('Stocking details'!$F$6:$F$3307,'Stocking details'!$I$6:$I$3307,G941)</x:f>
        <x:v>1500</x:v>
      </x:c>
      <x:c r="F941" s="13" t="n">
        <x:f>COUNTIFS('Stocking details'!$I$6:$I$3307,G941)</x:f>
        <x:v>1</x:v>
      </x:c>
      <x:c r="G941" s="8" t="str">
        <x:f>B941&amp;" / "&amp;C941&amp;" / "&amp;D941</x:f>
        <x:v>26729 / 2025 / RAINBOW TROUT</x:v>
      </x:c>
    </x:row>
    <x:row r="942" ht="23" customHeight="1">
      <x:c r="A942" s="8" t="str">
        <x:v>Kakut Pond</x:v>
      </x:c>
      <x:c r="B942" s="8" t="str">
        <x:v>26729</x:v>
      </x:c>
      <x:c r="C942" s="17" t="n">
        <x:v>2024</x:v>
      </x:c>
      <x:c r="D942" s="8" t="str">
        <x:v>RAINBOW TROUT</x:v>
      </x:c>
      <x:c r="E942" s="13" t="n">
        <x:f>SUMIFS('Stocking details'!$F$6:$F$3307,'Stocking details'!$I$6:$I$3307,G942)</x:f>
        <x:v>750</x:v>
      </x:c>
      <x:c r="F942" s="13" t="n">
        <x:f>COUNTIFS('Stocking details'!$I$6:$I$3307,G942)</x:f>
        <x:v>1</x:v>
      </x:c>
      <x:c r="G942" s="8" t="str">
        <x:f>B942&amp;" / "&amp;C942&amp;" / "&amp;D942</x:f>
        <x:v>26729 / 2024 / RAINBOW TROUT</x:v>
      </x:c>
    </x:row>
    <x:row r="943" ht="23" customHeight="1">
      <x:c r="A943" s="8" t="str">
        <x:v>Kakut Pond</x:v>
      </x:c>
      <x:c r="B943" s="8" t="str">
        <x:v>26729</x:v>
      </x:c>
      <x:c r="C943" s="17" t="n">
        <x:v>2023</x:v>
      </x:c>
      <x:c r="D943" s="8" t="str">
        <x:v>RAINBOW TROUT</x:v>
      </x:c>
      <x:c r="E943" s="13" t="n">
        <x:f>SUMIFS('Stocking details'!$F$6:$F$3307,'Stocking details'!$I$6:$I$3307,G943)</x:f>
        <x:v>753</x:v>
      </x:c>
      <x:c r="F943" s="13" t="n">
        <x:f>COUNTIFS('Stocking details'!$I$6:$I$3307,G943)</x:f>
        <x:v>1</x:v>
      </x:c>
      <x:c r="G943" s="8" t="str">
        <x:f>B943&amp;" / "&amp;C943&amp;" / "&amp;D943</x:f>
        <x:v>26729 / 2023 / RAINBOW TROUT</x:v>
      </x:c>
    </x:row>
    <x:row r="944" ht="23" customHeight="1">
      <x:c r="A944" s="8" t="str">
        <x:v>Kakut Pond</x:v>
      </x:c>
      <x:c r="B944" s="8" t="str">
        <x:v>26729</x:v>
      </x:c>
      <x:c r="C944" s="17" t="n">
        <x:v>2022</x:v>
      </x:c>
      <x:c r="D944" s="8" t="str">
        <x:v>RAINBOW TROUT</x:v>
      </x:c>
      <x:c r="E944" s="13" t="n">
        <x:f>SUMIFS('Stocking details'!$F$6:$F$3307,'Stocking details'!$I$6:$I$3307,G944)</x:f>
        <x:v>1500</x:v>
      </x:c>
      <x:c r="F944" s="13" t="n">
        <x:f>COUNTIFS('Stocking details'!$I$6:$I$3307,G944)</x:f>
        <x:v>1</x:v>
      </x:c>
      <x:c r="G944" s="8" t="str">
        <x:f>B944&amp;" / "&amp;C944&amp;" / "&amp;D944</x:f>
        <x:v>26729 / 2022 / RAINBOW TROUT</x:v>
      </x:c>
    </x:row>
    <x:row r="945" ht="23" customHeight="1">
      <x:c r="A945" s="8" t="str">
        <x:v>Kakut Pond</x:v>
      </x:c>
      <x:c r="B945" s="8" t="str">
        <x:v>26729</x:v>
      </x:c>
      <x:c r="C945" s="17" t="n">
        <x:v>2021</x:v>
      </x:c>
      <x:c r="D945" s="8" t="str">
        <x:v>RAINBOW TROUT</x:v>
      </x:c>
      <x:c r="E945" s="13" t="n">
        <x:f>SUMIFS('Stocking details'!$F$6:$F$3307,'Stocking details'!$I$6:$I$3307,G945)</x:f>
        <x:v>1500</x:v>
      </x:c>
      <x:c r="F945" s="13" t="n">
        <x:f>COUNTIFS('Stocking details'!$I$6:$I$3307,G945)</x:f>
        <x:v>1</x:v>
      </x:c>
      <x:c r="G945" s="8" t="str">
        <x:f>B945&amp;" / "&amp;C945&amp;" / "&amp;D945</x:f>
        <x:v>26729 / 2021 / RAINBOW TROUT</x:v>
      </x:c>
    </x:row>
    <x:row r="946" ht="23" customHeight="1">
      <x:c r="A946" s="8" t="str">
        <x:v>Keenex Trout Pond</x:v>
      </x:c>
      <x:c r="B946" s="8" t="str">
        <x:v>417476</x:v>
      </x:c>
      <x:c r="C946" s="17" t="n">
        <x:v>2021</x:v>
      </x:c>
      <x:c r="D946" s="8" t="str">
        <x:v>BROOK TROUT</x:v>
      </x:c>
      <x:c r="E946" s="13" t="n">
        <x:f>SUMIFS('Stocking details'!$F$6:$F$3307,'Stocking details'!$I$6:$I$3307,G946)</x:f>
        <x:v>150</x:v>
      </x:c>
      <x:c r="F946" s="13" t="n">
        <x:f>COUNTIFS('Stocking details'!$I$6:$I$3307,G946)</x:f>
        <x:v>1</x:v>
      </x:c>
      <x:c r="G946" s="8" t="str">
        <x:f>B946&amp;" / "&amp;C946&amp;" / "&amp;D946</x:f>
        <x:v>417476 / 2021 / BROOK TROUT</x:v>
      </x:c>
    </x:row>
    <x:row r="947" ht="23" customHeight="1">
      <x:c r="A947" s="8" t="str">
        <x:v>Keenex Trout Pond</x:v>
      </x:c>
      <x:c r="B947" s="8" t="str">
        <x:v>417476</x:v>
      </x:c>
      <x:c r="C947" s="17" t="n">
        <x:v>2021</x:v>
      </x:c>
      <x:c r="D947" s="8" t="str">
        <x:v>RAINBOW TROUT</x:v>
      </x:c>
      <x:c r="E947" s="13" t="n">
        <x:f>SUMIFS('Stocking details'!$F$6:$F$3307,'Stocking details'!$I$6:$I$3307,G947)</x:f>
        <x:v>3500</x:v>
      </x:c>
      <x:c r="F947" s="13" t="n">
        <x:f>COUNTIFS('Stocking details'!$I$6:$I$3307,G947)</x:f>
        <x:v>1</x:v>
      </x:c>
      <x:c r="G947" s="8" t="str">
        <x:f>B947&amp;" / "&amp;C947&amp;" / "&amp;D947</x:f>
        <x:v>417476 / 2021 / RAINBOW TROUT</x:v>
      </x:c>
    </x:row>
    <x:row r="948" ht="23" customHeight="1">
      <x:c r="A948" s="8" t="str">
        <x:v>Kehewin Lake</x:v>
      </x:c>
      <x:c r="B948" s="8" t="str">
        <x:v>4977</x:v>
      </x:c>
      <x:c r="C948" s="17" t="n">
        <x:v>2026</x:v>
      </x:c>
      <x:c r="D948" s="8" t="str">
        <x:v>WALLEYE</x:v>
      </x:c>
      <x:c r="E948" s="13" t="n">
        <x:f>SUMIFS('Stocking details'!$F$6:$F$3307,'Stocking details'!$I$6:$I$3307,G948)</x:f>
        <x:v>400000</x:v>
      </x:c>
      <x:c r="F948" s="13" t="n">
        <x:f>COUNTIFS('Stocking details'!$I$6:$I$3307,G948)</x:f>
        <x:v>1</x:v>
      </x:c>
      <x:c r="G948" s="8" t="str">
        <x:f>B948&amp;" / "&amp;C948&amp;" / "&amp;D948</x:f>
        <x:v>4977 / 2026 / WALLEYE</x:v>
      </x:c>
    </x:row>
    <x:row r="949" ht="23" customHeight="1">
      <x:c r="A949" s="8" t="str">
        <x:v>Kehewin Lake</x:v>
      </x:c>
      <x:c r="B949" s="8" t="str">
        <x:v>4977</x:v>
      </x:c>
      <x:c r="C949" s="17" t="n">
        <x:v>2025</x:v>
      </x:c>
      <x:c r="D949" s="8" t="str">
        <x:v>WALLEYE</x:v>
      </x:c>
      <x:c r="E949" s="13" t="n">
        <x:f>SUMIFS('Stocking details'!$F$6:$F$3307,'Stocking details'!$I$6:$I$3307,G949)</x:f>
        <x:v>530560</x:v>
      </x:c>
      <x:c r="F949" s="13" t="n">
        <x:f>COUNTIFS('Stocking details'!$I$6:$I$3307,G949)</x:f>
        <x:v>1</x:v>
      </x:c>
      <x:c r="G949" s="8" t="str">
        <x:f>B949&amp;" / "&amp;C949&amp;" / "&amp;D949</x:f>
        <x:v>4977 / 2025 / WALLEYE</x:v>
      </x:c>
    </x:row>
    <x:row r="950" ht="23" customHeight="1">
      <x:c r="A950" s="8" t="str">
        <x:v>Keho Lake</x:v>
      </x:c>
      <x:c r="B950" s="8" t="str">
        <x:v>4978</x:v>
      </x:c>
      <x:c r="C950" s="17" t="n">
        <x:v>2022</x:v>
      </x:c>
      <x:c r="D950" s="8" t="str">
        <x:v>WALLEYE</x:v>
      </x:c>
      <x:c r="E950" s="13" t="n">
        <x:f>SUMIFS('Stocking details'!$F$6:$F$3307,'Stocking details'!$I$6:$I$3307,G950)</x:f>
        <x:v>303342</x:v>
      </x:c>
      <x:c r="F950" s="13" t="n">
        <x:f>COUNTIFS('Stocking details'!$I$6:$I$3307,G950)</x:f>
        <x:v>1</x:v>
      </x:c>
      <x:c r="G950" s="8" t="str">
        <x:f>B950&amp;" / "&amp;C950&amp;" / "&amp;D950</x:f>
        <x:v>4978 / 2022 / WALLEYE</x:v>
      </x:c>
    </x:row>
    <x:row r="951" ht="23" customHeight="1">
      <x:c r="A951" s="8" t="str">
        <x:v>Kerbe's Pond</x:v>
      </x:c>
      <x:c r="B951" s="8" t="str">
        <x:v>6770</x:v>
      </x:c>
      <x:c r="C951" s="17" t="n">
        <x:v>2026</x:v>
      </x:c>
      <x:c r="D951" s="8" t="str">
        <x:v>BROWN TROUT</x:v>
      </x:c>
      <x:c r="E951" s="13" t="n">
        <x:f>SUMIFS('Stocking details'!$F$6:$F$3307,'Stocking details'!$I$6:$I$3307,G951)</x:f>
        <x:v>250</x:v>
      </x:c>
      <x:c r="F951" s="13" t="n">
        <x:f>COUNTIFS('Stocking details'!$I$6:$I$3307,G951)</x:f>
        <x:v>1</x:v>
      </x:c>
      <x:c r="G951" s="8" t="str">
        <x:f>B951&amp;" / "&amp;C951&amp;" / "&amp;D951</x:f>
        <x:v>6770 / 2026 / BROWN TROUT</x:v>
      </x:c>
    </x:row>
    <x:row r="952" ht="23" customHeight="1">
      <x:c r="A952" s="8" t="str">
        <x:v>Kerbe's Pond</x:v>
      </x:c>
      <x:c r="B952" s="8" t="str">
        <x:v>6770</x:v>
      </x:c>
      <x:c r="C952" s="17" t="n">
        <x:v>2026</x:v>
      </x:c>
      <x:c r="D952" s="8" t="str">
        <x:v>RAINBOW TROUT</x:v>
      </x:c>
      <x:c r="E952" s="13" t="n">
        <x:f>SUMIFS('Stocking details'!$F$6:$F$3307,'Stocking details'!$I$6:$I$3307,G952)</x:f>
        <x:v>1000</x:v>
      </x:c>
      <x:c r="F952" s="13" t="n">
        <x:f>COUNTIFS('Stocking details'!$I$6:$I$3307,G952)</x:f>
        <x:v>1</x:v>
      </x:c>
      <x:c r="G952" s="8" t="str">
        <x:f>B952&amp;" / "&amp;C952&amp;" / "&amp;D952</x:f>
        <x:v>6770 / 2026 / RAINBOW TROUT</x:v>
      </x:c>
    </x:row>
    <x:row r="953" ht="23" customHeight="1">
      <x:c r="A953" s="8" t="str">
        <x:v>Kerbe's Pond</x:v>
      </x:c>
      <x:c r="B953" s="8" t="str">
        <x:v>6770</x:v>
      </x:c>
      <x:c r="C953" s="17" t="n">
        <x:v>2026</x:v>
      </x:c>
      <x:c r="D953" s="8" t="str">
        <x:v>TIGER TROUT</x:v>
      </x:c>
      <x:c r="E953" s="13" t="n">
        <x:f>SUMIFS('Stocking details'!$F$6:$F$3307,'Stocking details'!$I$6:$I$3307,G953)</x:f>
        <x:v>1000</x:v>
      </x:c>
      <x:c r="F953" s="13" t="n">
        <x:f>COUNTIFS('Stocking details'!$I$6:$I$3307,G953)</x:f>
        <x:v>1</x:v>
      </x:c>
      <x:c r="G953" s="8" t="str">
        <x:f>B953&amp;" / "&amp;C953&amp;" / "&amp;D953</x:f>
        <x:v>6770 / 2026 / TIGER TROUT</x:v>
      </x:c>
    </x:row>
    <x:row r="954" ht="23" customHeight="1">
      <x:c r="A954" s="8" t="str">
        <x:v>Kerbe's Pond</x:v>
      </x:c>
      <x:c r="B954" s="8" t="str">
        <x:v>6770</x:v>
      </x:c>
      <x:c r="C954" s="17" t="n">
        <x:v>2025</x:v>
      </x:c>
      <x:c r="D954" s="8" t="str">
        <x:v>BROWN TROUT</x:v>
      </x:c>
      <x:c r="E954" s="13" t="n">
        <x:f>SUMIFS('Stocking details'!$F$6:$F$3307,'Stocking details'!$I$6:$I$3307,G954)</x:f>
        <x:v>250</x:v>
      </x:c>
      <x:c r="F954" s="13" t="n">
        <x:f>COUNTIFS('Stocking details'!$I$6:$I$3307,G954)</x:f>
        <x:v>1</x:v>
      </x:c>
      <x:c r="G954" s="8" t="str">
        <x:f>B954&amp;" / "&amp;C954&amp;" / "&amp;D954</x:f>
        <x:v>6770 / 2025 / BROWN TROUT</x:v>
      </x:c>
    </x:row>
    <x:row r="955" ht="23" customHeight="1">
      <x:c r="A955" s="8" t="str">
        <x:v>Kerbe's Pond</x:v>
      </x:c>
      <x:c r="B955" s="8" t="str">
        <x:v>6770</x:v>
      </x:c>
      <x:c r="C955" s="17" t="n">
        <x:v>2025</x:v>
      </x:c>
      <x:c r="D955" s="8" t="str">
        <x:v>RAINBOW TROUT</x:v>
      </x:c>
      <x:c r="E955" s="13" t="n">
        <x:f>SUMIFS('Stocking details'!$F$6:$F$3307,'Stocking details'!$I$6:$I$3307,G955)</x:f>
        <x:v>1000</x:v>
      </x:c>
      <x:c r="F955" s="13" t="n">
        <x:f>COUNTIFS('Stocking details'!$I$6:$I$3307,G955)</x:f>
        <x:v>1</x:v>
      </x:c>
      <x:c r="G955" s="8" t="str">
        <x:f>B955&amp;" / "&amp;C955&amp;" / "&amp;D955</x:f>
        <x:v>6770 / 2025 / RAINBOW TROUT</x:v>
      </x:c>
    </x:row>
    <x:row r="956" ht="23" customHeight="1">
      <x:c r="A956" s="8" t="str">
        <x:v>Kerbe's Pond</x:v>
      </x:c>
      <x:c r="B956" s="8" t="str">
        <x:v>6770</x:v>
      </x:c>
      <x:c r="C956" s="17" t="n">
        <x:v>2025</x:v>
      </x:c>
      <x:c r="D956" s="8" t="str">
        <x:v>TIGER TROUT</x:v>
      </x:c>
      <x:c r="E956" s="13" t="n">
        <x:f>SUMIFS('Stocking details'!$F$6:$F$3307,'Stocking details'!$I$6:$I$3307,G956)</x:f>
        <x:v>1000</x:v>
      </x:c>
      <x:c r="F956" s="13" t="n">
        <x:f>COUNTIFS('Stocking details'!$I$6:$I$3307,G956)</x:f>
        <x:v>1</x:v>
      </x:c>
      <x:c r="G956" s="8" t="str">
        <x:f>B956&amp;" / "&amp;C956&amp;" / "&amp;D956</x:f>
        <x:v>6770 / 2025 / TIGER TROUT</x:v>
      </x:c>
    </x:row>
    <x:row r="957" ht="23" customHeight="1">
      <x:c r="A957" s="8" t="str">
        <x:v>Kerbe's Pond</x:v>
      </x:c>
      <x:c r="B957" s="8" t="str">
        <x:v>6770</x:v>
      </x:c>
      <x:c r="C957" s="17" t="n">
        <x:v>2024</x:v>
      </x:c>
      <x:c r="D957" s="8" t="str">
        <x:v>BROWN TROUT</x:v>
      </x:c>
      <x:c r="E957" s="13" t="n">
        <x:f>SUMIFS('Stocking details'!$F$6:$F$3307,'Stocking details'!$I$6:$I$3307,G957)</x:f>
        <x:v>250</x:v>
      </x:c>
      <x:c r="F957" s="13" t="n">
        <x:f>COUNTIFS('Stocking details'!$I$6:$I$3307,G957)</x:f>
        <x:v>1</x:v>
      </x:c>
      <x:c r="G957" s="8" t="str">
        <x:f>B957&amp;" / "&amp;C957&amp;" / "&amp;D957</x:f>
        <x:v>6770 / 2024 / BROWN TROUT</x:v>
      </x:c>
    </x:row>
    <x:row r="958" ht="23" customHeight="1">
      <x:c r="A958" s="8" t="str">
        <x:v>Kerbe's Pond</x:v>
      </x:c>
      <x:c r="B958" s="8" t="str">
        <x:v>6770</x:v>
      </x:c>
      <x:c r="C958" s="17" t="n">
        <x:v>2024</x:v>
      </x:c>
      <x:c r="D958" s="8" t="str">
        <x:v>RAINBOW TROUT</x:v>
      </x:c>
      <x:c r="E958" s="13" t="n">
        <x:f>SUMIFS('Stocking details'!$F$6:$F$3307,'Stocking details'!$I$6:$I$3307,G958)</x:f>
        <x:v>515</x:v>
      </x:c>
      <x:c r="F958" s="13" t="n">
        <x:f>COUNTIFS('Stocking details'!$I$6:$I$3307,G958)</x:f>
        <x:v>2</x:v>
      </x:c>
      <x:c r="G958" s="8" t="str">
        <x:f>B958&amp;" / "&amp;C958&amp;" / "&amp;D958</x:f>
        <x:v>6770 / 2024 / RAINBOW TROUT</x:v>
      </x:c>
    </x:row>
    <x:row r="959" ht="23" customHeight="1">
      <x:c r="A959" s="8" t="str">
        <x:v>Kerbe's Pond</x:v>
      </x:c>
      <x:c r="B959" s="8" t="str">
        <x:v>6770</x:v>
      </x:c>
      <x:c r="C959" s="17" t="n">
        <x:v>2024</x:v>
      </x:c>
      <x:c r="D959" s="8" t="str">
        <x:v>TIGER TROUT</x:v>
      </x:c>
      <x:c r="E959" s="13" t="n">
        <x:f>SUMIFS('Stocking details'!$F$6:$F$3307,'Stocking details'!$I$6:$I$3307,G959)</x:f>
        <x:v>1000</x:v>
      </x:c>
      <x:c r="F959" s="13" t="n">
        <x:f>COUNTIFS('Stocking details'!$I$6:$I$3307,G959)</x:f>
        <x:v>1</x:v>
      </x:c>
      <x:c r="G959" s="8" t="str">
        <x:f>B959&amp;" / "&amp;C959&amp;" / "&amp;D959</x:f>
        <x:v>6770 / 2024 / TIGER TROUT</x:v>
      </x:c>
    </x:row>
    <x:row r="960" ht="23" customHeight="1">
      <x:c r="A960" s="8" t="str">
        <x:v>Kerbe's Pond</x:v>
      </x:c>
      <x:c r="B960" s="8" t="str">
        <x:v>6770</x:v>
      </x:c>
      <x:c r="C960" s="17" t="n">
        <x:v>2023</x:v>
      </x:c>
      <x:c r="D960" s="8" t="str">
        <x:v>BROWN TROUT</x:v>
      </x:c>
      <x:c r="E960" s="13" t="n">
        <x:f>SUMIFS('Stocking details'!$F$6:$F$3307,'Stocking details'!$I$6:$I$3307,G960)</x:f>
        <x:v>250</x:v>
      </x:c>
      <x:c r="F960" s="13" t="n">
        <x:f>COUNTIFS('Stocking details'!$I$6:$I$3307,G960)</x:f>
        <x:v>1</x:v>
      </x:c>
      <x:c r="G960" s="8" t="str">
        <x:f>B960&amp;" / "&amp;C960&amp;" / "&amp;D960</x:f>
        <x:v>6770 / 2023 / BROWN TROUT</x:v>
      </x:c>
    </x:row>
    <x:row r="961" ht="23" customHeight="1">
      <x:c r="A961" s="8" t="str">
        <x:v>Kerbe's Pond</x:v>
      </x:c>
      <x:c r="B961" s="8" t="str">
        <x:v>6770</x:v>
      </x:c>
      <x:c r="C961" s="17" t="n">
        <x:v>2023</x:v>
      </x:c>
      <x:c r="D961" s="8" t="str">
        <x:v>RAINBOW TROUT</x:v>
      </x:c>
      <x:c r="E961" s="13" t="n">
        <x:f>SUMIFS('Stocking details'!$F$6:$F$3307,'Stocking details'!$I$6:$I$3307,G961)</x:f>
        <x:v>1002</x:v>
      </x:c>
      <x:c r="F961" s="13" t="n">
        <x:f>COUNTIFS('Stocking details'!$I$6:$I$3307,G961)</x:f>
        <x:v>2</x:v>
      </x:c>
      <x:c r="G961" s="8" t="str">
        <x:f>B961&amp;" / "&amp;C961&amp;" / "&amp;D961</x:f>
        <x:v>6770 / 2023 / RAINBOW TROUT</x:v>
      </x:c>
    </x:row>
    <x:row r="962" ht="23" customHeight="1">
      <x:c r="A962" s="8" t="str">
        <x:v>Kerbe's Pond</x:v>
      </x:c>
      <x:c r="B962" s="8" t="str">
        <x:v>6770</x:v>
      </x:c>
      <x:c r="C962" s="17" t="n">
        <x:v>2023</x:v>
      </x:c>
      <x:c r="D962" s="8" t="str">
        <x:v>TIGER TROUT</x:v>
      </x:c>
      <x:c r="E962" s="13" t="n">
        <x:f>SUMIFS('Stocking details'!$F$6:$F$3307,'Stocking details'!$I$6:$I$3307,G962)</x:f>
        <x:v>1000</x:v>
      </x:c>
      <x:c r="F962" s="13" t="n">
        <x:f>COUNTIFS('Stocking details'!$I$6:$I$3307,G962)</x:f>
        <x:v>1</x:v>
      </x:c>
      <x:c r="G962" s="8" t="str">
        <x:f>B962&amp;" / "&amp;C962&amp;" / "&amp;D962</x:f>
        <x:v>6770 / 2023 / TIGER TROUT</x:v>
      </x:c>
    </x:row>
    <x:row r="963" ht="23" customHeight="1">
      <x:c r="A963" s="8" t="str">
        <x:v>Kerbe's Pond</x:v>
      </x:c>
      <x:c r="B963" s="8" t="str">
        <x:v>6770</x:v>
      </x:c>
      <x:c r="C963" s="17" t="n">
        <x:v>2022</x:v>
      </x:c>
      <x:c r="D963" s="8" t="str">
        <x:v>BROWN TROUT</x:v>
      </x:c>
      <x:c r="E963" s="13" t="n">
        <x:f>SUMIFS('Stocking details'!$F$6:$F$3307,'Stocking details'!$I$6:$I$3307,G963)</x:f>
        <x:v>250</x:v>
      </x:c>
      <x:c r="F963" s="13" t="n">
        <x:f>COUNTIFS('Stocking details'!$I$6:$I$3307,G963)</x:f>
        <x:v>1</x:v>
      </x:c>
      <x:c r="G963" s="8" t="str">
        <x:f>B963&amp;" / "&amp;C963&amp;" / "&amp;D963</x:f>
        <x:v>6770 / 2022 / BROWN TROUT</x:v>
      </x:c>
    </x:row>
    <x:row r="964" ht="23" customHeight="1">
      <x:c r="A964" s="8" t="str">
        <x:v>Kerbe's Pond</x:v>
      </x:c>
      <x:c r="B964" s="8" t="str">
        <x:v>6770</x:v>
      </x:c>
      <x:c r="C964" s="17" t="n">
        <x:v>2022</x:v>
      </x:c>
      <x:c r="D964" s="8" t="str">
        <x:v>RAINBOW TROUT</x:v>
      </x:c>
      <x:c r="E964" s="13" t="n">
        <x:f>SUMIFS('Stocking details'!$F$6:$F$3307,'Stocking details'!$I$6:$I$3307,G964)</x:f>
        <x:v>1000</x:v>
      </x:c>
      <x:c r="F964" s="13" t="n">
        <x:f>COUNTIFS('Stocking details'!$I$6:$I$3307,G964)</x:f>
        <x:v>1</x:v>
      </x:c>
      <x:c r="G964" s="8" t="str">
        <x:f>B964&amp;" / "&amp;C964&amp;" / "&amp;D964</x:f>
        <x:v>6770 / 2022 / RAINBOW TROUT</x:v>
      </x:c>
    </x:row>
    <x:row r="965" ht="23" customHeight="1">
      <x:c r="A965" s="8" t="str">
        <x:v>Kerbe's Pond</x:v>
      </x:c>
      <x:c r="B965" s="8" t="str">
        <x:v>6770</x:v>
      </x:c>
      <x:c r="C965" s="17" t="n">
        <x:v>2022</x:v>
      </x:c>
      <x:c r="D965" s="8" t="str">
        <x:v>TIGER TROUT</x:v>
      </x:c>
      <x:c r="E965" s="13" t="n">
        <x:f>SUMIFS('Stocking details'!$F$6:$F$3307,'Stocking details'!$I$6:$I$3307,G965)</x:f>
        <x:v>1000</x:v>
      </x:c>
      <x:c r="F965" s="13" t="n">
        <x:f>COUNTIFS('Stocking details'!$I$6:$I$3307,G965)</x:f>
        <x:v>1</x:v>
      </x:c>
      <x:c r="G965" s="8" t="str">
        <x:f>B965&amp;" / "&amp;C965&amp;" / "&amp;D965</x:f>
        <x:v>6770 / 2022 / TIGER TROUT</x:v>
      </x:c>
    </x:row>
    <x:row r="966" ht="23" customHeight="1">
      <x:c r="A966" s="8" t="str">
        <x:v>Kerbe's Pond</x:v>
      </x:c>
      <x:c r="B966" s="8" t="str">
        <x:v>6770</x:v>
      </x:c>
      <x:c r="C966" s="17" t="n">
        <x:v>2021</x:v>
      </x:c>
      <x:c r="D966" s="8" t="str">
        <x:v>BROWN TROUT</x:v>
      </x:c>
      <x:c r="E966" s="13" t="n">
        <x:f>SUMIFS('Stocking details'!$F$6:$F$3307,'Stocking details'!$I$6:$I$3307,G966)</x:f>
        <x:v>250</x:v>
      </x:c>
      <x:c r="F966" s="13" t="n">
        <x:f>COUNTIFS('Stocking details'!$I$6:$I$3307,G966)</x:f>
        <x:v>1</x:v>
      </x:c>
      <x:c r="G966" s="8" t="str">
        <x:f>B966&amp;" / "&amp;C966&amp;" / "&amp;D966</x:f>
        <x:v>6770 / 2021 / BROWN TROUT</x:v>
      </x:c>
    </x:row>
    <x:row r="967" ht="23" customHeight="1">
      <x:c r="A967" s="8" t="str">
        <x:v>Kerbe's Pond</x:v>
      </x:c>
      <x:c r="B967" s="8" t="str">
        <x:v>6770</x:v>
      </x:c>
      <x:c r="C967" s="17" t="n">
        <x:v>2021</x:v>
      </x:c>
      <x:c r="D967" s="8" t="str">
        <x:v>RAINBOW TROUT</x:v>
      </x:c>
      <x:c r="E967" s="13" t="n">
        <x:f>SUMIFS('Stocking details'!$F$6:$F$3307,'Stocking details'!$I$6:$I$3307,G967)</x:f>
        <x:v>1550</x:v>
      </x:c>
      <x:c r="F967" s="13" t="n">
        <x:f>COUNTIFS('Stocking details'!$I$6:$I$3307,G967)</x:f>
        <x:v>3</x:v>
      </x:c>
      <x:c r="G967" s="8" t="str">
        <x:f>B967&amp;" / "&amp;C967&amp;" / "&amp;D967</x:f>
        <x:v>6770 / 2021 / RAINBOW TROUT</x:v>
      </x:c>
    </x:row>
    <x:row r="968" ht="23" customHeight="1">
      <x:c r="A968" s="8" t="str">
        <x:v>Kerbe's Pond</x:v>
      </x:c>
      <x:c r="B968" s="8" t="str">
        <x:v>6770</x:v>
      </x:c>
      <x:c r="C968" s="17" t="n">
        <x:v>2021</x:v>
      </x:c>
      <x:c r="D968" s="8" t="str">
        <x:v>TIGER TROUT</x:v>
      </x:c>
      <x:c r="E968" s="13" t="n">
        <x:f>SUMIFS('Stocking details'!$F$6:$F$3307,'Stocking details'!$I$6:$I$3307,G968)</x:f>
        <x:v>1500</x:v>
      </x:c>
      <x:c r="F968" s="13" t="n">
        <x:f>COUNTIFS('Stocking details'!$I$6:$I$3307,G968)</x:f>
        <x:v>2</x:v>
      </x:c>
      <x:c r="G968" s="8" t="str">
        <x:f>B968&amp;" / "&amp;C968&amp;" / "&amp;D968</x:f>
        <x:v>6770 / 2021 / TIGER TROUT</x:v>
      </x:c>
    </x:row>
    <x:row r="969" ht="23" customHeight="1">
      <x:c r="A969" s="8" t="str">
        <x:v>Kids Can Catch Pond</x:v>
      </x:c>
      <x:c r="B969" s="8" t="str">
        <x:v>26447</x:v>
      </x:c>
      <x:c r="C969" s="17" t="n">
        <x:v>2026</x:v>
      </x:c>
      <x:c r="D969" s="8" t="str">
        <x:v>RAINBOW TROUT</x:v>
      </x:c>
      <x:c r="E969" s="13" t="n">
        <x:f>SUMIFS('Stocking details'!$F$6:$F$3307,'Stocking details'!$I$6:$I$3307,G969)</x:f>
        <x:v>136</x:v>
      </x:c>
      <x:c r="F969" s="13" t="n">
        <x:f>COUNTIFS('Stocking details'!$I$6:$I$3307,G969)</x:f>
        <x:v>4</x:v>
      </x:c>
      <x:c r="G969" s="8" t="str">
        <x:f>B969&amp;" / "&amp;C969&amp;" / "&amp;D969</x:f>
        <x:v>26447 / 2026 / RAINBOW TROUT</x:v>
      </x:c>
    </x:row>
    <x:row r="970" ht="23" customHeight="1">
      <x:c r="A970" s="8" t="str">
        <x:v>Kids Can Catch Pond</x:v>
      </x:c>
      <x:c r="B970" s="8" t="str">
        <x:v>26447</x:v>
      </x:c>
      <x:c r="C970" s="17" t="n">
        <x:v>2025</x:v>
      </x:c>
      <x:c r="D970" s="8" t="str">
        <x:v>RAINBOW TROUT</x:v>
      </x:c>
      <x:c r="E970" s="13" t="n">
        <x:f>SUMIFS('Stocking details'!$F$6:$F$3307,'Stocking details'!$I$6:$I$3307,G970)</x:f>
        <x:v>105</x:v>
      </x:c>
      <x:c r="F970" s="13" t="n">
        <x:f>COUNTIFS('Stocking details'!$I$6:$I$3307,G970)</x:f>
        <x:v>2</x:v>
      </x:c>
      <x:c r="G970" s="8" t="str">
        <x:f>B970&amp;" / "&amp;C970&amp;" / "&amp;D970</x:f>
        <x:v>26447 / 2025 / RAINBOW TROUT</x:v>
      </x:c>
    </x:row>
    <x:row r="971" ht="23" customHeight="1">
      <x:c r="A971" s="8" t="str">
        <x:v>Kids Can Catch Pond</x:v>
      </x:c>
      <x:c r="B971" s="8" t="str">
        <x:v>26447</x:v>
      </x:c>
      <x:c r="C971" s="17" t="n">
        <x:v>2024</x:v>
      </x:c>
      <x:c r="D971" s="8" t="str">
        <x:v>RAINBOW TROUT</x:v>
      </x:c>
      <x:c r="E971" s="13" t="n">
        <x:f>SUMIFS('Stocking details'!$F$6:$F$3307,'Stocking details'!$I$6:$I$3307,G971)</x:f>
        <x:v>200</x:v>
      </x:c>
      <x:c r="F971" s="13" t="n">
        <x:f>COUNTIFS('Stocking details'!$I$6:$I$3307,G971)</x:f>
        <x:v>4</x:v>
      </x:c>
      <x:c r="G971" s="8" t="str">
        <x:f>B971&amp;" / "&amp;C971&amp;" / "&amp;D971</x:f>
        <x:v>26447 / 2024 / RAINBOW TROUT</x:v>
      </x:c>
    </x:row>
    <x:row r="972" ht="23" customHeight="1">
      <x:c r="A972" s="8" t="str">
        <x:v>Kids Can Catch Pond</x:v>
      </x:c>
      <x:c r="B972" s="8" t="str">
        <x:v>26447</x:v>
      </x:c>
      <x:c r="C972" s="17" t="n">
        <x:v>2022</x:v>
      </x:c>
      <x:c r="D972" s="8" t="str">
        <x:v>RAINBOW TROUT</x:v>
      </x:c>
      <x:c r="E972" s="13" t="n">
        <x:f>SUMIFS('Stocking details'!$F$6:$F$3307,'Stocking details'!$I$6:$I$3307,G972)</x:f>
        <x:v>71</x:v>
      </x:c>
      <x:c r="F972" s="13" t="n">
        <x:f>COUNTIFS('Stocking details'!$I$6:$I$3307,G972)</x:f>
        <x:v>4</x:v>
      </x:c>
      <x:c r="G972" s="8" t="str">
        <x:f>B972&amp;" / "&amp;C972&amp;" / "&amp;D972</x:f>
        <x:v>26447 / 2022 / RAINBOW TROUT</x:v>
      </x:c>
    </x:row>
    <x:row r="973" ht="23" customHeight="1">
      <x:c r="A973" s="8" t="str">
        <x:v>Kids Can Catch Pond</x:v>
      </x:c>
      <x:c r="B973" s="8" t="str">
        <x:v>26447</x:v>
      </x:c>
      <x:c r="C973" s="17" t="n">
        <x:v>2021</x:v>
      </x:c>
      <x:c r="D973" s="8" t="str">
        <x:v>RAINBOW TROUT</x:v>
      </x:c>
      <x:c r="E973" s="13" t="n">
        <x:f>SUMIFS('Stocking details'!$F$6:$F$3307,'Stocking details'!$I$6:$I$3307,G973)</x:f>
        <x:v>285</x:v>
      </x:c>
      <x:c r="F973" s="13" t="n">
        <x:f>COUNTIFS('Stocking details'!$I$6:$I$3307,G973)</x:f>
        <x:v>4</x:v>
      </x:c>
      <x:c r="G973" s="8" t="str">
        <x:f>B973&amp;" / "&amp;C973&amp;" / "&amp;D973</x:f>
        <x:v>26447 / 2021 / RAINBOW TROUT</x:v>
      </x:c>
    </x:row>
    <x:row r="974" ht="23" customHeight="1">
      <x:c r="A974" s="8" t="str">
        <x:v>Kinglet Lake</x:v>
      </x:c>
      <x:c r="B974" s="8" t="str">
        <x:v>6654</x:v>
      </x:c>
      <x:c r="C974" s="17" t="n">
        <x:v>2023</x:v>
      </x:c>
      <x:c r="D974" s="8" t="str">
        <x:v>CUTTHROAT TROUT</x:v>
      </x:c>
      <x:c r="E974" s="13" t="n">
        <x:f>SUMIFS('Stocking details'!$F$6:$F$3307,'Stocking details'!$I$6:$I$3307,G974)</x:f>
        <x:v>250</x:v>
      </x:c>
      <x:c r="F974" s="13" t="n">
        <x:f>COUNTIFS('Stocking details'!$I$6:$I$3307,G974)</x:f>
        <x:v>1</x:v>
      </x:c>
      <x:c r="G974" s="8" t="str">
        <x:f>B974&amp;" / "&amp;C974&amp;" / "&amp;D974</x:f>
        <x:v>6654 / 2023 / CUTTHROAT TROUT</x:v>
      </x:c>
    </x:row>
    <x:row r="975" ht="23" customHeight="1">
      <x:c r="A975" s="8" t="str">
        <x:v>Kinky Lake</x:v>
      </x:c>
      <x:c r="B975" s="8" t="str">
        <x:v>5002</x:v>
      </x:c>
      <x:c r="C975" s="17" t="n">
        <x:v>2026</x:v>
      </x:c>
      <x:c r="D975" s="8" t="str">
        <x:v>BROOK TROUT</x:v>
      </x:c>
      <x:c r="E975" s="13" t="n">
        <x:f>SUMIFS('Stocking details'!$F$6:$F$3307,'Stocking details'!$I$6:$I$3307,G975)</x:f>
        <x:v>7000</x:v>
      </x:c>
      <x:c r="F975" s="13" t="n">
        <x:f>COUNTIFS('Stocking details'!$I$6:$I$3307,G975)</x:f>
        <x:v>1</x:v>
      </x:c>
      <x:c r="G975" s="8" t="str">
        <x:f>B975&amp;" / "&amp;C975&amp;" / "&amp;D975</x:f>
        <x:v>5002 / 2026 / BROOK TROUT</x:v>
      </x:c>
    </x:row>
    <x:row r="976" ht="23" customHeight="1">
      <x:c r="A976" s="8" t="str">
        <x:v>Kinky Lake</x:v>
      </x:c>
      <x:c r="B976" s="8" t="str">
        <x:v>5002</x:v>
      </x:c>
      <x:c r="C976" s="17" t="n">
        <x:v>2025</x:v>
      </x:c>
      <x:c r="D976" s="8" t="str">
        <x:v>BROOK TROUT</x:v>
      </x:c>
      <x:c r="E976" s="13" t="n">
        <x:f>SUMIFS('Stocking details'!$F$6:$F$3307,'Stocking details'!$I$6:$I$3307,G976)</x:f>
        <x:v>10000</x:v>
      </x:c>
      <x:c r="F976" s="13" t="n">
        <x:f>COUNTIFS('Stocking details'!$I$6:$I$3307,G976)</x:f>
        <x:v>2</x:v>
      </x:c>
      <x:c r="G976" s="8" t="str">
        <x:f>B976&amp;" / "&amp;C976&amp;" / "&amp;D976</x:f>
        <x:v>5002 / 2025 / BROOK TROUT</x:v>
      </x:c>
    </x:row>
    <x:row r="977" ht="23" customHeight="1">
      <x:c r="A977" s="8" t="str">
        <x:v>Kinky Lake</x:v>
      </x:c>
      <x:c r="B977" s="8" t="str">
        <x:v>5002</x:v>
      </x:c>
      <x:c r="C977" s="17" t="n">
        <x:v>2024</x:v>
      </x:c>
      <x:c r="D977" s="8" t="str">
        <x:v>BROOK TROUT</x:v>
      </x:c>
      <x:c r="E977" s="13" t="n">
        <x:f>SUMIFS('Stocking details'!$F$6:$F$3307,'Stocking details'!$I$6:$I$3307,G977)</x:f>
        <x:v>6366</x:v>
      </x:c>
      <x:c r="F977" s="13" t="n">
        <x:f>COUNTIFS('Stocking details'!$I$6:$I$3307,G977)</x:f>
        <x:v>2</x:v>
      </x:c>
      <x:c r="G977" s="8" t="str">
        <x:f>B977&amp;" / "&amp;C977&amp;" / "&amp;D977</x:f>
        <x:v>5002 / 2024 / BROOK TROUT</x:v>
      </x:c>
    </x:row>
    <x:row r="978" ht="23" customHeight="1">
      <x:c r="A978" s="8" t="str">
        <x:v>Kinky Lake</x:v>
      </x:c>
      <x:c r="B978" s="8" t="str">
        <x:v>5002</x:v>
      </x:c>
      <x:c r="C978" s="17" t="n">
        <x:v>2023</x:v>
      </x:c>
      <x:c r="D978" s="8" t="str">
        <x:v>BROOK TROUT</x:v>
      </x:c>
      <x:c r="E978" s="13" t="n">
        <x:f>SUMIFS('Stocking details'!$F$6:$F$3307,'Stocking details'!$I$6:$I$3307,G978)</x:f>
        <x:v>8500</x:v>
      </x:c>
      <x:c r="F978" s="13" t="n">
        <x:f>COUNTIFS('Stocking details'!$I$6:$I$3307,G978)</x:f>
        <x:v>3</x:v>
      </x:c>
      <x:c r="G978" s="8" t="str">
        <x:f>B978&amp;" / "&amp;C978&amp;" / "&amp;D978</x:f>
        <x:v>5002 / 2023 / BROOK TROUT</x:v>
      </x:c>
    </x:row>
    <x:row r="979" ht="23" customHeight="1">
      <x:c r="A979" s="8" t="str">
        <x:v>Kinky Lake</x:v>
      </x:c>
      <x:c r="B979" s="8" t="str">
        <x:v>5002</x:v>
      </x:c>
      <x:c r="C979" s="17" t="n">
        <x:v>2022</x:v>
      </x:c>
      <x:c r="D979" s="8" t="str">
        <x:v>BROOK TROUT</x:v>
      </x:c>
      <x:c r="E979" s="13" t="n">
        <x:f>SUMIFS('Stocking details'!$F$6:$F$3307,'Stocking details'!$I$6:$I$3307,G979)</x:f>
        <x:v>14485</x:v>
      </x:c>
      <x:c r="F979" s="13" t="n">
        <x:f>COUNTIFS('Stocking details'!$I$6:$I$3307,G979)</x:f>
        <x:v>3</x:v>
      </x:c>
      <x:c r="G979" s="8" t="str">
        <x:f>B979&amp;" / "&amp;C979&amp;" / "&amp;D979</x:f>
        <x:v>5002 / 2022 / BROOK TROUT</x:v>
      </x:c>
    </x:row>
    <x:row r="980" ht="23" customHeight="1">
      <x:c r="A980" s="8" t="str">
        <x:v>Kinky Lake</x:v>
      </x:c>
      <x:c r="B980" s="8" t="str">
        <x:v>5002</x:v>
      </x:c>
      <x:c r="C980" s="17" t="n">
        <x:v>2021</x:v>
      </x:c>
      <x:c r="D980" s="8" t="str">
        <x:v>BROOK TROUT</x:v>
      </x:c>
      <x:c r="E980" s="13" t="n">
        <x:f>SUMIFS('Stocking details'!$F$6:$F$3307,'Stocking details'!$I$6:$I$3307,G980)</x:f>
        <x:v>7000</x:v>
      </x:c>
      <x:c r="F980" s="13" t="n">
        <x:f>COUNTIFS('Stocking details'!$I$6:$I$3307,G980)</x:f>
        <x:v>1</x:v>
      </x:c>
      <x:c r="G980" s="8" t="str">
        <x:f>B980&amp;" / "&amp;C980&amp;" / "&amp;D980</x:f>
        <x:v>5002 / 2021 / BROOK TROUT</x:v>
      </x:c>
    </x:row>
    <x:row r="981" ht="23" customHeight="1">
      <x:c r="A981" s="8" t="str">
        <x:v>Kraft Wimborne Pond</x:v>
      </x:c>
      <x:c r="B981" s="8" t="str">
        <x:v>6773</x:v>
      </x:c>
      <x:c r="C981" s="17" t="n">
        <x:v>2026</x:v>
      </x:c>
      <x:c r="D981" s="8" t="str">
        <x:v>BROOK TROUT</x:v>
      </x:c>
      <x:c r="E981" s="13" t="n">
        <x:f>SUMIFS('Stocking details'!$F$6:$F$3307,'Stocking details'!$I$6:$I$3307,G981)</x:f>
        <x:v>280</x:v>
      </x:c>
      <x:c r="F981" s="13" t="n">
        <x:f>COUNTIFS('Stocking details'!$I$6:$I$3307,G981)</x:f>
        <x:v>2</x:v>
      </x:c>
      <x:c r="G981" s="8" t="str">
        <x:f>B981&amp;" / "&amp;C981&amp;" / "&amp;D981</x:f>
        <x:v>6773 / 2026 / BROOK TROUT</x:v>
      </x:c>
    </x:row>
    <x:row r="982" ht="23" customHeight="1">
      <x:c r="A982" s="8" t="str">
        <x:v>Kraft Wimborne Pond</x:v>
      </x:c>
      <x:c r="B982" s="8" t="str">
        <x:v>6773</x:v>
      </x:c>
      <x:c r="C982" s="17" t="n">
        <x:v>2026</x:v>
      </x:c>
      <x:c r="D982" s="8" t="str">
        <x:v>RAINBOW TROUT</x:v>
      </x:c>
      <x:c r="E982" s="13" t="n">
        <x:f>SUMIFS('Stocking details'!$F$6:$F$3307,'Stocking details'!$I$6:$I$3307,G982)</x:f>
        <x:v>480</x:v>
      </x:c>
      <x:c r="F982" s="13" t="n">
        <x:f>COUNTIFS('Stocking details'!$I$6:$I$3307,G982)</x:f>
        <x:v>2</x:v>
      </x:c>
      <x:c r="G982" s="8" t="str">
        <x:f>B982&amp;" / "&amp;C982&amp;" / "&amp;D982</x:f>
        <x:v>6773 / 2026 / RAINBOW TROUT</x:v>
      </x:c>
    </x:row>
    <x:row r="983" ht="23" customHeight="1">
      <x:c r="A983" s="8" t="str">
        <x:v>Kraft Wimborne Pond</x:v>
      </x:c>
      <x:c r="B983" s="8" t="str">
        <x:v>6773</x:v>
      </x:c>
      <x:c r="C983" s="17" t="n">
        <x:v>2026</x:v>
      </x:c>
      <x:c r="D983" s="8" t="str">
        <x:v>TIGER TROUT</x:v>
      </x:c>
      <x:c r="E983" s="13" t="n">
        <x:f>SUMIFS('Stocking details'!$F$6:$F$3307,'Stocking details'!$I$6:$I$3307,G983)</x:f>
        <x:v>70</x:v>
      </x:c>
      <x:c r="F983" s="13" t="n">
        <x:f>COUNTIFS('Stocking details'!$I$6:$I$3307,G983)</x:f>
        <x:v>1</x:v>
      </x:c>
      <x:c r="G983" s="8" t="str">
        <x:f>B983&amp;" / "&amp;C983&amp;" / "&amp;D983</x:f>
        <x:v>6773 / 2026 / TIGER TROUT</x:v>
      </x:c>
    </x:row>
    <x:row r="984" ht="23" customHeight="1">
      <x:c r="A984" s="8" t="str">
        <x:v>Kraft Wimborne Pond</x:v>
      </x:c>
      <x:c r="B984" s="8" t="str">
        <x:v>6773</x:v>
      </x:c>
      <x:c r="C984" s="17" t="n">
        <x:v>2025</x:v>
      </x:c>
      <x:c r="D984" s="8" t="str">
        <x:v>BROOK TROUT</x:v>
      </x:c>
      <x:c r="E984" s="13" t="n">
        <x:f>SUMIFS('Stocking details'!$F$6:$F$3307,'Stocking details'!$I$6:$I$3307,G984)</x:f>
        <x:v>230</x:v>
      </x:c>
      <x:c r="F984" s="13" t="n">
        <x:f>COUNTIFS('Stocking details'!$I$6:$I$3307,G984)</x:f>
        <x:v>1</x:v>
      </x:c>
      <x:c r="G984" s="8" t="str">
        <x:f>B984&amp;" / "&amp;C984&amp;" / "&amp;D984</x:f>
        <x:v>6773 / 2025 / BROOK TROUT</x:v>
      </x:c>
    </x:row>
    <x:row r="985" ht="23" customHeight="1">
      <x:c r="A985" s="8" t="str">
        <x:v>Kraft Wimborne Pond</x:v>
      </x:c>
      <x:c r="B985" s="8" t="str">
        <x:v>6773</x:v>
      </x:c>
      <x:c r="C985" s="17" t="n">
        <x:v>2025</x:v>
      </x:c>
      <x:c r="D985" s="8" t="str">
        <x:v>RAINBOW TROUT</x:v>
      </x:c>
      <x:c r="E985" s="13" t="n">
        <x:f>SUMIFS('Stocking details'!$F$6:$F$3307,'Stocking details'!$I$6:$I$3307,G985)</x:f>
        <x:v>180</x:v>
      </x:c>
      <x:c r="F985" s="13" t="n">
        <x:f>COUNTIFS('Stocking details'!$I$6:$I$3307,G985)</x:f>
        <x:v>1</x:v>
      </x:c>
      <x:c r="G985" s="8" t="str">
        <x:f>B985&amp;" / "&amp;C985&amp;" / "&amp;D985</x:f>
        <x:v>6773 / 2025 / RAINBOW TROUT</x:v>
      </x:c>
    </x:row>
    <x:row r="986" ht="23" customHeight="1">
      <x:c r="A986" s="8" t="str">
        <x:v>Kraft Wimborne Pond</x:v>
      </x:c>
      <x:c r="B986" s="8" t="str">
        <x:v>6773</x:v>
      </x:c>
      <x:c r="C986" s="17" t="n">
        <x:v>2025</x:v>
      </x:c>
      <x:c r="D986" s="8" t="str">
        <x:v>TIGER TROUT</x:v>
      </x:c>
      <x:c r="E986" s="13" t="n">
        <x:f>SUMIFS('Stocking details'!$F$6:$F$3307,'Stocking details'!$I$6:$I$3307,G986)</x:f>
        <x:v>70</x:v>
      </x:c>
      <x:c r="F986" s="13" t="n">
        <x:f>COUNTIFS('Stocking details'!$I$6:$I$3307,G986)</x:f>
        <x:v>1</x:v>
      </x:c>
      <x:c r="G986" s="8" t="str">
        <x:f>B986&amp;" / "&amp;C986&amp;" / "&amp;D986</x:f>
        <x:v>6773 / 2025 / TIGER TROUT</x:v>
      </x:c>
    </x:row>
    <x:row r="987" ht="23" customHeight="1">
      <x:c r="A987" s="8" t="str">
        <x:v>Kraft Wimborne Pond</x:v>
      </x:c>
      <x:c r="B987" s="8" t="str">
        <x:v>6773</x:v>
      </x:c>
      <x:c r="C987" s="17" t="n">
        <x:v>2024</x:v>
      </x:c>
      <x:c r="D987" s="8" t="str">
        <x:v>BROOK TROUT</x:v>
      </x:c>
      <x:c r="E987" s="13" t="n">
        <x:f>SUMIFS('Stocking details'!$F$6:$F$3307,'Stocking details'!$I$6:$I$3307,G987)</x:f>
        <x:v>230</x:v>
      </x:c>
      <x:c r="F987" s="13" t="n">
        <x:f>COUNTIFS('Stocking details'!$I$6:$I$3307,G987)</x:f>
        <x:v>1</x:v>
      </x:c>
      <x:c r="G987" s="8" t="str">
        <x:f>B987&amp;" / "&amp;C987&amp;" / "&amp;D987</x:f>
        <x:v>6773 / 2024 / BROOK TROUT</x:v>
      </x:c>
    </x:row>
    <x:row r="988" ht="23" customHeight="1">
      <x:c r="A988" s="8" t="str">
        <x:v>Kraft Wimborne Pond</x:v>
      </x:c>
      <x:c r="B988" s="8" t="str">
        <x:v>6773</x:v>
      </x:c>
      <x:c r="C988" s="17" t="n">
        <x:v>2024</x:v>
      </x:c>
      <x:c r="D988" s="8" t="str">
        <x:v>RAINBOW TROUT</x:v>
      </x:c>
      <x:c r="E988" s="13" t="n">
        <x:f>SUMIFS('Stocking details'!$F$6:$F$3307,'Stocking details'!$I$6:$I$3307,G988)</x:f>
        <x:v>180</x:v>
      </x:c>
      <x:c r="F988" s="13" t="n">
        <x:f>COUNTIFS('Stocking details'!$I$6:$I$3307,G988)</x:f>
        <x:v>1</x:v>
      </x:c>
      <x:c r="G988" s="8" t="str">
        <x:f>B988&amp;" / "&amp;C988&amp;" / "&amp;D988</x:f>
        <x:v>6773 / 2024 / RAINBOW TROUT</x:v>
      </x:c>
    </x:row>
    <x:row r="989" ht="23" customHeight="1">
      <x:c r="A989" s="8" t="str">
        <x:v>Kraft Wimborne Pond</x:v>
      </x:c>
      <x:c r="B989" s="8" t="str">
        <x:v>6773</x:v>
      </x:c>
      <x:c r="C989" s="17" t="n">
        <x:v>2024</x:v>
      </x:c>
      <x:c r="D989" s="8" t="str">
        <x:v>TIGER TROUT</x:v>
      </x:c>
      <x:c r="E989" s="13" t="n">
        <x:f>SUMIFS('Stocking details'!$F$6:$F$3307,'Stocking details'!$I$6:$I$3307,G989)</x:f>
        <x:v>70</x:v>
      </x:c>
      <x:c r="F989" s="13" t="n">
        <x:f>COUNTIFS('Stocking details'!$I$6:$I$3307,G989)</x:f>
        <x:v>1</x:v>
      </x:c>
      <x:c r="G989" s="8" t="str">
        <x:f>B989&amp;" / "&amp;C989&amp;" / "&amp;D989</x:f>
        <x:v>6773 / 2024 / TIGER TROUT</x:v>
      </x:c>
    </x:row>
    <x:row r="990" ht="23" customHeight="1">
      <x:c r="A990" s="8" t="str">
        <x:v>Kraft Wimborne Pond</x:v>
      </x:c>
      <x:c r="B990" s="8" t="str">
        <x:v>6773</x:v>
      </x:c>
      <x:c r="C990" s="17" t="n">
        <x:v>2023</x:v>
      </x:c>
      <x:c r="D990" s="8" t="str">
        <x:v>BROOK TROUT</x:v>
      </x:c>
      <x:c r="E990" s="13" t="n">
        <x:f>SUMIFS('Stocking details'!$F$6:$F$3307,'Stocking details'!$I$6:$I$3307,G990)</x:f>
        <x:v>230</x:v>
      </x:c>
      <x:c r="F990" s="13" t="n">
        <x:f>COUNTIFS('Stocking details'!$I$6:$I$3307,G990)</x:f>
        <x:v>1</x:v>
      </x:c>
      <x:c r="G990" s="8" t="str">
        <x:f>B990&amp;" / "&amp;C990&amp;" / "&amp;D990</x:f>
        <x:v>6773 / 2023 / BROOK TROUT</x:v>
      </x:c>
    </x:row>
    <x:row r="991" ht="23" customHeight="1">
      <x:c r="A991" s="8" t="str">
        <x:v>Kraft Wimborne Pond</x:v>
      </x:c>
      <x:c r="B991" s="8" t="str">
        <x:v>6773</x:v>
      </x:c>
      <x:c r="C991" s="17" t="n">
        <x:v>2023</x:v>
      </x:c>
      <x:c r="D991" s="8" t="str">
        <x:v>RAINBOW TROUT</x:v>
      </x:c>
      <x:c r="E991" s="13" t="n">
        <x:f>SUMIFS('Stocking details'!$F$6:$F$3307,'Stocking details'!$I$6:$I$3307,G991)</x:f>
        <x:v>580</x:v>
      </x:c>
      <x:c r="F991" s="13" t="n">
        <x:f>COUNTIFS('Stocking details'!$I$6:$I$3307,G991)</x:f>
        <x:v>2</x:v>
      </x:c>
      <x:c r="G991" s="8" t="str">
        <x:f>B991&amp;" / "&amp;C991&amp;" / "&amp;D991</x:f>
        <x:v>6773 / 2023 / RAINBOW TROUT</x:v>
      </x:c>
    </x:row>
    <x:row r="992" ht="23" customHeight="1">
      <x:c r="A992" s="8" t="str">
        <x:v>Kraft Wimborne Pond</x:v>
      </x:c>
      <x:c r="B992" s="8" t="str">
        <x:v>6773</x:v>
      </x:c>
      <x:c r="C992" s="17" t="n">
        <x:v>2023</x:v>
      </x:c>
      <x:c r="D992" s="8" t="str">
        <x:v>TIGER TROUT</x:v>
      </x:c>
      <x:c r="E992" s="13" t="n">
        <x:f>SUMIFS('Stocking details'!$F$6:$F$3307,'Stocking details'!$I$6:$I$3307,G992)</x:f>
        <x:v>70</x:v>
      </x:c>
      <x:c r="F992" s="13" t="n">
        <x:f>COUNTIFS('Stocking details'!$I$6:$I$3307,G992)</x:f>
        <x:v>1</x:v>
      </x:c>
      <x:c r="G992" s="8" t="str">
        <x:f>B992&amp;" / "&amp;C992&amp;" / "&amp;D992</x:f>
        <x:v>6773 / 2023 / TIGER TROUT</x:v>
      </x:c>
    </x:row>
    <x:row r="993" ht="23" customHeight="1">
      <x:c r="A993" s="8" t="str">
        <x:v>Kraft Wimborne Pond</x:v>
      </x:c>
      <x:c r="B993" s="8" t="str">
        <x:v>6773</x:v>
      </x:c>
      <x:c r="C993" s="17" t="n">
        <x:v>2022</x:v>
      </x:c>
      <x:c r="D993" s="8" t="str">
        <x:v>BROOK TROUT</x:v>
      </x:c>
      <x:c r="E993" s="13" t="n">
        <x:f>SUMIFS('Stocking details'!$F$6:$F$3307,'Stocking details'!$I$6:$I$3307,G993)</x:f>
        <x:v>240</x:v>
      </x:c>
      <x:c r="F993" s="13" t="n">
        <x:f>COUNTIFS('Stocking details'!$I$6:$I$3307,G993)</x:f>
        <x:v>2</x:v>
      </x:c>
      <x:c r="G993" s="8" t="str">
        <x:f>B993&amp;" / "&amp;C993&amp;" / "&amp;D993</x:f>
        <x:v>6773 / 2022 / BROOK TROUT</x:v>
      </x:c>
    </x:row>
    <x:row r="994" ht="23" customHeight="1">
      <x:c r="A994" s="8" t="str">
        <x:v>Kraft Wimborne Pond</x:v>
      </x:c>
      <x:c r="B994" s="8" t="str">
        <x:v>6773</x:v>
      </x:c>
      <x:c r="C994" s="17" t="n">
        <x:v>2022</x:v>
      </x:c>
      <x:c r="D994" s="8" t="str">
        <x:v>RAINBOW TROUT</x:v>
      </x:c>
      <x:c r="E994" s="13" t="n">
        <x:f>SUMIFS('Stocking details'!$F$6:$F$3307,'Stocking details'!$I$6:$I$3307,G994)</x:f>
        <x:v>1065</x:v>
      </x:c>
      <x:c r="F994" s="13" t="n">
        <x:f>COUNTIFS('Stocking details'!$I$6:$I$3307,G994)</x:f>
        <x:v>3</x:v>
      </x:c>
      <x:c r="G994" s="8" t="str">
        <x:f>B994&amp;" / "&amp;C994&amp;" / "&amp;D994</x:f>
        <x:v>6773 / 2022 / RAINBOW TROUT</x:v>
      </x:c>
    </x:row>
    <x:row r="995" ht="23" customHeight="1">
      <x:c r="A995" s="8" t="str">
        <x:v>Kraft Wimborne Pond</x:v>
      </x:c>
      <x:c r="B995" s="8" t="str">
        <x:v>6773</x:v>
      </x:c>
      <x:c r="C995" s="17" t="n">
        <x:v>2022</x:v>
      </x:c>
      <x:c r="D995" s="8" t="str">
        <x:v>TIGER TROUT</x:v>
      </x:c>
      <x:c r="E995" s="13" t="n">
        <x:f>SUMIFS('Stocking details'!$F$6:$F$3307,'Stocking details'!$I$6:$I$3307,G995)</x:f>
        <x:v>95</x:v>
      </x:c>
      <x:c r="F995" s="13" t="n">
        <x:f>COUNTIFS('Stocking details'!$I$6:$I$3307,G995)</x:f>
        <x:v>2</x:v>
      </x:c>
      <x:c r="G995" s="8" t="str">
        <x:f>B995&amp;" / "&amp;C995&amp;" / "&amp;D995</x:f>
        <x:v>6773 / 2022 / TIGER TROUT</x:v>
      </x:c>
    </x:row>
    <x:row r="996" ht="23" customHeight="1">
      <x:c r="A996" s="8" t="str">
        <x:v>Kraft Wimborne Pond</x:v>
      </x:c>
      <x:c r="B996" s="8" t="str">
        <x:v>6773</x:v>
      </x:c>
      <x:c r="C996" s="17" t="n">
        <x:v>2021</x:v>
      </x:c>
      <x:c r="D996" s="8" t="str">
        <x:v>BROOK TROUT</x:v>
      </x:c>
      <x:c r="E996" s="13" t="n">
        <x:f>SUMIFS('Stocking details'!$F$6:$F$3307,'Stocking details'!$I$6:$I$3307,G996)</x:f>
        <x:v>230</x:v>
      </x:c>
      <x:c r="F996" s="13" t="n">
        <x:f>COUNTIFS('Stocking details'!$I$6:$I$3307,G996)</x:f>
        <x:v>1</x:v>
      </x:c>
      <x:c r="G996" s="8" t="str">
        <x:f>B996&amp;" / "&amp;C996&amp;" / "&amp;D996</x:f>
        <x:v>6773 / 2021 / BROOK TROUT</x:v>
      </x:c>
    </x:row>
    <x:row r="997" ht="23" customHeight="1">
      <x:c r="A997" s="8" t="str">
        <x:v>Kraft Wimborne Pond</x:v>
      </x:c>
      <x:c r="B997" s="8" t="str">
        <x:v>6773</x:v>
      </x:c>
      <x:c r="C997" s="17" t="n">
        <x:v>2021</x:v>
      </x:c>
      <x:c r="D997" s="8" t="str">
        <x:v>RAINBOW TROUT</x:v>
      </x:c>
      <x:c r="E997" s="13" t="n">
        <x:f>SUMIFS('Stocking details'!$F$6:$F$3307,'Stocking details'!$I$6:$I$3307,G997)</x:f>
        <x:v>880</x:v>
      </x:c>
      <x:c r="F997" s="13" t="n">
        <x:f>COUNTIFS('Stocking details'!$I$6:$I$3307,G997)</x:f>
        <x:v>2</x:v>
      </x:c>
      <x:c r="G997" s="8" t="str">
        <x:f>B997&amp;" / "&amp;C997&amp;" / "&amp;D997</x:f>
        <x:v>6773 / 2021 / RAINBOW TROUT</x:v>
      </x:c>
    </x:row>
    <x:row r="998" ht="23" customHeight="1">
      <x:c r="A998" s="8" t="str">
        <x:v>Kraft Wimborne Pond</x:v>
      </x:c>
      <x:c r="B998" s="8" t="str">
        <x:v>6773</x:v>
      </x:c>
      <x:c r="C998" s="17" t="n">
        <x:v>2021</x:v>
      </x:c>
      <x:c r="D998" s="8" t="str">
        <x:v>TIGER TROUT</x:v>
      </x:c>
      <x:c r="E998" s="13" t="n">
        <x:f>SUMIFS('Stocking details'!$F$6:$F$3307,'Stocking details'!$I$6:$I$3307,G998)</x:f>
        <x:v>70</x:v>
      </x:c>
      <x:c r="F998" s="13" t="n">
        <x:f>COUNTIFS('Stocking details'!$I$6:$I$3307,G998)</x:f>
        <x:v>1</x:v>
      </x:c>
      <x:c r="G998" s="8" t="str">
        <x:f>B998&amp;" / "&amp;C998&amp;" / "&amp;D998</x:f>
        <x:v>6773 / 2021 / TIGER TROUT</x:v>
      </x:c>
    </x:row>
    <x:row r="999" ht="23" customHeight="1">
      <x:c r="A999" s="8" t="str">
        <x:v>Kramer Pond</x:v>
      </x:c>
      <x:c r="B999" s="8" t="str">
        <x:v>6774</x:v>
      </x:c>
      <x:c r="C999" s="17" t="n">
        <x:v>2026</x:v>
      </x:c>
      <x:c r="D999" s="8" t="str">
        <x:v>RAINBOW TROUT</x:v>
      </x:c>
      <x:c r="E999" s="13" t="n">
        <x:f>SUMIFS('Stocking details'!$F$6:$F$3307,'Stocking details'!$I$6:$I$3307,G999)</x:f>
        <x:v>3500</x:v>
      </x:c>
      <x:c r="F999" s="13" t="n">
        <x:f>COUNTIFS('Stocking details'!$I$6:$I$3307,G999)</x:f>
        <x:v>2</x:v>
      </x:c>
      <x:c r="G999" s="8" t="str">
        <x:f>B999&amp;" / "&amp;C999&amp;" / "&amp;D999</x:f>
        <x:v>6774 / 2026 / RAINBOW TROUT</x:v>
      </x:c>
    </x:row>
    <x:row r="1000" ht="23" customHeight="1">
      <x:c r="A1000" s="8" t="str">
        <x:v>Kramer Pond</x:v>
      </x:c>
      <x:c r="B1000" s="8" t="str">
        <x:v>6774</x:v>
      </x:c>
      <x:c r="C1000" s="17" t="n">
        <x:v>2025</x:v>
      </x:c>
      <x:c r="D1000" s="8" t="str">
        <x:v>RAINBOW TROUT</x:v>
      </x:c>
      <x:c r="E1000" s="13" t="n">
        <x:f>SUMIFS('Stocking details'!$F$6:$F$3307,'Stocking details'!$I$6:$I$3307,G1000)</x:f>
        <x:v>5000</x:v>
      </x:c>
      <x:c r="F1000" s="13" t="n">
        <x:f>COUNTIFS('Stocking details'!$I$6:$I$3307,G1000)</x:f>
        <x:v>2</x:v>
      </x:c>
      <x:c r="G1000" s="8" t="str">
        <x:f>B1000&amp;" / "&amp;C1000&amp;" / "&amp;D1000</x:f>
        <x:v>6774 / 2025 / RAINBOW TROUT</x:v>
      </x:c>
    </x:row>
    <x:row r="1001" ht="23" customHeight="1">
      <x:c r="A1001" s="8" t="str">
        <x:v>Kramer Pond</x:v>
      </x:c>
      <x:c r="B1001" s="8" t="str">
        <x:v>6774</x:v>
      </x:c>
      <x:c r="C1001" s="17" t="n">
        <x:v>2024</x:v>
      </x:c>
      <x:c r="D1001" s="8" t="str">
        <x:v>RAINBOW TROUT</x:v>
      </x:c>
      <x:c r="E1001" s="13" t="n">
        <x:f>SUMIFS('Stocking details'!$F$6:$F$3307,'Stocking details'!$I$6:$I$3307,G1001)</x:f>
        <x:v>3250</x:v>
      </x:c>
      <x:c r="F1001" s="13" t="n">
        <x:f>COUNTIFS('Stocking details'!$I$6:$I$3307,G1001)</x:f>
        <x:v>2</x:v>
      </x:c>
      <x:c r="G1001" s="8" t="str">
        <x:f>B1001&amp;" / "&amp;C1001&amp;" / "&amp;D1001</x:f>
        <x:v>6774 / 2024 / RAINBOW TROUT</x:v>
      </x:c>
    </x:row>
    <x:row r="1002" ht="23" customHeight="1">
      <x:c r="A1002" s="8" t="str">
        <x:v>Kramer Pond</x:v>
      </x:c>
      <x:c r="B1002" s="8" t="str">
        <x:v>6774</x:v>
      </x:c>
      <x:c r="C1002" s="17" t="n">
        <x:v>2023</x:v>
      </x:c>
      <x:c r="D1002" s="8" t="str">
        <x:v>RAINBOW TROUT</x:v>
      </x:c>
      <x:c r="E1002" s="13" t="n">
        <x:f>SUMIFS('Stocking details'!$F$6:$F$3307,'Stocking details'!$I$6:$I$3307,G1002)</x:f>
        <x:v>2260</x:v>
      </x:c>
      <x:c r="F1002" s="13" t="n">
        <x:f>COUNTIFS('Stocking details'!$I$6:$I$3307,G1002)</x:f>
        <x:v>2</x:v>
      </x:c>
      <x:c r="G1002" s="8" t="str">
        <x:f>B1002&amp;" / "&amp;C1002&amp;" / "&amp;D1002</x:f>
        <x:v>6774 / 2023 / RAINBOW TROUT</x:v>
      </x:c>
    </x:row>
    <x:row r="1003" ht="23" customHeight="1">
      <x:c r="A1003" s="8" t="str">
        <x:v>Kramer Pond</x:v>
      </x:c>
      <x:c r="B1003" s="8" t="str">
        <x:v>6774</x:v>
      </x:c>
      <x:c r="C1003" s="17" t="n">
        <x:v>2022</x:v>
      </x:c>
      <x:c r="D1003" s="8" t="str">
        <x:v>RAINBOW TROUT</x:v>
      </x:c>
      <x:c r="E1003" s="13" t="n">
        <x:f>SUMIFS('Stocking details'!$F$6:$F$3307,'Stocking details'!$I$6:$I$3307,G1003)</x:f>
        <x:v>6500</x:v>
      </x:c>
      <x:c r="F1003" s="13" t="n">
        <x:f>COUNTIFS('Stocking details'!$I$6:$I$3307,G1003)</x:f>
        <x:v>3</x:v>
      </x:c>
      <x:c r="G1003" s="8" t="str">
        <x:f>B1003&amp;" / "&amp;C1003&amp;" / "&amp;D1003</x:f>
        <x:v>6774 / 2022 / RAINBOW TROUT</x:v>
      </x:c>
    </x:row>
    <x:row r="1004" ht="23" customHeight="1">
      <x:c r="A1004" s="8" t="str">
        <x:v>Kramer Pond</x:v>
      </x:c>
      <x:c r="B1004" s="8" t="str">
        <x:v>6774</x:v>
      </x:c>
      <x:c r="C1004" s="17" t="n">
        <x:v>2021</x:v>
      </x:c>
      <x:c r="D1004" s="8" t="str">
        <x:v>RAINBOW TROUT</x:v>
      </x:c>
      <x:c r="E1004" s="13" t="n">
        <x:f>SUMIFS('Stocking details'!$F$6:$F$3307,'Stocking details'!$I$6:$I$3307,G1004)</x:f>
        <x:v>6500</x:v>
      </x:c>
      <x:c r="F1004" s="13" t="n">
        <x:f>COUNTIFS('Stocking details'!$I$6:$I$3307,G1004)</x:f>
        <x:v>3</x:v>
      </x:c>
      <x:c r="G1004" s="8" t="str">
        <x:f>B1004&amp;" / "&amp;C1004&amp;" / "&amp;D1004</x:f>
        <x:v>6774 / 2021 / RAINBOW TROUT</x:v>
      </x:c>
    </x:row>
    <x:row r="1005" ht="23" customHeight="1">
      <x:c r="A1005" s="8" t="str">
        <x:v>La Crete Pond</x:v>
      </x:c>
      <x:c r="B1005" s="8" t="str">
        <x:v>20267</x:v>
      </x:c>
      <x:c r="C1005" s="17" t="n">
        <x:v>2026</x:v>
      </x:c>
      <x:c r="D1005" s="8" t="str">
        <x:v>RAINBOW TROUT</x:v>
      </x:c>
      <x:c r="E1005" s="13" t="n">
        <x:f>SUMIFS('Stocking details'!$F$6:$F$3307,'Stocking details'!$I$6:$I$3307,G1005)</x:f>
        <x:v>1500</x:v>
      </x:c>
      <x:c r="F1005" s="13" t="n">
        <x:f>COUNTIFS('Stocking details'!$I$6:$I$3307,G1005)</x:f>
        <x:v>1</x:v>
      </x:c>
      <x:c r="G1005" s="8" t="str">
        <x:f>B1005&amp;" / "&amp;C1005&amp;" / "&amp;D1005</x:f>
        <x:v>20267 / 2026 / RAINBOW TROUT</x:v>
      </x:c>
    </x:row>
    <x:row r="1006" ht="23" customHeight="1">
      <x:c r="A1006" s="8" t="str">
        <x:v>La Crete Pond</x:v>
      </x:c>
      <x:c r="B1006" s="8" t="str">
        <x:v>20267</x:v>
      </x:c>
      <x:c r="C1006" s="17" t="n">
        <x:v>2025</x:v>
      </x:c>
      <x:c r="D1006" s="8" t="str">
        <x:v>RAINBOW TROUT</x:v>
      </x:c>
      <x:c r="E1006" s="13" t="n">
        <x:f>SUMIFS('Stocking details'!$F$6:$F$3307,'Stocking details'!$I$6:$I$3307,G1006)</x:f>
        <x:v>1500</x:v>
      </x:c>
      <x:c r="F1006" s="13" t="n">
        <x:f>COUNTIFS('Stocking details'!$I$6:$I$3307,G1006)</x:f>
        <x:v>1</x:v>
      </x:c>
      <x:c r="G1006" s="8" t="str">
        <x:f>B1006&amp;" / "&amp;C1006&amp;" / "&amp;D1006</x:f>
        <x:v>20267 / 2025 / RAINBOW TROUT</x:v>
      </x:c>
    </x:row>
    <x:row r="1007" ht="23" customHeight="1">
      <x:c r="A1007" s="8" t="str">
        <x:v>La Crete Pond</x:v>
      </x:c>
      <x:c r="B1007" s="8" t="str">
        <x:v>20267</x:v>
      </x:c>
      <x:c r="C1007" s="17" t="n">
        <x:v>2024</x:v>
      </x:c>
      <x:c r="D1007" s="8" t="str">
        <x:v>RAINBOW TROUT</x:v>
      </x:c>
      <x:c r="E1007" s="13" t="n">
        <x:f>SUMIFS('Stocking details'!$F$6:$F$3307,'Stocking details'!$I$6:$I$3307,G1007)</x:f>
        <x:v>750</x:v>
      </x:c>
      <x:c r="F1007" s="13" t="n">
        <x:f>COUNTIFS('Stocking details'!$I$6:$I$3307,G1007)</x:f>
        <x:v>1</x:v>
      </x:c>
      <x:c r="G1007" s="8" t="str">
        <x:f>B1007&amp;" / "&amp;C1007&amp;" / "&amp;D1007</x:f>
        <x:v>20267 / 2024 / RAINBOW TROUT</x:v>
      </x:c>
    </x:row>
    <x:row r="1008" ht="23" customHeight="1">
      <x:c r="A1008" s="8" t="str">
        <x:v>La Crete Pond</x:v>
      </x:c>
      <x:c r="B1008" s="8" t="str">
        <x:v>20267</x:v>
      </x:c>
      <x:c r="C1008" s="17" t="n">
        <x:v>2023</x:v>
      </x:c>
      <x:c r="D1008" s="8" t="str">
        <x:v>RAINBOW TROUT</x:v>
      </x:c>
      <x:c r="E1008" s="13" t="n">
        <x:f>SUMIFS('Stocking details'!$F$6:$F$3307,'Stocking details'!$I$6:$I$3307,G1008)</x:f>
        <x:v>753</x:v>
      </x:c>
      <x:c r="F1008" s="13" t="n">
        <x:f>COUNTIFS('Stocking details'!$I$6:$I$3307,G1008)</x:f>
        <x:v>2</x:v>
      </x:c>
      <x:c r="G1008" s="8" t="str">
        <x:f>B1008&amp;" / "&amp;C1008&amp;" / "&amp;D1008</x:f>
        <x:v>20267 / 2023 / RAINBOW TROUT</x:v>
      </x:c>
    </x:row>
    <x:row r="1009" ht="23" customHeight="1">
      <x:c r="A1009" s="8" t="str">
        <x:v>La Crete Pond</x:v>
      </x:c>
      <x:c r="B1009" s="8" t="str">
        <x:v>20267</x:v>
      </x:c>
      <x:c r="C1009" s="17" t="n">
        <x:v>2022</x:v>
      </x:c>
      <x:c r="D1009" s="8" t="str">
        <x:v>RAINBOW TROUT</x:v>
      </x:c>
      <x:c r="E1009" s="13" t="n">
        <x:f>SUMIFS('Stocking details'!$F$6:$F$3307,'Stocking details'!$I$6:$I$3307,G1009)</x:f>
        <x:v>1500</x:v>
      </x:c>
      <x:c r="F1009" s="13" t="n">
        <x:f>COUNTIFS('Stocking details'!$I$6:$I$3307,G1009)</x:f>
        <x:v>1</x:v>
      </x:c>
      <x:c r="G1009" s="8" t="str">
        <x:f>B1009&amp;" / "&amp;C1009&amp;" / "&amp;D1009</x:f>
        <x:v>20267 / 2022 / RAINBOW TROUT</x:v>
      </x:c>
    </x:row>
    <x:row r="1010" ht="23" customHeight="1">
      <x:c r="A1010" s="8" t="str">
        <x:v>La Crete Pond</x:v>
      </x:c>
      <x:c r="B1010" s="8" t="str">
        <x:v>20267</x:v>
      </x:c>
      <x:c r="C1010" s="17" t="n">
        <x:v>2021</x:v>
      </x:c>
      <x:c r="D1010" s="8" t="str">
        <x:v>RAINBOW TROUT</x:v>
      </x:c>
      <x:c r="E1010" s="13" t="n">
        <x:f>SUMIFS('Stocking details'!$F$6:$F$3307,'Stocking details'!$I$6:$I$3307,G1010)</x:f>
        <x:v>1500</x:v>
      </x:c>
      <x:c r="F1010" s="13" t="n">
        <x:f>COUNTIFS('Stocking details'!$I$6:$I$3307,G1010)</x:f>
        <x:v>1</x:v>
      </x:c>
      <x:c r="G1010" s="8" t="str">
        <x:f>B1010&amp;" / "&amp;C1010&amp;" / "&amp;D1010</x:f>
        <x:v>20267 / 2021 / RAINBOW TROUT</x:v>
      </x:c>
    </x:row>
    <x:row r="1011" ht="23" customHeight="1">
      <x:c r="A1011" s="8" t="str">
        <x:v>Lac Bellevue</x:v>
      </x:c>
      <x:c r="B1011" s="8" t="str">
        <x:v>4027</x:v>
      </x:c>
      <x:c r="C1011" s="17" t="n">
        <x:v>2023</x:v>
      </x:c>
      <x:c r="D1011" s="8" t="str">
        <x:v>WALLEYE</x:v>
      </x:c>
      <x:c r="E1011" s="13" t="n">
        <x:f>SUMIFS('Stocking details'!$F$6:$F$3307,'Stocking details'!$I$6:$I$3307,G1011)</x:f>
        <x:v>46100</x:v>
      </x:c>
      <x:c r="F1011" s="13" t="n">
        <x:f>COUNTIFS('Stocking details'!$I$6:$I$3307,G1011)</x:f>
        <x:v>1</x:v>
      </x:c>
      <x:c r="G1011" s="8" t="str">
        <x:f>B1011&amp;" / "&amp;C1011&amp;" / "&amp;D1011</x:f>
        <x:v>4027 / 2023 / WALLEYE</x:v>
      </x:c>
    </x:row>
    <x:row r="1012" ht="23" customHeight="1">
      <x:c r="A1012" s="8" t="str">
        <x:v>Lac Bellevue</x:v>
      </x:c>
      <x:c r="B1012" s="8" t="str">
        <x:v>4027</x:v>
      </x:c>
      <x:c r="C1012" s="17" t="n">
        <x:v>2022</x:v>
      </x:c>
      <x:c r="D1012" s="8" t="str">
        <x:v>WALLEYE</x:v>
      </x:c>
      <x:c r="E1012" s="13" t="n">
        <x:f>SUMIFS('Stocking details'!$F$6:$F$3307,'Stocking details'!$I$6:$I$3307,G1012)</x:f>
        <x:v>46100</x:v>
      </x:c>
      <x:c r="F1012" s="13" t="n">
        <x:f>COUNTIFS('Stocking details'!$I$6:$I$3307,G1012)</x:f>
        <x:v>1</x:v>
      </x:c>
      <x:c r="G1012" s="8" t="str">
        <x:f>B1012&amp;" / "&amp;C1012&amp;" / "&amp;D1012</x:f>
        <x:v>4027 / 2022 / WALLEYE</x:v>
      </x:c>
    </x:row>
    <x:row r="1013" ht="23" customHeight="1">
      <x:c r="A1013" s="8" t="str">
        <x:v>Lac Bellevue</x:v>
      </x:c>
      <x:c r="B1013" s="8" t="str">
        <x:v>4027</x:v>
      </x:c>
      <x:c r="C1013" s="17" t="n">
        <x:v>2021</x:v>
      </x:c>
      <x:c r="D1013" s="8" t="str">
        <x:v>NORTHERN PIKE</x:v>
      </x:c>
      <x:c r="E1013" s="13" t="n">
        <x:f>SUMIFS('Stocking details'!$F$6:$F$3307,'Stocking details'!$I$6:$I$3307,G1013)</x:f>
        <x:v>524</x:v>
      </x:c>
      <x:c r="F1013" s="13" t="n">
        <x:f>COUNTIFS('Stocking details'!$I$6:$I$3307,G1013)</x:f>
        <x:v>1</x:v>
      </x:c>
      <x:c r="G1013" s="8" t="str">
        <x:f>B1013&amp;" / "&amp;C1013&amp;" / "&amp;D1013</x:f>
        <x:v>4027 / 2021 / NORTHERN PIKE</x:v>
      </x:c>
    </x:row>
    <x:row r="1014" ht="23" customHeight="1">
      <x:c r="A1014" s="8" t="str">
        <x:v>Lac Bellevue</x:v>
      </x:c>
      <x:c r="B1014" s="8" t="str">
        <x:v>4027</x:v>
      </x:c>
      <x:c r="C1014" s="17" t="n">
        <x:v>2021</x:v>
      </x:c>
      <x:c r="D1014" s="8" t="str">
        <x:v>WALLEYE</x:v>
      </x:c>
      <x:c r="E1014" s="13" t="n">
        <x:f>SUMIFS('Stocking details'!$F$6:$F$3307,'Stocking details'!$I$6:$I$3307,G1014)</x:f>
        <x:v>56481</x:v>
      </x:c>
      <x:c r="F1014" s="13" t="n">
        <x:f>COUNTIFS('Stocking details'!$I$6:$I$3307,G1014)</x:f>
        <x:v>2</x:v>
      </x:c>
      <x:c r="G1014" s="8" t="str">
        <x:f>B1014&amp;" / "&amp;C1014&amp;" / "&amp;D1014</x:f>
        <x:v>4027 / 2021 / WALLEYE</x:v>
      </x:c>
    </x:row>
    <x:row r="1015" ht="23" customHeight="1">
      <x:c r="A1015" s="8" t="str">
        <x:v>Lacombe Park Pond</x:v>
      </x:c>
      <x:c r="B1015" s="8" t="str">
        <x:v>6776</x:v>
      </x:c>
      <x:c r="C1015" s="17" t="n">
        <x:v>2026</x:v>
      </x:c>
      <x:c r="D1015" s="8" t="str">
        <x:v>BROOK TROUT</x:v>
      </x:c>
      <x:c r="E1015" s="13" t="n">
        <x:f>SUMIFS('Stocking details'!$F$6:$F$3307,'Stocking details'!$I$6:$I$3307,G1015)</x:f>
        <x:v>720</x:v>
      </x:c>
      <x:c r="F1015" s="13" t="n">
        <x:f>COUNTIFS('Stocking details'!$I$6:$I$3307,G1015)</x:f>
        <x:v>2</x:v>
      </x:c>
      <x:c r="G1015" s="8" t="str">
        <x:f>B1015&amp;" / "&amp;C1015&amp;" / "&amp;D1015</x:f>
        <x:v>6776 / 2026 / BROOK TROUT</x:v>
      </x:c>
    </x:row>
    <x:row r="1016" ht="23" customHeight="1">
      <x:c r="A1016" s="8" t="str">
        <x:v>Lacombe Park Pond</x:v>
      </x:c>
      <x:c r="B1016" s="8" t="str">
        <x:v>6776</x:v>
      </x:c>
      <x:c r="C1016" s="17" t="n">
        <x:v>2026</x:v>
      </x:c>
      <x:c r="D1016" s="8" t="str">
        <x:v>RAINBOW TROUT</x:v>
      </x:c>
      <x:c r="E1016" s="13" t="n">
        <x:f>SUMIFS('Stocking details'!$F$6:$F$3307,'Stocking details'!$I$6:$I$3307,G1016)</x:f>
        <x:v>500</x:v>
      </x:c>
      <x:c r="F1016" s="13" t="n">
        <x:f>COUNTIFS('Stocking details'!$I$6:$I$3307,G1016)</x:f>
        <x:v>1</x:v>
      </x:c>
      <x:c r="G1016" s="8" t="str">
        <x:f>B1016&amp;" / "&amp;C1016&amp;" / "&amp;D1016</x:f>
        <x:v>6776 / 2026 / RAINBOW TROUT</x:v>
      </x:c>
    </x:row>
    <x:row r="1017" ht="23" customHeight="1">
      <x:c r="A1017" s="8" t="str">
        <x:v>Lacombe Park Pond</x:v>
      </x:c>
      <x:c r="B1017" s="8" t="str">
        <x:v>6776</x:v>
      </x:c>
      <x:c r="C1017" s="17" t="n">
        <x:v>2025</x:v>
      </x:c>
      <x:c r="D1017" s="8" t="str">
        <x:v>BROOK TROUT</x:v>
      </x:c>
      <x:c r="E1017" s="13" t="n">
        <x:f>SUMIFS('Stocking details'!$F$6:$F$3307,'Stocking details'!$I$6:$I$3307,G1017)</x:f>
        <x:v>600</x:v>
      </x:c>
      <x:c r="F1017" s="13" t="n">
        <x:f>COUNTIFS('Stocking details'!$I$6:$I$3307,G1017)</x:f>
        <x:v>1</x:v>
      </x:c>
      <x:c r="G1017" s="8" t="str">
        <x:f>B1017&amp;" / "&amp;C1017&amp;" / "&amp;D1017</x:f>
        <x:v>6776 / 2025 / BROOK TROUT</x:v>
      </x:c>
    </x:row>
    <x:row r="1018" ht="23" customHeight="1">
      <x:c r="A1018" s="8" t="str">
        <x:v>Lacombe Park Pond</x:v>
      </x:c>
      <x:c r="B1018" s="8" t="str">
        <x:v>6776</x:v>
      </x:c>
      <x:c r="C1018" s="17" t="n">
        <x:v>2025</x:v>
      </x:c>
      <x:c r="D1018" s="8" t="str">
        <x:v>RAINBOW TROUT</x:v>
      </x:c>
      <x:c r="E1018" s="13" t="n">
        <x:f>SUMIFS('Stocking details'!$F$6:$F$3307,'Stocking details'!$I$6:$I$3307,G1018)</x:f>
        <x:v>500</x:v>
      </x:c>
      <x:c r="F1018" s="13" t="n">
        <x:f>COUNTIFS('Stocking details'!$I$6:$I$3307,G1018)</x:f>
        <x:v>1</x:v>
      </x:c>
      <x:c r="G1018" s="8" t="str">
        <x:f>B1018&amp;" / "&amp;C1018&amp;" / "&amp;D1018</x:f>
        <x:v>6776 / 2025 / RAINBOW TROUT</x:v>
      </x:c>
    </x:row>
    <x:row r="1019" ht="23" customHeight="1">
      <x:c r="A1019" s="8" t="str">
        <x:v>Lacombe Park Pond</x:v>
      </x:c>
      <x:c r="B1019" s="8" t="str">
        <x:v>6776</x:v>
      </x:c>
      <x:c r="C1019" s="17" t="n">
        <x:v>2024</x:v>
      </x:c>
      <x:c r="D1019" s="8" t="str">
        <x:v>BROOK TROUT</x:v>
      </x:c>
      <x:c r="E1019" s="13" t="n">
        <x:f>SUMIFS('Stocking details'!$F$6:$F$3307,'Stocking details'!$I$6:$I$3307,G1019)</x:f>
        <x:v>600</x:v>
      </x:c>
      <x:c r="F1019" s="13" t="n">
        <x:f>COUNTIFS('Stocking details'!$I$6:$I$3307,G1019)</x:f>
        <x:v>1</x:v>
      </x:c>
      <x:c r="G1019" s="8" t="str">
        <x:f>B1019&amp;" / "&amp;C1019&amp;" / "&amp;D1019</x:f>
        <x:v>6776 / 2024 / BROOK TROUT</x:v>
      </x:c>
    </x:row>
    <x:row r="1020" ht="23" customHeight="1">
      <x:c r="A1020" s="8" t="str">
        <x:v>Lacombe Park Pond</x:v>
      </x:c>
      <x:c r="B1020" s="8" t="str">
        <x:v>6776</x:v>
      </x:c>
      <x:c r="C1020" s="17" t="n">
        <x:v>2024</x:v>
      </x:c>
      <x:c r="D1020" s="8" t="str">
        <x:v>RAINBOW TROUT</x:v>
      </x:c>
      <x:c r="E1020" s="13" t="n">
        <x:f>SUMIFS('Stocking details'!$F$6:$F$3307,'Stocking details'!$I$6:$I$3307,G1020)</x:f>
        <x:v>500</x:v>
      </x:c>
      <x:c r="F1020" s="13" t="n">
        <x:f>COUNTIFS('Stocking details'!$I$6:$I$3307,G1020)</x:f>
        <x:v>1</x:v>
      </x:c>
      <x:c r="G1020" s="8" t="str">
        <x:f>B1020&amp;" / "&amp;C1020&amp;" / "&amp;D1020</x:f>
        <x:v>6776 / 2024 / RAINBOW TROUT</x:v>
      </x:c>
    </x:row>
    <x:row r="1021" ht="23" customHeight="1">
      <x:c r="A1021" s="8" t="str">
        <x:v>Lacombe Park Pond</x:v>
      </x:c>
      <x:c r="B1021" s="8" t="str">
        <x:v>6776</x:v>
      </x:c>
      <x:c r="C1021" s="17" t="n">
        <x:v>2023</x:v>
      </x:c>
      <x:c r="D1021" s="8" t="str">
        <x:v>BROOK TROUT</x:v>
      </x:c>
      <x:c r="E1021" s="13" t="n">
        <x:f>SUMIFS('Stocking details'!$F$6:$F$3307,'Stocking details'!$I$6:$I$3307,G1021)</x:f>
        <x:v>600</x:v>
      </x:c>
      <x:c r="F1021" s="13" t="n">
        <x:f>COUNTIFS('Stocking details'!$I$6:$I$3307,G1021)</x:f>
        <x:v>1</x:v>
      </x:c>
      <x:c r="G1021" s="8" t="str">
        <x:f>B1021&amp;" / "&amp;C1021&amp;" / "&amp;D1021</x:f>
        <x:v>6776 / 2023 / BROOK TROUT</x:v>
      </x:c>
    </x:row>
    <x:row r="1022" ht="23" customHeight="1">
      <x:c r="A1022" s="8" t="str">
        <x:v>Lacombe Park Pond</x:v>
      </x:c>
      <x:c r="B1022" s="8" t="str">
        <x:v>6776</x:v>
      </x:c>
      <x:c r="C1022" s="17" t="n">
        <x:v>2023</x:v>
      </x:c>
      <x:c r="D1022" s="8" t="str">
        <x:v>RAINBOW TROUT</x:v>
      </x:c>
      <x:c r="E1022" s="13" t="n">
        <x:f>SUMIFS('Stocking details'!$F$6:$F$3307,'Stocking details'!$I$6:$I$3307,G1022)</x:f>
        <x:v>500</x:v>
      </x:c>
      <x:c r="F1022" s="13" t="n">
        <x:f>COUNTIFS('Stocking details'!$I$6:$I$3307,G1022)</x:f>
        <x:v>1</x:v>
      </x:c>
      <x:c r="G1022" s="8" t="str">
        <x:f>B1022&amp;" / "&amp;C1022&amp;" / "&amp;D1022</x:f>
        <x:v>6776 / 2023 / RAINBOW TROUT</x:v>
      </x:c>
    </x:row>
    <x:row r="1023" ht="23" customHeight="1">
      <x:c r="A1023" s="8" t="str">
        <x:v>Lacombe Park Pond</x:v>
      </x:c>
      <x:c r="B1023" s="8" t="str">
        <x:v>6776</x:v>
      </x:c>
      <x:c r="C1023" s="17" t="n">
        <x:v>2022</x:v>
      </x:c>
      <x:c r="D1023" s="8" t="str">
        <x:v>BROOK TROUT</x:v>
      </x:c>
      <x:c r="E1023" s="13" t="n">
        <x:f>SUMIFS('Stocking details'!$F$6:$F$3307,'Stocking details'!$I$6:$I$3307,G1023)</x:f>
        <x:v>600</x:v>
      </x:c>
      <x:c r="F1023" s="13" t="n">
        <x:f>COUNTIFS('Stocking details'!$I$6:$I$3307,G1023)</x:f>
        <x:v>1</x:v>
      </x:c>
      <x:c r="G1023" s="8" t="str">
        <x:f>B1023&amp;" / "&amp;C1023&amp;" / "&amp;D1023</x:f>
        <x:v>6776 / 2022 / BROOK TROUT</x:v>
      </x:c>
    </x:row>
    <x:row r="1024" ht="23" customHeight="1">
      <x:c r="A1024" s="8" t="str">
        <x:v>Lacombe Park Pond</x:v>
      </x:c>
      <x:c r="B1024" s="8" t="str">
        <x:v>6776</x:v>
      </x:c>
      <x:c r="C1024" s="17" t="n">
        <x:v>2022</x:v>
      </x:c>
      <x:c r="D1024" s="8" t="str">
        <x:v>RAINBOW TROUT</x:v>
      </x:c>
      <x:c r="E1024" s="13" t="n">
        <x:f>SUMIFS('Stocking details'!$F$6:$F$3307,'Stocking details'!$I$6:$I$3307,G1024)</x:f>
        <x:v>500</x:v>
      </x:c>
      <x:c r="F1024" s="13" t="n">
        <x:f>COUNTIFS('Stocking details'!$I$6:$I$3307,G1024)</x:f>
        <x:v>1</x:v>
      </x:c>
      <x:c r="G1024" s="8" t="str">
        <x:f>B1024&amp;" / "&amp;C1024&amp;" / "&amp;D1024</x:f>
        <x:v>6776 / 2022 / RAINBOW TROUT</x:v>
      </x:c>
    </x:row>
    <x:row r="1025" ht="23" customHeight="1">
      <x:c r="A1025" s="8" t="str">
        <x:v>Lacombe Park Pond</x:v>
      </x:c>
      <x:c r="B1025" s="8" t="str">
        <x:v>6776</x:v>
      </x:c>
      <x:c r="C1025" s="17" t="n">
        <x:v>2021</x:v>
      </x:c>
      <x:c r="D1025" s="8" t="str">
        <x:v>BROOK TROUT</x:v>
      </x:c>
      <x:c r="E1025" s="13" t="n">
        <x:f>SUMIFS('Stocking details'!$F$6:$F$3307,'Stocking details'!$I$6:$I$3307,G1025)</x:f>
        <x:v>600</x:v>
      </x:c>
      <x:c r="F1025" s="13" t="n">
        <x:f>COUNTIFS('Stocking details'!$I$6:$I$3307,G1025)</x:f>
        <x:v>1</x:v>
      </x:c>
      <x:c r="G1025" s="8" t="str">
        <x:f>B1025&amp;" / "&amp;C1025&amp;" / "&amp;D1025</x:f>
        <x:v>6776 / 2021 / BROOK TROUT</x:v>
      </x:c>
    </x:row>
    <x:row r="1026" ht="23" customHeight="1">
      <x:c r="A1026" s="8" t="str">
        <x:v>Lacombe Park Pond</x:v>
      </x:c>
      <x:c r="B1026" s="8" t="str">
        <x:v>6776</x:v>
      </x:c>
      <x:c r="C1026" s="17" t="n">
        <x:v>2021</x:v>
      </x:c>
      <x:c r="D1026" s="8" t="str">
        <x:v>RAINBOW TROUT</x:v>
      </x:c>
      <x:c r="E1026" s="13" t="n">
        <x:f>SUMIFS('Stocking details'!$F$6:$F$3307,'Stocking details'!$I$6:$I$3307,G1026)</x:f>
        <x:v>500</x:v>
      </x:c>
      <x:c r="F1026" s="13" t="n">
        <x:f>COUNTIFS('Stocking details'!$I$6:$I$3307,G1026)</x:f>
        <x:v>1</x:v>
      </x:c>
      <x:c r="G1026" s="8" t="str">
        <x:f>B1026&amp;" / "&amp;C1026&amp;" / "&amp;D1026</x:f>
        <x:v>6776 / 2021 / RAINBOW TROUT</x:v>
      </x:c>
    </x:row>
    <x:row r="1027" ht="23" customHeight="1">
      <x:c r="A1027" s="8" t="str">
        <x:v>Lake Newell</x:v>
      </x:c>
      <x:c r="B1027" s="8" t="str">
        <x:v>5434</x:v>
      </x:c>
      <x:c r="C1027" s="17" t="n">
        <x:v>2023</x:v>
      </x:c>
      <x:c r="D1027" s="8" t="str">
        <x:v>WALLEYE</x:v>
      </x:c>
      <x:c r="E1027" s="13" t="n">
        <x:f>SUMIFS('Stocking details'!$F$6:$F$3307,'Stocking details'!$I$6:$I$3307,G1027)</x:f>
        <x:v>396068</x:v>
      </x:c>
      <x:c r="F1027" s="13" t="n">
        <x:f>COUNTIFS('Stocking details'!$I$6:$I$3307,G1027)</x:f>
        <x:v>1</x:v>
      </x:c>
      <x:c r="G1027" s="8" t="str">
        <x:f>B1027&amp;" / "&amp;C1027&amp;" / "&amp;D1027</x:f>
        <x:v>5434 / 2023 / WALLEYE</x:v>
      </x:c>
    </x:row>
    <x:row r="1028" ht="23" customHeight="1">
      <x:c r="A1028" s="8" t="str">
        <x:v>Lake Newell</x:v>
      </x:c>
      <x:c r="B1028" s="8" t="str">
        <x:v>5434</x:v>
      </x:c>
      <x:c r="C1028" s="17" t="n">
        <x:v>2022</x:v>
      </x:c>
      <x:c r="D1028" s="8" t="str">
        <x:v>WALLEYE</x:v>
      </x:c>
      <x:c r="E1028" s="13" t="n">
        <x:f>SUMIFS('Stocking details'!$F$6:$F$3307,'Stocking details'!$I$6:$I$3307,G1028)</x:f>
        <x:v>579717</x:v>
      </x:c>
      <x:c r="F1028" s="13" t="n">
        <x:f>COUNTIFS('Stocking details'!$I$6:$I$3307,G1028)</x:f>
        <x:v>1</x:v>
      </x:c>
      <x:c r="G1028" s="8" t="str">
        <x:f>B1028&amp;" / "&amp;C1028&amp;" / "&amp;D1028</x:f>
        <x:v>5434 / 2022 / WALLEYE</x:v>
      </x:c>
    </x:row>
    <x:row r="1029" ht="23" customHeight="1">
      <x:c r="A1029" s="8" t="str">
        <x:v>Lake Of Falls</x:v>
      </x:c>
      <x:c r="B1029" s="8" t="str">
        <x:v>4564</x:v>
      </x:c>
      <x:c r="C1029" s="17" t="n">
        <x:v>2025</x:v>
      </x:c>
      <x:c r="D1029" s="8" t="str">
        <x:v>CUTTHROAT TROUT</x:v>
      </x:c>
      <x:c r="E1029" s="13" t="n">
        <x:f>SUMIFS('Stocking details'!$F$6:$F$3307,'Stocking details'!$I$6:$I$3307,G1029)</x:f>
        <x:v>2627</x:v>
      </x:c>
      <x:c r="F1029" s="13" t="n">
        <x:f>COUNTIFS('Stocking details'!$I$6:$I$3307,G1029)</x:f>
        <x:v>1</x:v>
      </x:c>
      <x:c r="G1029" s="8" t="str">
        <x:f>B1029&amp;" / "&amp;C1029&amp;" / "&amp;D1029</x:f>
        <x:v>4564 / 2025 / CUTTHROAT TROUT</x:v>
      </x:c>
    </x:row>
    <x:row r="1030" ht="23" customHeight="1">
      <x:c r="A1030" s="8" t="str">
        <x:v>Lake Of Falls</x:v>
      </x:c>
      <x:c r="B1030" s="8" t="str">
        <x:v>4564</x:v>
      </x:c>
      <x:c r="C1030" s="17" t="n">
        <x:v>2022</x:v>
      </x:c>
      <x:c r="D1030" s="8" t="str">
        <x:v>CUTTHROAT TROUT</x:v>
      </x:c>
      <x:c r="E1030" s="13" t="n">
        <x:f>SUMIFS('Stocking details'!$F$6:$F$3307,'Stocking details'!$I$6:$I$3307,G1030)</x:f>
        <x:v>4000</x:v>
      </x:c>
      <x:c r="F1030" s="13" t="n">
        <x:f>COUNTIFS('Stocking details'!$I$6:$I$3307,G1030)</x:f>
        <x:v>1</x:v>
      </x:c>
      <x:c r="G1030" s="8" t="str">
        <x:f>B1030&amp;" / "&amp;C1030&amp;" / "&amp;D1030</x:f>
        <x:v>4564 / 2022 / CUTTHROAT TROUT</x:v>
      </x:c>
    </x:row>
    <x:row r="1031" ht="23" customHeight="1">
      <x:c r="A1031" s="8" t="str">
        <x:v>Lake of the Horns</x:v>
      </x:c>
      <x:c r="B1031" s="8" t="str">
        <x:v>4854</x:v>
      </x:c>
      <x:c r="C1031" s="17" t="n">
        <x:v>2021</x:v>
      </x:c>
      <x:c r="D1031" s="8" t="str">
        <x:v>CUTTHROAT TROUT</x:v>
      </x:c>
      <x:c r="E1031" s="13" t="n">
        <x:f>SUMIFS('Stocking details'!$F$6:$F$3307,'Stocking details'!$I$6:$I$3307,G1031)</x:f>
        <x:v>1300</x:v>
      </x:c>
      <x:c r="F1031" s="13" t="n">
        <x:f>COUNTIFS('Stocking details'!$I$6:$I$3307,G1031)</x:f>
        <x:v>1</x:v>
      </x:c>
      <x:c r="G1031" s="8" t="str">
        <x:f>B1031&amp;" / "&amp;C1031&amp;" / "&amp;D1031</x:f>
        <x:v>4854 / 2021 / CUTTHROAT TROUT</x:v>
      </x:c>
    </x:row>
    <x:row r="1032" ht="23" customHeight="1">
      <x:c r="A1032" s="8" t="str">
        <x:v>Lambert Pond</x:v>
      </x:c>
      <x:c r="B1032" s="8" t="str">
        <x:v>3479</x:v>
      </x:c>
      <x:c r="C1032" s="17" t="n">
        <x:v>2026</x:v>
      </x:c>
      <x:c r="D1032" s="8" t="str">
        <x:v>RAINBOW TROUT</x:v>
      </x:c>
      <x:c r="E1032" s="13" t="n">
        <x:f>SUMIFS('Stocking details'!$F$6:$F$3307,'Stocking details'!$I$6:$I$3307,G1032)</x:f>
        <x:v>2000</x:v>
      </x:c>
      <x:c r="F1032" s="13" t="n">
        <x:f>COUNTIFS('Stocking details'!$I$6:$I$3307,G1032)</x:f>
        <x:v>1</x:v>
      </x:c>
      <x:c r="G1032" s="8" t="str">
        <x:f>B1032&amp;" / "&amp;C1032&amp;" / "&amp;D1032</x:f>
        <x:v>3479 / 2026 / RAINBOW TROUT</x:v>
      </x:c>
    </x:row>
    <x:row r="1033" ht="23" customHeight="1">
      <x:c r="A1033" s="8" t="str">
        <x:v>Lambert Pond</x:v>
      </x:c>
      <x:c r="B1033" s="8" t="str">
        <x:v>3479</x:v>
      </x:c>
      <x:c r="C1033" s="17" t="n">
        <x:v>2025</x:v>
      </x:c>
      <x:c r="D1033" s="8" t="str">
        <x:v>RAINBOW TROUT</x:v>
      </x:c>
      <x:c r="E1033" s="13" t="n">
        <x:f>SUMIFS('Stocking details'!$F$6:$F$3307,'Stocking details'!$I$6:$I$3307,G1033)</x:f>
        <x:v>2000</x:v>
      </x:c>
      <x:c r="F1033" s="13" t="n">
        <x:f>COUNTIFS('Stocking details'!$I$6:$I$3307,G1033)</x:f>
        <x:v>1</x:v>
      </x:c>
      <x:c r="G1033" s="8" t="str">
        <x:f>B1033&amp;" / "&amp;C1033&amp;" / "&amp;D1033</x:f>
        <x:v>3479 / 2025 / RAINBOW TROUT</x:v>
      </x:c>
    </x:row>
    <x:row r="1034" ht="23" customHeight="1">
      <x:c r="A1034" s="8" t="str">
        <x:v>Lambert Pond</x:v>
      </x:c>
      <x:c r="B1034" s="8" t="str">
        <x:v>3479</x:v>
      </x:c>
      <x:c r="C1034" s="17" t="n">
        <x:v>2024</x:v>
      </x:c>
      <x:c r="D1034" s="8" t="str">
        <x:v>RAINBOW TROUT</x:v>
      </x:c>
      <x:c r="E1034" s="13" t="n">
        <x:f>SUMIFS('Stocking details'!$F$6:$F$3307,'Stocking details'!$I$6:$I$3307,G1034)</x:f>
        <x:v>1000</x:v>
      </x:c>
      <x:c r="F1034" s="13" t="n">
        <x:f>COUNTIFS('Stocking details'!$I$6:$I$3307,G1034)</x:f>
        <x:v>1</x:v>
      </x:c>
      <x:c r="G1034" s="8" t="str">
        <x:f>B1034&amp;" / "&amp;C1034&amp;" / "&amp;D1034</x:f>
        <x:v>3479 / 2024 / RAINBOW TROUT</x:v>
      </x:c>
    </x:row>
    <x:row r="1035" ht="23" customHeight="1">
      <x:c r="A1035" s="8" t="str">
        <x:v>Lambert Pond</x:v>
      </x:c>
      <x:c r="B1035" s="8" t="str">
        <x:v>3479</x:v>
      </x:c>
      <x:c r="C1035" s="17" t="n">
        <x:v>2023</x:v>
      </x:c>
      <x:c r="D1035" s="8" t="str">
        <x:v>RAINBOW TROUT</x:v>
      </x:c>
      <x:c r="E1035" s="13" t="n">
        <x:f>SUMIFS('Stocking details'!$F$6:$F$3307,'Stocking details'!$I$6:$I$3307,G1035)</x:f>
        <x:v>948</x:v>
      </x:c>
      <x:c r="F1035" s="13" t="n">
        <x:f>COUNTIFS('Stocking details'!$I$6:$I$3307,G1035)</x:f>
        <x:v>1</x:v>
      </x:c>
      <x:c r="G1035" s="8" t="str">
        <x:f>B1035&amp;" / "&amp;C1035&amp;" / "&amp;D1035</x:f>
        <x:v>3479 / 2023 / RAINBOW TROUT</x:v>
      </x:c>
    </x:row>
    <x:row r="1036" ht="23" customHeight="1">
      <x:c r="A1036" s="8" t="str">
        <x:v>Lambert Pond</x:v>
      </x:c>
      <x:c r="B1036" s="8" t="str">
        <x:v>3479</x:v>
      </x:c>
      <x:c r="C1036" s="17" t="n">
        <x:v>2022</x:v>
      </x:c>
      <x:c r="D1036" s="8" t="str">
        <x:v>RAINBOW TROUT</x:v>
      </x:c>
      <x:c r="E1036" s="13" t="n">
        <x:f>SUMIFS('Stocking details'!$F$6:$F$3307,'Stocking details'!$I$6:$I$3307,G1036)</x:f>
        <x:v>2000</x:v>
      </x:c>
      <x:c r="F1036" s="13" t="n">
        <x:f>COUNTIFS('Stocking details'!$I$6:$I$3307,G1036)</x:f>
        <x:v>1</x:v>
      </x:c>
      <x:c r="G1036" s="8" t="str">
        <x:f>B1036&amp;" / "&amp;C1036&amp;" / "&amp;D1036</x:f>
        <x:v>3479 / 2022 / RAINBOW TROUT</x:v>
      </x:c>
    </x:row>
    <x:row r="1037" ht="23" customHeight="1">
      <x:c r="A1037" s="8" t="str">
        <x:v>Lambert Pond</x:v>
      </x:c>
      <x:c r="B1037" s="8" t="str">
        <x:v>3479</x:v>
      </x:c>
      <x:c r="C1037" s="17" t="n">
        <x:v>2021</x:v>
      </x:c>
      <x:c r="D1037" s="8" t="str">
        <x:v>RAINBOW TROUT</x:v>
      </x:c>
      <x:c r="E1037" s="13" t="n">
        <x:f>SUMIFS('Stocking details'!$F$6:$F$3307,'Stocking details'!$I$6:$I$3307,G1037)</x:f>
        <x:v>2000</x:v>
      </x:c>
      <x:c r="F1037" s="13" t="n">
        <x:f>COUNTIFS('Stocking details'!$I$6:$I$3307,G1037)</x:f>
        <x:v>1</x:v>
      </x:c>
      <x:c r="G1037" s="8" t="str">
        <x:f>B1037&amp;" / "&amp;C1037&amp;" / "&amp;D1037</x:f>
        <x:v>3479 / 2021 / RAINBOW TROUT</x:v>
      </x:c>
    </x:row>
    <x:row r="1038" ht="23" customHeight="1">
      <x:c r="A1038" s="8" t="str">
        <x:v>Lamont Pond</x:v>
      </x:c>
      <x:c r="B1038" s="8" t="str">
        <x:v>6655</x:v>
      </x:c>
      <x:c r="C1038" s="17" t="n">
        <x:v>2026</x:v>
      </x:c>
      <x:c r="D1038" s="8" t="str">
        <x:v>RAINBOW TROUT</x:v>
      </x:c>
      <x:c r="E1038" s="13" t="n">
        <x:f>SUMIFS('Stocking details'!$F$6:$F$3307,'Stocking details'!$I$6:$I$3307,G1038)</x:f>
        <x:v>2000</x:v>
      </x:c>
      <x:c r="F1038" s="13" t="n">
        <x:f>COUNTIFS('Stocking details'!$I$6:$I$3307,G1038)</x:f>
        <x:v>1</x:v>
      </x:c>
      <x:c r="G1038" s="8" t="str">
        <x:f>B1038&amp;" / "&amp;C1038&amp;" / "&amp;D1038</x:f>
        <x:v>6655 / 2026 / RAINBOW TROUT</x:v>
      </x:c>
    </x:row>
    <x:row r="1039" ht="23" customHeight="1">
      <x:c r="A1039" s="8" t="str">
        <x:v>Lamont Pond</x:v>
      </x:c>
      <x:c r="B1039" s="8" t="str">
        <x:v>6655</x:v>
      </x:c>
      <x:c r="C1039" s="17" t="n">
        <x:v>2024</x:v>
      </x:c>
      <x:c r="D1039" s="8" t="str">
        <x:v>RAINBOW TROUT</x:v>
      </x:c>
      <x:c r="E1039" s="13" t="n">
        <x:f>SUMIFS('Stocking details'!$F$6:$F$3307,'Stocking details'!$I$6:$I$3307,G1039)</x:f>
        <x:v>2000</x:v>
      </x:c>
      <x:c r="F1039" s="13" t="n">
        <x:f>COUNTIFS('Stocking details'!$I$6:$I$3307,G1039)</x:f>
        <x:v>1</x:v>
      </x:c>
      <x:c r="G1039" s="8" t="str">
        <x:f>B1039&amp;" / "&amp;C1039&amp;" / "&amp;D1039</x:f>
        <x:v>6655 / 2024 / RAINBOW TROUT</x:v>
      </x:c>
    </x:row>
    <x:row r="1040" ht="23" customHeight="1">
      <x:c r="A1040" s="8" t="str">
        <x:v>Lamont Pond</x:v>
      </x:c>
      <x:c r="B1040" s="8" t="str">
        <x:v>6655</x:v>
      </x:c>
      <x:c r="C1040" s="17" t="n">
        <x:v>2023</x:v>
      </x:c>
      <x:c r="D1040" s="8" t="str">
        <x:v>RAINBOW TROUT</x:v>
      </x:c>
      <x:c r="E1040" s="13" t="n">
        <x:f>SUMIFS('Stocking details'!$F$6:$F$3307,'Stocking details'!$I$6:$I$3307,G1040)</x:f>
        <x:v>2000</x:v>
      </x:c>
      <x:c r="F1040" s="13" t="n">
        <x:f>COUNTIFS('Stocking details'!$I$6:$I$3307,G1040)</x:f>
        <x:v>1</x:v>
      </x:c>
      <x:c r="G1040" s="8" t="str">
        <x:f>B1040&amp;" / "&amp;C1040&amp;" / "&amp;D1040</x:f>
        <x:v>6655 / 2023 / RAINBOW TROUT</x:v>
      </x:c>
    </x:row>
    <x:row r="1041" ht="23" customHeight="1">
      <x:c r="A1041" s="8" t="str">
        <x:v>Lamont Pond</x:v>
      </x:c>
      <x:c r="B1041" s="8" t="str">
        <x:v>6655</x:v>
      </x:c>
      <x:c r="C1041" s="17" t="n">
        <x:v>2022</x:v>
      </x:c>
      <x:c r="D1041" s="8" t="str">
        <x:v>RAINBOW TROUT</x:v>
      </x:c>
      <x:c r="E1041" s="13" t="n">
        <x:f>SUMIFS('Stocking details'!$F$6:$F$3307,'Stocking details'!$I$6:$I$3307,G1041)</x:f>
        <x:v>2000</x:v>
      </x:c>
      <x:c r="F1041" s="13" t="n">
        <x:f>COUNTIFS('Stocking details'!$I$6:$I$3307,G1041)</x:f>
        <x:v>1</x:v>
      </x:c>
      <x:c r="G1041" s="8" t="str">
        <x:f>B1041&amp;" / "&amp;C1041&amp;" / "&amp;D1041</x:f>
        <x:v>6655 / 2022 / RAINBOW TROUT</x:v>
      </x:c>
    </x:row>
    <x:row r="1042" ht="23" customHeight="1">
      <x:c r="A1042" s="8" t="str">
        <x:v>Lamont Pond</x:v>
      </x:c>
      <x:c r="B1042" s="8" t="str">
        <x:v>6655</x:v>
      </x:c>
      <x:c r="C1042" s="17" t="n">
        <x:v>2021</x:v>
      </x:c>
      <x:c r="D1042" s="8" t="str">
        <x:v>RAINBOW TROUT</x:v>
      </x:c>
      <x:c r="E1042" s="13" t="n">
        <x:f>SUMIFS('Stocking details'!$F$6:$F$3307,'Stocking details'!$I$6:$I$3307,G1042)</x:f>
        <x:v>2000</x:v>
      </x:c>
      <x:c r="F1042" s="13" t="n">
        <x:f>COUNTIFS('Stocking details'!$I$6:$I$3307,G1042)</x:f>
        <x:v>1</x:v>
      </x:c>
      <x:c r="G1042" s="8" t="str">
        <x:f>B1042&amp;" / "&amp;C1042&amp;" / "&amp;D1042</x:f>
        <x:v>6655 / 2021 / RAINBOW TROUT</x:v>
      </x:c>
    </x:row>
    <x:row r="1043" ht="23" customHeight="1">
      <x:c r="A1043" s="8" t="str">
        <x:v>Landslide Lake</x:v>
      </x:c>
      <x:c r="B1043" s="8" t="str">
        <x:v>5029</x:v>
      </x:c>
      <x:c r="C1043" s="17" t="n">
        <x:v>2025</x:v>
      </x:c>
      <x:c r="D1043" s="8" t="str">
        <x:v>CUTTHROAT TROUT</x:v>
      </x:c>
      <x:c r="E1043" s="13" t="n">
        <x:f>SUMIFS('Stocking details'!$F$6:$F$3307,'Stocking details'!$I$6:$I$3307,G1043)</x:f>
        <x:v>4007</x:v>
      </x:c>
      <x:c r="F1043" s="13" t="n">
        <x:f>COUNTIFS('Stocking details'!$I$6:$I$3307,G1043)</x:f>
        <x:v>1</x:v>
      </x:c>
      <x:c r="G1043" s="8" t="str">
        <x:f>B1043&amp;" / "&amp;C1043&amp;" / "&amp;D1043</x:f>
        <x:v>5029 / 2025 / CUTTHROAT TROUT</x:v>
      </x:c>
    </x:row>
    <x:row r="1044" ht="23" customHeight="1">
      <x:c r="A1044" s="8" t="str">
        <x:v>Landslide Lake</x:v>
      </x:c>
      <x:c r="B1044" s="8" t="str">
        <x:v>5029</x:v>
      </x:c>
      <x:c r="C1044" s="17" t="n">
        <x:v>2023</x:v>
      </x:c>
      <x:c r="D1044" s="8" t="str">
        <x:v>CUTTHROAT TROUT</x:v>
      </x:c>
      <x:c r="E1044" s="13" t="n">
        <x:f>SUMIFS('Stocking details'!$F$6:$F$3307,'Stocking details'!$I$6:$I$3307,G1044)</x:f>
        <x:v>5750</x:v>
      </x:c>
      <x:c r="F1044" s="13" t="n">
        <x:f>COUNTIFS('Stocking details'!$I$6:$I$3307,G1044)</x:f>
        <x:v>1</x:v>
      </x:c>
      <x:c r="G1044" s="8" t="str">
        <x:f>B1044&amp;" / "&amp;C1044&amp;" / "&amp;D1044</x:f>
        <x:v>5029 / 2023 / CUTTHROAT TROUT</x:v>
      </x:c>
    </x:row>
    <x:row r="1045" ht="23" customHeight="1">
      <x:c r="A1045" s="8" t="str">
        <x:v>Landslide Lake</x:v>
      </x:c>
      <x:c r="B1045" s="8" t="str">
        <x:v>5029</x:v>
      </x:c>
      <x:c r="C1045" s="17" t="n">
        <x:v>2021</x:v>
      </x:c>
      <x:c r="D1045" s="8" t="str">
        <x:v>CUTTHROAT TROUT</x:v>
      </x:c>
      <x:c r="E1045" s="13" t="n">
        <x:f>SUMIFS('Stocking details'!$F$6:$F$3307,'Stocking details'!$I$6:$I$3307,G1045)</x:f>
        <x:v>13000</x:v>
      </x:c>
      <x:c r="F1045" s="13" t="n">
        <x:f>COUNTIFS('Stocking details'!$I$6:$I$3307,G1045)</x:f>
        <x:v>1</x:v>
      </x:c>
      <x:c r="G1045" s="8" t="str">
        <x:f>B1045&amp;" / "&amp;C1045&amp;" / "&amp;D1045</x:f>
        <x:v>5029 / 2021 / CUTTHROAT TROUT</x:v>
      </x:c>
    </x:row>
    <x:row r="1046" ht="23" customHeight="1">
      <x:c r="A1046" s="8" t="str">
        <x:v>Lara Fish Pond</x:v>
      </x:c>
      <x:c r="B1046" s="8" t="str">
        <x:v>24053</x:v>
      </x:c>
      <x:c r="C1046" s="17" t="n">
        <x:v>2026</x:v>
      </x:c>
      <x:c r="D1046" s="8" t="str">
        <x:v>RAINBOW TROUT</x:v>
      </x:c>
      <x:c r="E1046" s="13" t="n">
        <x:f>SUMIFS('Stocking details'!$F$6:$F$3307,'Stocking details'!$I$6:$I$3307,G1046)</x:f>
        <x:v>400</x:v>
      </x:c>
      <x:c r="F1046" s="13" t="n">
        <x:f>COUNTIFS('Stocking details'!$I$6:$I$3307,G1046)</x:f>
        <x:v>1</x:v>
      </x:c>
      <x:c r="G1046" s="8" t="str">
        <x:f>B1046&amp;" / "&amp;C1046&amp;" / "&amp;D1046</x:f>
        <x:v>24053 / 2026 / RAINBOW TROUT</x:v>
      </x:c>
    </x:row>
    <x:row r="1047" ht="23" customHeight="1">
      <x:c r="A1047" s="8" t="str">
        <x:v>Lara Fish Pond</x:v>
      </x:c>
      <x:c r="B1047" s="8" t="str">
        <x:v>24053</x:v>
      </x:c>
      <x:c r="C1047" s="17" t="n">
        <x:v>2025</x:v>
      </x:c>
      <x:c r="D1047" s="8" t="str">
        <x:v>RAINBOW TROUT</x:v>
      </x:c>
      <x:c r="E1047" s="13" t="n">
        <x:f>SUMIFS('Stocking details'!$F$6:$F$3307,'Stocking details'!$I$6:$I$3307,G1047)</x:f>
        <x:v>200</x:v>
      </x:c>
      <x:c r="F1047" s="13" t="n">
        <x:f>COUNTIFS('Stocking details'!$I$6:$I$3307,G1047)</x:f>
        <x:v>1</x:v>
      </x:c>
      <x:c r="G1047" s="8" t="str">
        <x:f>B1047&amp;" / "&amp;C1047&amp;" / "&amp;D1047</x:f>
        <x:v>24053 / 2025 / RAINBOW TROUT</x:v>
      </x:c>
    </x:row>
    <x:row r="1048" ht="23" customHeight="1">
      <x:c r="A1048" s="8" t="str">
        <x:v>Lara Fish Pond</x:v>
      </x:c>
      <x:c r="B1048" s="8" t="str">
        <x:v>24053</x:v>
      </x:c>
      <x:c r="C1048" s="17" t="n">
        <x:v>2024</x:v>
      </x:c>
      <x:c r="D1048" s="8" t="str">
        <x:v>RAINBOW TROUT</x:v>
      </x:c>
      <x:c r="E1048" s="13" t="n">
        <x:f>SUMIFS('Stocking details'!$F$6:$F$3307,'Stocking details'!$I$6:$I$3307,G1048)</x:f>
        <x:v>360</x:v>
      </x:c>
      <x:c r="F1048" s="13" t="n">
        <x:f>COUNTIFS('Stocking details'!$I$6:$I$3307,G1048)</x:f>
        <x:v>2</x:v>
      </x:c>
      <x:c r="G1048" s="8" t="str">
        <x:f>B1048&amp;" / "&amp;C1048&amp;" / "&amp;D1048</x:f>
        <x:v>24053 / 2024 / RAINBOW TROUT</x:v>
      </x:c>
    </x:row>
    <x:row r="1049" ht="23" customHeight="1">
      <x:c r="A1049" s="8" t="str">
        <x:v>Lara Fish Pond</x:v>
      </x:c>
      <x:c r="B1049" s="8" t="str">
        <x:v>24053</x:v>
      </x:c>
      <x:c r="C1049" s="17" t="n">
        <x:v>2023</x:v>
      </x:c>
      <x:c r="D1049" s="8" t="str">
        <x:v>RAINBOW TROUT</x:v>
      </x:c>
      <x:c r="E1049" s="13" t="n">
        <x:f>SUMIFS('Stocking details'!$F$6:$F$3307,'Stocking details'!$I$6:$I$3307,G1049)</x:f>
        <x:v>160</x:v>
      </x:c>
      <x:c r="F1049" s="13" t="n">
        <x:f>COUNTIFS('Stocking details'!$I$6:$I$3307,G1049)</x:f>
        <x:v>1</x:v>
      </x:c>
      <x:c r="G1049" s="8" t="str">
        <x:f>B1049&amp;" / "&amp;C1049&amp;" / "&amp;D1049</x:f>
        <x:v>24053 / 2023 / RAINBOW TROUT</x:v>
      </x:c>
    </x:row>
    <x:row r="1050" ht="23" customHeight="1">
      <x:c r="A1050" s="8" t="str">
        <x:v>Lara Fish Pond</x:v>
      </x:c>
      <x:c r="B1050" s="8" t="str">
        <x:v>24053</x:v>
      </x:c>
      <x:c r="C1050" s="17" t="n">
        <x:v>2022</x:v>
      </x:c>
      <x:c r="D1050" s="8" t="str">
        <x:v>RAINBOW TROUT</x:v>
      </x:c>
      <x:c r="E1050" s="13" t="n">
        <x:f>SUMIFS('Stocking details'!$F$6:$F$3307,'Stocking details'!$I$6:$I$3307,G1050)</x:f>
        <x:v>400</x:v>
      </x:c>
      <x:c r="F1050" s="13" t="n">
        <x:f>COUNTIFS('Stocking details'!$I$6:$I$3307,G1050)</x:f>
        <x:v>1</x:v>
      </x:c>
      <x:c r="G1050" s="8" t="str">
        <x:f>B1050&amp;" / "&amp;C1050&amp;" / "&amp;D1050</x:f>
        <x:v>24053 / 2022 / RAINBOW TROUT</x:v>
      </x:c>
    </x:row>
    <x:row r="1051" ht="23" customHeight="1">
      <x:c r="A1051" s="8" t="str">
        <x:v>Lara Fish Pond</x:v>
      </x:c>
      <x:c r="B1051" s="8" t="str">
        <x:v>24053</x:v>
      </x:c>
      <x:c r="C1051" s="17" t="n">
        <x:v>2021</x:v>
      </x:c>
      <x:c r="D1051" s="8" t="str">
        <x:v>RAINBOW TROUT</x:v>
      </x:c>
      <x:c r="E1051" s="13" t="n">
        <x:f>SUMIFS('Stocking details'!$F$6:$F$3307,'Stocking details'!$I$6:$I$3307,G1051)</x:f>
        <x:v>610</x:v>
      </x:c>
      <x:c r="F1051" s="13" t="n">
        <x:f>COUNTIFS('Stocking details'!$I$6:$I$3307,G1051)</x:f>
        <x:v>4</x:v>
      </x:c>
      <x:c r="G1051" s="8" t="str">
        <x:f>B1051&amp;" / "&amp;C1051&amp;" / "&amp;D1051</x:f>
        <x:v>24053 / 2021 / RAINBOW TROUT</x:v>
      </x:c>
    </x:row>
    <x:row r="1052" ht="23" customHeight="1">
      <x:c r="A1052" s="8" t="str">
        <x:v>Leduc Reservoir</x:v>
      </x:c>
      <x:c r="B1052" s="8" t="str">
        <x:v>6764</x:v>
      </x:c>
      <x:c r="C1052" s="17" t="n">
        <x:v>2026</x:v>
      </x:c>
      <x:c r="D1052" s="8" t="str">
        <x:v>RAINBOW TROUT</x:v>
      </x:c>
      <x:c r="E1052" s="13" t="n">
        <x:f>SUMIFS('Stocking details'!$F$6:$F$3307,'Stocking details'!$I$6:$I$3307,G1052)</x:f>
        <x:v>5000</x:v>
      </x:c>
      <x:c r="F1052" s="13" t="n">
        <x:f>COUNTIFS('Stocking details'!$I$6:$I$3307,G1052)</x:f>
        <x:v>1</x:v>
      </x:c>
      <x:c r="G1052" s="8" t="str">
        <x:f>B1052&amp;" / "&amp;C1052&amp;" / "&amp;D1052</x:f>
        <x:v>6764 / 2026 / RAINBOW TROUT</x:v>
      </x:c>
    </x:row>
    <x:row r="1053" ht="23" customHeight="1">
      <x:c r="A1053" s="8" t="str">
        <x:v>Leduc Reservoir</x:v>
      </x:c>
      <x:c r="B1053" s="8" t="str">
        <x:v>6764</x:v>
      </x:c>
      <x:c r="C1053" s="17" t="n">
        <x:v>2025</x:v>
      </x:c>
      <x:c r="D1053" s="8" t="str">
        <x:v>RAINBOW TROUT</x:v>
      </x:c>
      <x:c r="E1053" s="13" t="n">
        <x:f>SUMIFS('Stocking details'!$F$6:$F$3307,'Stocking details'!$I$6:$I$3307,G1053)</x:f>
        <x:v>5000</x:v>
      </x:c>
      <x:c r="F1053" s="13" t="n">
        <x:f>COUNTIFS('Stocking details'!$I$6:$I$3307,G1053)</x:f>
        <x:v>2</x:v>
      </x:c>
      <x:c r="G1053" s="8" t="str">
        <x:f>B1053&amp;" / "&amp;C1053&amp;" / "&amp;D1053</x:f>
        <x:v>6764 / 2025 / RAINBOW TROUT</x:v>
      </x:c>
    </x:row>
    <x:row r="1054" ht="23" customHeight="1">
      <x:c r="A1054" s="8" t="str">
        <x:v>Leduc Reservoir</x:v>
      </x:c>
      <x:c r="B1054" s="8" t="str">
        <x:v>6764</x:v>
      </x:c>
      <x:c r="C1054" s="17" t="n">
        <x:v>2024</x:v>
      </x:c>
      <x:c r="D1054" s="8" t="str">
        <x:v>RAINBOW TROUT</x:v>
      </x:c>
      <x:c r="E1054" s="13" t="n">
        <x:f>SUMIFS('Stocking details'!$F$6:$F$3307,'Stocking details'!$I$6:$I$3307,G1054)</x:f>
        <x:v>2000</x:v>
      </x:c>
      <x:c r="F1054" s="13" t="n">
        <x:f>COUNTIFS('Stocking details'!$I$6:$I$3307,G1054)</x:f>
        <x:v>2</x:v>
      </x:c>
      <x:c r="G1054" s="8" t="str">
        <x:f>B1054&amp;" / "&amp;C1054&amp;" / "&amp;D1054</x:f>
        <x:v>6764 / 2024 / RAINBOW TROUT</x:v>
      </x:c>
    </x:row>
    <x:row r="1055" ht="23" customHeight="1">
      <x:c r="A1055" s="8" t="str">
        <x:v>Leduc Reservoir</x:v>
      </x:c>
      <x:c r="B1055" s="8" t="str">
        <x:v>6764</x:v>
      </x:c>
      <x:c r="C1055" s="17" t="n">
        <x:v>2023</x:v>
      </x:c>
      <x:c r="D1055" s="8" t="str">
        <x:v>RAINBOW TROUT</x:v>
      </x:c>
      <x:c r="E1055" s="13" t="n">
        <x:f>SUMIFS('Stocking details'!$F$6:$F$3307,'Stocking details'!$I$6:$I$3307,G1055)</x:f>
        <x:v>1995</x:v>
      </x:c>
      <x:c r="F1055" s="13" t="n">
        <x:f>COUNTIFS('Stocking details'!$I$6:$I$3307,G1055)</x:f>
        <x:v>1</x:v>
      </x:c>
      <x:c r="G1055" s="8" t="str">
        <x:f>B1055&amp;" / "&amp;C1055&amp;" / "&amp;D1055</x:f>
        <x:v>6764 / 2023 / RAINBOW TROUT</x:v>
      </x:c>
    </x:row>
    <x:row r="1056" ht="23" customHeight="1">
      <x:c r="A1056" s="8" t="str">
        <x:v>Leduc Reservoir</x:v>
      </x:c>
      <x:c r="B1056" s="8" t="str">
        <x:v>6764</x:v>
      </x:c>
      <x:c r="C1056" s="17" t="n">
        <x:v>2022</x:v>
      </x:c>
      <x:c r="D1056" s="8" t="str">
        <x:v>RAINBOW TROUT</x:v>
      </x:c>
      <x:c r="E1056" s="13" t="n">
        <x:f>SUMIFS('Stocking details'!$F$6:$F$3307,'Stocking details'!$I$6:$I$3307,G1056)</x:f>
        <x:v>5000</x:v>
      </x:c>
      <x:c r="F1056" s="13" t="n">
        <x:f>COUNTIFS('Stocking details'!$I$6:$I$3307,G1056)</x:f>
        <x:v>1</x:v>
      </x:c>
      <x:c r="G1056" s="8" t="str">
        <x:f>B1056&amp;" / "&amp;C1056&amp;" / "&amp;D1056</x:f>
        <x:v>6764 / 2022 / RAINBOW TROUT</x:v>
      </x:c>
    </x:row>
    <x:row r="1057" ht="23" customHeight="1">
      <x:c r="A1057" s="8" t="str">
        <x:v>Leduc Reservoir</x:v>
      </x:c>
      <x:c r="B1057" s="8" t="str">
        <x:v>6764</x:v>
      </x:c>
      <x:c r="C1057" s="17" t="n">
        <x:v>2021</x:v>
      </x:c>
      <x:c r="D1057" s="8" t="str">
        <x:v>RAINBOW TROUT</x:v>
      </x:c>
      <x:c r="E1057" s="13" t="n">
        <x:f>SUMIFS('Stocking details'!$F$6:$F$3307,'Stocking details'!$I$6:$I$3307,G1057)</x:f>
        <x:v>5000</x:v>
      </x:c>
      <x:c r="F1057" s="13" t="n">
        <x:f>COUNTIFS('Stocking details'!$I$6:$I$3307,G1057)</x:f>
        <x:v>1</x:v>
      </x:c>
      <x:c r="G1057" s="8" t="str">
        <x:f>B1057&amp;" / "&amp;C1057&amp;" / "&amp;D1057</x:f>
        <x:v>6764 / 2021 / RAINBOW TROUT</x:v>
      </x:c>
    </x:row>
    <x:row r="1058" ht="23" customHeight="1">
      <x:c r="A1058" s="8" t="str">
        <x:v>Lees Lake</x:v>
      </x:c>
      <x:c r="B1058" s="8" t="str">
        <x:v>5050</x:v>
      </x:c>
      <x:c r="C1058" s="17" t="n">
        <x:v>2026</x:v>
      </x:c>
      <x:c r="D1058" s="8" t="str">
        <x:v>BROWN TROUT</x:v>
      </x:c>
      <x:c r="E1058" s="13" t="n">
        <x:f>SUMIFS('Stocking details'!$F$6:$F$3307,'Stocking details'!$I$6:$I$3307,G1058)</x:f>
        <x:v>1895</x:v>
      </x:c>
      <x:c r="F1058" s="13" t="n">
        <x:f>COUNTIFS('Stocking details'!$I$6:$I$3307,G1058)</x:f>
        <x:v>1</x:v>
      </x:c>
      <x:c r="G1058" s="8" t="str">
        <x:f>B1058&amp;" / "&amp;C1058&amp;" / "&amp;D1058</x:f>
        <x:v>5050 / 2026 / BROWN TROUT</x:v>
      </x:c>
    </x:row>
    <x:row r="1059" ht="23" customHeight="1">
      <x:c r="A1059" s="8" t="str">
        <x:v>Lees Lake</x:v>
      </x:c>
      <x:c r="B1059" s="8" t="str">
        <x:v>5050</x:v>
      </x:c>
      <x:c r="C1059" s="17" t="n">
        <x:v>2026</x:v>
      </x:c>
      <x:c r="D1059" s="8" t="str">
        <x:v>RAINBOW TROUT</x:v>
      </x:c>
      <x:c r="E1059" s="13" t="n">
        <x:f>SUMIFS('Stocking details'!$F$6:$F$3307,'Stocking details'!$I$6:$I$3307,G1059)</x:f>
        <x:v>20000</x:v>
      </x:c>
      <x:c r="F1059" s="13" t="n">
        <x:f>COUNTIFS('Stocking details'!$I$6:$I$3307,G1059)</x:f>
        <x:v>1</x:v>
      </x:c>
      <x:c r="G1059" s="8" t="str">
        <x:f>B1059&amp;" / "&amp;C1059&amp;" / "&amp;D1059</x:f>
        <x:v>5050 / 2026 / RAINBOW TROUT</x:v>
      </x:c>
    </x:row>
    <x:row r="1060" ht="23" customHeight="1">
      <x:c r="A1060" s="8" t="str">
        <x:v>Lees Lake</x:v>
      </x:c>
      <x:c r="B1060" s="8" t="str">
        <x:v>5050</x:v>
      </x:c>
      <x:c r="C1060" s="17" t="n">
        <x:v>2025</x:v>
      </x:c>
      <x:c r="D1060" s="8" t="str">
        <x:v>BROWN TROUT</x:v>
      </x:c>
      <x:c r="E1060" s="13" t="n">
        <x:f>SUMIFS('Stocking details'!$F$6:$F$3307,'Stocking details'!$I$6:$I$3307,G1060)</x:f>
        <x:v>1895</x:v>
      </x:c>
      <x:c r="F1060" s="13" t="n">
        <x:f>COUNTIFS('Stocking details'!$I$6:$I$3307,G1060)</x:f>
        <x:v>1</x:v>
      </x:c>
      <x:c r="G1060" s="8" t="str">
        <x:f>B1060&amp;" / "&amp;C1060&amp;" / "&amp;D1060</x:f>
        <x:v>5050 / 2025 / BROWN TROUT</x:v>
      </x:c>
    </x:row>
    <x:row r="1061" ht="23" customHeight="1">
      <x:c r="A1061" s="8" t="str">
        <x:v>Lees Lake</x:v>
      </x:c>
      <x:c r="B1061" s="8" t="str">
        <x:v>5050</x:v>
      </x:c>
      <x:c r="C1061" s="17" t="n">
        <x:v>2025</x:v>
      </x:c>
      <x:c r="D1061" s="8" t="str">
        <x:v>RAINBOW TROUT</x:v>
      </x:c>
      <x:c r="E1061" s="13" t="n">
        <x:f>SUMIFS('Stocking details'!$F$6:$F$3307,'Stocking details'!$I$6:$I$3307,G1061)</x:f>
        <x:v>45943</x:v>
      </x:c>
      <x:c r="F1061" s="13" t="n">
        <x:f>COUNTIFS('Stocking details'!$I$6:$I$3307,G1061)</x:f>
        <x:v>4</x:v>
      </x:c>
      <x:c r="G1061" s="8" t="str">
        <x:f>B1061&amp;" / "&amp;C1061&amp;" / "&amp;D1061</x:f>
        <x:v>5050 / 2025 / RAINBOW TROUT</x:v>
      </x:c>
    </x:row>
    <x:row r="1062" ht="23" customHeight="1">
      <x:c r="A1062" s="8" t="str">
        <x:v>Lees Lake</x:v>
      </x:c>
      <x:c r="B1062" s="8" t="str">
        <x:v>5050</x:v>
      </x:c>
      <x:c r="C1062" s="17" t="n">
        <x:v>2024</x:v>
      </x:c>
      <x:c r="D1062" s="8" t="str">
        <x:v>BROWN TROUT</x:v>
      </x:c>
      <x:c r="E1062" s="13" t="n">
        <x:f>SUMIFS('Stocking details'!$F$6:$F$3307,'Stocking details'!$I$6:$I$3307,G1062)</x:f>
        <x:v>1000</x:v>
      </x:c>
      <x:c r="F1062" s="13" t="n">
        <x:f>COUNTIFS('Stocking details'!$I$6:$I$3307,G1062)</x:f>
        <x:v>1</x:v>
      </x:c>
      <x:c r="G1062" s="8" t="str">
        <x:f>B1062&amp;" / "&amp;C1062&amp;" / "&amp;D1062</x:f>
        <x:v>5050 / 2024 / BROWN TROUT</x:v>
      </x:c>
    </x:row>
    <x:row r="1063" ht="23" customHeight="1">
      <x:c r="A1063" s="8" t="str">
        <x:v>Lees Lake</x:v>
      </x:c>
      <x:c r="B1063" s="8" t="str">
        <x:v>5050</x:v>
      </x:c>
      <x:c r="C1063" s="17" t="n">
        <x:v>2024</x:v>
      </x:c>
      <x:c r="D1063" s="8" t="str">
        <x:v>RAINBOW TROUT</x:v>
      </x:c>
      <x:c r="E1063" s="13" t="n">
        <x:f>SUMIFS('Stocking details'!$F$6:$F$3307,'Stocking details'!$I$6:$I$3307,G1063)</x:f>
        <x:v>65000</x:v>
      </x:c>
      <x:c r="F1063" s="13" t="n">
        <x:f>COUNTIFS('Stocking details'!$I$6:$I$3307,G1063)</x:f>
        <x:v>6</x:v>
      </x:c>
      <x:c r="G1063" s="8" t="str">
        <x:f>B1063&amp;" / "&amp;C1063&amp;" / "&amp;D1063</x:f>
        <x:v>5050 / 2024 / RAINBOW TROUT</x:v>
      </x:c>
    </x:row>
    <x:row r="1064" ht="23" customHeight="1">
      <x:c r="A1064" s="8" t="str">
        <x:v>Lees Lake</x:v>
      </x:c>
      <x:c r="B1064" s="8" t="str">
        <x:v>5050</x:v>
      </x:c>
      <x:c r="C1064" s="17" t="n">
        <x:v>2023</x:v>
      </x:c>
      <x:c r="D1064" s="8" t="str">
        <x:v>BROWN TROUT</x:v>
      </x:c>
      <x:c r="E1064" s="13" t="n">
        <x:f>SUMIFS('Stocking details'!$F$6:$F$3307,'Stocking details'!$I$6:$I$3307,G1064)</x:f>
        <x:v>1000</x:v>
      </x:c>
      <x:c r="F1064" s="13" t="n">
        <x:f>COUNTIFS('Stocking details'!$I$6:$I$3307,G1064)</x:f>
        <x:v>1</x:v>
      </x:c>
      <x:c r="G1064" s="8" t="str">
        <x:f>B1064&amp;" / "&amp;C1064&amp;" / "&amp;D1064</x:f>
        <x:v>5050 / 2023 / BROWN TROUT</x:v>
      </x:c>
    </x:row>
    <x:row r="1065" ht="23" customHeight="1">
      <x:c r="A1065" s="8" t="str">
        <x:v>Lees Lake</x:v>
      </x:c>
      <x:c r="B1065" s="8" t="str">
        <x:v>5050</x:v>
      </x:c>
      <x:c r="C1065" s="17" t="n">
        <x:v>2023</x:v>
      </x:c>
      <x:c r="D1065" s="8" t="str">
        <x:v>RAINBOW TROUT</x:v>
      </x:c>
      <x:c r="E1065" s="13" t="n">
        <x:f>SUMIFS('Stocking details'!$F$6:$F$3307,'Stocking details'!$I$6:$I$3307,G1065)</x:f>
        <x:v>29760</x:v>
      </x:c>
      <x:c r="F1065" s="13" t="n">
        <x:f>COUNTIFS('Stocking details'!$I$6:$I$3307,G1065)</x:f>
        <x:v>4</x:v>
      </x:c>
      <x:c r="G1065" s="8" t="str">
        <x:f>B1065&amp;" / "&amp;C1065&amp;" / "&amp;D1065</x:f>
        <x:v>5050 / 2023 / RAINBOW TROUT</x:v>
      </x:c>
    </x:row>
    <x:row r="1066" ht="23" customHeight="1">
      <x:c r="A1066" s="8" t="str">
        <x:v>Lees Lake</x:v>
      </x:c>
      <x:c r="B1066" s="8" t="str">
        <x:v>5050</x:v>
      </x:c>
      <x:c r="C1066" s="17" t="n">
        <x:v>2022</x:v>
      </x:c>
      <x:c r="D1066" s="8" t="str">
        <x:v>BROWN TROUT</x:v>
      </x:c>
      <x:c r="E1066" s="13" t="n">
        <x:f>SUMIFS('Stocking details'!$F$6:$F$3307,'Stocking details'!$I$6:$I$3307,G1066)</x:f>
        <x:v>1895</x:v>
      </x:c>
      <x:c r="F1066" s="13" t="n">
        <x:f>COUNTIFS('Stocking details'!$I$6:$I$3307,G1066)</x:f>
        <x:v>1</x:v>
      </x:c>
      <x:c r="G1066" s="8" t="str">
        <x:f>B1066&amp;" / "&amp;C1066&amp;" / "&amp;D1066</x:f>
        <x:v>5050 / 2022 / BROWN TROUT</x:v>
      </x:c>
    </x:row>
    <x:row r="1067" ht="23" customHeight="1">
      <x:c r="A1067" s="8" t="str">
        <x:v>Lees Lake</x:v>
      </x:c>
      <x:c r="B1067" s="8" t="str">
        <x:v>5050</x:v>
      </x:c>
      <x:c r="C1067" s="17" t="n">
        <x:v>2022</x:v>
      </x:c>
      <x:c r="D1067" s="8" t="str">
        <x:v>RAINBOW TROUT</x:v>
      </x:c>
      <x:c r="E1067" s="13" t="n">
        <x:f>SUMIFS('Stocking details'!$F$6:$F$3307,'Stocking details'!$I$6:$I$3307,G1067)</x:f>
        <x:v>39802</x:v>
      </x:c>
      <x:c r="F1067" s="13" t="n">
        <x:f>COUNTIFS('Stocking details'!$I$6:$I$3307,G1067)</x:f>
        <x:v>4</x:v>
      </x:c>
      <x:c r="G1067" s="8" t="str">
        <x:f>B1067&amp;" / "&amp;C1067&amp;" / "&amp;D1067</x:f>
        <x:v>5050 / 2022 / RAINBOW TROUT</x:v>
      </x:c>
    </x:row>
    <x:row r="1068" ht="23" customHeight="1">
      <x:c r="A1068" s="8" t="str">
        <x:v>Lees Lake</x:v>
      </x:c>
      <x:c r="B1068" s="8" t="str">
        <x:v>5050</x:v>
      </x:c>
      <x:c r="C1068" s="17" t="n">
        <x:v>2021</x:v>
      </x:c>
      <x:c r="D1068" s="8" t="str">
        <x:v>BROWN TROUT</x:v>
      </x:c>
      <x:c r="E1068" s="13" t="n">
        <x:f>SUMIFS('Stocking details'!$F$6:$F$3307,'Stocking details'!$I$6:$I$3307,G1068)</x:f>
        <x:v>1895</x:v>
      </x:c>
      <x:c r="F1068" s="13" t="n">
        <x:f>COUNTIFS('Stocking details'!$I$6:$I$3307,G1068)</x:f>
        <x:v>1</x:v>
      </x:c>
      <x:c r="G1068" s="8" t="str">
        <x:f>B1068&amp;" / "&amp;C1068&amp;" / "&amp;D1068</x:f>
        <x:v>5050 / 2021 / BROWN TROUT</x:v>
      </x:c>
    </x:row>
    <x:row r="1069" ht="23" customHeight="1">
      <x:c r="A1069" s="8" t="str">
        <x:v>Lees Lake</x:v>
      </x:c>
      <x:c r="B1069" s="8" t="str">
        <x:v>5050</x:v>
      </x:c>
      <x:c r="C1069" s="17" t="n">
        <x:v>2021</x:v>
      </x:c>
      <x:c r="D1069" s="8" t="str">
        <x:v>RAINBOW TROUT</x:v>
      </x:c>
      <x:c r="E1069" s="13" t="n">
        <x:f>SUMIFS('Stocking details'!$F$6:$F$3307,'Stocking details'!$I$6:$I$3307,G1069)</x:f>
        <x:v>40095</x:v>
      </x:c>
      <x:c r="F1069" s="13" t="n">
        <x:f>COUNTIFS('Stocking details'!$I$6:$I$3307,G1069)</x:f>
        <x:v>3</x:v>
      </x:c>
      <x:c r="G1069" s="8" t="str">
        <x:f>B1069&amp;" / "&amp;C1069&amp;" / "&amp;D1069</x:f>
        <x:v>5050 / 2021 / RAINBOW TROUT</x:v>
      </x:c>
    </x:row>
    <x:row r="1070" ht="23" customHeight="1">
      <x:c r="A1070" s="8" t="str">
        <x:v>Legal Reservoir</x:v>
      </x:c>
      <x:c r="B1070" s="8" t="str">
        <x:v>6765</x:v>
      </x:c>
      <x:c r="C1070" s="17" t="n">
        <x:v>2026</x:v>
      </x:c>
      <x:c r="D1070" s="8" t="str">
        <x:v>RAINBOW TROUT</x:v>
      </x:c>
      <x:c r="E1070" s="13" t="n">
        <x:f>SUMIFS('Stocking details'!$F$6:$F$3307,'Stocking details'!$I$6:$I$3307,G1070)</x:f>
        <x:v>1150</x:v>
      </x:c>
      <x:c r="F1070" s="13" t="n">
        <x:f>COUNTIFS('Stocking details'!$I$6:$I$3307,G1070)</x:f>
        <x:v>1</x:v>
      </x:c>
      <x:c r="G1070" s="8" t="str">
        <x:f>B1070&amp;" / "&amp;C1070&amp;" / "&amp;D1070</x:f>
        <x:v>6765 / 2026 / RAINBOW TROUT</x:v>
      </x:c>
    </x:row>
    <x:row r="1071" ht="23" customHeight="1">
      <x:c r="A1071" s="8" t="str">
        <x:v>Legal Reservoir</x:v>
      </x:c>
      <x:c r="B1071" s="8" t="str">
        <x:v>6765</x:v>
      </x:c>
      <x:c r="C1071" s="17" t="n">
        <x:v>2025</x:v>
      </x:c>
      <x:c r="D1071" s="8" t="str">
        <x:v>RAINBOW TROUT</x:v>
      </x:c>
      <x:c r="E1071" s="13" t="n">
        <x:f>SUMIFS('Stocking details'!$F$6:$F$3307,'Stocking details'!$I$6:$I$3307,G1071)</x:f>
        <x:v>1150</x:v>
      </x:c>
      <x:c r="F1071" s="13" t="n">
        <x:f>COUNTIFS('Stocking details'!$I$6:$I$3307,G1071)</x:f>
        <x:v>1</x:v>
      </x:c>
      <x:c r="G1071" s="8" t="str">
        <x:f>B1071&amp;" / "&amp;C1071&amp;" / "&amp;D1071</x:f>
        <x:v>6765 / 2025 / RAINBOW TROUT</x:v>
      </x:c>
    </x:row>
    <x:row r="1072" ht="23" customHeight="1">
      <x:c r="A1072" s="8" t="str">
        <x:v>Legal Reservoir</x:v>
      </x:c>
      <x:c r="B1072" s="8" t="str">
        <x:v>6765</x:v>
      </x:c>
      <x:c r="C1072" s="17" t="n">
        <x:v>2024</x:v>
      </x:c>
      <x:c r="D1072" s="8" t="str">
        <x:v>RAINBOW TROUT</x:v>
      </x:c>
      <x:c r="E1072" s="13" t="n">
        <x:f>SUMIFS('Stocking details'!$F$6:$F$3307,'Stocking details'!$I$6:$I$3307,G1072)</x:f>
        <x:v>1200</x:v>
      </x:c>
      <x:c r="F1072" s="13" t="n">
        <x:f>COUNTIFS('Stocking details'!$I$6:$I$3307,G1072)</x:f>
        <x:v>1</x:v>
      </x:c>
      <x:c r="G1072" s="8" t="str">
        <x:f>B1072&amp;" / "&amp;C1072&amp;" / "&amp;D1072</x:f>
        <x:v>6765 / 2024 / RAINBOW TROUT</x:v>
      </x:c>
    </x:row>
    <x:row r="1073" ht="23" customHeight="1">
      <x:c r="A1073" s="8" t="str">
        <x:v>Legal Reservoir</x:v>
      </x:c>
      <x:c r="B1073" s="8" t="str">
        <x:v>6765</x:v>
      </x:c>
      <x:c r="C1073" s="17" t="n">
        <x:v>2023</x:v>
      </x:c>
      <x:c r="D1073" s="8" t="str">
        <x:v>RAINBOW TROUT</x:v>
      </x:c>
      <x:c r="E1073" s="13" t="n">
        <x:f>SUMIFS('Stocking details'!$F$6:$F$3307,'Stocking details'!$I$6:$I$3307,G1073)</x:f>
        <x:v>1450</x:v>
      </x:c>
      <x:c r="F1073" s="13" t="n">
        <x:f>COUNTIFS('Stocking details'!$I$6:$I$3307,G1073)</x:f>
        <x:v>2</x:v>
      </x:c>
      <x:c r="G1073" s="8" t="str">
        <x:f>B1073&amp;" / "&amp;C1073&amp;" / "&amp;D1073</x:f>
        <x:v>6765 / 2023 / RAINBOW TROUT</x:v>
      </x:c>
    </x:row>
    <x:row r="1074" ht="23" customHeight="1">
      <x:c r="A1074" s="8" t="str">
        <x:v>Legal Reservoir</x:v>
      </x:c>
      <x:c r="B1074" s="8" t="str">
        <x:v>6765</x:v>
      </x:c>
      <x:c r="C1074" s="17" t="n">
        <x:v>2022</x:v>
      </x:c>
      <x:c r="D1074" s="8" t="str">
        <x:v>RAINBOW TROUT</x:v>
      </x:c>
      <x:c r="E1074" s="13" t="n">
        <x:f>SUMIFS('Stocking details'!$F$6:$F$3307,'Stocking details'!$I$6:$I$3307,G1074)</x:f>
        <x:v>1135</x:v>
      </x:c>
      <x:c r="F1074" s="13" t="n">
        <x:f>COUNTIFS('Stocking details'!$I$6:$I$3307,G1074)</x:f>
        <x:v>1</x:v>
      </x:c>
      <x:c r="G1074" s="8" t="str">
        <x:f>B1074&amp;" / "&amp;C1074&amp;" / "&amp;D1074</x:f>
        <x:v>6765 / 2022 / RAINBOW TROUT</x:v>
      </x:c>
    </x:row>
    <x:row r="1075" ht="23" customHeight="1">
      <x:c r="A1075" s="8" t="str">
        <x:v>Legal Reservoir</x:v>
      </x:c>
      <x:c r="B1075" s="8" t="str">
        <x:v>6765</x:v>
      </x:c>
      <x:c r="C1075" s="17" t="n">
        <x:v>2021</x:v>
      </x:c>
      <x:c r="D1075" s="8" t="str">
        <x:v>RAINBOW TROUT</x:v>
      </x:c>
      <x:c r="E1075" s="13" t="n">
        <x:f>SUMIFS('Stocking details'!$F$6:$F$3307,'Stocking details'!$I$6:$I$3307,G1075)</x:f>
        <x:v>1135</x:v>
      </x:c>
      <x:c r="F1075" s="13" t="n">
        <x:f>COUNTIFS('Stocking details'!$I$6:$I$3307,G1075)</x:f>
        <x:v>1</x:v>
      </x:c>
      <x:c r="G1075" s="8" t="str">
        <x:f>B1075&amp;" / "&amp;C1075&amp;" / "&amp;D1075</x:f>
        <x:v>6765 / 2021 / RAINBOW TROUT</x:v>
      </x:c>
    </x:row>
    <x:row r="1076" ht="23" customHeight="1">
      <x:c r="A1076" s="8" t="str">
        <x:v>Len Thompson Pond</x:v>
      </x:c>
      <x:c r="B1076" s="8" t="str">
        <x:v>26322</x:v>
      </x:c>
      <x:c r="C1076" s="17" t="n">
        <x:v>2026</x:v>
      </x:c>
      <x:c r="D1076" s="8" t="str">
        <x:v>BROWN TROUT</x:v>
      </x:c>
      <x:c r="E1076" s="13" t="n">
        <x:f>SUMIFS('Stocking details'!$F$6:$F$3307,'Stocking details'!$I$6:$I$3307,G1076)</x:f>
        <x:v>50</x:v>
      </x:c>
      <x:c r="F1076" s="13" t="n">
        <x:f>COUNTIFS('Stocking details'!$I$6:$I$3307,G1076)</x:f>
        <x:v>1</x:v>
      </x:c>
      <x:c r="G1076" s="8" t="str">
        <x:f>B1076&amp;" / "&amp;C1076&amp;" / "&amp;D1076</x:f>
        <x:v>26322 / 2026 / BROWN TROUT</x:v>
      </x:c>
    </x:row>
    <x:row r="1077" ht="23" customHeight="1">
      <x:c r="A1077" s="8" t="str">
        <x:v>Len Thompson Pond</x:v>
      </x:c>
      <x:c r="B1077" s="8" t="str">
        <x:v>26322</x:v>
      </x:c>
      <x:c r="C1077" s="17" t="n">
        <x:v>2026</x:v>
      </x:c>
      <x:c r="D1077" s="8" t="str">
        <x:v>RAINBOW TROUT</x:v>
      </x:c>
      <x:c r="E1077" s="13" t="n">
        <x:f>SUMIFS('Stocking details'!$F$6:$F$3307,'Stocking details'!$I$6:$I$3307,G1077)</x:f>
        <x:v>2335</x:v>
      </x:c>
      <x:c r="F1077" s="13" t="n">
        <x:f>COUNTIFS('Stocking details'!$I$6:$I$3307,G1077)</x:f>
        <x:v>2</x:v>
      </x:c>
      <x:c r="G1077" s="8" t="str">
        <x:f>B1077&amp;" / "&amp;C1077&amp;" / "&amp;D1077</x:f>
        <x:v>26322 / 2026 / RAINBOW TROUT</x:v>
      </x:c>
    </x:row>
    <x:row r="1078" ht="23" customHeight="1">
      <x:c r="A1078" s="8" t="str">
        <x:v>Len Thompson Pond</x:v>
      </x:c>
      <x:c r="B1078" s="8" t="str">
        <x:v>26322</x:v>
      </x:c>
      <x:c r="C1078" s="17" t="n">
        <x:v>2026</x:v>
      </x:c>
      <x:c r="D1078" s="8" t="str">
        <x:v>TIGER TROUT</x:v>
      </x:c>
      <x:c r="E1078" s="13" t="n">
        <x:f>SUMIFS('Stocking details'!$F$6:$F$3307,'Stocking details'!$I$6:$I$3307,G1078)</x:f>
        <x:v>650</x:v>
      </x:c>
      <x:c r="F1078" s="13" t="n">
        <x:f>COUNTIFS('Stocking details'!$I$6:$I$3307,G1078)</x:f>
        <x:v>1</x:v>
      </x:c>
      <x:c r="G1078" s="8" t="str">
        <x:f>B1078&amp;" / "&amp;C1078&amp;" / "&amp;D1078</x:f>
        <x:v>26322 / 2026 / TIGER TROUT</x:v>
      </x:c>
    </x:row>
    <x:row r="1079" ht="23" customHeight="1">
      <x:c r="A1079" s="8" t="str">
        <x:v>Len Thompson Pond</x:v>
      </x:c>
      <x:c r="B1079" s="8" t="str">
        <x:v>26322</x:v>
      </x:c>
      <x:c r="C1079" s="17" t="n">
        <x:v>2025</x:v>
      </x:c>
      <x:c r="D1079" s="8" t="str">
        <x:v>BROWN TROUT</x:v>
      </x:c>
      <x:c r="E1079" s="13" t="n">
        <x:f>SUMIFS('Stocking details'!$F$6:$F$3307,'Stocking details'!$I$6:$I$3307,G1079)</x:f>
        <x:v>50</x:v>
      </x:c>
      <x:c r="F1079" s="13" t="n">
        <x:f>COUNTIFS('Stocking details'!$I$6:$I$3307,G1079)</x:f>
        <x:v>1</x:v>
      </x:c>
      <x:c r="G1079" s="8" t="str">
        <x:f>B1079&amp;" / "&amp;C1079&amp;" / "&amp;D1079</x:f>
        <x:v>26322 / 2025 / BROWN TROUT</x:v>
      </x:c>
    </x:row>
    <x:row r="1080" ht="23" customHeight="1">
      <x:c r="A1080" s="8" t="str">
        <x:v>Len Thompson Pond</x:v>
      </x:c>
      <x:c r="B1080" s="8" t="str">
        <x:v>26322</x:v>
      </x:c>
      <x:c r="C1080" s="17" t="n">
        <x:v>2025</x:v>
      </x:c>
      <x:c r="D1080" s="8" t="str">
        <x:v>RAINBOW TROUT</x:v>
      </x:c>
      <x:c r="E1080" s="13" t="n">
        <x:f>SUMIFS('Stocking details'!$F$6:$F$3307,'Stocking details'!$I$6:$I$3307,G1080)</x:f>
        <x:v>2607</x:v>
      </x:c>
      <x:c r="F1080" s="13" t="n">
        <x:f>COUNTIFS('Stocking details'!$I$6:$I$3307,G1080)</x:f>
        <x:v>2</x:v>
      </x:c>
      <x:c r="G1080" s="8" t="str">
        <x:f>B1080&amp;" / "&amp;C1080&amp;" / "&amp;D1080</x:f>
        <x:v>26322 / 2025 / RAINBOW TROUT</x:v>
      </x:c>
    </x:row>
    <x:row r="1081" ht="23" customHeight="1">
      <x:c r="A1081" s="8" t="str">
        <x:v>Len Thompson Pond</x:v>
      </x:c>
      <x:c r="B1081" s="8" t="str">
        <x:v>26322</x:v>
      </x:c>
      <x:c r="C1081" s="17" t="n">
        <x:v>2025</x:v>
      </x:c>
      <x:c r="D1081" s="8" t="str">
        <x:v>TIGER TROUT</x:v>
      </x:c>
      <x:c r="E1081" s="13" t="n">
        <x:f>SUMIFS('Stocking details'!$F$6:$F$3307,'Stocking details'!$I$6:$I$3307,G1081)</x:f>
        <x:v>650</x:v>
      </x:c>
      <x:c r="F1081" s="13" t="n">
        <x:f>COUNTIFS('Stocking details'!$I$6:$I$3307,G1081)</x:f>
        <x:v>2</x:v>
      </x:c>
      <x:c r="G1081" s="8" t="str">
        <x:f>B1081&amp;" / "&amp;C1081&amp;" / "&amp;D1081</x:f>
        <x:v>26322 / 2025 / TIGER TROUT</x:v>
      </x:c>
    </x:row>
    <x:row r="1082" ht="23" customHeight="1">
      <x:c r="A1082" s="8" t="str">
        <x:v>Len Thompson Pond</x:v>
      </x:c>
      <x:c r="B1082" s="8" t="str">
        <x:v>26322</x:v>
      </x:c>
      <x:c r="C1082" s="17" t="n">
        <x:v>2024</x:v>
      </x:c>
      <x:c r="D1082" s="8" t="str">
        <x:v>RAINBOW TROUT</x:v>
      </x:c>
      <x:c r="E1082" s="13" t="n">
        <x:f>SUMIFS('Stocking details'!$F$6:$F$3307,'Stocking details'!$I$6:$I$3307,G1082)</x:f>
        <x:v>2232</x:v>
      </x:c>
      <x:c r="F1082" s="13" t="n">
        <x:f>COUNTIFS('Stocking details'!$I$6:$I$3307,G1082)</x:f>
        <x:v>3</x:v>
      </x:c>
      <x:c r="G1082" s="8" t="str">
        <x:f>B1082&amp;" / "&amp;C1082&amp;" / "&amp;D1082</x:f>
        <x:v>26322 / 2024 / RAINBOW TROUT</x:v>
      </x:c>
    </x:row>
    <x:row r="1083" ht="23" customHeight="1">
      <x:c r="A1083" s="8" t="str">
        <x:v>Len Thompson Pond</x:v>
      </x:c>
      <x:c r="B1083" s="8" t="str">
        <x:v>26322</x:v>
      </x:c>
      <x:c r="C1083" s="17" t="n">
        <x:v>2024</x:v>
      </x:c>
      <x:c r="D1083" s="8" t="str">
        <x:v>TIGER TROUT</x:v>
      </x:c>
      <x:c r="E1083" s="13" t="n">
        <x:f>SUMIFS('Stocking details'!$F$6:$F$3307,'Stocking details'!$I$6:$I$3307,G1083)</x:f>
        <x:v>650</x:v>
      </x:c>
      <x:c r="F1083" s="13" t="n">
        <x:f>COUNTIFS('Stocking details'!$I$6:$I$3307,G1083)</x:f>
        <x:v>1</x:v>
      </x:c>
      <x:c r="G1083" s="8" t="str">
        <x:f>B1083&amp;" / "&amp;C1083&amp;" / "&amp;D1083</x:f>
        <x:v>26322 / 2024 / TIGER TROUT</x:v>
      </x:c>
    </x:row>
    <x:row r="1084" ht="23" customHeight="1">
      <x:c r="A1084" s="8" t="str">
        <x:v>Len Thompson Pond</x:v>
      </x:c>
      <x:c r="B1084" s="8" t="str">
        <x:v>26322</x:v>
      </x:c>
      <x:c r="C1084" s="17" t="n">
        <x:v>2023</x:v>
      </x:c>
      <x:c r="D1084" s="8" t="str">
        <x:v>RAINBOW TROUT</x:v>
      </x:c>
      <x:c r="E1084" s="13" t="n">
        <x:f>SUMIFS('Stocking details'!$F$6:$F$3307,'Stocking details'!$I$6:$I$3307,G1084)</x:f>
        <x:v>3175</x:v>
      </x:c>
      <x:c r="F1084" s="13" t="n">
        <x:f>COUNTIFS('Stocking details'!$I$6:$I$3307,G1084)</x:f>
        <x:v>4</x:v>
      </x:c>
      <x:c r="G1084" s="8" t="str">
        <x:f>B1084&amp;" / "&amp;C1084&amp;" / "&amp;D1084</x:f>
        <x:v>26322 / 2023 / RAINBOW TROUT</x:v>
      </x:c>
    </x:row>
    <x:row r="1085" ht="23" customHeight="1">
      <x:c r="A1085" s="8" t="str">
        <x:v>Len Thompson Pond</x:v>
      </x:c>
      <x:c r="B1085" s="8" t="str">
        <x:v>26322</x:v>
      </x:c>
      <x:c r="C1085" s="17" t="n">
        <x:v>2023</x:v>
      </x:c>
      <x:c r="D1085" s="8" t="str">
        <x:v>TIGER TROUT</x:v>
      </x:c>
      <x:c r="E1085" s="13" t="n">
        <x:f>SUMIFS('Stocking details'!$F$6:$F$3307,'Stocking details'!$I$6:$I$3307,G1085)</x:f>
        <x:v>650</x:v>
      </x:c>
      <x:c r="F1085" s="13" t="n">
        <x:f>COUNTIFS('Stocking details'!$I$6:$I$3307,G1085)</x:f>
        <x:v>1</x:v>
      </x:c>
      <x:c r="G1085" s="8" t="str">
        <x:f>B1085&amp;" / "&amp;C1085&amp;" / "&amp;D1085</x:f>
        <x:v>26322 / 2023 / TIGER TROUT</x:v>
      </x:c>
    </x:row>
    <x:row r="1086" ht="23" customHeight="1">
      <x:c r="A1086" s="8" t="str">
        <x:v>Len Thompson Pond</x:v>
      </x:c>
      <x:c r="B1086" s="8" t="str">
        <x:v>26322</x:v>
      </x:c>
      <x:c r="C1086" s="17" t="n">
        <x:v>2022</x:v>
      </x:c>
      <x:c r="D1086" s="8" t="str">
        <x:v>RAINBOW TROUT</x:v>
      </x:c>
      <x:c r="E1086" s="13" t="n">
        <x:f>SUMIFS('Stocking details'!$F$6:$F$3307,'Stocking details'!$I$6:$I$3307,G1086)</x:f>
        <x:v>2600</x:v>
      </x:c>
      <x:c r="F1086" s="13" t="n">
        <x:f>COUNTIFS('Stocking details'!$I$6:$I$3307,G1086)</x:f>
        <x:v>3</x:v>
      </x:c>
      <x:c r="G1086" s="8" t="str">
        <x:f>B1086&amp;" / "&amp;C1086&amp;" / "&amp;D1086</x:f>
        <x:v>26322 / 2022 / RAINBOW TROUT</x:v>
      </x:c>
    </x:row>
    <x:row r="1087" ht="23" customHeight="1">
      <x:c r="A1087" s="8" t="str">
        <x:v>Len Thompson Pond</x:v>
      </x:c>
      <x:c r="B1087" s="8" t="str">
        <x:v>26322</x:v>
      </x:c>
      <x:c r="C1087" s="17" t="n">
        <x:v>2022</x:v>
      </x:c>
      <x:c r="D1087" s="8" t="str">
        <x:v>TIGER TROUT</x:v>
      </x:c>
      <x:c r="E1087" s="13" t="n">
        <x:f>SUMIFS('Stocking details'!$F$6:$F$3307,'Stocking details'!$I$6:$I$3307,G1087)</x:f>
        <x:v>2250</x:v>
      </x:c>
      <x:c r="F1087" s="13" t="n">
        <x:f>COUNTIFS('Stocking details'!$I$6:$I$3307,G1087)</x:f>
        <x:v>2</x:v>
      </x:c>
      <x:c r="G1087" s="8" t="str">
        <x:f>B1087&amp;" / "&amp;C1087&amp;" / "&amp;D1087</x:f>
        <x:v>26322 / 2022 / TIGER TROUT</x:v>
      </x:c>
    </x:row>
    <x:row r="1088" ht="23" customHeight="1">
      <x:c r="A1088" s="8" t="str">
        <x:v>Len Thompson Pond</x:v>
      </x:c>
      <x:c r="B1088" s="8" t="str">
        <x:v>26322</x:v>
      </x:c>
      <x:c r="C1088" s="17" t="n">
        <x:v>2021</x:v>
      </x:c>
      <x:c r="D1088" s="8" t="str">
        <x:v>RAINBOW TROUT</x:v>
      </x:c>
      <x:c r="E1088" s="13" t="n">
        <x:f>SUMIFS('Stocking details'!$F$6:$F$3307,'Stocking details'!$I$6:$I$3307,G1088)</x:f>
        <x:v>3850</x:v>
      </x:c>
      <x:c r="F1088" s="13" t="n">
        <x:f>COUNTIFS('Stocking details'!$I$6:$I$3307,G1088)</x:f>
        <x:v>2</x:v>
      </x:c>
      <x:c r="G1088" s="8" t="str">
        <x:f>B1088&amp;" / "&amp;C1088&amp;" / "&amp;D1088</x:f>
        <x:v>26322 / 2021 / RAINBOW TROUT</x:v>
      </x:c>
    </x:row>
    <x:row r="1089" ht="23" customHeight="1">
      <x:c r="A1089" s="8" t="str">
        <x:v>Len Thompson Pond</x:v>
      </x:c>
      <x:c r="B1089" s="8" t="str">
        <x:v>26322</x:v>
      </x:c>
      <x:c r="C1089" s="17" t="n">
        <x:v>2021</x:v>
      </x:c>
      <x:c r="D1089" s="8" t="str">
        <x:v>TIGER TROUT</x:v>
      </x:c>
      <x:c r="E1089" s="13" t="n">
        <x:f>SUMIFS('Stocking details'!$F$6:$F$3307,'Stocking details'!$I$6:$I$3307,G1089)</x:f>
        <x:v>2150</x:v>
      </x:c>
      <x:c r="F1089" s="13" t="n">
        <x:f>COUNTIFS('Stocking details'!$I$6:$I$3307,G1089)</x:f>
        <x:v>2</x:v>
      </x:c>
      <x:c r="G1089" s="8" t="str">
        <x:f>B1089&amp;" / "&amp;C1089&amp;" / "&amp;D1089</x:f>
        <x:v>26322 / 2021 / TIGER TROUT</x:v>
      </x:c>
    </x:row>
    <x:row r="1090" ht="23" customHeight="1">
      <x:c r="A1090" s="8" t="str">
        <x:v>Lillian Lake</x:v>
      </x:c>
      <x:c r="B1090" s="8" t="str">
        <x:v>5074</x:v>
      </x:c>
      <x:c r="C1090" s="17" t="n">
        <x:v>2021</x:v>
      </x:c>
      <x:c r="D1090" s="8" t="str">
        <x:v>CUTTHROAT TROUT</x:v>
      </x:c>
      <x:c r="E1090" s="13" t="n">
        <x:f>SUMIFS('Stocking details'!$F$6:$F$3307,'Stocking details'!$I$6:$I$3307,G1090)</x:f>
        <x:v>1300</x:v>
      </x:c>
      <x:c r="F1090" s="13" t="n">
        <x:f>COUNTIFS('Stocking details'!$I$6:$I$3307,G1090)</x:f>
        <x:v>1</x:v>
      </x:c>
      <x:c r="G1090" s="8" t="str">
        <x:f>B1090&amp;" / "&amp;C1090&amp;" / "&amp;D1090</x:f>
        <x:v>5074 / 2021 / CUTTHROAT TROUT</x:v>
      </x:c>
    </x:row>
    <x:row r="1091" ht="23" customHeight="1">
      <x:c r="A1091" s="8" t="str">
        <x:v>Lily Lake</x:v>
      </x:c>
      <x:c r="B1091" s="8" t="str">
        <x:v>5078</x:v>
      </x:c>
      <x:c r="C1091" s="17" t="n">
        <x:v>2025</x:v>
      </x:c>
      <x:c r="D1091" s="8" t="str">
        <x:v>BROOK TROUT</x:v>
      </x:c>
      <x:c r="E1091" s="13" t="n">
        <x:f>SUMIFS('Stocking details'!$F$6:$F$3307,'Stocking details'!$I$6:$I$3307,G1091)</x:f>
        <x:v>3660</x:v>
      </x:c>
      <x:c r="F1091" s="13" t="n">
        <x:f>COUNTIFS('Stocking details'!$I$6:$I$3307,G1091)</x:f>
        <x:v>1</x:v>
      </x:c>
      <x:c r="G1091" s="8" t="str">
        <x:f>B1091&amp;" / "&amp;C1091&amp;" / "&amp;D1091</x:f>
        <x:v>5078 / 2025 / BROOK TROUT</x:v>
      </x:c>
    </x:row>
    <x:row r="1092" ht="23" customHeight="1">
      <x:c r="A1092" s="8" t="str">
        <x:v>Lily Lake</x:v>
      </x:c>
      <x:c r="B1092" s="8" t="str">
        <x:v>5078</x:v>
      </x:c>
      <x:c r="C1092" s="17" t="n">
        <x:v>2025</x:v>
      </x:c>
      <x:c r="D1092" s="8" t="str">
        <x:v>TIGER TROUT</x:v>
      </x:c>
      <x:c r="E1092" s="13" t="n">
        <x:f>SUMIFS('Stocking details'!$F$6:$F$3307,'Stocking details'!$I$6:$I$3307,G1092)</x:f>
        <x:v>525</x:v>
      </x:c>
      <x:c r="F1092" s="13" t="n">
        <x:f>COUNTIFS('Stocking details'!$I$6:$I$3307,G1092)</x:f>
        <x:v>2</x:v>
      </x:c>
      <x:c r="G1092" s="8" t="str">
        <x:f>B1092&amp;" / "&amp;C1092&amp;" / "&amp;D1092</x:f>
        <x:v>5078 / 2025 / TIGER TROUT</x:v>
      </x:c>
    </x:row>
    <x:row r="1093" ht="23" customHeight="1">
      <x:c r="A1093" s="8" t="str">
        <x:v>Lily Lake</x:v>
      </x:c>
      <x:c r="B1093" s="8" t="str">
        <x:v>5078</x:v>
      </x:c>
      <x:c r="C1093" s="17" t="n">
        <x:v>2024</x:v>
      </x:c>
      <x:c r="D1093" s="8" t="str">
        <x:v>BROOK TROUT</x:v>
      </x:c>
      <x:c r="E1093" s="13" t="n">
        <x:f>SUMIFS('Stocking details'!$F$6:$F$3307,'Stocking details'!$I$6:$I$3307,G1093)</x:f>
        <x:v>3660</x:v>
      </x:c>
      <x:c r="F1093" s="13" t="n">
        <x:f>COUNTIFS('Stocking details'!$I$6:$I$3307,G1093)</x:f>
        <x:v>1</x:v>
      </x:c>
      <x:c r="G1093" s="8" t="str">
        <x:f>B1093&amp;" / "&amp;C1093&amp;" / "&amp;D1093</x:f>
        <x:v>5078 / 2024 / BROOK TROUT</x:v>
      </x:c>
    </x:row>
    <x:row r="1094" ht="23" customHeight="1">
      <x:c r="A1094" s="8" t="str">
        <x:v>Lily Lake</x:v>
      </x:c>
      <x:c r="B1094" s="8" t="str">
        <x:v>5078</x:v>
      </x:c>
      <x:c r="C1094" s="17" t="n">
        <x:v>2024</x:v>
      </x:c>
      <x:c r="D1094" s="8" t="str">
        <x:v>TIGER TROUT</x:v>
      </x:c>
      <x:c r="E1094" s="13" t="n">
        <x:f>SUMIFS('Stocking details'!$F$6:$F$3307,'Stocking details'!$I$6:$I$3307,G1094)</x:f>
        <x:v>325</x:v>
      </x:c>
      <x:c r="F1094" s="13" t="n">
        <x:f>COUNTIFS('Stocking details'!$I$6:$I$3307,G1094)</x:f>
        <x:v>1</x:v>
      </x:c>
      <x:c r="G1094" s="8" t="str">
        <x:f>B1094&amp;" / "&amp;C1094&amp;" / "&amp;D1094</x:f>
        <x:v>5078 / 2024 / TIGER TROUT</x:v>
      </x:c>
    </x:row>
    <x:row r="1095" ht="23" customHeight="1">
      <x:c r="A1095" s="8" t="str">
        <x:v>Lily Lake</x:v>
      </x:c>
      <x:c r="B1095" s="8" t="str">
        <x:v>5078</x:v>
      </x:c>
      <x:c r="C1095" s="17" t="n">
        <x:v>2023</x:v>
      </x:c>
      <x:c r="D1095" s="8" t="str">
        <x:v>BROOK TROUT</x:v>
      </x:c>
      <x:c r="E1095" s="13" t="n">
        <x:f>SUMIFS('Stocking details'!$F$6:$F$3307,'Stocking details'!$I$6:$I$3307,G1095)</x:f>
        <x:v>3660</x:v>
      </x:c>
      <x:c r="F1095" s="13" t="n">
        <x:f>COUNTIFS('Stocking details'!$I$6:$I$3307,G1095)</x:f>
        <x:v>1</x:v>
      </x:c>
      <x:c r="G1095" s="8" t="str">
        <x:f>B1095&amp;" / "&amp;C1095&amp;" / "&amp;D1095</x:f>
        <x:v>5078 / 2023 / BROOK TROUT</x:v>
      </x:c>
    </x:row>
    <x:row r="1096" ht="23" customHeight="1">
      <x:c r="A1096" s="8" t="str">
        <x:v>Lily Lake</x:v>
      </x:c>
      <x:c r="B1096" s="8" t="str">
        <x:v>5078</x:v>
      </x:c>
      <x:c r="C1096" s="17" t="n">
        <x:v>2023</x:v>
      </x:c>
      <x:c r="D1096" s="8" t="str">
        <x:v>TIGER TROUT</x:v>
      </x:c>
      <x:c r="E1096" s="13" t="n">
        <x:f>SUMIFS('Stocking details'!$F$6:$F$3307,'Stocking details'!$I$6:$I$3307,G1096)</x:f>
        <x:v>325</x:v>
      </x:c>
      <x:c r="F1096" s="13" t="n">
        <x:f>COUNTIFS('Stocking details'!$I$6:$I$3307,G1096)</x:f>
        <x:v>1</x:v>
      </x:c>
      <x:c r="G1096" s="8" t="str">
        <x:f>B1096&amp;" / "&amp;C1096&amp;" / "&amp;D1096</x:f>
        <x:v>5078 / 2023 / TIGER TROUT</x:v>
      </x:c>
    </x:row>
    <x:row r="1097" ht="23" customHeight="1">
      <x:c r="A1097" s="8" t="str">
        <x:v>Lily Lake</x:v>
      </x:c>
      <x:c r="B1097" s="8" t="str">
        <x:v>5078</x:v>
      </x:c>
      <x:c r="C1097" s="17" t="n">
        <x:v>2022</x:v>
      </x:c>
      <x:c r="D1097" s="8" t="str">
        <x:v>BROOK TROUT</x:v>
      </x:c>
      <x:c r="E1097" s="13" t="n">
        <x:f>SUMIFS('Stocking details'!$F$6:$F$3307,'Stocking details'!$I$6:$I$3307,G1097)</x:f>
        <x:v>3660</x:v>
      </x:c>
      <x:c r="F1097" s="13" t="n">
        <x:f>COUNTIFS('Stocking details'!$I$6:$I$3307,G1097)</x:f>
        <x:v>1</x:v>
      </x:c>
      <x:c r="G1097" s="8" t="str">
        <x:f>B1097&amp;" / "&amp;C1097&amp;" / "&amp;D1097</x:f>
        <x:v>5078 / 2022 / BROOK TROUT</x:v>
      </x:c>
    </x:row>
    <x:row r="1098" ht="23" customHeight="1">
      <x:c r="A1098" s="8" t="str">
        <x:v>Lily Lake</x:v>
      </x:c>
      <x:c r="B1098" s="8" t="str">
        <x:v>5078</x:v>
      </x:c>
      <x:c r="C1098" s="17" t="n">
        <x:v>2022</x:v>
      </x:c>
      <x:c r="D1098" s="8" t="str">
        <x:v>TIGER TROUT</x:v>
      </x:c>
      <x:c r="E1098" s="13" t="n">
        <x:f>SUMIFS('Stocking details'!$F$6:$F$3307,'Stocking details'!$I$6:$I$3307,G1098)</x:f>
        <x:v>325</x:v>
      </x:c>
      <x:c r="F1098" s="13" t="n">
        <x:f>COUNTIFS('Stocking details'!$I$6:$I$3307,G1098)</x:f>
        <x:v>1</x:v>
      </x:c>
      <x:c r="G1098" s="8" t="str">
        <x:f>B1098&amp;" / "&amp;C1098&amp;" / "&amp;D1098</x:f>
        <x:v>5078 / 2022 / TIGER TROUT</x:v>
      </x:c>
    </x:row>
    <x:row r="1099" ht="23" customHeight="1">
      <x:c r="A1099" s="8" t="str">
        <x:v>Lily Lake</x:v>
      </x:c>
      <x:c r="B1099" s="8" t="str">
        <x:v>5078</x:v>
      </x:c>
      <x:c r="C1099" s="17" t="n">
        <x:v>2021</x:v>
      </x:c>
      <x:c r="D1099" s="8" t="str">
        <x:v>BROOK TROUT</x:v>
      </x:c>
      <x:c r="E1099" s="13" t="n">
        <x:f>SUMIFS('Stocking details'!$F$6:$F$3307,'Stocking details'!$I$6:$I$3307,G1099)</x:f>
        <x:v>3000</x:v>
      </x:c>
      <x:c r="F1099" s="13" t="n">
        <x:f>COUNTIFS('Stocking details'!$I$6:$I$3307,G1099)</x:f>
        <x:v>1</x:v>
      </x:c>
      <x:c r="G1099" s="8" t="str">
        <x:f>B1099&amp;" / "&amp;C1099&amp;" / "&amp;D1099</x:f>
        <x:v>5078 / 2021 / BROOK TROUT</x:v>
      </x:c>
    </x:row>
    <x:row r="1100" ht="23" customHeight="1">
      <x:c r="A1100" s="8" t="str">
        <x:v>Lily Lake</x:v>
      </x:c>
      <x:c r="B1100" s="8" t="str">
        <x:v>5078</x:v>
      </x:c>
      <x:c r="C1100" s="17" t="n">
        <x:v>2021</x:v>
      </x:c>
      <x:c r="D1100" s="8" t="str">
        <x:v>TIGER TROUT</x:v>
      </x:c>
      <x:c r="E1100" s="13" t="n">
        <x:f>SUMIFS('Stocking details'!$F$6:$F$3307,'Stocking details'!$I$6:$I$3307,G1100)</x:f>
        <x:v>325</x:v>
      </x:c>
      <x:c r="F1100" s="13" t="n">
        <x:f>COUNTIFS('Stocking details'!$I$6:$I$3307,G1100)</x:f>
        <x:v>1</x:v>
      </x:c>
      <x:c r="G1100" s="8" t="str">
        <x:f>B1100&amp;" / "&amp;C1100&amp;" / "&amp;D1100</x:f>
        <x:v>5078 / 2021 / TIGER TROUT</x:v>
      </x:c>
    </x:row>
    <x:row r="1101" ht="23" customHeight="1">
      <x:c r="A1101" s="8" t="str">
        <x:v>Little Bear Lake</x:v>
      </x:c>
      <x:c r="B1101" s="8" t="str">
        <x:v>5093</x:v>
      </x:c>
      <x:c r="C1101" s="17" t="n">
        <x:v>2026</x:v>
      </x:c>
      <x:c r="D1101" s="8" t="str">
        <x:v>BROOK TROUT</x:v>
      </x:c>
      <x:c r="E1101" s="13" t="n">
        <x:f>SUMIFS('Stocking details'!$F$6:$F$3307,'Stocking details'!$I$6:$I$3307,G1101)</x:f>
        <x:v>2200</x:v>
      </x:c>
      <x:c r="F1101" s="13" t="n">
        <x:f>COUNTIFS('Stocking details'!$I$6:$I$3307,G1101)</x:f>
        <x:v>1</x:v>
      </x:c>
      <x:c r="G1101" s="8" t="str">
        <x:f>B1101&amp;" / "&amp;C1101&amp;" / "&amp;D1101</x:f>
        <x:v>5093 / 2026 / BROOK TROUT</x:v>
      </x:c>
    </x:row>
    <x:row r="1102" ht="23" customHeight="1">
      <x:c r="A1102" s="8" t="str">
        <x:v>Little Bear Lake</x:v>
      </x:c>
      <x:c r="B1102" s="8" t="str">
        <x:v>5093</x:v>
      </x:c>
      <x:c r="C1102" s="17" t="n">
        <x:v>2026</x:v>
      </x:c>
      <x:c r="D1102" s="8" t="str">
        <x:v>BROWN TROUT</x:v>
      </x:c>
      <x:c r="E1102" s="13" t="n">
        <x:f>SUMIFS('Stocking details'!$F$6:$F$3307,'Stocking details'!$I$6:$I$3307,G1102)</x:f>
        <x:v>1000</x:v>
      </x:c>
      <x:c r="F1102" s="13" t="n">
        <x:f>COUNTIFS('Stocking details'!$I$6:$I$3307,G1102)</x:f>
        <x:v>1</x:v>
      </x:c>
      <x:c r="G1102" s="8" t="str">
        <x:f>B1102&amp;" / "&amp;C1102&amp;" / "&amp;D1102</x:f>
        <x:v>5093 / 2026 / BROWN TROUT</x:v>
      </x:c>
    </x:row>
    <x:row r="1103" ht="23" customHeight="1">
      <x:c r="A1103" s="8" t="str">
        <x:v>Little Bear Lake</x:v>
      </x:c>
      <x:c r="B1103" s="8" t="str">
        <x:v>5093</x:v>
      </x:c>
      <x:c r="C1103" s="17" t="n">
        <x:v>2026</x:v>
      </x:c>
      <x:c r="D1103" s="8" t="str">
        <x:v>RAINBOW TROUT</x:v>
      </x:c>
      <x:c r="E1103" s="13" t="n">
        <x:f>SUMIFS('Stocking details'!$F$6:$F$3307,'Stocking details'!$I$6:$I$3307,G1103)</x:f>
        <x:v>10000</x:v>
      </x:c>
      <x:c r="F1103" s="13" t="n">
        <x:f>COUNTIFS('Stocking details'!$I$6:$I$3307,G1103)</x:f>
        <x:v>2</x:v>
      </x:c>
      <x:c r="G1103" s="8" t="str">
        <x:f>B1103&amp;" / "&amp;C1103&amp;" / "&amp;D1103</x:f>
        <x:v>5093 / 2026 / RAINBOW TROUT</x:v>
      </x:c>
    </x:row>
    <x:row r="1104" ht="23" customHeight="1">
      <x:c r="A1104" s="8" t="str">
        <x:v>Little Bear Lake</x:v>
      </x:c>
      <x:c r="B1104" s="8" t="str">
        <x:v>5093</x:v>
      </x:c>
      <x:c r="C1104" s="17" t="n">
        <x:v>2026</x:v>
      </x:c>
      <x:c r="D1104" s="8" t="str">
        <x:v>TIGER TROUT</x:v>
      </x:c>
      <x:c r="E1104" s="13" t="n">
        <x:f>SUMIFS('Stocking details'!$F$6:$F$3307,'Stocking details'!$I$6:$I$3307,G1104)</x:f>
        <x:v>2200</x:v>
      </x:c>
      <x:c r="F1104" s="13" t="n">
        <x:f>COUNTIFS('Stocking details'!$I$6:$I$3307,G1104)</x:f>
        <x:v>1</x:v>
      </x:c>
      <x:c r="G1104" s="8" t="str">
        <x:f>B1104&amp;" / "&amp;C1104&amp;" / "&amp;D1104</x:f>
        <x:v>5093 / 2026 / TIGER TROUT</x:v>
      </x:c>
    </x:row>
    <x:row r="1105" ht="23" customHeight="1">
      <x:c r="A1105" s="8" t="str">
        <x:v>Little Bear Lake</x:v>
      </x:c>
      <x:c r="B1105" s="8" t="str">
        <x:v>5093</x:v>
      </x:c>
      <x:c r="C1105" s="17" t="n">
        <x:v>2025</x:v>
      </x:c>
      <x:c r="D1105" s="8" t="str">
        <x:v>BROOK TROUT</x:v>
      </x:c>
      <x:c r="E1105" s="13" t="n">
        <x:f>SUMIFS('Stocking details'!$F$6:$F$3307,'Stocking details'!$I$6:$I$3307,G1105)</x:f>
        <x:v>2200</x:v>
      </x:c>
      <x:c r="F1105" s="13" t="n">
        <x:f>COUNTIFS('Stocking details'!$I$6:$I$3307,G1105)</x:f>
        <x:v>1</x:v>
      </x:c>
      <x:c r="G1105" s="8" t="str">
        <x:f>B1105&amp;" / "&amp;C1105&amp;" / "&amp;D1105</x:f>
        <x:v>5093 / 2025 / BROOK TROUT</x:v>
      </x:c>
    </x:row>
    <x:row r="1106" ht="23" customHeight="1">
      <x:c r="A1106" s="8" t="str">
        <x:v>Little Bear Lake</x:v>
      </x:c>
      <x:c r="B1106" s="8" t="str">
        <x:v>5093</x:v>
      </x:c>
      <x:c r="C1106" s="17" t="n">
        <x:v>2025</x:v>
      </x:c>
      <x:c r="D1106" s="8" t="str">
        <x:v>BROWN TROUT</x:v>
      </x:c>
      <x:c r="E1106" s="13" t="n">
        <x:f>SUMIFS('Stocking details'!$F$6:$F$3307,'Stocking details'!$I$6:$I$3307,G1106)</x:f>
        <x:v>1000</x:v>
      </x:c>
      <x:c r="F1106" s="13" t="n">
        <x:f>COUNTIFS('Stocking details'!$I$6:$I$3307,G1106)</x:f>
        <x:v>1</x:v>
      </x:c>
      <x:c r="G1106" s="8" t="str">
        <x:f>B1106&amp;" / "&amp;C1106&amp;" / "&amp;D1106</x:f>
        <x:v>5093 / 2025 / BROWN TROUT</x:v>
      </x:c>
    </x:row>
    <x:row r="1107" ht="23" customHeight="1">
      <x:c r="A1107" s="8" t="str">
        <x:v>Little Bear Lake</x:v>
      </x:c>
      <x:c r="B1107" s="8" t="str">
        <x:v>5093</x:v>
      </x:c>
      <x:c r="C1107" s="17" t="n">
        <x:v>2025</x:v>
      </x:c>
      <x:c r="D1107" s="8" t="str">
        <x:v>RAINBOW TROUT</x:v>
      </x:c>
      <x:c r="E1107" s="13" t="n">
        <x:f>SUMIFS('Stocking details'!$F$6:$F$3307,'Stocking details'!$I$6:$I$3307,G1107)</x:f>
        <x:v>13659</x:v>
      </x:c>
      <x:c r="F1107" s="13" t="n">
        <x:f>COUNTIFS('Stocking details'!$I$6:$I$3307,G1107)</x:f>
        <x:v>4</x:v>
      </x:c>
      <x:c r="G1107" s="8" t="str">
        <x:f>B1107&amp;" / "&amp;C1107&amp;" / "&amp;D1107</x:f>
        <x:v>5093 / 2025 / RAINBOW TROUT</x:v>
      </x:c>
    </x:row>
    <x:row r="1108" ht="23" customHeight="1">
      <x:c r="A1108" s="8" t="str">
        <x:v>Little Bear Lake</x:v>
      </x:c>
      <x:c r="B1108" s="8" t="str">
        <x:v>5093</x:v>
      </x:c>
      <x:c r="C1108" s="17" t="n">
        <x:v>2025</x:v>
      </x:c>
      <x:c r="D1108" s="8" t="str">
        <x:v>TIGER TROUT</x:v>
      </x:c>
      <x:c r="E1108" s="13" t="n">
        <x:f>SUMIFS('Stocking details'!$F$6:$F$3307,'Stocking details'!$I$6:$I$3307,G1108)</x:f>
        <x:v>2000</x:v>
      </x:c>
      <x:c r="F1108" s="13" t="n">
        <x:f>COUNTIFS('Stocking details'!$I$6:$I$3307,G1108)</x:f>
        <x:v>1</x:v>
      </x:c>
      <x:c r="G1108" s="8" t="str">
        <x:f>B1108&amp;" / "&amp;C1108&amp;" / "&amp;D1108</x:f>
        <x:v>5093 / 2025 / TIGER TROUT</x:v>
      </x:c>
    </x:row>
    <x:row r="1109" ht="23" customHeight="1">
      <x:c r="A1109" s="8" t="str">
        <x:v>Little Bear Lake</x:v>
      </x:c>
      <x:c r="B1109" s="8" t="str">
        <x:v>5093</x:v>
      </x:c>
      <x:c r="C1109" s="17" t="n">
        <x:v>2024</x:v>
      </x:c>
      <x:c r="D1109" s="8" t="str">
        <x:v>BROOK TROUT</x:v>
      </x:c>
      <x:c r="E1109" s="13" t="n">
        <x:f>SUMIFS('Stocking details'!$F$6:$F$3307,'Stocking details'!$I$6:$I$3307,G1109)</x:f>
        <x:v>14500</x:v>
      </x:c>
      <x:c r="F1109" s="13" t="n">
        <x:f>COUNTIFS('Stocking details'!$I$6:$I$3307,G1109)</x:f>
        <x:v>1</x:v>
      </x:c>
      <x:c r="G1109" s="8" t="str">
        <x:f>B1109&amp;" / "&amp;C1109&amp;" / "&amp;D1109</x:f>
        <x:v>5093 / 2024 / BROOK TROUT</x:v>
      </x:c>
    </x:row>
    <x:row r="1110" ht="23" customHeight="1">
      <x:c r="A1110" s="8" t="str">
        <x:v>Little Bear Lake</x:v>
      </x:c>
      <x:c r="B1110" s="8" t="str">
        <x:v>5093</x:v>
      </x:c>
      <x:c r="C1110" s="17" t="n">
        <x:v>2024</x:v>
      </x:c>
      <x:c r="D1110" s="8" t="str">
        <x:v>BROWN TROUT</x:v>
      </x:c>
      <x:c r="E1110" s="13" t="n">
        <x:f>SUMIFS('Stocking details'!$F$6:$F$3307,'Stocking details'!$I$6:$I$3307,G1110)</x:f>
        <x:v>5000</x:v>
      </x:c>
      <x:c r="F1110" s="13" t="n">
        <x:f>COUNTIFS('Stocking details'!$I$6:$I$3307,G1110)</x:f>
        <x:v>1</x:v>
      </x:c>
      <x:c r="G1110" s="8" t="str">
        <x:f>B1110&amp;" / "&amp;C1110&amp;" / "&amp;D1110</x:f>
        <x:v>5093 / 2024 / BROWN TROUT</x:v>
      </x:c>
    </x:row>
    <x:row r="1111" ht="23" customHeight="1">
      <x:c r="A1111" s="8" t="str">
        <x:v>Little Bear Lake</x:v>
      </x:c>
      <x:c r="B1111" s="8" t="str">
        <x:v>5093</x:v>
      </x:c>
      <x:c r="C1111" s="17" t="n">
        <x:v>2024</x:v>
      </x:c>
      <x:c r="D1111" s="8" t="str">
        <x:v>RAINBOW TROUT</x:v>
      </x:c>
      <x:c r="E1111" s="13" t="n">
        <x:f>SUMIFS('Stocking details'!$F$6:$F$3307,'Stocking details'!$I$6:$I$3307,G1111)</x:f>
        <x:v>34403</x:v>
      </x:c>
      <x:c r="F1111" s="13" t="n">
        <x:f>COUNTIFS('Stocking details'!$I$6:$I$3307,G1111)</x:f>
        <x:v>4</x:v>
      </x:c>
      <x:c r="G1111" s="8" t="str">
        <x:f>B1111&amp;" / "&amp;C1111&amp;" / "&amp;D1111</x:f>
        <x:v>5093 / 2024 / RAINBOW TROUT</x:v>
      </x:c>
    </x:row>
    <x:row r="1112" ht="23" customHeight="1">
      <x:c r="A1112" s="8" t="str">
        <x:v>Little Bear Lake</x:v>
      </x:c>
      <x:c r="B1112" s="8" t="str">
        <x:v>5093</x:v>
      </x:c>
      <x:c r="C1112" s="17" t="n">
        <x:v>2024</x:v>
      </x:c>
      <x:c r="D1112" s="8" t="str">
        <x:v>TIGER TROUT</x:v>
      </x:c>
      <x:c r="E1112" s="13" t="n">
        <x:f>SUMIFS('Stocking details'!$F$6:$F$3307,'Stocking details'!$I$6:$I$3307,G1112)</x:f>
        <x:v>1500</x:v>
      </x:c>
      <x:c r="F1112" s="13" t="n">
        <x:f>COUNTIFS('Stocking details'!$I$6:$I$3307,G1112)</x:f>
        <x:v>1</x:v>
      </x:c>
      <x:c r="G1112" s="8" t="str">
        <x:f>B1112&amp;" / "&amp;C1112&amp;" / "&amp;D1112</x:f>
        <x:v>5093 / 2024 / TIGER TROUT</x:v>
      </x:c>
    </x:row>
    <x:row r="1113" ht="23" customHeight="1">
      <x:c r="A1113" s="8" t="str">
        <x:v>Little Bear Lake</x:v>
      </x:c>
      <x:c r="B1113" s="8" t="str">
        <x:v>5093</x:v>
      </x:c>
      <x:c r="C1113" s="17" t="n">
        <x:v>2023</x:v>
      </x:c>
      <x:c r="D1113" s="8" t="str">
        <x:v>BROOK TROUT</x:v>
      </x:c>
      <x:c r="E1113" s="13" t="n">
        <x:f>SUMIFS('Stocking details'!$F$6:$F$3307,'Stocking details'!$I$6:$I$3307,G1113)</x:f>
        <x:v>9700</x:v>
      </x:c>
      <x:c r="F1113" s="13" t="n">
        <x:f>COUNTIFS('Stocking details'!$I$6:$I$3307,G1113)</x:f>
        <x:v>2</x:v>
      </x:c>
      <x:c r="G1113" s="8" t="str">
        <x:f>B1113&amp;" / "&amp;C1113&amp;" / "&amp;D1113</x:f>
        <x:v>5093 / 2023 / BROOK TROUT</x:v>
      </x:c>
    </x:row>
    <x:row r="1114" ht="23" customHeight="1">
      <x:c r="A1114" s="8" t="str">
        <x:v>Little Bear Lake</x:v>
      </x:c>
      <x:c r="B1114" s="8" t="str">
        <x:v>5093</x:v>
      </x:c>
      <x:c r="C1114" s="17" t="n">
        <x:v>2023</x:v>
      </x:c>
      <x:c r="D1114" s="8" t="str">
        <x:v>RAINBOW TROUT</x:v>
      </x:c>
      <x:c r="E1114" s="13" t="n">
        <x:f>SUMIFS('Stocking details'!$F$6:$F$3307,'Stocking details'!$I$6:$I$3307,G1114)</x:f>
        <x:v>9320</x:v>
      </x:c>
      <x:c r="F1114" s="13" t="n">
        <x:f>COUNTIFS('Stocking details'!$I$6:$I$3307,G1114)</x:f>
        <x:v>3</x:v>
      </x:c>
      <x:c r="G1114" s="8" t="str">
        <x:f>B1114&amp;" / "&amp;C1114&amp;" / "&amp;D1114</x:f>
        <x:v>5093 / 2023 / RAINBOW TROUT</x:v>
      </x:c>
    </x:row>
    <x:row r="1115" ht="23" customHeight="1">
      <x:c r="A1115" s="8" t="str">
        <x:v>Little Bear Lake</x:v>
      </x:c>
      <x:c r="B1115" s="8" t="str">
        <x:v>5093</x:v>
      </x:c>
      <x:c r="C1115" s="17" t="n">
        <x:v>2023</x:v>
      </x:c>
      <x:c r="D1115" s="8" t="str">
        <x:v>TIGER TROUT</x:v>
      </x:c>
      <x:c r="E1115" s="13" t="n">
        <x:f>SUMIFS('Stocking details'!$F$6:$F$3307,'Stocking details'!$I$6:$I$3307,G1115)</x:f>
        <x:v>4000</x:v>
      </x:c>
      <x:c r="F1115" s="13" t="n">
        <x:f>COUNTIFS('Stocking details'!$I$6:$I$3307,G1115)</x:f>
        <x:v>2</x:v>
      </x:c>
      <x:c r="G1115" s="8" t="str">
        <x:f>B1115&amp;" / "&amp;C1115&amp;" / "&amp;D1115</x:f>
        <x:v>5093 / 2023 / TIGER TROUT</x:v>
      </x:c>
    </x:row>
    <x:row r="1116" ht="23" customHeight="1">
      <x:c r="A1116" s="8" t="str">
        <x:v>Little Bear Lake</x:v>
      </x:c>
      <x:c r="B1116" s="8" t="str">
        <x:v>5093</x:v>
      </x:c>
      <x:c r="C1116" s="17" t="n">
        <x:v>2022</x:v>
      </x:c>
      <x:c r="D1116" s="8" t="str">
        <x:v>BROOK TROUT</x:v>
      </x:c>
      <x:c r="E1116" s="13" t="n">
        <x:f>SUMIFS('Stocking details'!$F$6:$F$3307,'Stocking details'!$I$6:$I$3307,G1116)</x:f>
        <x:v>12200</x:v>
      </x:c>
      <x:c r="F1116" s="13" t="n">
        <x:f>COUNTIFS('Stocking details'!$I$6:$I$3307,G1116)</x:f>
        <x:v>3</x:v>
      </x:c>
      <x:c r="G1116" s="8" t="str">
        <x:f>B1116&amp;" / "&amp;C1116&amp;" / "&amp;D1116</x:f>
        <x:v>5093 / 2022 / BROOK TROUT</x:v>
      </x:c>
    </x:row>
    <x:row r="1117" ht="23" customHeight="1">
      <x:c r="A1117" s="8" t="str">
        <x:v>Little Bear Lake</x:v>
      </x:c>
      <x:c r="B1117" s="8" t="str">
        <x:v>5093</x:v>
      </x:c>
      <x:c r="C1117" s="17" t="n">
        <x:v>2022</x:v>
      </x:c>
      <x:c r="D1117" s="8" t="str">
        <x:v>RAINBOW TROUT</x:v>
      </x:c>
      <x:c r="E1117" s="13" t="n">
        <x:f>SUMIFS('Stocking details'!$F$6:$F$3307,'Stocking details'!$I$6:$I$3307,G1117)</x:f>
        <x:v>16257</x:v>
      </x:c>
      <x:c r="F1117" s="13" t="n">
        <x:f>COUNTIFS('Stocking details'!$I$6:$I$3307,G1117)</x:f>
        <x:v>7</x:v>
      </x:c>
      <x:c r="G1117" s="8" t="str">
        <x:f>B1117&amp;" / "&amp;C1117&amp;" / "&amp;D1117</x:f>
        <x:v>5093 / 2022 / RAINBOW TROUT</x:v>
      </x:c>
    </x:row>
    <x:row r="1118" ht="23" customHeight="1">
      <x:c r="A1118" s="8" t="str">
        <x:v>Little Bear Lake</x:v>
      </x:c>
      <x:c r="B1118" s="8" t="str">
        <x:v>5093</x:v>
      </x:c>
      <x:c r="C1118" s="17" t="n">
        <x:v>2022</x:v>
      </x:c>
      <x:c r="D1118" s="8" t="str">
        <x:v>TIGER TROUT</x:v>
      </x:c>
      <x:c r="E1118" s="13" t="n">
        <x:f>SUMIFS('Stocking details'!$F$6:$F$3307,'Stocking details'!$I$6:$I$3307,G1118)</x:f>
        <x:v>8280</x:v>
      </x:c>
      <x:c r="F1118" s="13" t="n">
        <x:f>COUNTIFS('Stocking details'!$I$6:$I$3307,G1118)</x:f>
        <x:v>3</x:v>
      </x:c>
      <x:c r="G1118" s="8" t="str">
        <x:f>B1118&amp;" / "&amp;C1118&amp;" / "&amp;D1118</x:f>
        <x:v>5093 / 2022 / TIGER TROUT</x:v>
      </x:c>
    </x:row>
    <x:row r="1119" ht="23" customHeight="1">
      <x:c r="A1119" s="8" t="str">
        <x:v>Little Bear Lake</x:v>
      </x:c>
      <x:c r="B1119" s="8" t="str">
        <x:v>5093</x:v>
      </x:c>
      <x:c r="C1119" s="17" t="n">
        <x:v>2021</x:v>
      </x:c>
      <x:c r="D1119" s="8" t="str">
        <x:v>BROOK TROUT</x:v>
      </x:c>
      <x:c r="E1119" s="13" t="n">
        <x:f>SUMIFS('Stocking details'!$F$6:$F$3307,'Stocking details'!$I$6:$I$3307,G1119)</x:f>
        <x:v>2200</x:v>
      </x:c>
      <x:c r="F1119" s="13" t="n">
        <x:f>COUNTIFS('Stocking details'!$I$6:$I$3307,G1119)</x:f>
        <x:v>1</x:v>
      </x:c>
      <x:c r="G1119" s="8" t="str">
        <x:f>B1119&amp;" / "&amp;C1119&amp;" / "&amp;D1119</x:f>
        <x:v>5093 / 2021 / BROOK TROUT</x:v>
      </x:c>
    </x:row>
    <x:row r="1120" ht="23" customHeight="1">
      <x:c r="A1120" s="8" t="str">
        <x:v>Little Bear Lake</x:v>
      </x:c>
      <x:c r="B1120" s="8" t="str">
        <x:v>5093</x:v>
      </x:c>
      <x:c r="C1120" s="17" t="n">
        <x:v>2021</x:v>
      </x:c>
      <x:c r="D1120" s="8" t="str">
        <x:v>RAINBOW TROUT</x:v>
      </x:c>
      <x:c r="E1120" s="13" t="n">
        <x:f>SUMIFS('Stocking details'!$F$6:$F$3307,'Stocking details'!$I$6:$I$3307,G1120)</x:f>
        <x:v>21679</x:v>
      </x:c>
      <x:c r="F1120" s="13" t="n">
        <x:f>COUNTIFS('Stocking details'!$I$6:$I$3307,G1120)</x:f>
        <x:v>7</x:v>
      </x:c>
      <x:c r="G1120" s="8" t="str">
        <x:f>B1120&amp;" / "&amp;C1120&amp;" / "&amp;D1120</x:f>
        <x:v>5093 / 2021 / RAINBOW TROUT</x:v>
      </x:c>
    </x:row>
    <x:row r="1121" ht="23" customHeight="1">
      <x:c r="A1121" s="8" t="str">
        <x:v>Little Bear Lake</x:v>
      </x:c>
      <x:c r="B1121" s="8" t="str">
        <x:v>5093</x:v>
      </x:c>
      <x:c r="C1121" s="17" t="n">
        <x:v>2021</x:v>
      </x:c>
      <x:c r="D1121" s="8" t="str">
        <x:v>TIGER TROUT</x:v>
      </x:c>
      <x:c r="E1121" s="13" t="n">
        <x:f>SUMIFS('Stocking details'!$F$6:$F$3307,'Stocking details'!$I$6:$I$3307,G1121)</x:f>
        <x:v>4543</x:v>
      </x:c>
      <x:c r="F1121" s="13" t="n">
        <x:f>COUNTIFS('Stocking details'!$I$6:$I$3307,G1121)</x:f>
        <x:v>2</x:v>
      </x:c>
      <x:c r="G1121" s="8" t="str">
        <x:f>B1121&amp;" / "&amp;C1121&amp;" / "&amp;D1121</x:f>
        <x:v>5093 / 2021 / TIGER TROUT</x:v>
      </x:c>
    </x:row>
    <x:row r="1122" ht="23" customHeight="1">
      <x:c r="A1122" s="8" t="str">
        <x:v>Little Beaverdam Lake</x:v>
      </x:c>
      <x:c r="B1122" s="8" t="str">
        <x:v>6767</x:v>
      </x:c>
      <x:c r="C1122" s="17" t="n">
        <x:v>2026</x:v>
      </x:c>
      <x:c r="D1122" s="8" t="str">
        <x:v>TIGER TROUT</x:v>
      </x:c>
      <x:c r="E1122" s="13" t="n">
        <x:f>SUMIFS('Stocking details'!$F$6:$F$3307,'Stocking details'!$I$6:$I$3307,G1122)</x:f>
        <x:v>1000</x:v>
      </x:c>
      <x:c r="F1122" s="13" t="n">
        <x:f>COUNTIFS('Stocking details'!$I$6:$I$3307,G1122)</x:f>
        <x:v>1</x:v>
      </x:c>
      <x:c r="G1122" s="8" t="str">
        <x:f>B1122&amp;" / "&amp;C1122&amp;" / "&amp;D1122</x:f>
        <x:v>6767 / 2026 / TIGER TROUT</x:v>
      </x:c>
    </x:row>
    <x:row r="1123" ht="23" customHeight="1">
      <x:c r="A1123" s="8" t="str">
        <x:v>Little Beaverdam Lake</x:v>
      </x:c>
      <x:c r="B1123" s="8" t="str">
        <x:v>6767</x:v>
      </x:c>
      <x:c r="C1123" s="17" t="n">
        <x:v>2025</x:v>
      </x:c>
      <x:c r="D1123" s="8" t="str">
        <x:v>TIGER TROUT</x:v>
      </x:c>
      <x:c r="E1123" s="13" t="n">
        <x:f>SUMIFS('Stocking details'!$F$6:$F$3307,'Stocking details'!$I$6:$I$3307,G1123)</x:f>
        <x:v>1000</x:v>
      </x:c>
      <x:c r="F1123" s="13" t="n">
        <x:f>COUNTIFS('Stocking details'!$I$6:$I$3307,G1123)</x:f>
        <x:v>1</x:v>
      </x:c>
      <x:c r="G1123" s="8" t="str">
        <x:f>B1123&amp;" / "&amp;C1123&amp;" / "&amp;D1123</x:f>
        <x:v>6767 / 2025 / TIGER TROUT</x:v>
      </x:c>
    </x:row>
    <x:row r="1124" ht="23" customHeight="1">
      <x:c r="A1124" s="8" t="str">
        <x:v>Little Beaverdam Lake</x:v>
      </x:c>
      <x:c r="B1124" s="8" t="str">
        <x:v>6767</x:v>
      </x:c>
      <x:c r="C1124" s="17" t="n">
        <x:v>2024</x:v>
      </x:c>
      <x:c r="D1124" s="8" t="str">
        <x:v>TIGER TROUT</x:v>
      </x:c>
      <x:c r="E1124" s="13" t="n">
        <x:f>SUMIFS('Stocking details'!$F$6:$F$3307,'Stocking details'!$I$6:$I$3307,G1124)</x:f>
        <x:v>1000</x:v>
      </x:c>
      <x:c r="F1124" s="13" t="n">
        <x:f>COUNTIFS('Stocking details'!$I$6:$I$3307,G1124)</x:f>
        <x:v>1</x:v>
      </x:c>
      <x:c r="G1124" s="8" t="str">
        <x:f>B1124&amp;" / "&amp;C1124&amp;" / "&amp;D1124</x:f>
        <x:v>6767 / 2024 / TIGER TROUT</x:v>
      </x:c>
    </x:row>
    <x:row r="1125" ht="23" customHeight="1">
      <x:c r="A1125" s="8" t="str">
        <x:v>Little Beaverdam Lake</x:v>
      </x:c>
      <x:c r="B1125" s="8" t="str">
        <x:v>6767</x:v>
      </x:c>
      <x:c r="C1125" s="17" t="n">
        <x:v>2023</x:v>
      </x:c>
      <x:c r="D1125" s="8" t="str">
        <x:v>TIGER TROUT</x:v>
      </x:c>
      <x:c r="E1125" s="13" t="n">
        <x:f>SUMIFS('Stocking details'!$F$6:$F$3307,'Stocking details'!$I$6:$I$3307,G1125)</x:f>
        <x:v>1000</x:v>
      </x:c>
      <x:c r="F1125" s="13" t="n">
        <x:f>COUNTIFS('Stocking details'!$I$6:$I$3307,G1125)</x:f>
        <x:v>1</x:v>
      </x:c>
      <x:c r="G1125" s="8" t="str">
        <x:f>B1125&amp;" / "&amp;C1125&amp;" / "&amp;D1125</x:f>
        <x:v>6767 / 2023 / TIGER TROUT</x:v>
      </x:c>
    </x:row>
    <x:row r="1126" ht="23" customHeight="1">
      <x:c r="A1126" s="8" t="str">
        <x:v>Little Beaverdam Lake</x:v>
      </x:c>
      <x:c r="B1126" s="8" t="str">
        <x:v>6767</x:v>
      </x:c>
      <x:c r="C1126" s="17" t="n">
        <x:v>2022</x:v>
      </x:c>
      <x:c r="D1126" s="8" t="str">
        <x:v>TIGER TROUT</x:v>
      </x:c>
      <x:c r="E1126" s="13" t="n">
        <x:f>SUMIFS('Stocking details'!$F$6:$F$3307,'Stocking details'!$I$6:$I$3307,G1126)</x:f>
        <x:v>1000</x:v>
      </x:c>
      <x:c r="F1126" s="13" t="n">
        <x:f>COUNTIFS('Stocking details'!$I$6:$I$3307,G1126)</x:f>
        <x:v>1</x:v>
      </x:c>
      <x:c r="G1126" s="8" t="str">
        <x:f>B1126&amp;" / "&amp;C1126&amp;" / "&amp;D1126</x:f>
        <x:v>6767 / 2022 / TIGER TROUT</x:v>
      </x:c>
    </x:row>
    <x:row r="1127" ht="23" customHeight="1">
      <x:c r="A1127" s="8" t="str">
        <x:v>Little Bow Lake Reservoir</x:v>
      </x:c>
      <x:c r="B1127" s="8" t="str">
        <x:v>3515</x:v>
      </x:c>
      <x:c r="C1127" s="17" t="n">
        <x:v>2023</x:v>
      </x:c>
      <x:c r="D1127" s="8" t="str">
        <x:v>WALLEYE</x:v>
      </x:c>
      <x:c r="E1127" s="13" t="n">
        <x:f>SUMIFS('Stocking details'!$F$6:$F$3307,'Stocking details'!$I$6:$I$3307,G1127)</x:f>
        <x:v>154700</x:v>
      </x:c>
      <x:c r="F1127" s="13" t="n">
        <x:f>COUNTIFS('Stocking details'!$I$6:$I$3307,G1127)</x:f>
        <x:v>1</x:v>
      </x:c>
      <x:c r="G1127" s="8" t="str">
        <x:f>B1127&amp;" / "&amp;C1127&amp;" / "&amp;D1127</x:f>
        <x:v>3515 / 2023 / WALLEYE</x:v>
      </x:c>
    </x:row>
    <x:row r="1128" ht="23" customHeight="1">
      <x:c r="A1128" s="8" t="str">
        <x:v>Little Bow Lake Reservoir</x:v>
      </x:c>
      <x:c r="B1128" s="8" t="str">
        <x:v>3515</x:v>
      </x:c>
      <x:c r="C1128" s="17" t="n">
        <x:v>2022</x:v>
      </x:c>
      <x:c r="D1128" s="8" t="str">
        <x:v>WALLEYE</x:v>
      </x:c>
      <x:c r="E1128" s="13" t="n">
        <x:f>SUMIFS('Stocking details'!$F$6:$F$3307,'Stocking details'!$I$6:$I$3307,G1128)</x:f>
        <x:v>54700</x:v>
      </x:c>
      <x:c r="F1128" s="13" t="n">
        <x:f>COUNTIFS('Stocking details'!$I$6:$I$3307,G1128)</x:f>
        <x:v>1</x:v>
      </x:c>
      <x:c r="G1128" s="8" t="str">
        <x:f>B1128&amp;" / "&amp;C1128&amp;" / "&amp;D1128</x:f>
        <x:v>3515 / 2022 / WALLEYE</x:v>
      </x:c>
    </x:row>
    <x:row r="1129" ht="23" customHeight="1">
      <x:c r="A1129" s="8" t="str">
        <x:v>Little Bow Lake Reservoir</x:v>
      </x:c>
      <x:c r="B1129" s="8" t="str">
        <x:v>3515</x:v>
      </x:c>
      <x:c r="C1129" s="17" t="n">
        <x:v>2021</x:v>
      </x:c>
      <x:c r="D1129" s="8" t="str">
        <x:v>WALLEYE</x:v>
      </x:c>
      <x:c r="E1129" s="13" t="n">
        <x:f>SUMIFS('Stocking details'!$F$6:$F$3307,'Stocking details'!$I$6:$I$3307,G1129)</x:f>
        <x:v>103954</x:v>
      </x:c>
      <x:c r="F1129" s="13" t="n">
        <x:f>COUNTIFS('Stocking details'!$I$6:$I$3307,G1129)</x:f>
        <x:v>3</x:v>
      </x:c>
      <x:c r="G1129" s="8" t="str">
        <x:f>B1129&amp;" / "&amp;C1129&amp;" / "&amp;D1129</x:f>
        <x:v>3515 / 2021 / WALLEYE</x:v>
      </x:c>
    </x:row>
    <x:row r="1130" ht="23" customHeight="1">
      <x:c r="A1130" s="8" t="str">
        <x:v>Little Fish Lake</x:v>
      </x:c>
      <x:c r="B1130" s="8" t="str">
        <x:v>5099</x:v>
      </x:c>
      <x:c r="C1130" s="17" t="n">
        <x:v>2021</x:v>
      </x:c>
      <x:c r="D1130" s="8" t="str">
        <x:v>NORTHERN PIKE</x:v>
      </x:c>
      <x:c r="E1130" s="13" t="n">
        <x:f>SUMIFS('Stocking details'!$F$6:$F$3307,'Stocking details'!$I$6:$I$3307,G1130)</x:f>
        <x:v>218</x:v>
      </x:c>
      <x:c r="F1130" s="13" t="n">
        <x:f>COUNTIFS('Stocking details'!$I$6:$I$3307,G1130)</x:f>
        <x:v>1</x:v>
      </x:c>
      <x:c r="G1130" s="8" t="str">
        <x:f>B1130&amp;" / "&amp;C1130&amp;" / "&amp;D1130</x:f>
        <x:v>5099 / 2021 / NORTHERN PIKE</x:v>
      </x:c>
    </x:row>
    <x:row r="1131" ht="23" customHeight="1">
      <x:c r="A1131" s="8" t="str">
        <x:v>Lloydminster Pond</x:v>
      </x:c>
      <x:c r="B1131" s="8" t="str">
        <x:v>6760</x:v>
      </x:c>
      <x:c r="C1131" s="17" t="n">
        <x:v>2026</x:v>
      </x:c>
      <x:c r="D1131" s="8" t="str">
        <x:v>RAINBOW TROUT</x:v>
      </x:c>
      <x:c r="E1131" s="13" t="n">
        <x:f>SUMIFS('Stocking details'!$F$6:$F$3307,'Stocking details'!$I$6:$I$3307,G1131)</x:f>
        <x:v>500</x:v>
      </x:c>
      <x:c r="F1131" s="13" t="n">
        <x:f>COUNTIFS('Stocking details'!$I$6:$I$3307,G1131)</x:f>
        <x:v>1</x:v>
      </x:c>
      <x:c r="G1131" s="8" t="str">
        <x:f>B1131&amp;" / "&amp;C1131&amp;" / "&amp;D1131</x:f>
        <x:v>6760 / 2026 / RAINBOW TROUT</x:v>
      </x:c>
    </x:row>
    <x:row r="1132" ht="23" customHeight="1">
      <x:c r="A1132" s="8" t="str">
        <x:v>Lloydminster Pond</x:v>
      </x:c>
      <x:c r="B1132" s="8" t="str">
        <x:v>6760</x:v>
      </x:c>
      <x:c r="C1132" s="17" t="n">
        <x:v>2025</x:v>
      </x:c>
      <x:c r="D1132" s="8" t="str">
        <x:v>RAINBOW TROUT</x:v>
      </x:c>
      <x:c r="E1132" s="13" t="n">
        <x:f>SUMIFS('Stocking details'!$F$6:$F$3307,'Stocking details'!$I$6:$I$3307,G1132)</x:f>
        <x:v>500</x:v>
      </x:c>
      <x:c r="F1132" s="13" t="n">
        <x:f>COUNTIFS('Stocking details'!$I$6:$I$3307,G1132)</x:f>
        <x:v>1</x:v>
      </x:c>
      <x:c r="G1132" s="8" t="str">
        <x:f>B1132&amp;" / "&amp;C1132&amp;" / "&amp;D1132</x:f>
        <x:v>6760 / 2025 / RAINBOW TROUT</x:v>
      </x:c>
    </x:row>
    <x:row r="1133" ht="23" customHeight="1">
      <x:c r="A1133" s="8" t="str">
        <x:v>Lloydminster Pond</x:v>
      </x:c>
      <x:c r="B1133" s="8" t="str">
        <x:v>6760</x:v>
      </x:c>
      <x:c r="C1133" s="17" t="n">
        <x:v>2024</x:v>
      </x:c>
      <x:c r="D1133" s="8" t="str">
        <x:v>RAINBOW TROUT</x:v>
      </x:c>
      <x:c r="E1133" s="13" t="n">
        <x:f>SUMIFS('Stocking details'!$F$6:$F$3307,'Stocking details'!$I$6:$I$3307,G1133)</x:f>
        <x:v>200</x:v>
      </x:c>
      <x:c r="F1133" s="13" t="n">
        <x:f>COUNTIFS('Stocking details'!$I$6:$I$3307,G1133)</x:f>
        <x:v>1</x:v>
      </x:c>
      <x:c r="G1133" s="8" t="str">
        <x:f>B1133&amp;" / "&amp;C1133&amp;" / "&amp;D1133</x:f>
        <x:v>6760 / 2024 / RAINBOW TROUT</x:v>
      </x:c>
    </x:row>
    <x:row r="1134" ht="23" customHeight="1">
      <x:c r="A1134" s="8" t="str">
        <x:v>Lloydminster Pond</x:v>
      </x:c>
      <x:c r="B1134" s="8" t="str">
        <x:v>6760</x:v>
      </x:c>
      <x:c r="C1134" s="17" t="n">
        <x:v>2023</x:v>
      </x:c>
      <x:c r="D1134" s="8" t="str">
        <x:v>RAINBOW TROUT</x:v>
      </x:c>
      <x:c r="E1134" s="13" t="n">
        <x:f>SUMIFS('Stocking details'!$F$6:$F$3307,'Stocking details'!$I$6:$I$3307,G1134)</x:f>
        <x:v>200</x:v>
      </x:c>
      <x:c r="F1134" s="13" t="n">
        <x:f>COUNTIFS('Stocking details'!$I$6:$I$3307,G1134)</x:f>
        <x:v>1</x:v>
      </x:c>
      <x:c r="G1134" s="8" t="str">
        <x:f>B1134&amp;" / "&amp;C1134&amp;" / "&amp;D1134</x:f>
        <x:v>6760 / 2023 / RAINBOW TROUT</x:v>
      </x:c>
    </x:row>
    <x:row r="1135" ht="23" customHeight="1">
      <x:c r="A1135" s="8" t="str">
        <x:v>Lloydminster Pond</x:v>
      </x:c>
      <x:c r="B1135" s="8" t="str">
        <x:v>6760</x:v>
      </x:c>
      <x:c r="C1135" s="17" t="n">
        <x:v>2022</x:v>
      </x:c>
      <x:c r="D1135" s="8" t="str">
        <x:v>RAINBOW TROUT</x:v>
      </x:c>
      <x:c r="E1135" s="13" t="n">
        <x:f>SUMIFS('Stocking details'!$F$6:$F$3307,'Stocking details'!$I$6:$I$3307,G1135)</x:f>
        <x:v>500</x:v>
      </x:c>
      <x:c r="F1135" s="13" t="n">
        <x:f>COUNTIFS('Stocking details'!$I$6:$I$3307,G1135)</x:f>
        <x:v>1</x:v>
      </x:c>
      <x:c r="G1135" s="8" t="str">
        <x:f>B1135&amp;" / "&amp;C1135&amp;" / "&amp;D1135</x:f>
        <x:v>6760 / 2022 / RAINBOW TROUT</x:v>
      </x:c>
    </x:row>
    <x:row r="1136" ht="23" customHeight="1">
      <x:c r="A1136" s="8" t="str">
        <x:v>Lloydminster Pond</x:v>
      </x:c>
      <x:c r="B1136" s="8" t="str">
        <x:v>6760</x:v>
      </x:c>
      <x:c r="C1136" s="17" t="n">
        <x:v>2021</x:v>
      </x:c>
      <x:c r="D1136" s="8" t="str">
        <x:v>RAINBOW TROUT</x:v>
      </x:c>
      <x:c r="E1136" s="13" t="n">
        <x:f>SUMIFS('Stocking details'!$F$6:$F$3307,'Stocking details'!$I$6:$I$3307,G1136)</x:f>
        <x:v>500</x:v>
      </x:c>
      <x:c r="F1136" s="13" t="n">
        <x:f>COUNTIFS('Stocking details'!$I$6:$I$3307,G1136)</x:f>
        <x:v>1</x:v>
      </x:c>
      <x:c r="G1136" s="8" t="str">
        <x:f>B1136&amp;" / "&amp;C1136&amp;" / "&amp;D1136</x:f>
        <x:v>6760 / 2021 / RAINBOW TROUT</x:v>
      </x:c>
    </x:row>
    <x:row r="1137" ht="23" customHeight="1">
      <x:c r="A1137" s="8" t="str">
        <x:v>Lodgepole Pond</x:v>
      </x:c>
      <x:c r="B1137" s="8" t="str">
        <x:v>395186</x:v>
      </x:c>
      <x:c r="C1137" s="17" t="n">
        <x:v>2026</x:v>
      </x:c>
      <x:c r="D1137" s="8" t="str">
        <x:v>RAINBOW TROUT</x:v>
      </x:c>
      <x:c r="E1137" s="13" t="n">
        <x:f>SUMIFS('Stocking details'!$F$6:$F$3307,'Stocking details'!$I$6:$I$3307,G1137)</x:f>
        <x:v>200</x:v>
      </x:c>
      <x:c r="F1137" s="13" t="n">
        <x:f>COUNTIFS('Stocking details'!$I$6:$I$3307,G1137)</x:f>
        <x:v>1</x:v>
      </x:c>
      <x:c r="G1137" s="8" t="str">
        <x:f>B1137&amp;" / "&amp;C1137&amp;" / "&amp;D1137</x:f>
        <x:v>395186 / 2026 / RAINBOW TROUT</x:v>
      </x:c>
    </x:row>
    <x:row r="1138" ht="23" customHeight="1">
      <x:c r="A1138" s="8" t="str">
        <x:v>Lodgepole Pond</x:v>
      </x:c>
      <x:c r="B1138" s="8" t="str">
        <x:v>395186</x:v>
      </x:c>
      <x:c r="C1138" s="17" t="n">
        <x:v>2025</x:v>
      </x:c>
      <x:c r="D1138" s="8" t="str">
        <x:v>RAINBOW TROUT</x:v>
      </x:c>
      <x:c r="E1138" s="13" t="n">
        <x:f>SUMIFS('Stocking details'!$F$6:$F$3307,'Stocking details'!$I$6:$I$3307,G1138)</x:f>
        <x:v>200</x:v>
      </x:c>
      <x:c r="F1138" s="13" t="n">
        <x:f>COUNTIFS('Stocking details'!$I$6:$I$3307,G1138)</x:f>
        <x:v>1</x:v>
      </x:c>
      <x:c r="G1138" s="8" t="str">
        <x:f>B1138&amp;" / "&amp;C1138&amp;" / "&amp;D1138</x:f>
        <x:v>395186 / 2025 / RAINBOW TROUT</x:v>
      </x:c>
    </x:row>
    <x:row r="1139" ht="23" customHeight="1">
      <x:c r="A1139" s="8" t="str">
        <x:v>Lodgepole Pond</x:v>
      </x:c>
      <x:c r="B1139" s="8" t="str">
        <x:v>395186</x:v>
      </x:c>
      <x:c r="C1139" s="17" t="n">
        <x:v>2024</x:v>
      </x:c>
      <x:c r="D1139" s="8" t="str">
        <x:v>RAINBOW TROUT</x:v>
      </x:c>
      <x:c r="E1139" s="13" t="n">
        <x:f>SUMIFS('Stocking details'!$F$6:$F$3307,'Stocking details'!$I$6:$I$3307,G1139)</x:f>
        <x:v>100</x:v>
      </x:c>
      <x:c r="F1139" s="13" t="n">
        <x:f>COUNTIFS('Stocking details'!$I$6:$I$3307,G1139)</x:f>
        <x:v>1</x:v>
      </x:c>
      <x:c r="G1139" s="8" t="str">
        <x:f>B1139&amp;" / "&amp;C1139&amp;" / "&amp;D1139</x:f>
        <x:v>395186 / 2024 / RAINBOW TROUT</x:v>
      </x:c>
    </x:row>
    <x:row r="1140" ht="23" customHeight="1">
      <x:c r="A1140" s="8" t="str">
        <x:v>Lodgepole Pond</x:v>
      </x:c>
      <x:c r="B1140" s="8" t="str">
        <x:v>395186</x:v>
      </x:c>
      <x:c r="C1140" s="17" t="n">
        <x:v>2023</x:v>
      </x:c>
      <x:c r="D1140" s="8" t="str">
        <x:v>RAINBOW TROUT</x:v>
      </x:c>
      <x:c r="E1140" s="13" t="n">
        <x:f>SUMIFS('Stocking details'!$F$6:$F$3307,'Stocking details'!$I$6:$I$3307,G1140)</x:f>
        <x:v>100</x:v>
      </x:c>
      <x:c r="F1140" s="13" t="n">
        <x:f>COUNTIFS('Stocking details'!$I$6:$I$3307,G1140)</x:f>
        <x:v>1</x:v>
      </x:c>
      <x:c r="G1140" s="8" t="str">
        <x:f>B1140&amp;" / "&amp;C1140&amp;" / "&amp;D1140</x:f>
        <x:v>395186 / 2023 / RAINBOW TROUT</x:v>
      </x:c>
    </x:row>
    <x:row r="1141" ht="23" customHeight="1">
      <x:c r="A1141" s="8" t="str">
        <x:v>Lodgepole Pond</x:v>
      </x:c>
      <x:c r="B1141" s="8" t="str">
        <x:v>395186</x:v>
      </x:c>
      <x:c r="C1141" s="17" t="n">
        <x:v>2022</x:v>
      </x:c>
      <x:c r="D1141" s="8" t="str">
        <x:v>RAINBOW TROUT</x:v>
      </x:c>
      <x:c r="E1141" s="13" t="n">
        <x:f>SUMIFS('Stocking details'!$F$6:$F$3307,'Stocking details'!$I$6:$I$3307,G1141)</x:f>
        <x:v>200</x:v>
      </x:c>
      <x:c r="F1141" s="13" t="n">
        <x:f>COUNTIFS('Stocking details'!$I$6:$I$3307,G1141)</x:f>
        <x:v>1</x:v>
      </x:c>
      <x:c r="G1141" s="8" t="str">
        <x:f>B1141&amp;" / "&amp;C1141&amp;" / "&amp;D1141</x:f>
        <x:v>395186 / 2022 / RAINBOW TROUT</x:v>
      </x:c>
    </x:row>
    <x:row r="1142" ht="23" customHeight="1">
      <x:c r="A1142" s="8" t="str">
        <x:v>Lodgepole Pond</x:v>
      </x:c>
      <x:c r="B1142" s="8" t="str">
        <x:v>395186</x:v>
      </x:c>
      <x:c r="C1142" s="17" t="n">
        <x:v>2021</x:v>
      </x:c>
      <x:c r="D1142" s="8" t="str">
        <x:v>RAINBOW TROUT</x:v>
      </x:c>
      <x:c r="E1142" s="13" t="n">
        <x:f>SUMIFS('Stocking details'!$F$6:$F$3307,'Stocking details'!$I$6:$I$3307,G1142)</x:f>
        <x:v>200</x:v>
      </x:c>
      <x:c r="F1142" s="13" t="n">
        <x:f>COUNTIFS('Stocking details'!$I$6:$I$3307,G1142)</x:f>
        <x:v>1</x:v>
      </x:c>
      <x:c r="G1142" s="8" t="str">
        <x:f>B1142&amp;" / "&amp;C1142&amp;" / "&amp;D1142</x:f>
        <x:v>395186 / 2021 / RAINBOW TROUT</x:v>
      </x:c>
    </x:row>
    <x:row r="1143" ht="23" customHeight="1">
      <x:c r="A1143" s="8" t="str">
        <x:v>Loomis Lake</x:v>
      </x:c>
      <x:c r="B1143" s="8" t="str">
        <x:v>5149</x:v>
      </x:c>
      <x:c r="C1143" s="17" t="n">
        <x:v>2021</x:v>
      </x:c>
      <x:c r="D1143" s="8" t="str">
        <x:v>CUTTHROAT TROUT</x:v>
      </x:c>
      <x:c r="E1143" s="13" t="n">
        <x:f>SUMIFS('Stocking details'!$F$6:$F$3307,'Stocking details'!$I$6:$I$3307,G1143)</x:f>
        <x:v>350</x:v>
      </x:c>
      <x:c r="F1143" s="13" t="n">
        <x:f>COUNTIFS('Stocking details'!$I$6:$I$3307,G1143)</x:f>
        <x:v>1</x:v>
      </x:c>
      <x:c r="G1143" s="8" t="str">
        <x:f>B1143&amp;" / "&amp;C1143&amp;" / "&amp;D1143</x:f>
        <x:v>5149 / 2021 / CUTTHROAT TROUT</x:v>
      </x:c>
    </x:row>
    <x:row r="1144" ht="23" customHeight="1">
      <x:c r="A1144" s="8" t="str">
        <x:v>Lost Guide Lake</x:v>
      </x:c>
      <x:c r="B1144" s="8" t="str">
        <x:v>5158</x:v>
      </x:c>
      <x:c r="C1144" s="17" t="n">
        <x:v>2021</x:v>
      </x:c>
      <x:c r="D1144" s="8" t="str">
        <x:v>CUTTHROAT TROUT</x:v>
      </x:c>
      <x:c r="E1144" s="13" t="n">
        <x:f>SUMIFS('Stocking details'!$F$6:$F$3307,'Stocking details'!$I$6:$I$3307,G1144)</x:f>
        <x:v>1200</x:v>
      </x:c>
      <x:c r="F1144" s="13" t="n">
        <x:f>COUNTIFS('Stocking details'!$I$6:$I$3307,G1144)</x:f>
        <x:v>1</x:v>
      </x:c>
      <x:c r="G1144" s="8" t="str">
        <x:f>B1144&amp;" / "&amp;C1144&amp;" / "&amp;D1144</x:f>
        <x:v>5158 / 2021 / CUTTHROAT TROUT</x:v>
      </x:c>
    </x:row>
    <x:row r="1145" ht="23" customHeight="1">
      <x:c r="A1145" s="8" t="str">
        <x:v>Lougheed Trout Pond</x:v>
      </x:c>
      <x:c r="B1145" s="8" t="str">
        <x:v>6761</x:v>
      </x:c>
      <x:c r="C1145" s="17" t="n">
        <x:v>2026</x:v>
      </x:c>
      <x:c r="D1145" s="8" t="str">
        <x:v>RAINBOW TROUT</x:v>
      </x:c>
      <x:c r="E1145" s="13" t="n">
        <x:f>SUMIFS('Stocking details'!$F$6:$F$3307,'Stocking details'!$I$6:$I$3307,G1145)</x:f>
        <x:v>600</x:v>
      </x:c>
      <x:c r="F1145" s="13" t="n">
        <x:f>COUNTIFS('Stocking details'!$I$6:$I$3307,G1145)</x:f>
        <x:v>1</x:v>
      </x:c>
      <x:c r="G1145" s="8" t="str">
        <x:f>B1145&amp;" / "&amp;C1145&amp;" / "&amp;D1145</x:f>
        <x:v>6761 / 2026 / RAINBOW TROUT</x:v>
      </x:c>
    </x:row>
    <x:row r="1146" ht="23" customHeight="1">
      <x:c r="A1146" s="8" t="str">
        <x:v>Lougheed Trout Pond</x:v>
      </x:c>
      <x:c r="B1146" s="8" t="str">
        <x:v>6761</x:v>
      </x:c>
      <x:c r="C1146" s="17" t="n">
        <x:v>2025</x:v>
      </x:c>
      <x:c r="D1146" s="8" t="str">
        <x:v>RAINBOW TROUT</x:v>
      </x:c>
      <x:c r="E1146" s="13" t="n">
        <x:f>SUMIFS('Stocking details'!$F$6:$F$3307,'Stocking details'!$I$6:$I$3307,G1146)</x:f>
        <x:v>600</x:v>
      </x:c>
      <x:c r="F1146" s="13" t="n">
        <x:f>COUNTIFS('Stocking details'!$I$6:$I$3307,G1146)</x:f>
        <x:v>1</x:v>
      </x:c>
      <x:c r="G1146" s="8" t="str">
        <x:f>B1146&amp;" / "&amp;C1146&amp;" / "&amp;D1146</x:f>
        <x:v>6761 / 2025 / RAINBOW TROUT</x:v>
      </x:c>
    </x:row>
    <x:row r="1147" ht="23" customHeight="1">
      <x:c r="A1147" s="8" t="str">
        <x:v>Lougheed Trout Pond</x:v>
      </x:c>
      <x:c r="B1147" s="8" t="str">
        <x:v>6761</x:v>
      </x:c>
      <x:c r="C1147" s="17" t="n">
        <x:v>2024</x:v>
      </x:c>
      <x:c r="D1147" s="8" t="str">
        <x:v>RAINBOW TROUT</x:v>
      </x:c>
      <x:c r="E1147" s="13" t="n">
        <x:f>SUMIFS('Stocking details'!$F$6:$F$3307,'Stocking details'!$I$6:$I$3307,G1147)</x:f>
        <x:v>600</x:v>
      </x:c>
      <x:c r="F1147" s="13" t="n">
        <x:f>COUNTIFS('Stocking details'!$I$6:$I$3307,G1147)</x:f>
        <x:v>1</x:v>
      </x:c>
      <x:c r="G1147" s="8" t="str">
        <x:f>B1147&amp;" / "&amp;C1147&amp;" / "&amp;D1147</x:f>
        <x:v>6761 / 2024 / RAINBOW TROUT</x:v>
      </x:c>
    </x:row>
    <x:row r="1148" ht="23" customHeight="1">
      <x:c r="A1148" s="8" t="str">
        <x:v>Lougheed Trout Pond</x:v>
      </x:c>
      <x:c r="B1148" s="8" t="str">
        <x:v>6761</x:v>
      </x:c>
      <x:c r="C1148" s="17" t="n">
        <x:v>2023</x:v>
      </x:c>
      <x:c r="D1148" s="8" t="str">
        <x:v>RAINBOW TROUT</x:v>
      </x:c>
      <x:c r="E1148" s="13" t="n">
        <x:f>SUMIFS('Stocking details'!$F$6:$F$3307,'Stocking details'!$I$6:$I$3307,G1148)</x:f>
        <x:v>700</x:v>
      </x:c>
      <x:c r="F1148" s="13" t="n">
        <x:f>COUNTIFS('Stocking details'!$I$6:$I$3307,G1148)</x:f>
        <x:v>1</x:v>
      </x:c>
      <x:c r="G1148" s="8" t="str">
        <x:f>B1148&amp;" / "&amp;C1148&amp;" / "&amp;D1148</x:f>
        <x:v>6761 / 2023 / RAINBOW TROUT</x:v>
      </x:c>
    </x:row>
    <x:row r="1149" ht="23" customHeight="1">
      <x:c r="A1149" s="8" t="str">
        <x:v>Lougheed Trout Pond</x:v>
      </x:c>
      <x:c r="B1149" s="8" t="str">
        <x:v>6761</x:v>
      </x:c>
      <x:c r="C1149" s="17" t="n">
        <x:v>2022</x:v>
      </x:c>
      <x:c r="D1149" s="8" t="str">
        <x:v>RAINBOW TROUT</x:v>
      </x:c>
      <x:c r="E1149" s="13" t="n">
        <x:f>SUMIFS('Stocking details'!$F$6:$F$3307,'Stocking details'!$I$6:$I$3307,G1149)</x:f>
        <x:v>1000</x:v>
      </x:c>
      <x:c r="F1149" s="13" t="n">
        <x:f>COUNTIFS('Stocking details'!$I$6:$I$3307,G1149)</x:f>
        <x:v>2</x:v>
      </x:c>
      <x:c r="G1149" s="8" t="str">
        <x:f>B1149&amp;" / "&amp;C1149&amp;" / "&amp;D1149</x:f>
        <x:v>6761 / 2022 / RAINBOW TROUT</x:v>
      </x:c>
    </x:row>
    <x:row r="1150" ht="23" customHeight="1">
      <x:c r="A1150" s="8" t="str">
        <x:v>Lougheed Trout Pond</x:v>
      </x:c>
      <x:c r="B1150" s="8" t="str">
        <x:v>6761</x:v>
      </x:c>
      <x:c r="C1150" s="17" t="n">
        <x:v>2021</x:v>
      </x:c>
      <x:c r="D1150" s="8" t="str">
        <x:v>RAINBOW TROUT</x:v>
      </x:c>
      <x:c r="E1150" s="13" t="n">
        <x:f>SUMIFS('Stocking details'!$F$6:$F$3307,'Stocking details'!$I$6:$I$3307,G1150)</x:f>
        <x:v>700</x:v>
      </x:c>
      <x:c r="F1150" s="13" t="n">
        <x:f>COUNTIFS('Stocking details'!$I$6:$I$3307,G1150)</x:f>
        <x:v>1</x:v>
      </x:c>
      <x:c r="G1150" s="8" t="str">
        <x:f>B1150&amp;" / "&amp;C1150&amp;" / "&amp;D1150</x:f>
        <x:v>6761 / 2021 / RAINBOW TROUT</x:v>
      </x:c>
    </x:row>
    <x:row r="1151" ht="23" customHeight="1">
      <x:c r="A1151" s="8" t="str">
        <x:v>Lovett Lake</x:v>
      </x:c>
      <x:c r="B1151" s="8" t="str">
        <x:v>6658</x:v>
      </x:c>
      <x:c r="C1151" s="17" t="n">
        <x:v>2026</x:v>
      </x:c>
      <x:c r="D1151" s="8" t="str">
        <x:v>RAINBOW TROUT</x:v>
      </x:c>
      <x:c r="E1151" s="13" t="n">
        <x:f>SUMIFS('Stocking details'!$F$6:$F$3307,'Stocking details'!$I$6:$I$3307,G1151)</x:f>
        <x:v>1000</x:v>
      </x:c>
      <x:c r="F1151" s="13" t="n">
        <x:f>COUNTIFS('Stocking details'!$I$6:$I$3307,G1151)</x:f>
        <x:v>1</x:v>
      </x:c>
      <x:c r="G1151" s="8" t="str">
        <x:f>B1151&amp;" / "&amp;C1151&amp;" / "&amp;D1151</x:f>
        <x:v>6658 / 2026 / RAINBOW TROUT</x:v>
      </x:c>
    </x:row>
    <x:row r="1152" ht="23" customHeight="1">
      <x:c r="A1152" s="8" t="str">
        <x:v>Lovett Lake</x:v>
      </x:c>
      <x:c r="B1152" s="8" t="str">
        <x:v>6658</x:v>
      </x:c>
      <x:c r="C1152" s="17" t="n">
        <x:v>2025</x:v>
      </x:c>
      <x:c r="D1152" s="8" t="str">
        <x:v>RAINBOW TROUT</x:v>
      </x:c>
      <x:c r="E1152" s="13" t="n">
        <x:f>SUMIFS('Stocking details'!$F$6:$F$3307,'Stocking details'!$I$6:$I$3307,G1152)</x:f>
        <x:v>1000</x:v>
      </x:c>
      <x:c r="F1152" s="13" t="n">
        <x:f>COUNTIFS('Stocking details'!$I$6:$I$3307,G1152)</x:f>
        <x:v>1</x:v>
      </x:c>
      <x:c r="G1152" s="8" t="str">
        <x:f>B1152&amp;" / "&amp;C1152&amp;" / "&amp;D1152</x:f>
        <x:v>6658 / 2025 / RAINBOW TROUT</x:v>
      </x:c>
    </x:row>
    <x:row r="1153" ht="23" customHeight="1">
      <x:c r="A1153" s="8" t="str">
        <x:v>Lovett Lake</x:v>
      </x:c>
      <x:c r="B1153" s="8" t="str">
        <x:v>6658</x:v>
      </x:c>
      <x:c r="C1153" s="17" t="n">
        <x:v>2024</x:v>
      </x:c>
      <x:c r="D1153" s="8" t="str">
        <x:v>RAINBOW TROUT</x:v>
      </x:c>
      <x:c r="E1153" s="13" t="n">
        <x:f>SUMIFS('Stocking details'!$F$6:$F$3307,'Stocking details'!$I$6:$I$3307,G1153)</x:f>
        <x:v>500</x:v>
      </x:c>
      <x:c r="F1153" s="13" t="n">
        <x:f>COUNTIFS('Stocking details'!$I$6:$I$3307,G1153)</x:f>
        <x:v>1</x:v>
      </x:c>
      <x:c r="G1153" s="8" t="str">
        <x:f>B1153&amp;" / "&amp;C1153&amp;" / "&amp;D1153</x:f>
        <x:v>6658 / 2024 / RAINBOW TROUT</x:v>
      </x:c>
    </x:row>
    <x:row r="1154" ht="23" customHeight="1">
      <x:c r="A1154" s="8" t="str">
        <x:v>Lovett Lake</x:v>
      </x:c>
      <x:c r="B1154" s="8" t="str">
        <x:v>6658</x:v>
      </x:c>
      <x:c r="C1154" s="17" t="n">
        <x:v>2023</x:v>
      </x:c>
      <x:c r="D1154" s="8" t="str">
        <x:v>RAINBOW TROUT</x:v>
      </x:c>
      <x:c r="E1154" s="13" t="n">
        <x:f>SUMIFS('Stocking details'!$F$6:$F$3307,'Stocking details'!$I$6:$I$3307,G1154)</x:f>
        <x:v>502</x:v>
      </x:c>
      <x:c r="F1154" s="13" t="n">
        <x:f>COUNTIFS('Stocking details'!$I$6:$I$3307,G1154)</x:f>
        <x:v>1</x:v>
      </x:c>
      <x:c r="G1154" s="8" t="str">
        <x:f>B1154&amp;" / "&amp;C1154&amp;" / "&amp;D1154</x:f>
        <x:v>6658 / 2023 / RAINBOW TROUT</x:v>
      </x:c>
    </x:row>
    <x:row r="1155" ht="23" customHeight="1">
      <x:c r="A1155" s="8" t="str">
        <x:v>Lovett Lake</x:v>
      </x:c>
      <x:c r="B1155" s="8" t="str">
        <x:v>6658</x:v>
      </x:c>
      <x:c r="C1155" s="17" t="n">
        <x:v>2022</x:v>
      </x:c>
      <x:c r="D1155" s="8" t="str">
        <x:v>RAINBOW TROUT</x:v>
      </x:c>
      <x:c r="E1155" s="13" t="n">
        <x:f>SUMIFS('Stocking details'!$F$6:$F$3307,'Stocking details'!$I$6:$I$3307,G1155)</x:f>
        <x:v>1000</x:v>
      </x:c>
      <x:c r="F1155" s="13" t="n">
        <x:f>COUNTIFS('Stocking details'!$I$6:$I$3307,G1155)</x:f>
        <x:v>1</x:v>
      </x:c>
      <x:c r="G1155" s="8" t="str">
        <x:f>B1155&amp;" / "&amp;C1155&amp;" / "&amp;D1155</x:f>
        <x:v>6658 / 2022 / RAINBOW TROUT</x:v>
      </x:c>
    </x:row>
    <x:row r="1156" ht="23" customHeight="1">
      <x:c r="A1156" s="8" t="str">
        <x:v>Lovett Lake</x:v>
      </x:c>
      <x:c r="B1156" s="8" t="str">
        <x:v>6658</x:v>
      </x:c>
      <x:c r="C1156" s="17" t="n">
        <x:v>2021</x:v>
      </x:c>
      <x:c r="D1156" s="8" t="str">
        <x:v>RAINBOW TROUT</x:v>
      </x:c>
      <x:c r="E1156" s="13" t="n">
        <x:f>SUMIFS('Stocking details'!$F$6:$F$3307,'Stocking details'!$I$6:$I$3307,G1156)</x:f>
        <x:v>1000</x:v>
      </x:c>
      <x:c r="F1156" s="13" t="n">
        <x:f>COUNTIFS('Stocking details'!$I$6:$I$3307,G1156)</x:f>
        <x:v>1</x:v>
      </x:c>
      <x:c r="G1156" s="8" t="str">
        <x:f>B1156&amp;" / "&amp;C1156&amp;" / "&amp;D1156</x:f>
        <x:v>6658 / 2021 / RAINBOW TROUT</x:v>
      </x:c>
    </x:row>
    <x:row r="1157" ht="23" customHeight="1">
      <x:c r="A1157" s="8" t="str">
        <x:v>Lower Burstall Lake</x:v>
      </x:c>
      <x:c r="B1157" s="8" t="str">
        <x:v>6525</x:v>
      </x:c>
      <x:c r="C1157" s="17" t="n">
        <x:v>2025</x:v>
      </x:c>
      <x:c r="D1157" s="8" t="str">
        <x:v>CUTTHROAT TROUT</x:v>
      </x:c>
      <x:c r="E1157" s="13" t="n">
        <x:f>SUMIFS('Stocking details'!$F$6:$F$3307,'Stocking details'!$I$6:$I$3307,G1157)</x:f>
        <x:v>1300</x:v>
      </x:c>
      <x:c r="F1157" s="13" t="n">
        <x:f>COUNTIFS('Stocking details'!$I$6:$I$3307,G1157)</x:f>
        <x:v>1</x:v>
      </x:c>
      <x:c r="G1157" s="8" t="str">
        <x:f>B1157&amp;" / "&amp;C1157&amp;" / "&amp;D1157</x:f>
        <x:v>6525 / 2025 / CUTTHROAT TROUT</x:v>
      </x:c>
    </x:row>
    <x:row r="1158" ht="23" customHeight="1">
      <x:c r="A1158" s="8" t="str">
        <x:v>Lower Burstall Lake</x:v>
      </x:c>
      <x:c r="B1158" s="8" t="str">
        <x:v>6525</x:v>
      </x:c>
      <x:c r="C1158" s="17" t="n">
        <x:v>2021</x:v>
      </x:c>
      <x:c r="D1158" s="8" t="str">
        <x:v>CUTTHROAT TROUT</x:v>
      </x:c>
      <x:c r="E1158" s="13" t="n">
        <x:f>SUMIFS('Stocking details'!$F$6:$F$3307,'Stocking details'!$I$6:$I$3307,G1158)</x:f>
        <x:v>1200</x:v>
      </x:c>
      <x:c r="F1158" s="13" t="n">
        <x:f>COUNTIFS('Stocking details'!$I$6:$I$3307,G1158)</x:f>
        <x:v>1</x:v>
      </x:c>
      <x:c r="G1158" s="8" t="str">
        <x:f>B1158&amp;" / "&amp;C1158&amp;" / "&amp;D1158</x:f>
        <x:v>6525 / 2021 / CUTTHROAT TROUT</x:v>
      </x:c>
    </x:row>
    <x:row r="1159" ht="23" customHeight="1">
      <x:c r="A1159" s="8" t="str">
        <x:v>Lower Chain Lake</x:v>
      </x:c>
      <x:c r="B1159" s="8" t="str">
        <x:v>6528</x:v>
      </x:c>
      <x:c r="C1159" s="17" t="n">
        <x:v>2026</x:v>
      </x:c>
      <x:c r="D1159" s="8" t="str">
        <x:v>BROWN TROUT</x:v>
      </x:c>
      <x:c r="E1159" s="13" t="n">
        <x:f>SUMIFS('Stocking details'!$F$6:$F$3307,'Stocking details'!$I$6:$I$3307,G1159)</x:f>
        <x:v>1000</x:v>
      </x:c>
      <x:c r="F1159" s="13" t="n">
        <x:f>COUNTIFS('Stocking details'!$I$6:$I$3307,G1159)</x:f>
        <x:v>1</x:v>
      </x:c>
      <x:c r="G1159" s="8" t="str">
        <x:f>B1159&amp;" / "&amp;C1159&amp;" / "&amp;D1159</x:f>
        <x:v>6528 / 2026 / BROWN TROUT</x:v>
      </x:c>
    </x:row>
    <x:row r="1160" ht="23" customHeight="1">
      <x:c r="A1160" s="8" t="str">
        <x:v>Lower Chain Lake</x:v>
      </x:c>
      <x:c r="B1160" s="8" t="str">
        <x:v>6528</x:v>
      </x:c>
      <x:c r="C1160" s="17" t="n">
        <x:v>2026</x:v>
      </x:c>
      <x:c r="D1160" s="8" t="str">
        <x:v>RAINBOW TROUT</x:v>
      </x:c>
      <x:c r="E1160" s="13" t="n">
        <x:f>SUMIFS('Stocking details'!$F$6:$F$3307,'Stocking details'!$I$6:$I$3307,G1160)</x:f>
        <x:v>8000</x:v>
      </x:c>
      <x:c r="F1160" s="13" t="n">
        <x:f>COUNTIFS('Stocking details'!$I$6:$I$3307,G1160)</x:f>
        <x:v>1</x:v>
      </x:c>
      <x:c r="G1160" s="8" t="str">
        <x:f>B1160&amp;" / "&amp;C1160&amp;" / "&amp;D1160</x:f>
        <x:v>6528 / 2026 / RAINBOW TROUT</x:v>
      </x:c>
    </x:row>
    <x:row r="1161" ht="23" customHeight="1">
      <x:c r="A1161" s="8" t="str">
        <x:v>Lower Chain Lake</x:v>
      </x:c>
      <x:c r="B1161" s="8" t="str">
        <x:v>6528</x:v>
      </x:c>
      <x:c r="C1161" s="17" t="n">
        <x:v>2025</x:v>
      </x:c>
      <x:c r="D1161" s="8" t="str">
        <x:v>BROWN TROUT</x:v>
      </x:c>
      <x:c r="E1161" s="13" t="n">
        <x:f>SUMIFS('Stocking details'!$F$6:$F$3307,'Stocking details'!$I$6:$I$3307,G1161)</x:f>
        <x:v>1000</x:v>
      </x:c>
      <x:c r="F1161" s="13" t="n">
        <x:f>COUNTIFS('Stocking details'!$I$6:$I$3307,G1161)</x:f>
        <x:v>1</x:v>
      </x:c>
      <x:c r="G1161" s="8" t="str">
        <x:f>B1161&amp;" / "&amp;C1161&amp;" / "&amp;D1161</x:f>
        <x:v>6528 / 2025 / BROWN TROUT</x:v>
      </x:c>
    </x:row>
    <x:row r="1162" ht="23" customHeight="1">
      <x:c r="A1162" s="8" t="str">
        <x:v>Lower Chain Lake</x:v>
      </x:c>
      <x:c r="B1162" s="8" t="str">
        <x:v>6528</x:v>
      </x:c>
      <x:c r="C1162" s="17" t="n">
        <x:v>2025</x:v>
      </x:c>
      <x:c r="D1162" s="8" t="str">
        <x:v>RAINBOW TROUT</x:v>
      </x:c>
      <x:c r="E1162" s="13" t="n">
        <x:f>SUMIFS('Stocking details'!$F$6:$F$3307,'Stocking details'!$I$6:$I$3307,G1162)</x:f>
        <x:v>16600</x:v>
      </x:c>
      <x:c r="F1162" s="13" t="n">
        <x:f>COUNTIFS('Stocking details'!$I$6:$I$3307,G1162)</x:f>
        <x:v>5</x:v>
      </x:c>
      <x:c r="G1162" s="8" t="str">
        <x:f>B1162&amp;" / "&amp;C1162&amp;" / "&amp;D1162</x:f>
        <x:v>6528 / 2025 / RAINBOW TROUT</x:v>
      </x:c>
    </x:row>
    <x:row r="1163" ht="23" customHeight="1">
      <x:c r="A1163" s="8" t="str">
        <x:v>Lower Chain Lake</x:v>
      </x:c>
      <x:c r="B1163" s="8" t="str">
        <x:v>6528</x:v>
      </x:c>
      <x:c r="C1163" s="17" t="n">
        <x:v>2025</x:v>
      </x:c>
      <x:c r="D1163" s="8" t="str">
        <x:v>TIGER TROUT</x:v>
      </x:c>
      <x:c r="E1163" s="13" t="n">
        <x:f>SUMIFS('Stocking details'!$F$6:$F$3307,'Stocking details'!$I$6:$I$3307,G1163)</x:f>
        <x:v>2000</x:v>
      </x:c>
      <x:c r="F1163" s="13" t="n">
        <x:f>COUNTIFS('Stocking details'!$I$6:$I$3307,G1163)</x:f>
        <x:v>1</x:v>
      </x:c>
      <x:c r="G1163" s="8" t="str">
        <x:f>B1163&amp;" / "&amp;C1163&amp;" / "&amp;D1163</x:f>
        <x:v>6528 / 2025 / TIGER TROUT</x:v>
      </x:c>
    </x:row>
    <x:row r="1164" ht="23" customHeight="1">
      <x:c r="A1164" s="8" t="str">
        <x:v>Lower Chain Lake</x:v>
      </x:c>
      <x:c r="B1164" s="8" t="str">
        <x:v>6528</x:v>
      </x:c>
      <x:c r="C1164" s="17" t="n">
        <x:v>2024</x:v>
      </x:c>
      <x:c r="D1164" s="8" t="str">
        <x:v>BROWN TROUT</x:v>
      </x:c>
      <x:c r="E1164" s="13" t="n">
        <x:f>SUMIFS('Stocking details'!$F$6:$F$3307,'Stocking details'!$I$6:$I$3307,G1164)</x:f>
        <x:v>1000</x:v>
      </x:c>
      <x:c r="F1164" s="13" t="n">
        <x:f>COUNTIFS('Stocking details'!$I$6:$I$3307,G1164)</x:f>
        <x:v>1</x:v>
      </x:c>
      <x:c r="G1164" s="8" t="str">
        <x:f>B1164&amp;" / "&amp;C1164&amp;" / "&amp;D1164</x:f>
        <x:v>6528 / 2024 / BROWN TROUT</x:v>
      </x:c>
    </x:row>
    <x:row r="1165" ht="23" customHeight="1">
      <x:c r="A1165" s="8" t="str">
        <x:v>Lower Chain Lake</x:v>
      </x:c>
      <x:c r="B1165" s="8" t="str">
        <x:v>6528</x:v>
      </x:c>
      <x:c r="C1165" s="17" t="n">
        <x:v>2024</x:v>
      </x:c>
      <x:c r="D1165" s="8" t="str">
        <x:v>RAINBOW TROUT</x:v>
      </x:c>
      <x:c r="E1165" s="13" t="n">
        <x:f>SUMIFS('Stocking details'!$F$6:$F$3307,'Stocking details'!$I$6:$I$3307,G1165)</x:f>
        <x:v>11200</x:v>
      </x:c>
      <x:c r="F1165" s="13" t="n">
        <x:f>COUNTIFS('Stocking details'!$I$6:$I$3307,G1165)</x:f>
        <x:v>3</x:v>
      </x:c>
      <x:c r="G1165" s="8" t="str">
        <x:f>B1165&amp;" / "&amp;C1165&amp;" / "&amp;D1165</x:f>
        <x:v>6528 / 2024 / RAINBOW TROUT</x:v>
      </x:c>
    </x:row>
    <x:row r="1166" ht="23" customHeight="1">
      <x:c r="A1166" s="8" t="str">
        <x:v>Lower Chain Lake</x:v>
      </x:c>
      <x:c r="B1166" s="8" t="str">
        <x:v>6528</x:v>
      </x:c>
      <x:c r="C1166" s="17" t="n">
        <x:v>2023</x:v>
      </x:c>
      <x:c r="D1166" s="8" t="str">
        <x:v>BROWN TROUT</x:v>
      </x:c>
      <x:c r="E1166" s="13" t="n">
        <x:f>SUMIFS('Stocking details'!$F$6:$F$3307,'Stocking details'!$I$6:$I$3307,G1166)</x:f>
        <x:v>1000</x:v>
      </x:c>
      <x:c r="F1166" s="13" t="n">
        <x:f>COUNTIFS('Stocking details'!$I$6:$I$3307,G1166)</x:f>
        <x:v>1</x:v>
      </x:c>
      <x:c r="G1166" s="8" t="str">
        <x:f>B1166&amp;" / "&amp;C1166&amp;" / "&amp;D1166</x:f>
        <x:v>6528 / 2023 / BROWN TROUT</x:v>
      </x:c>
    </x:row>
    <x:row r="1167" ht="23" customHeight="1">
      <x:c r="A1167" s="8" t="str">
        <x:v>Lower Chain Lake</x:v>
      </x:c>
      <x:c r="B1167" s="8" t="str">
        <x:v>6528</x:v>
      </x:c>
      <x:c r="C1167" s="17" t="n">
        <x:v>2023</x:v>
      </x:c>
      <x:c r="D1167" s="8" t="str">
        <x:v>RAINBOW TROUT</x:v>
      </x:c>
      <x:c r="E1167" s="13" t="n">
        <x:f>SUMIFS('Stocking details'!$F$6:$F$3307,'Stocking details'!$I$6:$I$3307,G1167)</x:f>
        <x:v>9697</x:v>
      </x:c>
      <x:c r="F1167" s="13" t="n">
        <x:f>COUNTIFS('Stocking details'!$I$6:$I$3307,G1167)</x:f>
        <x:v>3</x:v>
      </x:c>
      <x:c r="G1167" s="8" t="str">
        <x:f>B1167&amp;" / "&amp;C1167&amp;" / "&amp;D1167</x:f>
        <x:v>6528 / 2023 / RAINBOW TROUT</x:v>
      </x:c>
    </x:row>
    <x:row r="1168" ht="23" customHeight="1">
      <x:c r="A1168" s="8" t="str">
        <x:v>Lower Chain Lake</x:v>
      </x:c>
      <x:c r="B1168" s="8" t="str">
        <x:v>6528</x:v>
      </x:c>
      <x:c r="C1168" s="17" t="n">
        <x:v>2023</x:v>
      </x:c>
      <x:c r="D1168" s="8" t="str">
        <x:v>TIGER TROUT</x:v>
      </x:c>
      <x:c r="E1168" s="13" t="n">
        <x:f>SUMIFS('Stocking details'!$F$6:$F$3307,'Stocking details'!$I$6:$I$3307,G1168)</x:f>
        <x:v>2000</x:v>
      </x:c>
      <x:c r="F1168" s="13" t="n">
        <x:f>COUNTIFS('Stocking details'!$I$6:$I$3307,G1168)</x:f>
        <x:v>1</x:v>
      </x:c>
      <x:c r="G1168" s="8" t="str">
        <x:f>B1168&amp;" / "&amp;C1168&amp;" / "&amp;D1168</x:f>
        <x:v>6528 / 2023 / TIGER TROUT</x:v>
      </x:c>
    </x:row>
    <x:row r="1169" ht="23" customHeight="1">
      <x:c r="A1169" s="8" t="str">
        <x:v>Lower Chain Lake</x:v>
      </x:c>
      <x:c r="B1169" s="8" t="str">
        <x:v>6528</x:v>
      </x:c>
      <x:c r="C1169" s="17" t="n">
        <x:v>2022</x:v>
      </x:c>
      <x:c r="D1169" s="8" t="str">
        <x:v>BROWN TROUT</x:v>
      </x:c>
      <x:c r="E1169" s="13" t="n">
        <x:f>SUMIFS('Stocking details'!$F$6:$F$3307,'Stocking details'!$I$6:$I$3307,G1169)</x:f>
        <x:v>1000</x:v>
      </x:c>
      <x:c r="F1169" s="13" t="n">
        <x:f>COUNTIFS('Stocking details'!$I$6:$I$3307,G1169)</x:f>
        <x:v>1</x:v>
      </x:c>
      <x:c r="G1169" s="8" t="str">
        <x:f>B1169&amp;" / "&amp;C1169&amp;" / "&amp;D1169</x:f>
        <x:v>6528 / 2022 / BROWN TROUT</x:v>
      </x:c>
    </x:row>
    <x:row r="1170" ht="23" customHeight="1">
      <x:c r="A1170" s="8" t="str">
        <x:v>Lower Chain Lake</x:v>
      </x:c>
      <x:c r="B1170" s="8" t="str">
        <x:v>6528</x:v>
      </x:c>
      <x:c r="C1170" s="17" t="n">
        <x:v>2022</x:v>
      </x:c>
      <x:c r="D1170" s="8" t="str">
        <x:v>RAINBOW TROUT</x:v>
      </x:c>
      <x:c r="E1170" s="13" t="n">
        <x:f>SUMIFS('Stocking details'!$F$6:$F$3307,'Stocking details'!$I$6:$I$3307,G1170)</x:f>
        <x:v>11000</x:v>
      </x:c>
      <x:c r="F1170" s="13" t="n">
        <x:f>COUNTIFS('Stocking details'!$I$6:$I$3307,G1170)</x:f>
        <x:v>2</x:v>
      </x:c>
      <x:c r="G1170" s="8" t="str">
        <x:f>B1170&amp;" / "&amp;C1170&amp;" / "&amp;D1170</x:f>
        <x:v>6528 / 2022 / RAINBOW TROUT</x:v>
      </x:c>
    </x:row>
    <x:row r="1171" ht="23" customHeight="1">
      <x:c r="A1171" s="8" t="str">
        <x:v>Lower Chain Lake</x:v>
      </x:c>
      <x:c r="B1171" s="8" t="str">
        <x:v>6528</x:v>
      </x:c>
      <x:c r="C1171" s="17" t="n">
        <x:v>2022</x:v>
      </x:c>
      <x:c r="D1171" s="8" t="str">
        <x:v>TIGER TROUT</x:v>
      </x:c>
      <x:c r="E1171" s="13" t="n">
        <x:f>SUMIFS('Stocking details'!$F$6:$F$3307,'Stocking details'!$I$6:$I$3307,G1171)</x:f>
        <x:v>3000</x:v>
      </x:c>
      <x:c r="F1171" s="13" t="n">
        <x:f>COUNTIFS('Stocking details'!$I$6:$I$3307,G1171)</x:f>
        <x:v>1</x:v>
      </x:c>
      <x:c r="G1171" s="8" t="str">
        <x:f>B1171&amp;" / "&amp;C1171&amp;" / "&amp;D1171</x:f>
        <x:v>6528 / 2022 / TIGER TROUT</x:v>
      </x:c>
    </x:row>
    <x:row r="1172" ht="23" customHeight="1">
      <x:c r="A1172" s="8" t="str">
        <x:v>Lower Chain Lake</x:v>
      </x:c>
      <x:c r="B1172" s="8" t="str">
        <x:v>6528</x:v>
      </x:c>
      <x:c r="C1172" s="17" t="n">
        <x:v>2021</x:v>
      </x:c>
      <x:c r="D1172" s="8" t="str">
        <x:v>BROWN TROUT</x:v>
      </x:c>
      <x:c r="E1172" s="13" t="n">
        <x:f>SUMIFS('Stocking details'!$F$6:$F$3307,'Stocking details'!$I$6:$I$3307,G1172)</x:f>
        <x:v>1000</x:v>
      </x:c>
      <x:c r="F1172" s="13" t="n">
        <x:f>COUNTIFS('Stocking details'!$I$6:$I$3307,G1172)</x:f>
        <x:v>1</x:v>
      </x:c>
      <x:c r="G1172" s="8" t="str">
        <x:f>B1172&amp;" / "&amp;C1172&amp;" / "&amp;D1172</x:f>
        <x:v>6528 / 2021 / BROWN TROUT</x:v>
      </x:c>
    </x:row>
    <x:row r="1173" ht="23" customHeight="1">
      <x:c r="A1173" s="8" t="str">
        <x:v>Lower Chain Lake</x:v>
      </x:c>
      <x:c r="B1173" s="8" t="str">
        <x:v>6528</x:v>
      </x:c>
      <x:c r="C1173" s="17" t="n">
        <x:v>2021</x:v>
      </x:c>
      <x:c r="D1173" s="8" t="str">
        <x:v>RAINBOW TROUT</x:v>
      </x:c>
      <x:c r="E1173" s="13" t="n">
        <x:f>SUMIFS('Stocking details'!$F$6:$F$3307,'Stocking details'!$I$6:$I$3307,G1173)</x:f>
        <x:v>11000</x:v>
      </x:c>
      <x:c r="F1173" s="13" t="n">
        <x:f>COUNTIFS('Stocking details'!$I$6:$I$3307,G1173)</x:f>
        <x:v>2</x:v>
      </x:c>
      <x:c r="G1173" s="8" t="str">
        <x:f>B1173&amp;" / "&amp;C1173&amp;" / "&amp;D1173</x:f>
        <x:v>6528 / 2021 / RAINBOW TROUT</x:v>
      </x:c>
    </x:row>
    <x:row r="1174" ht="23" customHeight="1">
      <x:c r="A1174" s="8" t="str">
        <x:v>Lower Chain Lake</x:v>
      </x:c>
      <x:c r="B1174" s="8" t="str">
        <x:v>6528</x:v>
      </x:c>
      <x:c r="C1174" s="17" t="n">
        <x:v>2021</x:v>
      </x:c>
      <x:c r="D1174" s="8" t="str">
        <x:v>TIGER TROUT</x:v>
      </x:c>
      <x:c r="E1174" s="13" t="n">
        <x:f>SUMIFS('Stocking details'!$F$6:$F$3307,'Stocking details'!$I$6:$I$3307,G1174)</x:f>
        <x:v>2000</x:v>
      </x:c>
      <x:c r="F1174" s="13" t="n">
        <x:f>COUNTIFS('Stocking details'!$I$6:$I$3307,G1174)</x:f>
        <x:v>1</x:v>
      </x:c>
      <x:c r="G1174" s="8" t="str">
        <x:f>B1174&amp;" / "&amp;C1174&amp;" / "&amp;D1174</x:f>
        <x:v>6528 / 2021 / TIGER TROUT</x:v>
      </x:c>
    </x:row>
    <x:row r="1175" ht="23" customHeight="1">
      <x:c r="A1175" s="8" t="str">
        <x:v>Lower Champion Lake</x:v>
      </x:c>
      <x:c r="B1175" s="8" t="str">
        <x:v>6608</x:v>
      </x:c>
      <x:c r="C1175" s="17" t="n">
        <x:v>2026</x:v>
      </x:c>
      <x:c r="D1175" s="8" t="str">
        <x:v>WESTSLOPE CUTTHROAT TROUT</x:v>
      </x:c>
      <x:c r="E1175" s="13" t="n">
        <x:f>SUMIFS('Stocking details'!$F$6:$F$3307,'Stocking details'!$I$6:$I$3307,G1175)</x:f>
        <x:v>300</x:v>
      </x:c>
      <x:c r="F1175" s="13" t="n">
        <x:f>COUNTIFS('Stocking details'!$I$6:$I$3307,G1175)</x:f>
        <x:v>1</x:v>
      </x:c>
      <x:c r="G1175" s="8" t="str">
        <x:f>B1175&amp;" / "&amp;C1175&amp;" / "&amp;D1175</x:f>
        <x:v>6608 / 2026 / WESTSLOPE CUTTHROAT TROUT</x:v>
      </x:c>
    </x:row>
    <x:row r="1176" ht="23" customHeight="1">
      <x:c r="A1176" s="8" t="str">
        <x:v>Lower Champion Lake</x:v>
      </x:c>
      <x:c r="B1176" s="8" t="str">
        <x:v>6608</x:v>
      </x:c>
      <x:c r="C1176" s="17" t="n">
        <x:v>2025</x:v>
      </x:c>
      <x:c r="D1176" s="8" t="str">
        <x:v>CUTTHROAT TROUT</x:v>
      </x:c>
      <x:c r="E1176" s="13" t="n">
        <x:f>SUMIFS('Stocking details'!$F$6:$F$3307,'Stocking details'!$I$6:$I$3307,G1176)</x:f>
        <x:v>300</x:v>
      </x:c>
      <x:c r="F1176" s="13" t="n">
        <x:f>COUNTIFS('Stocking details'!$I$6:$I$3307,G1176)</x:f>
        <x:v>1</x:v>
      </x:c>
      <x:c r="G1176" s="8" t="str">
        <x:f>B1176&amp;" / "&amp;C1176&amp;" / "&amp;D1176</x:f>
        <x:v>6608 / 2025 / CUTTHROAT TROUT</x:v>
      </x:c>
    </x:row>
    <x:row r="1177" ht="23" customHeight="1">
      <x:c r="A1177" s="8" t="str">
        <x:v>Lower Champion Lake</x:v>
      </x:c>
      <x:c r="B1177" s="8" t="str">
        <x:v>6608</x:v>
      </x:c>
      <x:c r="C1177" s="17" t="n">
        <x:v>2023</x:v>
      </x:c>
      <x:c r="D1177" s="8" t="str">
        <x:v>CUTTHROAT TROUT</x:v>
      </x:c>
      <x:c r="E1177" s="13" t="n">
        <x:f>SUMIFS('Stocking details'!$F$6:$F$3307,'Stocking details'!$I$6:$I$3307,G1177)</x:f>
        <x:v>300</x:v>
      </x:c>
      <x:c r="F1177" s="13" t="n">
        <x:f>COUNTIFS('Stocking details'!$I$6:$I$3307,G1177)</x:f>
        <x:v>1</x:v>
      </x:c>
      <x:c r="G1177" s="8" t="str">
        <x:f>B1177&amp;" / "&amp;C1177&amp;" / "&amp;D1177</x:f>
        <x:v>6608 / 2023 / CUTTHROAT TROUT</x:v>
      </x:c>
    </x:row>
    <x:row r="1178" ht="23" customHeight="1">
      <x:c r="A1178" s="8" t="str">
        <x:v>Lower Champion Lake</x:v>
      </x:c>
      <x:c r="B1178" s="8" t="str">
        <x:v>6608</x:v>
      </x:c>
      <x:c r="C1178" s="17" t="n">
        <x:v>2022</x:v>
      </x:c>
      <x:c r="D1178" s="8" t="str">
        <x:v>CUTTHROAT TROUT</x:v>
      </x:c>
      <x:c r="E1178" s="13" t="n">
        <x:f>SUMIFS('Stocking details'!$F$6:$F$3307,'Stocking details'!$I$6:$I$3307,G1178)</x:f>
        <x:v>300</x:v>
      </x:c>
      <x:c r="F1178" s="13" t="n">
        <x:f>COUNTIFS('Stocking details'!$I$6:$I$3307,G1178)</x:f>
        <x:v>1</x:v>
      </x:c>
      <x:c r="G1178" s="8" t="str">
        <x:f>B1178&amp;" / "&amp;C1178&amp;" / "&amp;D1178</x:f>
        <x:v>6608 / 2022 / CUTTHROAT TROUT</x:v>
      </x:c>
    </x:row>
    <x:row r="1179" ht="23" customHeight="1">
      <x:c r="A1179" s="8" t="str">
        <x:v>Lower Champion Lake</x:v>
      </x:c>
      <x:c r="B1179" s="8" t="str">
        <x:v>6608</x:v>
      </x:c>
      <x:c r="C1179" s="17" t="n">
        <x:v>2021</x:v>
      </x:c>
      <x:c r="D1179" s="8" t="str">
        <x:v>RAINBOW TROUT</x:v>
      </x:c>
      <x:c r="E1179" s="13" t="n">
        <x:f>SUMIFS('Stocking details'!$F$6:$F$3307,'Stocking details'!$I$6:$I$3307,G1179)</x:f>
        <x:v>300</x:v>
      </x:c>
      <x:c r="F1179" s="13" t="n">
        <x:f>COUNTIFS('Stocking details'!$I$6:$I$3307,G1179)</x:f>
        <x:v>1</x:v>
      </x:c>
      <x:c r="G1179" s="8" t="str">
        <x:f>B1179&amp;" / "&amp;C1179&amp;" / "&amp;D1179</x:f>
        <x:v>6608 / 2021 / RAINBOW TROUT</x:v>
      </x:c>
    </x:row>
    <x:row r="1180" ht="23" customHeight="1">
      <x:c r="A1180" s="8" t="str">
        <x:v>Lower Galatea Lake</x:v>
      </x:c>
      <x:c r="B1180" s="8" t="str">
        <x:v>4642</x:v>
      </x:c>
      <x:c r="C1180" s="17" t="n">
        <x:v>2021</x:v>
      </x:c>
      <x:c r="D1180" s="8" t="str">
        <x:v>CUTTHROAT TROUT</x:v>
      </x:c>
      <x:c r="E1180" s="13" t="n">
        <x:f>SUMIFS('Stocking details'!$F$6:$F$3307,'Stocking details'!$I$6:$I$3307,G1180)</x:f>
        <x:v>1200</x:v>
      </x:c>
      <x:c r="F1180" s="13" t="n">
        <x:f>COUNTIFS('Stocking details'!$I$6:$I$3307,G1180)</x:f>
        <x:v>1</x:v>
      </x:c>
      <x:c r="G1180" s="8" t="str">
        <x:f>B1180&amp;" / "&amp;C1180&amp;" / "&amp;D1180</x:f>
        <x:v>4642 / 2021 / CUTTHROAT TROUT</x:v>
      </x:c>
    </x:row>
    <x:row r="1181" ht="23" customHeight="1">
      <x:c r="A1181" s="8" t="str">
        <x:v>Lower Headwall Lake</x:v>
      </x:c>
      <x:c r="B1181" s="8" t="str">
        <x:v>6530</x:v>
      </x:c>
      <x:c r="C1181" s="17" t="n">
        <x:v>2021</x:v>
      </x:c>
      <x:c r="D1181" s="8" t="str">
        <x:v>CUTTHROAT TROUT</x:v>
      </x:c>
      <x:c r="E1181" s="13" t="n">
        <x:f>SUMIFS('Stocking details'!$F$6:$F$3307,'Stocking details'!$I$6:$I$3307,G1181)</x:f>
        <x:v>500</x:v>
      </x:c>
      <x:c r="F1181" s="13" t="n">
        <x:f>COUNTIFS('Stocking details'!$I$6:$I$3307,G1181)</x:f>
        <x:v>1</x:v>
      </x:c>
      <x:c r="G1181" s="8" t="str">
        <x:f>B1181&amp;" / "&amp;C1181&amp;" / "&amp;D1181</x:f>
        <x:v>6530 / 2021 / CUTTHROAT TROUT</x:v>
      </x:c>
    </x:row>
    <x:row r="1182" ht="23" customHeight="1">
      <x:c r="A1182" s="8" t="str">
        <x:v>Lower Hogarth Lake</x:v>
      </x:c>
      <x:c r="B1182" s="8" t="str">
        <x:v>6541</x:v>
      </x:c>
      <x:c r="C1182" s="17" t="n">
        <x:v>2025</x:v>
      </x:c>
      <x:c r="D1182" s="8" t="str">
        <x:v>CUTTHROAT TROUT</x:v>
      </x:c>
      <x:c r="E1182" s="13" t="n">
        <x:f>SUMIFS('Stocking details'!$F$6:$F$3307,'Stocking details'!$I$6:$I$3307,G1182)</x:f>
        <x:v>1200</x:v>
      </x:c>
      <x:c r="F1182" s="13" t="n">
        <x:f>COUNTIFS('Stocking details'!$I$6:$I$3307,G1182)</x:f>
        <x:v>1</x:v>
      </x:c>
      <x:c r="G1182" s="8" t="str">
        <x:f>B1182&amp;" / "&amp;C1182&amp;" / "&amp;D1182</x:f>
        <x:v>6541 / 2025 / CUTTHROAT TROUT</x:v>
      </x:c>
    </x:row>
    <x:row r="1183" ht="23" customHeight="1">
      <x:c r="A1183" s="8" t="str">
        <x:v>Lower Hogarth Lake</x:v>
      </x:c>
      <x:c r="B1183" s="8" t="str">
        <x:v>6541</x:v>
      </x:c>
      <x:c r="C1183" s="17" t="n">
        <x:v>2021</x:v>
      </x:c>
      <x:c r="D1183" s="8" t="str">
        <x:v>CUTTHROAT TROUT</x:v>
      </x:c>
      <x:c r="E1183" s="13" t="n">
        <x:f>SUMIFS('Stocking details'!$F$6:$F$3307,'Stocking details'!$I$6:$I$3307,G1183)</x:f>
        <x:v>250</x:v>
      </x:c>
      <x:c r="F1183" s="13" t="n">
        <x:f>COUNTIFS('Stocking details'!$I$6:$I$3307,G1183)</x:f>
        <x:v>1</x:v>
      </x:c>
      <x:c r="G1183" s="8" t="str">
        <x:f>B1183&amp;" / "&amp;C1183&amp;" / "&amp;D1183</x:f>
        <x:v>6541 / 2021 / CUTTHROAT TROUT</x:v>
      </x:c>
    </x:row>
    <x:row r="1184" ht="23" customHeight="1">
      <x:c r="A1184" s="8" t="str">
        <x:v>Lower Kananaskis Lake</x:v>
      </x:c>
      <x:c r="B1184" s="8" t="str">
        <x:v>5179</x:v>
      </x:c>
      <x:c r="C1184" s="17" t="n">
        <x:v>2026</x:v>
      </x:c>
      <x:c r="D1184" s="8" t="str">
        <x:v>WESTSLOPE CUTTHROAT TROUT</x:v>
      </x:c>
      <x:c r="E1184" s="13" t="n">
        <x:f>SUMIFS('Stocking details'!$F$6:$F$3307,'Stocking details'!$I$6:$I$3307,G1184)</x:f>
        <x:v>5000</x:v>
      </x:c>
      <x:c r="F1184" s="13" t="n">
        <x:f>COUNTIFS('Stocking details'!$I$6:$I$3307,G1184)</x:f>
        <x:v>1</x:v>
      </x:c>
      <x:c r="G1184" s="8" t="str">
        <x:f>B1184&amp;" / "&amp;C1184&amp;" / "&amp;D1184</x:f>
        <x:v>5179 / 2026 / WESTSLOPE CUTTHROAT TROUT</x:v>
      </x:c>
    </x:row>
    <x:row r="1185" ht="23" customHeight="1">
      <x:c r="A1185" s="8" t="str">
        <x:v>Lower Kananaskis Lake</x:v>
      </x:c>
      <x:c r="B1185" s="8" t="str">
        <x:v>5179</x:v>
      </x:c>
      <x:c r="C1185" s="17" t="n">
        <x:v>2025</x:v>
      </x:c>
      <x:c r="D1185" s="8" t="str">
        <x:v>CUTTHROAT TROUT</x:v>
      </x:c>
      <x:c r="E1185" s="13" t="n">
        <x:f>SUMIFS('Stocking details'!$F$6:$F$3307,'Stocking details'!$I$6:$I$3307,G1185)</x:f>
        <x:v>13044</x:v>
      </x:c>
      <x:c r="F1185" s="13" t="n">
        <x:f>COUNTIFS('Stocking details'!$I$6:$I$3307,G1185)</x:f>
        <x:v>2</x:v>
      </x:c>
      <x:c r="G1185" s="8" t="str">
        <x:f>B1185&amp;" / "&amp;C1185&amp;" / "&amp;D1185</x:f>
        <x:v>5179 / 2025 / CUTTHROAT TROUT</x:v>
      </x:c>
    </x:row>
    <x:row r="1186" ht="23" customHeight="1">
      <x:c r="A1186" s="8" t="str">
        <x:v>Lower Kananaskis Lake</x:v>
      </x:c>
      <x:c r="B1186" s="8" t="str">
        <x:v>5179</x:v>
      </x:c>
      <x:c r="C1186" s="17" t="n">
        <x:v>2022</x:v>
      </x:c>
      <x:c r="D1186" s="8" t="str">
        <x:v>CUTTHROAT TROUT</x:v>
      </x:c>
      <x:c r="E1186" s="13" t="n">
        <x:f>SUMIFS('Stocking details'!$F$6:$F$3307,'Stocking details'!$I$6:$I$3307,G1186)</x:f>
        <x:v>406</x:v>
      </x:c>
      <x:c r="F1186" s="13" t="n">
        <x:f>COUNTIFS('Stocking details'!$I$6:$I$3307,G1186)</x:f>
        <x:v>1</x:v>
      </x:c>
      <x:c r="G1186" s="8" t="str">
        <x:f>B1186&amp;" / "&amp;C1186&amp;" / "&amp;D1186</x:f>
        <x:v>5179 / 2022 / CUTTHROAT TROUT</x:v>
      </x:c>
    </x:row>
    <x:row r="1187" ht="23" customHeight="1">
      <x:c r="A1187" s="8" t="str">
        <x:v>Lower Pierre Greys Lake</x:v>
      </x:c>
      <x:c r="B1187" s="8" t="str">
        <x:v>6534</x:v>
      </x:c>
      <x:c r="C1187" s="17" t="n">
        <x:v>2026</x:v>
      </x:c>
      <x:c r="D1187" s="8" t="str">
        <x:v>RAINBOW TROUT</x:v>
      </x:c>
      <x:c r="E1187" s="13" t="n">
        <x:f>SUMIFS('Stocking details'!$F$6:$F$3307,'Stocking details'!$I$6:$I$3307,G1187)</x:f>
        <x:v>7000</x:v>
      </x:c>
      <x:c r="F1187" s="13" t="n">
        <x:f>COUNTIFS('Stocking details'!$I$6:$I$3307,G1187)</x:f>
        <x:v>1</x:v>
      </x:c>
      <x:c r="G1187" s="8" t="str">
        <x:f>B1187&amp;" / "&amp;C1187&amp;" / "&amp;D1187</x:f>
        <x:v>6534 / 2026 / RAINBOW TROUT</x:v>
      </x:c>
    </x:row>
    <x:row r="1188" ht="23" customHeight="1">
      <x:c r="A1188" s="8" t="str">
        <x:v>Lower Pierre Greys Lake</x:v>
      </x:c>
      <x:c r="B1188" s="8" t="str">
        <x:v>6534</x:v>
      </x:c>
      <x:c r="C1188" s="17" t="n">
        <x:v>2025</x:v>
      </x:c>
      <x:c r="D1188" s="8" t="str">
        <x:v>RAINBOW TROUT</x:v>
      </x:c>
      <x:c r="E1188" s="13" t="n">
        <x:f>SUMIFS('Stocking details'!$F$6:$F$3307,'Stocking details'!$I$6:$I$3307,G1188)</x:f>
        <x:v>7000</x:v>
      </x:c>
      <x:c r="F1188" s="13" t="n">
        <x:f>COUNTIFS('Stocking details'!$I$6:$I$3307,G1188)</x:f>
        <x:v>1</x:v>
      </x:c>
      <x:c r="G1188" s="8" t="str">
        <x:f>B1188&amp;" / "&amp;C1188&amp;" / "&amp;D1188</x:f>
        <x:v>6534 / 2025 / RAINBOW TROUT</x:v>
      </x:c>
    </x:row>
    <x:row r="1189" ht="23" customHeight="1">
      <x:c r="A1189" s="8" t="str">
        <x:v>Lower Pierre Greys Lake</x:v>
      </x:c>
      <x:c r="B1189" s="8" t="str">
        <x:v>6534</x:v>
      </x:c>
      <x:c r="C1189" s="17" t="n">
        <x:v>2024</x:v>
      </x:c>
      <x:c r="D1189" s="8" t="str">
        <x:v>RAINBOW TROUT</x:v>
      </x:c>
      <x:c r="E1189" s="13" t="n">
        <x:f>SUMIFS('Stocking details'!$F$6:$F$3307,'Stocking details'!$I$6:$I$3307,G1189)</x:f>
        <x:v>13500</x:v>
      </x:c>
      <x:c r="F1189" s="13" t="n">
        <x:f>COUNTIFS('Stocking details'!$I$6:$I$3307,G1189)</x:f>
        <x:v>2</x:v>
      </x:c>
      <x:c r="G1189" s="8" t="str">
        <x:f>B1189&amp;" / "&amp;C1189&amp;" / "&amp;D1189</x:f>
        <x:v>6534 / 2024 / RAINBOW TROUT</x:v>
      </x:c>
    </x:row>
    <x:row r="1190" ht="23" customHeight="1">
      <x:c r="A1190" s="8" t="str">
        <x:v>Lower Pierre Greys Lake</x:v>
      </x:c>
      <x:c r="B1190" s="8" t="str">
        <x:v>6534</x:v>
      </x:c>
      <x:c r="C1190" s="17" t="n">
        <x:v>2023</x:v>
      </x:c>
      <x:c r="D1190" s="8" t="str">
        <x:v>RAINBOW TROUT</x:v>
      </x:c>
      <x:c r="E1190" s="13" t="n">
        <x:f>SUMIFS('Stocking details'!$F$6:$F$3307,'Stocking details'!$I$6:$I$3307,G1190)</x:f>
        <x:v>3318</x:v>
      </x:c>
      <x:c r="F1190" s="13" t="n">
        <x:f>COUNTIFS('Stocking details'!$I$6:$I$3307,G1190)</x:f>
        <x:v>2</x:v>
      </x:c>
      <x:c r="G1190" s="8" t="str">
        <x:f>B1190&amp;" / "&amp;C1190&amp;" / "&amp;D1190</x:f>
        <x:v>6534 / 2023 / RAINBOW TROUT</x:v>
      </x:c>
    </x:row>
    <x:row r="1191" ht="23" customHeight="1">
      <x:c r="A1191" s="8" t="str">
        <x:v>Lower Pierre Greys Lake</x:v>
      </x:c>
      <x:c r="B1191" s="8" t="str">
        <x:v>6534</x:v>
      </x:c>
      <x:c r="C1191" s="17" t="n">
        <x:v>2022</x:v>
      </x:c>
      <x:c r="D1191" s="8" t="str">
        <x:v>RAINBOW TROUT</x:v>
      </x:c>
      <x:c r="E1191" s="13" t="n">
        <x:f>SUMIFS('Stocking details'!$F$6:$F$3307,'Stocking details'!$I$6:$I$3307,G1191)</x:f>
        <x:v>7000</x:v>
      </x:c>
      <x:c r="F1191" s="13" t="n">
        <x:f>COUNTIFS('Stocking details'!$I$6:$I$3307,G1191)</x:f>
        <x:v>1</x:v>
      </x:c>
      <x:c r="G1191" s="8" t="str">
        <x:f>B1191&amp;" / "&amp;C1191&amp;" / "&amp;D1191</x:f>
        <x:v>6534 / 2022 / RAINBOW TROUT</x:v>
      </x:c>
    </x:row>
    <x:row r="1192" ht="23" customHeight="1">
      <x:c r="A1192" s="8" t="str">
        <x:v>Lower Pierre Greys Lake</x:v>
      </x:c>
      <x:c r="B1192" s="8" t="str">
        <x:v>6534</x:v>
      </x:c>
      <x:c r="C1192" s="17" t="n">
        <x:v>2021</x:v>
      </x:c>
      <x:c r="D1192" s="8" t="str">
        <x:v>RAINBOW TROUT</x:v>
      </x:c>
      <x:c r="E1192" s="13" t="n">
        <x:f>SUMIFS('Stocking details'!$F$6:$F$3307,'Stocking details'!$I$6:$I$3307,G1192)</x:f>
        <x:v>7000</x:v>
      </x:c>
      <x:c r="F1192" s="13" t="n">
        <x:f>COUNTIFS('Stocking details'!$I$6:$I$3307,G1192)</x:f>
        <x:v>1</x:v>
      </x:c>
      <x:c r="G1192" s="8" t="str">
        <x:f>B1192&amp;" / "&amp;C1192&amp;" / "&amp;D1192</x:f>
        <x:v>6534 / 2021 / RAINBOW TROUT</x:v>
      </x:c>
    </x:row>
    <x:row r="1193" ht="23" customHeight="1">
      <x:c r="A1193" s="8" t="str">
        <x:v>Lower Smuts Lake</x:v>
      </x:c>
      <x:c r="B1193" s="8" t="str">
        <x:v>6605</x:v>
      </x:c>
      <x:c r="C1193" s="17" t="n">
        <x:v>2025</x:v>
      </x:c>
      <x:c r="D1193" s="8" t="str">
        <x:v>CUTTHROAT TROUT</x:v>
      </x:c>
      <x:c r="E1193" s="13" t="n">
        <x:f>SUMIFS('Stocking details'!$F$6:$F$3307,'Stocking details'!$I$6:$I$3307,G1193)</x:f>
        <x:v>200</x:v>
      </x:c>
      <x:c r="F1193" s="13" t="n">
        <x:f>COUNTIFS('Stocking details'!$I$6:$I$3307,G1193)</x:f>
        <x:v>1</x:v>
      </x:c>
      <x:c r="G1193" s="8" t="str">
        <x:f>B1193&amp;" / "&amp;C1193&amp;" / "&amp;D1193</x:f>
        <x:v>6605 / 2025 / CUTTHROAT TROUT</x:v>
      </x:c>
    </x:row>
    <x:row r="1194" ht="23" customHeight="1">
      <x:c r="A1194" s="8" t="str">
        <x:v>Lower Smuts Lake</x:v>
      </x:c>
      <x:c r="B1194" s="8" t="str">
        <x:v>6605</x:v>
      </x:c>
      <x:c r="C1194" s="17" t="n">
        <x:v>2021</x:v>
      </x:c>
      <x:c r="D1194" s="8" t="str">
        <x:v>CUTTHROAT TROUT</x:v>
      </x:c>
      <x:c r="E1194" s="13" t="n">
        <x:f>SUMIFS('Stocking details'!$F$6:$F$3307,'Stocking details'!$I$6:$I$3307,G1194)</x:f>
        <x:v>400</x:v>
      </x:c>
      <x:c r="F1194" s="13" t="n">
        <x:f>COUNTIFS('Stocking details'!$I$6:$I$3307,G1194)</x:f>
        <x:v>1</x:v>
      </x:c>
      <x:c r="G1194" s="8" t="str">
        <x:f>B1194&amp;" / "&amp;C1194&amp;" / "&amp;D1194</x:f>
        <x:v>6605 / 2021 / CUTTHROAT TROUT</x:v>
      </x:c>
    </x:row>
    <x:row r="1195" ht="23" customHeight="1">
      <x:c r="A1195" s="8" t="str">
        <x:v>Lower Wildhorse Lake</x:v>
      </x:c>
      <x:c r="B1195" s="8" t="str">
        <x:v>6537</x:v>
      </x:c>
      <x:c r="C1195" s="17" t="n">
        <x:v>2026</x:v>
      </x:c>
      <x:c r="D1195" s="8" t="str">
        <x:v>RAINBOW TROUT</x:v>
      </x:c>
      <x:c r="E1195" s="13" t="n">
        <x:f>SUMIFS('Stocking details'!$F$6:$F$3307,'Stocking details'!$I$6:$I$3307,G1195)</x:f>
        <x:v>7500</x:v>
      </x:c>
      <x:c r="F1195" s="13" t="n">
        <x:f>COUNTIFS('Stocking details'!$I$6:$I$3307,G1195)</x:f>
        <x:v>1</x:v>
      </x:c>
      <x:c r="G1195" s="8" t="str">
        <x:f>B1195&amp;" / "&amp;C1195&amp;" / "&amp;D1195</x:f>
        <x:v>6537 / 2026 / RAINBOW TROUT</x:v>
      </x:c>
    </x:row>
    <x:row r="1196" ht="23" customHeight="1">
      <x:c r="A1196" s="8" t="str">
        <x:v>Lower Wildhorse Lake</x:v>
      </x:c>
      <x:c r="B1196" s="8" t="str">
        <x:v>6537</x:v>
      </x:c>
      <x:c r="C1196" s="17" t="n">
        <x:v>2025</x:v>
      </x:c>
      <x:c r="D1196" s="8" t="str">
        <x:v>RAINBOW TROUT</x:v>
      </x:c>
      <x:c r="E1196" s="13" t="n">
        <x:f>SUMIFS('Stocking details'!$F$6:$F$3307,'Stocking details'!$I$6:$I$3307,G1196)</x:f>
        <x:v>15000</x:v>
      </x:c>
      <x:c r="F1196" s="13" t="n">
        <x:f>COUNTIFS('Stocking details'!$I$6:$I$3307,G1196)</x:f>
        <x:v>2</x:v>
      </x:c>
      <x:c r="G1196" s="8" t="str">
        <x:f>B1196&amp;" / "&amp;C1196&amp;" / "&amp;D1196</x:f>
        <x:v>6537 / 2025 / RAINBOW TROUT</x:v>
      </x:c>
    </x:row>
    <x:row r="1197" ht="23" customHeight="1">
      <x:c r="A1197" s="8" t="str">
        <x:v>Lower Wildhorse Lake</x:v>
      </x:c>
      <x:c r="B1197" s="8" t="str">
        <x:v>6537</x:v>
      </x:c>
      <x:c r="C1197" s="17" t="n">
        <x:v>2024</x:v>
      </x:c>
      <x:c r="D1197" s="8" t="str">
        <x:v>RAINBOW TROUT</x:v>
      </x:c>
      <x:c r="E1197" s="13" t="n">
        <x:f>SUMIFS('Stocking details'!$F$6:$F$3307,'Stocking details'!$I$6:$I$3307,G1197)</x:f>
        <x:v>13750</x:v>
      </x:c>
      <x:c r="F1197" s="13" t="n">
        <x:f>COUNTIFS('Stocking details'!$I$6:$I$3307,G1197)</x:f>
        <x:v>2</x:v>
      </x:c>
      <x:c r="G1197" s="8" t="str">
        <x:f>B1197&amp;" / "&amp;C1197&amp;" / "&amp;D1197</x:f>
        <x:v>6537 / 2024 / RAINBOW TROUT</x:v>
      </x:c>
    </x:row>
    <x:row r="1198" ht="23" customHeight="1">
      <x:c r="A1198" s="8" t="str">
        <x:v>Lower Wildhorse Lake</x:v>
      </x:c>
      <x:c r="B1198" s="8" t="str">
        <x:v>6537</x:v>
      </x:c>
      <x:c r="C1198" s="17" t="n">
        <x:v>2023</x:v>
      </x:c>
      <x:c r="D1198" s="8" t="str">
        <x:v>BROOK TROUT</x:v>
      </x:c>
      <x:c r="E1198" s="13" t="n">
        <x:f>SUMIFS('Stocking details'!$F$6:$F$3307,'Stocking details'!$I$6:$I$3307,G1198)</x:f>
        <x:v>2500</x:v>
      </x:c>
      <x:c r="F1198" s="13" t="n">
        <x:f>COUNTIFS('Stocking details'!$I$6:$I$3307,G1198)</x:f>
        <x:v>1</x:v>
      </x:c>
      <x:c r="G1198" s="8" t="str">
        <x:f>B1198&amp;" / "&amp;C1198&amp;" / "&amp;D1198</x:f>
        <x:v>6537 / 2023 / BROOK TROUT</x:v>
      </x:c>
    </x:row>
    <x:row r="1199" ht="23" customHeight="1">
      <x:c r="A1199" s="8" t="str">
        <x:v>Lower Wildhorse Lake</x:v>
      </x:c>
      <x:c r="B1199" s="8" t="str">
        <x:v>6537</x:v>
      </x:c>
      <x:c r="C1199" s="17" t="n">
        <x:v>2023</x:v>
      </x:c>
      <x:c r="D1199" s="8" t="str">
        <x:v>RAINBOW TROUT</x:v>
      </x:c>
      <x:c r="E1199" s="13" t="n">
        <x:f>SUMIFS('Stocking details'!$F$6:$F$3307,'Stocking details'!$I$6:$I$3307,G1199)</x:f>
        <x:v>3555</x:v>
      </x:c>
      <x:c r="F1199" s="13" t="n">
        <x:f>COUNTIFS('Stocking details'!$I$6:$I$3307,G1199)</x:f>
        <x:v>1</x:v>
      </x:c>
      <x:c r="G1199" s="8" t="str">
        <x:f>B1199&amp;" / "&amp;C1199&amp;" / "&amp;D1199</x:f>
        <x:v>6537 / 2023 / RAINBOW TROUT</x:v>
      </x:c>
    </x:row>
    <x:row r="1200" ht="23" customHeight="1">
      <x:c r="A1200" s="8" t="str">
        <x:v>Lower Wildhorse Lake</x:v>
      </x:c>
      <x:c r="B1200" s="8" t="str">
        <x:v>6537</x:v>
      </x:c>
      <x:c r="C1200" s="17" t="n">
        <x:v>2022</x:v>
      </x:c>
      <x:c r="D1200" s="8" t="str">
        <x:v>RAINBOW TROUT</x:v>
      </x:c>
      <x:c r="E1200" s="13" t="n">
        <x:f>SUMIFS('Stocking details'!$F$6:$F$3307,'Stocking details'!$I$6:$I$3307,G1200)</x:f>
        <x:v>7500</x:v>
      </x:c>
      <x:c r="F1200" s="13" t="n">
        <x:f>COUNTIFS('Stocking details'!$I$6:$I$3307,G1200)</x:f>
        <x:v>1</x:v>
      </x:c>
      <x:c r="G1200" s="8" t="str">
        <x:f>B1200&amp;" / "&amp;C1200&amp;" / "&amp;D1200</x:f>
        <x:v>6537 / 2022 / RAINBOW TROUT</x:v>
      </x:c>
    </x:row>
    <x:row r="1201" ht="23" customHeight="1">
      <x:c r="A1201" s="8" t="str">
        <x:v>Lower Wildhorse Lake</x:v>
      </x:c>
      <x:c r="B1201" s="8" t="str">
        <x:v>6537</x:v>
      </x:c>
      <x:c r="C1201" s="17" t="n">
        <x:v>2021</x:v>
      </x:c>
      <x:c r="D1201" s="8" t="str">
        <x:v>RAINBOW TROUT</x:v>
      </x:c>
      <x:c r="E1201" s="13" t="n">
        <x:f>SUMIFS('Stocking details'!$F$6:$F$3307,'Stocking details'!$I$6:$I$3307,G1201)</x:f>
        <x:v>7014</x:v>
      </x:c>
      <x:c r="F1201" s="13" t="n">
        <x:f>COUNTIFS('Stocking details'!$I$6:$I$3307,G1201)</x:f>
        <x:v>1</x:v>
      </x:c>
      <x:c r="G1201" s="8" t="str">
        <x:f>B1201&amp;" / "&amp;C1201&amp;" / "&amp;D1201</x:f>
        <x:v>6537 / 2021 / RAINBOW TROUT</x:v>
      </x:c>
    </x:row>
    <x:row r="1202" ht="23" customHeight="1">
      <x:c r="A1202" s="8" t="str">
        <x:v>Machesis Lake</x:v>
      </x:c>
      <x:c r="B1202" s="8" t="str">
        <x:v>6750</x:v>
      </x:c>
      <x:c r="C1202" s="17" t="n">
        <x:v>2026</x:v>
      </x:c>
      <x:c r="D1202" s="8" t="str">
        <x:v>RAINBOW TROUT</x:v>
      </x:c>
      <x:c r="E1202" s="13" t="n">
        <x:f>SUMIFS('Stocking details'!$F$6:$F$3307,'Stocking details'!$I$6:$I$3307,G1202)</x:f>
        <x:v>4000</x:v>
      </x:c>
      <x:c r="F1202" s="13" t="n">
        <x:f>COUNTIFS('Stocking details'!$I$6:$I$3307,G1202)</x:f>
        <x:v>1</x:v>
      </x:c>
      <x:c r="G1202" s="8" t="str">
        <x:f>B1202&amp;" / "&amp;C1202&amp;" / "&amp;D1202</x:f>
        <x:v>6750 / 2026 / RAINBOW TROUT</x:v>
      </x:c>
    </x:row>
    <x:row r="1203" ht="23" customHeight="1">
      <x:c r="A1203" s="8" t="str">
        <x:v>Machesis Lake</x:v>
      </x:c>
      <x:c r="B1203" s="8" t="str">
        <x:v>6750</x:v>
      </x:c>
      <x:c r="C1203" s="17" t="n">
        <x:v>2025</x:v>
      </x:c>
      <x:c r="D1203" s="8" t="str">
        <x:v>RAINBOW TROUT</x:v>
      </x:c>
      <x:c r="E1203" s="13" t="n">
        <x:f>SUMIFS('Stocking details'!$F$6:$F$3307,'Stocking details'!$I$6:$I$3307,G1203)</x:f>
        <x:v>4000</x:v>
      </x:c>
      <x:c r="F1203" s="13" t="n">
        <x:f>COUNTIFS('Stocking details'!$I$6:$I$3307,G1203)</x:f>
        <x:v>1</x:v>
      </x:c>
      <x:c r="G1203" s="8" t="str">
        <x:f>B1203&amp;" / "&amp;C1203&amp;" / "&amp;D1203</x:f>
        <x:v>6750 / 2025 / RAINBOW TROUT</x:v>
      </x:c>
    </x:row>
    <x:row r="1204" ht="23" customHeight="1">
      <x:c r="A1204" s="8" t="str">
        <x:v>Machesis Lake</x:v>
      </x:c>
      <x:c r="B1204" s="8" t="str">
        <x:v>6750</x:v>
      </x:c>
      <x:c r="C1204" s="17" t="n">
        <x:v>2024</x:v>
      </x:c>
      <x:c r="D1204" s="8" t="str">
        <x:v>RAINBOW TROUT</x:v>
      </x:c>
      <x:c r="E1204" s="13" t="n">
        <x:f>SUMIFS('Stocking details'!$F$6:$F$3307,'Stocking details'!$I$6:$I$3307,G1204)</x:f>
        <x:v>2000</x:v>
      </x:c>
      <x:c r="F1204" s="13" t="n">
        <x:f>COUNTIFS('Stocking details'!$I$6:$I$3307,G1204)</x:f>
        <x:v>1</x:v>
      </x:c>
      <x:c r="G1204" s="8" t="str">
        <x:f>B1204&amp;" / "&amp;C1204&amp;" / "&amp;D1204</x:f>
        <x:v>6750 / 2024 / RAINBOW TROUT</x:v>
      </x:c>
    </x:row>
    <x:row r="1205" ht="23" customHeight="1">
      <x:c r="A1205" s="8" t="str">
        <x:v>Machesis Lake</x:v>
      </x:c>
      <x:c r="B1205" s="8" t="str">
        <x:v>6750</x:v>
      </x:c>
      <x:c r="C1205" s="17" t="n">
        <x:v>2023</x:v>
      </x:c>
      <x:c r="D1205" s="8" t="str">
        <x:v>RAINBOW TROUT</x:v>
      </x:c>
      <x:c r="E1205" s="13" t="n">
        <x:f>SUMIFS('Stocking details'!$F$6:$F$3307,'Stocking details'!$I$6:$I$3307,G1205)</x:f>
        <x:v>2008</x:v>
      </x:c>
      <x:c r="F1205" s="13" t="n">
        <x:f>COUNTIFS('Stocking details'!$I$6:$I$3307,G1205)</x:f>
        <x:v>1</x:v>
      </x:c>
      <x:c r="G1205" s="8" t="str">
        <x:f>B1205&amp;" / "&amp;C1205&amp;" / "&amp;D1205</x:f>
        <x:v>6750 / 2023 / RAINBOW TROUT</x:v>
      </x:c>
    </x:row>
    <x:row r="1206" ht="23" customHeight="1">
      <x:c r="A1206" s="8" t="str">
        <x:v>Machesis Lake</x:v>
      </x:c>
      <x:c r="B1206" s="8" t="str">
        <x:v>6750</x:v>
      </x:c>
      <x:c r="C1206" s="17" t="n">
        <x:v>2022</x:v>
      </x:c>
      <x:c r="D1206" s="8" t="str">
        <x:v>RAINBOW TROUT</x:v>
      </x:c>
      <x:c r="E1206" s="13" t="n">
        <x:f>SUMIFS('Stocking details'!$F$6:$F$3307,'Stocking details'!$I$6:$I$3307,G1206)</x:f>
        <x:v>4000</x:v>
      </x:c>
      <x:c r="F1206" s="13" t="n">
        <x:f>COUNTIFS('Stocking details'!$I$6:$I$3307,G1206)</x:f>
        <x:v>1</x:v>
      </x:c>
      <x:c r="G1206" s="8" t="str">
        <x:f>B1206&amp;" / "&amp;C1206&amp;" / "&amp;D1206</x:f>
        <x:v>6750 / 2022 / RAINBOW TROUT</x:v>
      </x:c>
    </x:row>
    <x:row r="1207" ht="23" customHeight="1">
      <x:c r="A1207" s="8" t="str">
        <x:v>Machesis Lake</x:v>
      </x:c>
      <x:c r="B1207" s="8" t="str">
        <x:v>6750</x:v>
      </x:c>
      <x:c r="C1207" s="17" t="n">
        <x:v>2021</x:v>
      </x:c>
      <x:c r="D1207" s="8" t="str">
        <x:v>RAINBOW TROUT</x:v>
      </x:c>
      <x:c r="E1207" s="13" t="n">
        <x:f>SUMIFS('Stocking details'!$F$6:$F$3307,'Stocking details'!$I$6:$I$3307,G1207)</x:f>
        <x:v>4000</x:v>
      </x:c>
      <x:c r="F1207" s="13" t="n">
        <x:f>COUNTIFS('Stocking details'!$I$6:$I$3307,G1207)</x:f>
        <x:v>1</x:v>
      </x:c>
      <x:c r="G1207" s="8" t="str">
        <x:f>B1207&amp;" / "&amp;C1207&amp;" / "&amp;D1207</x:f>
        <x:v>6750 / 2021 / RAINBOW TROUT</x:v>
      </x:c>
    </x:row>
    <x:row r="1208" ht="23" customHeight="1">
      <x:c r="A1208" s="8" t="str">
        <x:v>Magrath Childrens Pond</x:v>
      </x:c>
      <x:c r="B1208" s="8" t="str">
        <x:v>317719</x:v>
      </x:c>
      <x:c r="C1208" s="17" t="n">
        <x:v>2026</x:v>
      </x:c>
      <x:c r="D1208" s="8" t="str">
        <x:v>RAINBOW TROUT</x:v>
      </x:c>
      <x:c r="E1208" s="13" t="n">
        <x:f>SUMIFS('Stocking details'!$F$6:$F$3307,'Stocking details'!$I$6:$I$3307,G1208)</x:f>
        <x:v>500</x:v>
      </x:c>
      <x:c r="F1208" s="13" t="n">
        <x:f>COUNTIFS('Stocking details'!$I$6:$I$3307,G1208)</x:f>
        <x:v>1</x:v>
      </x:c>
      <x:c r="G1208" s="8" t="str">
        <x:f>B1208&amp;" / "&amp;C1208&amp;" / "&amp;D1208</x:f>
        <x:v>317719 / 2026 / RAINBOW TROUT</x:v>
      </x:c>
    </x:row>
    <x:row r="1209" ht="23" customHeight="1">
      <x:c r="A1209" s="8" t="str">
        <x:v>Magrath Childrens Pond</x:v>
      </x:c>
      <x:c r="B1209" s="8" t="str">
        <x:v>317719</x:v>
      </x:c>
      <x:c r="C1209" s="17" t="n">
        <x:v>2025</x:v>
      </x:c>
      <x:c r="D1209" s="8" t="str">
        <x:v>RAINBOW TROUT</x:v>
      </x:c>
      <x:c r="E1209" s="13" t="n">
        <x:f>SUMIFS('Stocking details'!$F$6:$F$3307,'Stocking details'!$I$6:$I$3307,G1209)</x:f>
        <x:v>825</x:v>
      </x:c>
      <x:c r="F1209" s="13" t="n">
        <x:f>COUNTIFS('Stocking details'!$I$6:$I$3307,G1209)</x:f>
        <x:v>3</x:v>
      </x:c>
      <x:c r="G1209" s="8" t="str">
        <x:f>B1209&amp;" / "&amp;C1209&amp;" / "&amp;D1209</x:f>
        <x:v>317719 / 2025 / RAINBOW TROUT</x:v>
      </x:c>
    </x:row>
    <x:row r="1210" ht="23" customHeight="1">
      <x:c r="A1210" s="8" t="str">
        <x:v>Magrath Childrens Pond</x:v>
      </x:c>
      <x:c r="B1210" s="8" t="str">
        <x:v>317719</x:v>
      </x:c>
      <x:c r="C1210" s="17" t="n">
        <x:v>2024</x:v>
      </x:c>
      <x:c r="D1210" s="8" t="str">
        <x:v>RAINBOW TROUT</x:v>
      </x:c>
      <x:c r="E1210" s="13" t="n">
        <x:f>SUMIFS('Stocking details'!$F$6:$F$3307,'Stocking details'!$I$6:$I$3307,G1210)</x:f>
        <x:v>525</x:v>
      </x:c>
      <x:c r="F1210" s="13" t="n">
        <x:f>COUNTIFS('Stocking details'!$I$6:$I$3307,G1210)</x:f>
        <x:v>2</x:v>
      </x:c>
      <x:c r="G1210" s="8" t="str">
        <x:f>B1210&amp;" / "&amp;C1210&amp;" / "&amp;D1210</x:f>
        <x:v>317719 / 2024 / RAINBOW TROUT</x:v>
      </x:c>
    </x:row>
    <x:row r="1211" ht="23" customHeight="1">
      <x:c r="A1211" s="8" t="str">
        <x:v>Magrath Childrens Pond</x:v>
      </x:c>
      <x:c r="B1211" s="8" t="str">
        <x:v>317719</x:v>
      </x:c>
      <x:c r="C1211" s="17" t="n">
        <x:v>2023</x:v>
      </x:c>
      <x:c r="D1211" s="8" t="str">
        <x:v>RAINBOW TROUT</x:v>
      </x:c>
      <x:c r="E1211" s="13" t="n">
        <x:f>SUMIFS('Stocking details'!$F$6:$F$3307,'Stocking details'!$I$6:$I$3307,G1211)</x:f>
        <x:v>540</x:v>
      </x:c>
      <x:c r="F1211" s="13" t="n">
        <x:f>COUNTIFS('Stocking details'!$I$6:$I$3307,G1211)</x:f>
        <x:v>2</x:v>
      </x:c>
      <x:c r="G1211" s="8" t="str">
        <x:f>B1211&amp;" / "&amp;C1211&amp;" / "&amp;D1211</x:f>
        <x:v>317719 / 2023 / RAINBOW TROUT</x:v>
      </x:c>
    </x:row>
    <x:row r="1212" ht="23" customHeight="1">
      <x:c r="A1212" s="8" t="str">
        <x:v>Magrath Childrens Pond</x:v>
      </x:c>
      <x:c r="B1212" s="8" t="str">
        <x:v>317719</x:v>
      </x:c>
      <x:c r="C1212" s="17" t="n">
        <x:v>2022</x:v>
      </x:c>
      <x:c r="D1212" s="8" t="str">
        <x:v>RAINBOW TROUT</x:v>
      </x:c>
      <x:c r="E1212" s="13" t="n">
        <x:f>SUMIFS('Stocking details'!$F$6:$F$3307,'Stocking details'!$I$6:$I$3307,G1212)</x:f>
        <x:v>500</x:v>
      </x:c>
      <x:c r="F1212" s="13" t="n">
        <x:f>COUNTIFS('Stocking details'!$I$6:$I$3307,G1212)</x:f>
        <x:v>1</x:v>
      </x:c>
      <x:c r="G1212" s="8" t="str">
        <x:f>B1212&amp;" / "&amp;C1212&amp;" / "&amp;D1212</x:f>
        <x:v>317719 / 2022 / RAINBOW TROUT</x:v>
      </x:c>
    </x:row>
    <x:row r="1213" ht="23" customHeight="1">
      <x:c r="A1213" s="8" t="str">
        <x:v>Magrath Childrens Pond</x:v>
      </x:c>
      <x:c r="B1213" s="8" t="str">
        <x:v>317719</x:v>
      </x:c>
      <x:c r="C1213" s="17" t="n">
        <x:v>2021</x:v>
      </x:c>
      <x:c r="D1213" s="8" t="str">
        <x:v>RAINBOW TROUT</x:v>
      </x:c>
      <x:c r="E1213" s="13" t="n">
        <x:f>SUMIFS('Stocking details'!$F$6:$F$3307,'Stocking details'!$I$6:$I$3307,G1213)</x:f>
        <x:v>500</x:v>
      </x:c>
      <x:c r="F1213" s="13" t="n">
        <x:f>COUNTIFS('Stocking details'!$I$6:$I$3307,G1213)</x:f>
        <x:v>1</x:v>
      </x:c>
      <x:c r="G1213" s="8" t="str">
        <x:f>B1213&amp;" / "&amp;C1213&amp;" / "&amp;D1213</x:f>
        <x:v>317719 / 2021 / RAINBOW TROUT</x:v>
      </x:c>
    </x:row>
    <x:row r="1214" ht="23" customHeight="1">
      <x:c r="A1214" s="8" t="str">
        <x:v>Mami Lake</x:v>
      </x:c>
      <x:c r="B1214" s="8" t="str">
        <x:v>5513</x:v>
      </x:c>
      <x:c r="C1214" s="17" t="n">
        <x:v>2026</x:v>
      </x:c>
      <x:c r="D1214" s="8" t="str">
        <x:v>RAINBOW TROUT</x:v>
      </x:c>
      <x:c r="E1214" s="13" t="n">
        <x:f>SUMIFS('Stocking details'!$F$6:$F$3307,'Stocking details'!$I$6:$I$3307,G1214)</x:f>
        <x:v>124994</x:v>
      </x:c>
      <x:c r="F1214" s="13" t="n">
        <x:f>COUNTIFS('Stocking details'!$I$6:$I$3307,G1214)</x:f>
        <x:v>6</x:v>
      </x:c>
      <x:c r="G1214" s="8" t="str">
        <x:f>B1214&amp;" / "&amp;C1214&amp;" / "&amp;D1214</x:f>
        <x:v>5513 / 2026 / RAINBOW TROUT</x:v>
      </x:c>
    </x:row>
    <x:row r="1215" ht="23" customHeight="1">
      <x:c r="A1215" s="8" t="str">
        <x:v>Mami Lake</x:v>
      </x:c>
      <x:c r="B1215" s="8" t="str">
        <x:v>5513</x:v>
      </x:c>
      <x:c r="C1215" s="17" t="n">
        <x:v>2025</x:v>
      </x:c>
      <x:c r="D1215" s="8" t="str">
        <x:v>RAINBOW TROUT</x:v>
      </x:c>
      <x:c r="E1215" s="13" t="n">
        <x:f>SUMIFS('Stocking details'!$F$6:$F$3307,'Stocking details'!$I$6:$I$3307,G1215)</x:f>
        <x:v>263406</x:v>
      </x:c>
      <x:c r="F1215" s="13" t="n">
        <x:f>COUNTIFS('Stocking details'!$I$6:$I$3307,G1215)</x:f>
        <x:v>16</x:v>
      </x:c>
      <x:c r="G1215" s="8" t="str">
        <x:f>B1215&amp;" / "&amp;C1215&amp;" / "&amp;D1215</x:f>
        <x:v>5513 / 2025 / RAINBOW TROUT</x:v>
      </x:c>
    </x:row>
    <x:row r="1216" ht="23" customHeight="1">
      <x:c r="A1216" s="8" t="str">
        <x:v>Mami Lake</x:v>
      </x:c>
      <x:c r="B1216" s="8" t="str">
        <x:v>5513</x:v>
      </x:c>
      <x:c r="C1216" s="17" t="n">
        <x:v>2024</x:v>
      </x:c>
      <x:c r="D1216" s="8" t="str">
        <x:v>RAINBOW TROUT</x:v>
      </x:c>
      <x:c r="E1216" s="13" t="n">
        <x:f>SUMIFS('Stocking details'!$F$6:$F$3307,'Stocking details'!$I$6:$I$3307,G1216)</x:f>
        <x:v>242737</x:v>
      </x:c>
      <x:c r="F1216" s="13" t="n">
        <x:f>COUNTIFS('Stocking details'!$I$6:$I$3307,G1216)</x:f>
        <x:v>10</x:v>
      </x:c>
      <x:c r="G1216" s="8" t="str">
        <x:f>B1216&amp;" / "&amp;C1216&amp;" / "&amp;D1216</x:f>
        <x:v>5513 / 2024 / RAINBOW TROUT</x:v>
      </x:c>
    </x:row>
    <x:row r="1217" ht="23" customHeight="1">
      <x:c r="A1217" s="8" t="str">
        <x:v>Mami Lake</x:v>
      </x:c>
      <x:c r="B1217" s="8" t="str">
        <x:v>5513</x:v>
      </x:c>
      <x:c r="C1217" s="17" t="n">
        <x:v>2023</x:v>
      </x:c>
      <x:c r="D1217" s="8" t="str">
        <x:v>RAINBOW TROUT</x:v>
      </x:c>
      <x:c r="E1217" s="13" t="n">
        <x:f>SUMIFS('Stocking details'!$F$6:$F$3307,'Stocking details'!$I$6:$I$3307,G1217)</x:f>
        <x:v>223963</x:v>
      </x:c>
      <x:c r="F1217" s="13" t="n">
        <x:f>COUNTIFS('Stocking details'!$I$6:$I$3307,G1217)</x:f>
        <x:v>14</x:v>
      </x:c>
      <x:c r="G1217" s="8" t="str">
        <x:f>B1217&amp;" / "&amp;C1217&amp;" / "&amp;D1217</x:f>
        <x:v>5513 / 2023 / RAINBOW TROUT</x:v>
      </x:c>
    </x:row>
    <x:row r="1218" ht="23" customHeight="1">
      <x:c r="A1218" s="8" t="str">
        <x:v>Mami Lake</x:v>
      </x:c>
      <x:c r="B1218" s="8" t="str">
        <x:v>5513</x:v>
      </x:c>
      <x:c r="C1218" s="17" t="n">
        <x:v>2022</x:v>
      </x:c>
      <x:c r="D1218" s="8" t="str">
        <x:v>RAINBOW TROUT</x:v>
      </x:c>
      <x:c r="E1218" s="13" t="n">
        <x:f>SUMIFS('Stocking details'!$F$6:$F$3307,'Stocking details'!$I$6:$I$3307,G1218)</x:f>
        <x:v>167898</x:v>
      </x:c>
      <x:c r="F1218" s="13" t="n">
        <x:f>COUNTIFS('Stocking details'!$I$6:$I$3307,G1218)</x:f>
        <x:v>12</x:v>
      </x:c>
      <x:c r="G1218" s="8" t="str">
        <x:f>B1218&amp;" / "&amp;C1218&amp;" / "&amp;D1218</x:f>
        <x:v>5513 / 2022 / RAINBOW TROUT</x:v>
      </x:c>
    </x:row>
    <x:row r="1219" ht="23" customHeight="1">
      <x:c r="A1219" s="8" t="str">
        <x:v>Mami Lake</x:v>
      </x:c>
      <x:c r="B1219" s="8" t="str">
        <x:v>5513</x:v>
      </x:c>
      <x:c r="C1219" s="17" t="n">
        <x:v>2021</x:v>
      </x:c>
      <x:c r="D1219" s="8" t="str">
        <x:v>RAINBOW TROUT</x:v>
      </x:c>
      <x:c r="E1219" s="13" t="n">
        <x:f>SUMIFS('Stocking details'!$F$6:$F$3307,'Stocking details'!$I$6:$I$3307,G1219)</x:f>
        <x:v>199567</x:v>
      </x:c>
      <x:c r="F1219" s="13" t="n">
        <x:f>COUNTIFS('Stocking details'!$I$6:$I$3307,G1219)</x:f>
        <x:v>8</x:v>
      </x:c>
      <x:c r="G1219" s="8" t="str">
        <x:f>B1219&amp;" / "&amp;C1219&amp;" / "&amp;D1219</x:f>
        <x:v>5513 / 2021 / RAINBOW TROUT</x:v>
      </x:c>
    </x:row>
    <x:row r="1220" ht="23" customHeight="1">
      <x:c r="A1220" s="8" t="str">
        <x:v>Margaret Lake</x:v>
      </x:c>
      <x:c r="B1220" s="8" t="str">
        <x:v>5223</x:v>
      </x:c>
      <x:c r="C1220" s="17" t="n">
        <x:v>2026</x:v>
      </x:c>
      <x:c r="D1220" s="8" t="str">
        <x:v>RAINBOW TROUT</x:v>
      </x:c>
      <x:c r="E1220" s="13" t="n">
        <x:f>SUMIFS('Stocking details'!$F$6:$F$3307,'Stocking details'!$I$6:$I$3307,G1220)</x:f>
        <x:v>3100</x:v>
      </x:c>
      <x:c r="F1220" s="13" t="n">
        <x:f>COUNTIFS('Stocking details'!$I$6:$I$3307,G1220)</x:f>
        <x:v>1</x:v>
      </x:c>
      <x:c r="G1220" s="8" t="str">
        <x:f>B1220&amp;" / "&amp;C1220&amp;" / "&amp;D1220</x:f>
        <x:v>5223 / 2026 / RAINBOW TROUT</x:v>
      </x:c>
    </x:row>
    <x:row r="1221" ht="23" customHeight="1">
      <x:c r="A1221" s="8" t="str">
        <x:v>Margaret Lake</x:v>
      </x:c>
      <x:c r="B1221" s="8" t="str">
        <x:v>5223</x:v>
      </x:c>
      <x:c r="C1221" s="17" t="n">
        <x:v>2025</x:v>
      </x:c>
      <x:c r="D1221" s="8" t="str">
        <x:v>RAINBOW TROUT</x:v>
      </x:c>
      <x:c r="E1221" s="13" t="n">
        <x:f>SUMIFS('Stocking details'!$F$6:$F$3307,'Stocking details'!$I$6:$I$3307,G1221)</x:f>
        <x:v>3100</x:v>
      </x:c>
      <x:c r="F1221" s="13" t="n">
        <x:f>COUNTIFS('Stocking details'!$I$6:$I$3307,G1221)</x:f>
        <x:v>1</x:v>
      </x:c>
      <x:c r="G1221" s="8" t="str">
        <x:f>B1221&amp;" / "&amp;C1221&amp;" / "&amp;D1221</x:f>
        <x:v>5223 / 2025 / RAINBOW TROUT</x:v>
      </x:c>
    </x:row>
    <x:row r="1222" ht="23" customHeight="1">
      <x:c r="A1222" s="8" t="str">
        <x:v>Margaret Lake</x:v>
      </x:c>
      <x:c r="B1222" s="8" t="str">
        <x:v>5223</x:v>
      </x:c>
      <x:c r="C1222" s="17" t="n">
        <x:v>2023</x:v>
      </x:c>
      <x:c r="D1222" s="8" t="str">
        <x:v>CUTTHROAT TROUT</x:v>
      </x:c>
      <x:c r="E1222" s="13" t="n">
        <x:f>SUMIFS('Stocking details'!$F$6:$F$3307,'Stocking details'!$I$6:$I$3307,G1222)</x:f>
        <x:v>3067</x:v>
      </x:c>
      <x:c r="F1222" s="13" t="n">
        <x:f>COUNTIFS('Stocking details'!$I$6:$I$3307,G1222)</x:f>
        <x:v>1</x:v>
      </x:c>
      <x:c r="G1222" s="8" t="str">
        <x:f>B1222&amp;" / "&amp;C1222&amp;" / "&amp;D1222</x:f>
        <x:v>5223 / 2023 / CUTTHROAT TROUT</x:v>
      </x:c>
    </x:row>
    <x:row r="1223" ht="23" customHeight="1">
      <x:c r="A1223" s="8" t="str">
        <x:v>Margaret Lake</x:v>
      </x:c>
      <x:c r="B1223" s="8" t="str">
        <x:v>5223</x:v>
      </x:c>
      <x:c r="C1223" s="17" t="n">
        <x:v>2022</x:v>
      </x:c>
      <x:c r="D1223" s="8" t="str">
        <x:v>CUTTHROAT TROUT</x:v>
      </x:c>
      <x:c r="E1223" s="13" t="n">
        <x:f>SUMIFS('Stocking details'!$F$6:$F$3307,'Stocking details'!$I$6:$I$3307,G1223)</x:f>
        <x:v>3067</x:v>
      </x:c>
      <x:c r="F1223" s="13" t="n">
        <x:f>COUNTIFS('Stocking details'!$I$6:$I$3307,G1223)</x:f>
        <x:v>1</x:v>
      </x:c>
      <x:c r="G1223" s="8" t="str">
        <x:f>B1223&amp;" / "&amp;C1223&amp;" / "&amp;D1223</x:f>
        <x:v>5223 / 2022 / CUTTHROAT TROUT</x:v>
      </x:c>
    </x:row>
    <x:row r="1224" ht="23" customHeight="1">
      <x:c r="A1224" s="8" t="str">
        <x:v>Margaret Lake</x:v>
      </x:c>
      <x:c r="B1224" s="8" t="str">
        <x:v>5223</x:v>
      </x:c>
      <x:c r="C1224" s="17" t="n">
        <x:v>2021</x:v>
      </x:c>
      <x:c r="D1224" s="8" t="str">
        <x:v>RAINBOW TROUT</x:v>
      </x:c>
      <x:c r="E1224" s="13" t="n">
        <x:f>SUMIFS('Stocking details'!$F$6:$F$3307,'Stocking details'!$I$6:$I$3307,G1224)</x:f>
        <x:v>3088</x:v>
      </x:c>
      <x:c r="F1224" s="13" t="n">
        <x:f>COUNTIFS('Stocking details'!$I$6:$I$3307,G1224)</x:f>
        <x:v>1</x:v>
      </x:c>
      <x:c r="G1224" s="8" t="str">
        <x:f>B1224&amp;" / "&amp;C1224&amp;" / "&amp;D1224</x:f>
        <x:v>5223 / 2021 / RAINBOW TROUT</x:v>
      </x:c>
    </x:row>
    <x:row r="1225" ht="23" customHeight="1">
      <x:c r="A1225" s="8" t="str">
        <x:v>Marigold Lake</x:v>
      </x:c>
      <x:c r="B1225" s="8" t="str">
        <x:v>5232</x:v>
      </x:c>
      <x:c r="C1225" s="17" t="n">
        <x:v>2025</x:v>
      </x:c>
      <x:c r="D1225" s="8" t="str">
        <x:v>BROOK TROUT</x:v>
      </x:c>
      <x:c r="E1225" s="13" t="n">
        <x:f>SUMIFS('Stocking details'!$F$6:$F$3307,'Stocking details'!$I$6:$I$3307,G1225)</x:f>
        <x:v>70000</x:v>
      </x:c>
      <x:c r="F1225" s="13" t="n">
        <x:f>COUNTIFS('Stocking details'!$I$6:$I$3307,G1225)</x:f>
        <x:v>1</x:v>
      </x:c>
      <x:c r="G1225" s="8" t="str">
        <x:f>B1225&amp;" / "&amp;C1225&amp;" / "&amp;D1225</x:f>
        <x:v>5232 / 2025 / BROOK TROUT</x:v>
      </x:c>
    </x:row>
    <x:row r="1226" ht="23" customHeight="1">
      <x:c r="A1226" s="8" t="str">
        <x:v>Marigold Lake</x:v>
      </x:c>
      <x:c r="B1226" s="8" t="str">
        <x:v>5232</x:v>
      </x:c>
      <x:c r="C1226" s="17" t="n">
        <x:v>2024</x:v>
      </x:c>
      <x:c r="D1226" s="8" t="str">
        <x:v>BROOK TROUT</x:v>
      </x:c>
      <x:c r="E1226" s="13" t="n">
        <x:f>SUMIFS('Stocking details'!$F$6:$F$3307,'Stocking details'!$I$6:$I$3307,G1226)</x:f>
        <x:v>7000</x:v>
      </x:c>
      <x:c r="F1226" s="13" t="n">
        <x:f>COUNTIFS('Stocking details'!$I$6:$I$3307,G1226)</x:f>
        <x:v>1</x:v>
      </x:c>
      <x:c r="G1226" s="8" t="str">
        <x:f>B1226&amp;" / "&amp;C1226&amp;" / "&amp;D1226</x:f>
        <x:v>5232 / 2024 / BROOK TROUT</x:v>
      </x:c>
    </x:row>
    <x:row r="1227" ht="23" customHeight="1">
      <x:c r="A1227" s="8" t="str">
        <x:v>Marigold Lake</x:v>
      </x:c>
      <x:c r="B1227" s="8" t="str">
        <x:v>5232</x:v>
      </x:c>
      <x:c r="C1227" s="17" t="n">
        <x:v>2023</x:v>
      </x:c>
      <x:c r="D1227" s="8" t="str">
        <x:v>BROOK TROUT</x:v>
      </x:c>
      <x:c r="E1227" s="13" t="n">
        <x:f>SUMIFS('Stocking details'!$F$6:$F$3307,'Stocking details'!$I$6:$I$3307,G1227)</x:f>
        <x:v>7000</x:v>
      </x:c>
      <x:c r="F1227" s="13" t="n">
        <x:f>COUNTIFS('Stocking details'!$I$6:$I$3307,G1227)</x:f>
        <x:v>1</x:v>
      </x:c>
      <x:c r="G1227" s="8" t="str">
        <x:f>B1227&amp;" / "&amp;C1227&amp;" / "&amp;D1227</x:f>
        <x:v>5232 / 2023 / BROOK TROUT</x:v>
      </x:c>
    </x:row>
    <x:row r="1228" ht="23" customHeight="1">
      <x:c r="A1228" s="8" t="str">
        <x:v>Marigold Lake</x:v>
      </x:c>
      <x:c r="B1228" s="8" t="str">
        <x:v>5232</x:v>
      </x:c>
      <x:c r="C1228" s="17" t="n">
        <x:v>2022</x:v>
      </x:c>
      <x:c r="D1228" s="8" t="str">
        <x:v>BROOK TROUT</x:v>
      </x:c>
      <x:c r="E1228" s="13" t="n">
        <x:f>SUMIFS('Stocking details'!$F$6:$F$3307,'Stocking details'!$I$6:$I$3307,G1228)</x:f>
        <x:v>7091</x:v>
      </x:c>
      <x:c r="F1228" s="13" t="n">
        <x:f>COUNTIFS('Stocking details'!$I$6:$I$3307,G1228)</x:f>
        <x:v>1</x:v>
      </x:c>
      <x:c r="G1228" s="8" t="str">
        <x:f>B1228&amp;" / "&amp;C1228&amp;" / "&amp;D1228</x:f>
        <x:v>5232 / 2022 / BROOK TROUT</x:v>
      </x:c>
    </x:row>
    <x:row r="1229" ht="23" customHeight="1">
      <x:c r="A1229" s="8" t="str">
        <x:v>Marigold Lake</x:v>
      </x:c>
      <x:c r="B1229" s="8" t="str">
        <x:v>5232</x:v>
      </x:c>
      <x:c r="C1229" s="17" t="n">
        <x:v>2021</x:v>
      </x:c>
      <x:c r="D1229" s="8" t="str">
        <x:v>BROOK TROUT</x:v>
      </x:c>
      <x:c r="E1229" s="13" t="n">
        <x:f>SUMIFS('Stocking details'!$F$6:$F$3307,'Stocking details'!$I$6:$I$3307,G1229)</x:f>
        <x:v>7000</x:v>
      </x:c>
      <x:c r="F1229" s="13" t="n">
        <x:f>COUNTIFS('Stocking details'!$I$6:$I$3307,G1229)</x:f>
        <x:v>1</x:v>
      </x:c>
      <x:c r="G1229" s="8" t="str">
        <x:f>B1229&amp;" / "&amp;C1229&amp;" / "&amp;D1229</x:f>
        <x:v>5232 / 2021 / BROOK TROUT</x:v>
      </x:c>
    </x:row>
    <x:row r="1230" ht="23" customHeight="1">
      <x:c r="A1230" s="8" t="str">
        <x:v>Mary Gregg Lake</x:v>
      </x:c>
      <x:c r="B1230" s="8" t="str">
        <x:v>5245</x:v>
      </x:c>
      <x:c r="C1230" s="17" t="n">
        <x:v>2026</x:v>
      </x:c>
      <x:c r="D1230" s="8" t="str">
        <x:v>RAINBOW TROUT</x:v>
      </x:c>
      <x:c r="E1230" s="13" t="n">
        <x:f>SUMIFS('Stocking details'!$F$6:$F$3307,'Stocking details'!$I$6:$I$3307,G1230)</x:f>
        <x:v>82</x:v>
      </x:c>
      <x:c r="F1230" s="13" t="n">
        <x:f>COUNTIFS('Stocking details'!$I$6:$I$3307,G1230)</x:f>
        <x:v>1</x:v>
      </x:c>
      <x:c r="G1230" s="8" t="str">
        <x:f>B1230&amp;" / "&amp;C1230&amp;" / "&amp;D1230</x:f>
        <x:v>5245 / 2026 / RAINBOW TROUT</x:v>
      </x:c>
    </x:row>
    <x:row r="1231" ht="23" customHeight="1">
      <x:c r="A1231" s="8" t="str">
        <x:v>Mary Gregg Lake</x:v>
      </x:c>
      <x:c r="B1231" s="8" t="str">
        <x:v>5245</x:v>
      </x:c>
      <x:c r="C1231" s="17" t="n">
        <x:v>2025</x:v>
      </x:c>
      <x:c r="D1231" s="8" t="str">
        <x:v>RAINBOW TROUT</x:v>
      </x:c>
      <x:c r="E1231" s="13" t="n">
        <x:f>SUMIFS('Stocking details'!$F$6:$F$3307,'Stocking details'!$I$6:$I$3307,G1231)</x:f>
        <x:v>4000</x:v>
      </x:c>
      <x:c r="F1231" s="13" t="n">
        <x:f>COUNTIFS('Stocking details'!$I$6:$I$3307,G1231)</x:f>
        <x:v>1</x:v>
      </x:c>
      <x:c r="G1231" s="8" t="str">
        <x:f>B1231&amp;" / "&amp;C1231&amp;" / "&amp;D1231</x:f>
        <x:v>5245 / 2025 / RAINBOW TROUT</x:v>
      </x:c>
    </x:row>
    <x:row r="1232" ht="23" customHeight="1">
      <x:c r="A1232" s="8" t="str">
        <x:v>Mary Gregg Lake</x:v>
      </x:c>
      <x:c r="B1232" s="8" t="str">
        <x:v>5245</x:v>
      </x:c>
      <x:c r="C1232" s="17" t="n">
        <x:v>2024</x:v>
      </x:c>
      <x:c r="D1232" s="8" t="str">
        <x:v>RAINBOW TROUT</x:v>
      </x:c>
      <x:c r="E1232" s="13" t="n">
        <x:f>SUMIFS('Stocking details'!$F$6:$F$3307,'Stocking details'!$I$6:$I$3307,G1232)</x:f>
        <x:v>2000</x:v>
      </x:c>
      <x:c r="F1232" s="13" t="n">
        <x:f>COUNTIFS('Stocking details'!$I$6:$I$3307,G1232)</x:f>
        <x:v>1</x:v>
      </x:c>
      <x:c r="G1232" s="8" t="str">
        <x:f>B1232&amp;" / "&amp;C1232&amp;" / "&amp;D1232</x:f>
        <x:v>5245 / 2024 / RAINBOW TROUT</x:v>
      </x:c>
    </x:row>
    <x:row r="1233" ht="23" customHeight="1">
      <x:c r="A1233" s="8" t="str">
        <x:v>Mary Gregg Lake</x:v>
      </x:c>
      <x:c r="B1233" s="8" t="str">
        <x:v>5245</x:v>
      </x:c>
      <x:c r="C1233" s="17" t="n">
        <x:v>2023</x:v>
      </x:c>
      <x:c r="D1233" s="8" t="str">
        <x:v>RAINBOW TROUT</x:v>
      </x:c>
      <x:c r="E1233" s="13" t="n">
        <x:f>SUMIFS('Stocking details'!$F$6:$F$3307,'Stocking details'!$I$6:$I$3307,G1233)</x:f>
        <x:v>1896</x:v>
      </x:c>
      <x:c r="F1233" s="13" t="n">
        <x:f>COUNTIFS('Stocking details'!$I$6:$I$3307,G1233)</x:f>
        <x:v>1</x:v>
      </x:c>
      <x:c r="G1233" s="8" t="str">
        <x:f>B1233&amp;" / "&amp;C1233&amp;" / "&amp;D1233</x:f>
        <x:v>5245 / 2023 / RAINBOW TROUT</x:v>
      </x:c>
    </x:row>
    <x:row r="1234" ht="23" customHeight="1">
      <x:c r="A1234" s="8" t="str">
        <x:v>Mary Gregg Lake</x:v>
      </x:c>
      <x:c r="B1234" s="8" t="str">
        <x:v>5245</x:v>
      </x:c>
      <x:c r="C1234" s="17" t="n">
        <x:v>2022</x:v>
      </x:c>
      <x:c r="D1234" s="8" t="str">
        <x:v>RAINBOW TROUT</x:v>
      </x:c>
      <x:c r="E1234" s="13" t="n">
        <x:f>SUMIFS('Stocking details'!$F$6:$F$3307,'Stocking details'!$I$6:$I$3307,G1234)</x:f>
        <x:v>4000</x:v>
      </x:c>
      <x:c r="F1234" s="13" t="n">
        <x:f>COUNTIFS('Stocking details'!$I$6:$I$3307,G1234)</x:f>
        <x:v>1</x:v>
      </x:c>
      <x:c r="G1234" s="8" t="str">
        <x:f>B1234&amp;" / "&amp;C1234&amp;" / "&amp;D1234</x:f>
        <x:v>5245 / 2022 / RAINBOW TROUT</x:v>
      </x:c>
    </x:row>
    <x:row r="1235" ht="23" customHeight="1">
      <x:c r="A1235" s="8" t="str">
        <x:v>Mary Gregg Lake</x:v>
      </x:c>
      <x:c r="B1235" s="8" t="str">
        <x:v>5245</x:v>
      </x:c>
      <x:c r="C1235" s="17" t="n">
        <x:v>2021</x:v>
      </x:c>
      <x:c r="D1235" s="8" t="str">
        <x:v>RAINBOW TROUT</x:v>
      </x:c>
      <x:c r="E1235" s="13" t="n">
        <x:f>SUMIFS('Stocking details'!$F$6:$F$3307,'Stocking details'!$I$6:$I$3307,G1235)</x:f>
        <x:v>4000</x:v>
      </x:c>
      <x:c r="F1235" s="13" t="n">
        <x:f>COUNTIFS('Stocking details'!$I$6:$I$3307,G1235)</x:f>
        <x:v>1</x:v>
      </x:c>
      <x:c r="G1235" s="8" t="str">
        <x:f>B1235&amp;" / "&amp;C1235&amp;" / "&amp;D1235</x:f>
        <x:v>5245 / 2021 / RAINBOW TROUT</x:v>
      </x:c>
    </x:row>
    <x:row r="1236" ht="23" customHeight="1">
      <x:c r="A1236" s="8" t="str">
        <x:v>Maude Lake</x:v>
      </x:c>
      <x:c r="B1236" s="8" t="str">
        <x:v>5253</x:v>
      </x:c>
      <x:c r="C1236" s="17" t="n">
        <x:v>2025</x:v>
      </x:c>
      <x:c r="D1236" s="8" t="str">
        <x:v>CUTTHROAT TROUT</x:v>
      </x:c>
      <x:c r="E1236" s="13" t="n">
        <x:f>SUMIFS('Stocking details'!$F$6:$F$3307,'Stocking details'!$I$6:$I$3307,G1236)</x:f>
        <x:v>2300</x:v>
      </x:c>
      <x:c r="F1236" s="13" t="n">
        <x:f>COUNTIFS('Stocking details'!$I$6:$I$3307,G1236)</x:f>
        <x:v>1</x:v>
      </x:c>
      <x:c r="G1236" s="8" t="str">
        <x:f>B1236&amp;" / "&amp;C1236&amp;" / "&amp;D1236</x:f>
        <x:v>5253 / 2025 / CUTTHROAT TROUT</x:v>
      </x:c>
    </x:row>
    <x:row r="1237" ht="23" customHeight="1">
      <x:c r="A1237" s="8" t="str">
        <x:v>Maude Lake</x:v>
      </x:c>
      <x:c r="B1237" s="8" t="str">
        <x:v>5253</x:v>
      </x:c>
      <x:c r="C1237" s="17" t="n">
        <x:v>2021</x:v>
      </x:c>
      <x:c r="D1237" s="8" t="str">
        <x:v>CUTTHROAT TROUT</x:v>
      </x:c>
      <x:c r="E1237" s="13" t="n">
        <x:f>SUMIFS('Stocking details'!$F$6:$F$3307,'Stocking details'!$I$6:$I$3307,G1237)</x:f>
        <x:v>2300</x:v>
      </x:c>
      <x:c r="F1237" s="13" t="n">
        <x:f>COUNTIFS('Stocking details'!$I$6:$I$3307,G1237)</x:f>
        <x:v>1</x:v>
      </x:c>
      <x:c r="G1237" s="8" t="str">
        <x:f>B1237&amp;" / "&amp;C1237&amp;" / "&amp;D1237</x:f>
        <x:v>5253 / 2021 / CUTTHROAT TROUT</x:v>
      </x:c>
    </x:row>
    <x:row r="1238" ht="23" customHeight="1">
      <x:c r="A1238" s="8" t="str">
        <x:v>Mayan Lake</x:v>
      </x:c>
      <x:c r="B1238" s="8" t="str">
        <x:v>19525</x:v>
      </x:c>
      <x:c r="C1238" s="17" t="n">
        <x:v>2026</x:v>
      </x:c>
      <x:c r="D1238" s="8" t="str">
        <x:v>RAINBOW TROUT</x:v>
      </x:c>
      <x:c r="E1238" s="13" t="n">
        <x:f>SUMIFS('Stocking details'!$F$6:$F$3307,'Stocking details'!$I$6:$I$3307,G1238)</x:f>
        <x:v>2000</x:v>
      </x:c>
      <x:c r="F1238" s="13" t="n">
        <x:f>COUNTIFS('Stocking details'!$I$6:$I$3307,G1238)</x:f>
        <x:v>1</x:v>
      </x:c>
      <x:c r="G1238" s="8" t="str">
        <x:f>B1238&amp;" / "&amp;C1238&amp;" / "&amp;D1238</x:f>
        <x:v>19525 / 2026 / RAINBOW TROUT</x:v>
      </x:c>
    </x:row>
    <x:row r="1239" ht="23" customHeight="1">
      <x:c r="A1239" s="8" t="str">
        <x:v>Mayan Lake</x:v>
      </x:c>
      <x:c r="B1239" s="8" t="str">
        <x:v>19525</x:v>
      </x:c>
      <x:c r="C1239" s="17" t="n">
        <x:v>2025</x:v>
      </x:c>
      <x:c r="D1239" s="8" t="str">
        <x:v>RAINBOW TROUT</x:v>
      </x:c>
      <x:c r="E1239" s="13" t="n">
        <x:f>SUMIFS('Stocking details'!$F$6:$F$3307,'Stocking details'!$I$6:$I$3307,G1239)</x:f>
        <x:v>2000</x:v>
      </x:c>
      <x:c r="F1239" s="13" t="n">
        <x:f>COUNTIFS('Stocking details'!$I$6:$I$3307,G1239)</x:f>
        <x:v>1</x:v>
      </x:c>
      <x:c r="G1239" s="8" t="str">
        <x:f>B1239&amp;" / "&amp;C1239&amp;" / "&amp;D1239</x:f>
        <x:v>19525 / 2025 / RAINBOW TROUT</x:v>
      </x:c>
    </x:row>
    <x:row r="1240" ht="23" customHeight="1">
      <x:c r="A1240" s="8" t="str">
        <x:v>Mayan Lake</x:v>
      </x:c>
      <x:c r="B1240" s="8" t="str">
        <x:v>19525</x:v>
      </x:c>
      <x:c r="C1240" s="17" t="n">
        <x:v>2024</x:v>
      </x:c>
      <x:c r="D1240" s="8" t="str">
        <x:v>RAINBOW TROUT</x:v>
      </x:c>
      <x:c r="E1240" s="13" t="n">
        <x:f>SUMIFS('Stocking details'!$F$6:$F$3307,'Stocking details'!$I$6:$I$3307,G1240)</x:f>
        <x:v>1000</x:v>
      </x:c>
      <x:c r="F1240" s="13" t="n">
        <x:f>COUNTIFS('Stocking details'!$I$6:$I$3307,G1240)</x:f>
        <x:v>1</x:v>
      </x:c>
      <x:c r="G1240" s="8" t="str">
        <x:f>B1240&amp;" / "&amp;C1240&amp;" / "&amp;D1240</x:f>
        <x:v>19525 / 2024 / RAINBOW TROUT</x:v>
      </x:c>
    </x:row>
    <x:row r="1241" ht="23" customHeight="1">
      <x:c r="A1241" s="8" t="str">
        <x:v>Mayan Lake</x:v>
      </x:c>
      <x:c r="B1241" s="8" t="str">
        <x:v>19525</x:v>
      </x:c>
      <x:c r="C1241" s="17" t="n">
        <x:v>2023</x:v>
      </x:c>
      <x:c r="D1241" s="8" t="str">
        <x:v>RAINBOW TROUT</x:v>
      </x:c>
      <x:c r="E1241" s="13" t="n">
        <x:f>SUMIFS('Stocking details'!$F$6:$F$3307,'Stocking details'!$I$6:$I$3307,G1241)</x:f>
        <x:v>948</x:v>
      </x:c>
      <x:c r="F1241" s="13" t="n">
        <x:f>COUNTIFS('Stocking details'!$I$6:$I$3307,G1241)</x:f>
        <x:v>1</x:v>
      </x:c>
      <x:c r="G1241" s="8" t="str">
        <x:f>B1241&amp;" / "&amp;C1241&amp;" / "&amp;D1241</x:f>
        <x:v>19525 / 2023 / RAINBOW TROUT</x:v>
      </x:c>
    </x:row>
    <x:row r="1242" ht="23" customHeight="1">
      <x:c r="A1242" s="8" t="str">
        <x:v>Mayan Lake</x:v>
      </x:c>
      <x:c r="B1242" s="8" t="str">
        <x:v>19525</x:v>
      </x:c>
      <x:c r="C1242" s="17" t="n">
        <x:v>2022</x:v>
      </x:c>
      <x:c r="D1242" s="8" t="str">
        <x:v>RAINBOW TROUT</x:v>
      </x:c>
      <x:c r="E1242" s="13" t="n">
        <x:f>SUMIFS('Stocking details'!$F$6:$F$3307,'Stocking details'!$I$6:$I$3307,G1242)</x:f>
        <x:v>2000</x:v>
      </x:c>
      <x:c r="F1242" s="13" t="n">
        <x:f>COUNTIFS('Stocking details'!$I$6:$I$3307,G1242)</x:f>
        <x:v>1</x:v>
      </x:c>
      <x:c r="G1242" s="8" t="str">
        <x:f>B1242&amp;" / "&amp;C1242&amp;" / "&amp;D1242</x:f>
        <x:v>19525 / 2022 / RAINBOW TROUT</x:v>
      </x:c>
    </x:row>
    <x:row r="1243" ht="23" customHeight="1">
      <x:c r="A1243" s="8" t="str">
        <x:v>Mayan Lake</x:v>
      </x:c>
      <x:c r="B1243" s="8" t="str">
        <x:v>19525</x:v>
      </x:c>
      <x:c r="C1243" s="17" t="n">
        <x:v>2021</x:v>
      </x:c>
      <x:c r="D1243" s="8" t="str">
        <x:v>RAINBOW TROUT</x:v>
      </x:c>
      <x:c r="E1243" s="13" t="n">
        <x:f>SUMIFS('Stocking details'!$F$6:$F$3307,'Stocking details'!$I$6:$I$3307,G1243)</x:f>
        <x:v>2000</x:v>
      </x:c>
      <x:c r="F1243" s="13" t="n">
        <x:f>COUNTIFS('Stocking details'!$I$6:$I$3307,G1243)</x:f>
        <x:v>1</x:v>
      </x:c>
      <x:c r="G1243" s="8" t="str">
        <x:f>B1243&amp;" / "&amp;C1243&amp;" / "&amp;D1243</x:f>
        <x:v>19525 / 2021 / RAINBOW TROUT</x:v>
      </x:c>
    </x:row>
    <x:row r="1244" ht="23" customHeight="1">
      <x:c r="A1244" s="8" t="str">
        <x:v>Mcclennan Reservoir</x:v>
      </x:c>
      <x:c r="B1244" s="8" t="str">
        <x:v>6753</x:v>
      </x:c>
      <x:c r="C1244" s="17" t="n">
        <x:v>2026</x:v>
      </x:c>
      <x:c r="D1244" s="8" t="str">
        <x:v>RAINBOW TROUT</x:v>
      </x:c>
      <x:c r="E1244" s="13" t="n">
        <x:f>SUMIFS('Stocking details'!$F$6:$F$3307,'Stocking details'!$I$6:$I$3307,G1244)</x:f>
        <x:v>500</x:v>
      </x:c>
      <x:c r="F1244" s="13" t="n">
        <x:f>COUNTIFS('Stocking details'!$I$6:$I$3307,G1244)</x:f>
        <x:v>1</x:v>
      </x:c>
      <x:c r="G1244" s="8" t="str">
        <x:f>B1244&amp;" / "&amp;C1244&amp;" / "&amp;D1244</x:f>
        <x:v>6753 / 2026 / RAINBOW TROUT</x:v>
      </x:c>
    </x:row>
    <x:row r="1245" ht="23" customHeight="1">
      <x:c r="A1245" s="8" t="str">
        <x:v>Mcclennan Reservoir</x:v>
      </x:c>
      <x:c r="B1245" s="8" t="str">
        <x:v>6753</x:v>
      </x:c>
      <x:c r="C1245" s="17" t="n">
        <x:v>2025</x:v>
      </x:c>
      <x:c r="D1245" s="8" t="str">
        <x:v>RAINBOW TROUT</x:v>
      </x:c>
      <x:c r="E1245" s="13" t="n">
        <x:f>SUMIFS('Stocking details'!$F$6:$F$3307,'Stocking details'!$I$6:$I$3307,G1245)</x:f>
        <x:v>500</x:v>
      </x:c>
      <x:c r="F1245" s="13" t="n">
        <x:f>COUNTIFS('Stocking details'!$I$6:$I$3307,G1245)</x:f>
        <x:v>1</x:v>
      </x:c>
      <x:c r="G1245" s="8" t="str">
        <x:f>B1245&amp;" / "&amp;C1245&amp;" / "&amp;D1245</x:f>
        <x:v>6753 / 2025 / RAINBOW TROUT</x:v>
      </x:c>
    </x:row>
    <x:row r="1246" ht="23" customHeight="1">
      <x:c r="A1246" s="8" t="str">
        <x:v>Mcclennan Reservoir</x:v>
      </x:c>
      <x:c r="B1246" s="8" t="str">
        <x:v>6753</x:v>
      </x:c>
      <x:c r="C1246" s="17" t="n">
        <x:v>2024</x:v>
      </x:c>
      <x:c r="D1246" s="8" t="str">
        <x:v>RAINBOW TROUT</x:v>
      </x:c>
      <x:c r="E1246" s="13" t="n">
        <x:f>SUMIFS('Stocking details'!$F$6:$F$3307,'Stocking details'!$I$6:$I$3307,G1246)</x:f>
        <x:v>250</x:v>
      </x:c>
      <x:c r="F1246" s="13" t="n">
        <x:f>COUNTIFS('Stocking details'!$I$6:$I$3307,G1246)</x:f>
        <x:v>1</x:v>
      </x:c>
      <x:c r="G1246" s="8" t="str">
        <x:f>B1246&amp;" / "&amp;C1246&amp;" / "&amp;D1246</x:f>
        <x:v>6753 / 2024 / RAINBOW TROUT</x:v>
      </x:c>
    </x:row>
    <x:row r="1247" ht="23" customHeight="1">
      <x:c r="A1247" s="8" t="str">
        <x:v>Mcclennan Reservoir</x:v>
      </x:c>
      <x:c r="B1247" s="8" t="str">
        <x:v>6753</x:v>
      </x:c>
      <x:c r="C1247" s="17" t="n">
        <x:v>2023</x:v>
      </x:c>
      <x:c r="D1247" s="8" t="str">
        <x:v>RAINBOW TROUT</x:v>
      </x:c>
      <x:c r="E1247" s="13" t="n">
        <x:f>SUMIFS('Stocking details'!$F$6:$F$3307,'Stocking details'!$I$6:$I$3307,G1247)</x:f>
        <x:v>251</x:v>
      </x:c>
      <x:c r="F1247" s="13" t="n">
        <x:f>COUNTIFS('Stocking details'!$I$6:$I$3307,G1247)</x:f>
        <x:v>1</x:v>
      </x:c>
      <x:c r="G1247" s="8" t="str">
        <x:f>B1247&amp;" / "&amp;C1247&amp;" / "&amp;D1247</x:f>
        <x:v>6753 / 2023 / RAINBOW TROUT</x:v>
      </x:c>
    </x:row>
    <x:row r="1248" ht="23" customHeight="1">
      <x:c r="A1248" s="8" t="str">
        <x:v>Mcclennan Reservoir</x:v>
      </x:c>
      <x:c r="B1248" s="8" t="str">
        <x:v>6753</x:v>
      </x:c>
      <x:c r="C1248" s="17" t="n">
        <x:v>2022</x:v>
      </x:c>
      <x:c r="D1248" s="8" t="str">
        <x:v>RAINBOW TROUT</x:v>
      </x:c>
      <x:c r="E1248" s="13" t="n">
        <x:f>SUMIFS('Stocking details'!$F$6:$F$3307,'Stocking details'!$I$6:$I$3307,G1248)</x:f>
        <x:v>500</x:v>
      </x:c>
      <x:c r="F1248" s="13" t="n">
        <x:f>COUNTIFS('Stocking details'!$I$6:$I$3307,G1248)</x:f>
        <x:v>1</x:v>
      </x:c>
      <x:c r="G1248" s="8" t="str">
        <x:f>B1248&amp;" / "&amp;C1248&amp;" / "&amp;D1248</x:f>
        <x:v>6753 / 2022 / RAINBOW TROUT</x:v>
      </x:c>
    </x:row>
    <x:row r="1249" ht="23" customHeight="1">
      <x:c r="A1249" s="8" t="str">
        <x:v>Mcclennan Reservoir</x:v>
      </x:c>
      <x:c r="B1249" s="8" t="str">
        <x:v>6753</x:v>
      </x:c>
      <x:c r="C1249" s="17" t="n">
        <x:v>2021</x:v>
      </x:c>
      <x:c r="D1249" s="8" t="str">
        <x:v>RAINBOW TROUT</x:v>
      </x:c>
      <x:c r="E1249" s="13" t="n">
        <x:f>SUMIFS('Stocking details'!$F$6:$F$3307,'Stocking details'!$I$6:$I$3307,G1249)</x:f>
        <x:v>500</x:v>
      </x:c>
      <x:c r="F1249" s="13" t="n">
        <x:f>COUNTIFS('Stocking details'!$I$6:$I$3307,G1249)</x:f>
        <x:v>1</x:v>
      </x:c>
      <x:c r="G1249" s="8" t="str">
        <x:f>B1249&amp;" / "&amp;C1249&amp;" / "&amp;D1249</x:f>
        <x:v>6753 / 2021 / RAINBOW TROUT</x:v>
      </x:c>
    </x:row>
    <x:row r="1250" ht="23" customHeight="1">
      <x:c r="A1250" s="8" t="str">
        <x:v>Mcgregor Reservoir</x:v>
      </x:c>
      <x:c r="B1250" s="8" t="str">
        <x:v>5275</x:v>
      </x:c>
      <x:c r="C1250" s="17" t="n">
        <x:v>2026</x:v>
      </x:c>
      <x:c r="D1250" s="8" t="str">
        <x:v>WALLEYE</x:v>
      </x:c>
      <x:c r="E1250" s="13" t="n">
        <x:f>SUMIFS('Stocking details'!$F$6:$F$3307,'Stocking details'!$I$6:$I$3307,G1250)</x:f>
        <x:v>29537</x:v>
      </x:c>
      <x:c r="F1250" s="13" t="n">
        <x:f>COUNTIFS('Stocking details'!$I$6:$I$3307,G1250)</x:f>
        <x:v>4</x:v>
      </x:c>
      <x:c r="G1250" s="8" t="str">
        <x:f>B1250&amp;" / "&amp;C1250&amp;" / "&amp;D1250</x:f>
        <x:v>5275 / 2026 / WALLEYE</x:v>
      </x:c>
    </x:row>
    <x:row r="1251" ht="23" customHeight="1">
      <x:c r="A1251" s="8" t="str">
        <x:v>Mcgregor Reservoir</x:v>
      </x:c>
      <x:c r="B1251" s="8" t="str">
        <x:v>5275</x:v>
      </x:c>
      <x:c r="C1251" s="17" t="n">
        <x:v>2023</x:v>
      </x:c>
      <x:c r="D1251" s="8" t="str">
        <x:v>WALLEYE</x:v>
      </x:c>
      <x:c r="E1251" s="13" t="n">
        <x:f>SUMIFS('Stocking details'!$F$6:$F$3307,'Stocking details'!$I$6:$I$3307,G1251)</x:f>
        <x:v>628700</x:v>
      </x:c>
      <x:c r="F1251" s="13" t="n">
        <x:f>COUNTIFS('Stocking details'!$I$6:$I$3307,G1251)</x:f>
        <x:v>1</x:v>
      </x:c>
      <x:c r="G1251" s="8" t="str">
        <x:f>B1251&amp;" / "&amp;C1251&amp;" / "&amp;D1251</x:f>
        <x:v>5275 / 2023 / WALLEYE</x:v>
      </x:c>
    </x:row>
    <x:row r="1252" ht="23" customHeight="1">
      <x:c r="A1252" s="8" t="str">
        <x:v>Mcgregor Reservoir</x:v>
      </x:c>
      <x:c r="B1252" s="8" t="str">
        <x:v>5275</x:v>
      </x:c>
      <x:c r="C1252" s="17" t="n">
        <x:v>2022</x:v>
      </x:c>
      <x:c r="D1252" s="8" t="str">
        <x:v>WALLEYE</x:v>
      </x:c>
      <x:c r="E1252" s="13" t="n">
        <x:f>SUMIFS('Stocking details'!$F$6:$F$3307,'Stocking details'!$I$6:$I$3307,G1252)</x:f>
        <x:v>528700</x:v>
      </x:c>
      <x:c r="F1252" s="13" t="n">
        <x:f>COUNTIFS('Stocking details'!$I$6:$I$3307,G1252)</x:f>
        <x:v>1</x:v>
      </x:c>
      <x:c r="G1252" s="8" t="str">
        <x:f>B1252&amp;" / "&amp;C1252&amp;" / "&amp;D1252</x:f>
        <x:v>5275 / 2022 / WALLEYE</x:v>
      </x:c>
    </x:row>
    <x:row r="1253" ht="23" customHeight="1">
      <x:c r="A1253" s="8" t="str">
        <x:v>Mcgregor Reservoir</x:v>
      </x:c>
      <x:c r="B1253" s="8" t="str">
        <x:v>5275</x:v>
      </x:c>
      <x:c r="C1253" s="17" t="n">
        <x:v>2021</x:v>
      </x:c>
      <x:c r="D1253" s="8" t="str">
        <x:v>WALLEYE</x:v>
      </x:c>
      <x:c r="E1253" s="13" t="n">
        <x:f>SUMIFS('Stocking details'!$F$6:$F$3307,'Stocking details'!$I$6:$I$3307,G1253)</x:f>
        <x:v>639999</x:v>
      </x:c>
      <x:c r="F1253" s="13" t="n">
        <x:f>COUNTIFS('Stocking details'!$I$6:$I$3307,G1253)</x:f>
        <x:v>7</x:v>
      </x:c>
      <x:c r="G1253" s="8" t="str">
        <x:f>B1253&amp;" / "&amp;C1253&amp;" / "&amp;D1253</x:f>
        <x:v>5275 / 2021 / WALLEYE</x:v>
      </x:c>
    </x:row>
    <x:row r="1254" ht="23" customHeight="1">
      <x:c r="A1254" s="8" t="str">
        <x:v>McLaren's Reservoir</x:v>
      </x:c>
      <x:c r="B1254" s="8" t="str">
        <x:v>6755</x:v>
      </x:c>
      <x:c r="C1254" s="17" t="n">
        <x:v>2026</x:v>
      </x:c>
      <x:c r="D1254" s="8" t="str">
        <x:v>RAINBOW TROUT</x:v>
      </x:c>
      <x:c r="E1254" s="13" t="n">
        <x:f>SUMIFS('Stocking details'!$F$6:$F$3307,'Stocking details'!$I$6:$I$3307,G1254)</x:f>
        <x:v>5600</x:v>
      </x:c>
      <x:c r="F1254" s="13" t="n">
        <x:f>COUNTIFS('Stocking details'!$I$6:$I$3307,G1254)</x:f>
        <x:v>2</x:v>
      </x:c>
      <x:c r="G1254" s="8" t="str">
        <x:f>B1254&amp;" / "&amp;C1254&amp;" / "&amp;D1254</x:f>
        <x:v>6755 / 2026 / RAINBOW TROUT</x:v>
      </x:c>
    </x:row>
    <x:row r="1255" ht="23" customHeight="1">
      <x:c r="A1255" s="8" t="str">
        <x:v>McLaren's Reservoir</x:v>
      </x:c>
      <x:c r="B1255" s="8" t="str">
        <x:v>6755</x:v>
      </x:c>
      <x:c r="C1255" s="17" t="n">
        <x:v>2025</x:v>
      </x:c>
      <x:c r="D1255" s="8" t="str">
        <x:v>RAINBOW TROUT</x:v>
      </x:c>
      <x:c r="E1255" s="13" t="n">
        <x:f>SUMIFS('Stocking details'!$F$6:$F$3307,'Stocking details'!$I$6:$I$3307,G1255)</x:f>
        <x:v>5600</x:v>
      </x:c>
      <x:c r="F1255" s="13" t="n">
        <x:f>COUNTIFS('Stocking details'!$I$6:$I$3307,G1255)</x:f>
        <x:v>2</x:v>
      </x:c>
      <x:c r="G1255" s="8" t="str">
        <x:f>B1255&amp;" / "&amp;C1255&amp;" / "&amp;D1255</x:f>
        <x:v>6755 / 2025 / RAINBOW TROUT</x:v>
      </x:c>
    </x:row>
    <x:row r="1256" ht="23" customHeight="1">
      <x:c r="A1256" s="8" t="str">
        <x:v>McLaren's Reservoir</x:v>
      </x:c>
      <x:c r="B1256" s="8" t="str">
        <x:v>6755</x:v>
      </x:c>
      <x:c r="C1256" s="17" t="n">
        <x:v>2024</x:v>
      </x:c>
      <x:c r="D1256" s="8" t="str">
        <x:v>RAINBOW TROUT</x:v>
      </x:c>
      <x:c r="E1256" s="13" t="n">
        <x:f>SUMIFS('Stocking details'!$F$6:$F$3307,'Stocking details'!$I$6:$I$3307,G1256)</x:f>
        <x:v>3360</x:v>
      </x:c>
      <x:c r="F1256" s="13" t="n">
        <x:f>COUNTIFS('Stocking details'!$I$6:$I$3307,G1256)</x:f>
        <x:v>2</x:v>
      </x:c>
      <x:c r="G1256" s="8" t="str">
        <x:f>B1256&amp;" / "&amp;C1256&amp;" / "&amp;D1256</x:f>
        <x:v>6755 / 2024 / RAINBOW TROUT</x:v>
      </x:c>
    </x:row>
    <x:row r="1257" ht="23" customHeight="1">
      <x:c r="A1257" s="8" t="str">
        <x:v>McLaren's Reservoir</x:v>
      </x:c>
      <x:c r="B1257" s="8" t="str">
        <x:v>6755</x:v>
      </x:c>
      <x:c r="C1257" s="17" t="n">
        <x:v>2023</x:v>
      </x:c>
      <x:c r="D1257" s="8" t="str">
        <x:v>RAINBOW TROUT</x:v>
      </x:c>
      <x:c r="E1257" s="13" t="n">
        <x:f>SUMIFS('Stocking details'!$F$6:$F$3307,'Stocking details'!$I$6:$I$3307,G1257)</x:f>
        <x:v>2811</x:v>
      </x:c>
      <x:c r="F1257" s="13" t="n">
        <x:f>COUNTIFS('Stocking details'!$I$6:$I$3307,G1257)</x:f>
        <x:v>1</x:v>
      </x:c>
      <x:c r="G1257" s="8" t="str">
        <x:f>B1257&amp;" / "&amp;C1257&amp;" / "&amp;D1257</x:f>
        <x:v>6755 / 2023 / RAINBOW TROUT</x:v>
      </x:c>
    </x:row>
    <x:row r="1258" ht="23" customHeight="1">
      <x:c r="A1258" s="8" t="str">
        <x:v>McLaren's Reservoir</x:v>
      </x:c>
      <x:c r="B1258" s="8" t="str">
        <x:v>6755</x:v>
      </x:c>
      <x:c r="C1258" s="17" t="n">
        <x:v>2022</x:v>
      </x:c>
      <x:c r="D1258" s="8" t="str">
        <x:v>RAINBOW TROUT</x:v>
      </x:c>
      <x:c r="E1258" s="13" t="n">
        <x:f>SUMIFS('Stocking details'!$F$6:$F$3307,'Stocking details'!$I$6:$I$3307,G1258)</x:f>
        <x:v>5600</x:v>
      </x:c>
      <x:c r="F1258" s="13" t="n">
        <x:f>COUNTIFS('Stocking details'!$I$6:$I$3307,G1258)</x:f>
        <x:v>1</x:v>
      </x:c>
      <x:c r="G1258" s="8" t="str">
        <x:f>B1258&amp;" / "&amp;C1258&amp;" / "&amp;D1258</x:f>
        <x:v>6755 / 2022 / RAINBOW TROUT</x:v>
      </x:c>
    </x:row>
    <x:row r="1259" ht="23" customHeight="1">
      <x:c r="A1259" s="8" t="str">
        <x:v>McLaren's Reservoir</x:v>
      </x:c>
      <x:c r="B1259" s="8" t="str">
        <x:v>6755</x:v>
      </x:c>
      <x:c r="C1259" s="17" t="n">
        <x:v>2021</x:v>
      </x:c>
      <x:c r="D1259" s="8" t="str">
        <x:v>RAINBOW TROUT</x:v>
      </x:c>
      <x:c r="E1259" s="13" t="n">
        <x:f>SUMIFS('Stocking details'!$F$6:$F$3307,'Stocking details'!$I$6:$I$3307,G1259)</x:f>
        <x:v>5650</x:v>
      </x:c>
      <x:c r="F1259" s="13" t="n">
        <x:f>COUNTIFS('Stocking details'!$I$6:$I$3307,G1259)</x:f>
        <x:v>2</x:v>
      </x:c>
      <x:c r="G1259" s="8" t="str">
        <x:f>B1259&amp;" / "&amp;C1259&amp;" / "&amp;D1259</x:f>
        <x:v>6755 / 2021 / RAINBOW TROUT</x:v>
      </x:c>
    </x:row>
    <x:row r="1260" ht="23" customHeight="1">
      <x:c r="A1260" s="8" t="str">
        <x:v>McLean Pond</x:v>
      </x:c>
      <x:c r="B1260" s="8" t="str">
        <x:v>3522</x:v>
      </x:c>
      <x:c r="C1260" s="17" t="n">
        <x:v>2026</x:v>
      </x:c>
      <x:c r="D1260" s="8" t="str">
        <x:v>WESTSLOPE CUTTHROAT TROUT</x:v>
      </x:c>
      <x:c r="E1260" s="13" t="n">
        <x:f>SUMIFS('Stocking details'!$F$6:$F$3307,'Stocking details'!$I$6:$I$3307,G1260)</x:f>
        <x:v>4600</x:v>
      </x:c>
      <x:c r="F1260" s="13" t="n">
        <x:f>COUNTIFS('Stocking details'!$I$6:$I$3307,G1260)</x:f>
        <x:v>2</x:v>
      </x:c>
      <x:c r="G1260" s="8" t="str">
        <x:f>B1260&amp;" / "&amp;C1260&amp;" / "&amp;D1260</x:f>
        <x:v>3522 / 2026 / WESTSLOPE CUTTHROAT TROUT</x:v>
      </x:c>
    </x:row>
    <x:row r="1261" ht="23" customHeight="1">
      <x:c r="A1261" s="8" t="str">
        <x:v>McLean Pond</x:v>
      </x:c>
      <x:c r="B1261" s="8" t="str">
        <x:v>3522</x:v>
      </x:c>
      <x:c r="C1261" s="17" t="n">
        <x:v>2025</x:v>
      </x:c>
      <x:c r="D1261" s="8" t="str">
        <x:v>CUTTHROAT TROUT</x:v>
      </x:c>
      <x:c r="E1261" s="13" t="n">
        <x:f>SUMIFS('Stocking details'!$F$6:$F$3307,'Stocking details'!$I$6:$I$3307,G1261)</x:f>
        <x:v>4800</x:v>
      </x:c>
      <x:c r="F1261" s="13" t="n">
        <x:f>COUNTIFS('Stocking details'!$I$6:$I$3307,G1261)</x:f>
        <x:v>3</x:v>
      </x:c>
      <x:c r="G1261" s="8" t="str">
        <x:f>B1261&amp;" / "&amp;C1261&amp;" / "&amp;D1261</x:f>
        <x:v>3522 / 2025 / CUTTHROAT TROUT</x:v>
      </x:c>
    </x:row>
    <x:row r="1262" ht="23" customHeight="1">
      <x:c r="A1262" s="8" t="str">
        <x:v>McLean Pond</x:v>
      </x:c>
      <x:c r="B1262" s="8" t="str">
        <x:v>3522</x:v>
      </x:c>
      <x:c r="C1262" s="17" t="n">
        <x:v>2024</x:v>
      </x:c>
      <x:c r="D1262" s="8" t="str">
        <x:v>RAINBOW TROUT</x:v>
      </x:c>
      <x:c r="E1262" s="13" t="n">
        <x:f>SUMIFS('Stocking details'!$F$6:$F$3307,'Stocking details'!$I$6:$I$3307,G1262)</x:f>
        <x:v>5307</x:v>
      </x:c>
      <x:c r="F1262" s="13" t="n">
        <x:f>COUNTIFS('Stocking details'!$I$6:$I$3307,G1262)</x:f>
        <x:v>2</x:v>
      </x:c>
      <x:c r="G1262" s="8" t="str">
        <x:f>B1262&amp;" / "&amp;C1262&amp;" / "&amp;D1262</x:f>
        <x:v>3522 / 2024 / RAINBOW TROUT</x:v>
      </x:c>
    </x:row>
    <x:row r="1263" ht="23" customHeight="1">
      <x:c r="A1263" s="8" t="str">
        <x:v>McLean Pond</x:v>
      </x:c>
      <x:c r="B1263" s="8" t="str">
        <x:v>3522</x:v>
      </x:c>
      <x:c r="C1263" s="17" t="n">
        <x:v>2023</x:v>
      </x:c>
      <x:c r="D1263" s="8" t="str">
        <x:v>RAINBOW TROUT</x:v>
      </x:c>
      <x:c r="E1263" s="13" t="n">
        <x:f>SUMIFS('Stocking details'!$F$6:$F$3307,'Stocking details'!$I$6:$I$3307,G1263)</x:f>
        <x:v>4557</x:v>
      </x:c>
      <x:c r="F1263" s="13" t="n">
        <x:f>COUNTIFS('Stocking details'!$I$6:$I$3307,G1263)</x:f>
        <x:v>2</x:v>
      </x:c>
      <x:c r="G1263" s="8" t="str">
        <x:f>B1263&amp;" / "&amp;C1263&amp;" / "&amp;D1263</x:f>
        <x:v>3522 / 2023 / RAINBOW TROUT</x:v>
      </x:c>
    </x:row>
    <x:row r="1264" ht="23" customHeight="1">
      <x:c r="A1264" s="8" t="str">
        <x:v>McLean Pond</x:v>
      </x:c>
      <x:c r="B1264" s="8" t="str">
        <x:v>3522</x:v>
      </x:c>
      <x:c r="C1264" s="17" t="n">
        <x:v>2022</x:v>
      </x:c>
      <x:c r="D1264" s="8" t="str">
        <x:v>RAINBOW TROUT</x:v>
      </x:c>
      <x:c r="E1264" s="13" t="n">
        <x:f>SUMIFS('Stocking details'!$F$6:$F$3307,'Stocking details'!$I$6:$I$3307,G1264)</x:f>
        <x:v>7100</x:v>
      </x:c>
      <x:c r="F1264" s="13" t="n">
        <x:f>COUNTIFS('Stocking details'!$I$6:$I$3307,G1264)</x:f>
        <x:v>2</x:v>
      </x:c>
      <x:c r="G1264" s="8" t="str">
        <x:f>B1264&amp;" / "&amp;C1264&amp;" / "&amp;D1264</x:f>
        <x:v>3522 / 2022 / RAINBOW TROUT</x:v>
      </x:c>
    </x:row>
    <x:row r="1265" ht="23" customHeight="1">
      <x:c r="A1265" s="8" t="str">
        <x:v>McLean Pond</x:v>
      </x:c>
      <x:c r="B1265" s="8" t="str">
        <x:v>3522</x:v>
      </x:c>
      <x:c r="C1265" s="17" t="n">
        <x:v>2021</x:v>
      </x:c>
      <x:c r="D1265" s="8" t="str">
        <x:v>RAINBOW TROUT</x:v>
      </x:c>
      <x:c r="E1265" s="13" t="n">
        <x:f>SUMIFS('Stocking details'!$F$6:$F$3307,'Stocking details'!$I$6:$I$3307,G1265)</x:f>
        <x:v>7100</x:v>
      </x:c>
      <x:c r="F1265" s="13" t="n">
        <x:f>COUNTIFS('Stocking details'!$I$6:$I$3307,G1265)</x:f>
        <x:v>2</x:v>
      </x:c>
      <x:c r="G1265" s="8" t="str">
        <x:f>B1265&amp;" / "&amp;C1265&amp;" / "&amp;D1265</x:f>
        <x:v>3522 / 2021 / RAINBOW TROUT</x:v>
      </x:c>
    </x:row>
    <x:row r="1266" ht="23" customHeight="1">
      <x:c r="A1266" s="8" t="str">
        <x:v>McQuillan Reservoir</x:v>
      </x:c>
      <x:c r="B1266" s="8" t="str">
        <x:v>6757</x:v>
      </x:c>
      <x:c r="C1266" s="17" t="n">
        <x:v>2026</x:v>
      </x:c>
      <x:c r="D1266" s="8" t="str">
        <x:v>RAINBOW TROUT</x:v>
      </x:c>
      <x:c r="E1266" s="13" t="n">
        <x:f>SUMIFS('Stocking details'!$F$6:$F$3307,'Stocking details'!$I$6:$I$3307,G1266)</x:f>
        <x:v>2000</x:v>
      </x:c>
      <x:c r="F1266" s="13" t="n">
        <x:f>COUNTIFS('Stocking details'!$I$6:$I$3307,G1266)</x:f>
        <x:v>1</x:v>
      </x:c>
      <x:c r="G1266" s="8" t="str">
        <x:f>B1266&amp;" / "&amp;C1266&amp;" / "&amp;D1266</x:f>
        <x:v>6757 / 2026 / RAINBOW TROUT</x:v>
      </x:c>
    </x:row>
    <x:row r="1267" ht="23" customHeight="1">
      <x:c r="A1267" s="8" t="str">
        <x:v>McQuillan Reservoir</x:v>
      </x:c>
      <x:c r="B1267" s="8" t="str">
        <x:v>6757</x:v>
      </x:c>
      <x:c r="C1267" s="17" t="n">
        <x:v>2025</x:v>
      </x:c>
      <x:c r="D1267" s="8" t="str">
        <x:v>RAINBOW TROUT</x:v>
      </x:c>
      <x:c r="E1267" s="13" t="n">
        <x:f>SUMIFS('Stocking details'!$F$6:$F$3307,'Stocking details'!$I$6:$I$3307,G1267)</x:f>
        <x:v>3300</x:v>
      </x:c>
      <x:c r="F1267" s="13" t="n">
        <x:f>COUNTIFS('Stocking details'!$I$6:$I$3307,G1267)</x:f>
        <x:v>2</x:v>
      </x:c>
      <x:c r="G1267" s="8" t="str">
        <x:f>B1267&amp;" / "&amp;C1267&amp;" / "&amp;D1267</x:f>
        <x:v>6757 / 2025 / RAINBOW TROUT</x:v>
      </x:c>
    </x:row>
    <x:row r="1268" ht="23" customHeight="1">
      <x:c r="A1268" s="8" t="str">
        <x:v>McQuillan Reservoir</x:v>
      </x:c>
      <x:c r="B1268" s="8" t="str">
        <x:v>6757</x:v>
      </x:c>
      <x:c r="C1268" s="17" t="n">
        <x:v>2024</x:v>
      </x:c>
      <x:c r="D1268" s="8" t="str">
        <x:v>RAINBOW TROUT</x:v>
      </x:c>
      <x:c r="E1268" s="13" t="n">
        <x:f>SUMIFS('Stocking details'!$F$6:$F$3307,'Stocking details'!$I$6:$I$3307,G1268)</x:f>
        <x:v>3300</x:v>
      </x:c>
      <x:c r="F1268" s="13" t="n">
        <x:f>COUNTIFS('Stocking details'!$I$6:$I$3307,G1268)</x:f>
        <x:v>2</x:v>
      </x:c>
      <x:c r="G1268" s="8" t="str">
        <x:f>B1268&amp;" / "&amp;C1268&amp;" / "&amp;D1268</x:f>
        <x:v>6757 / 2024 / RAINBOW TROUT</x:v>
      </x:c>
    </x:row>
    <x:row r="1269" ht="23" customHeight="1">
      <x:c r="A1269" s="8" t="str">
        <x:v>McQuillan Reservoir</x:v>
      </x:c>
      <x:c r="B1269" s="8" t="str">
        <x:v>6757</x:v>
      </x:c>
      <x:c r="C1269" s="17" t="n">
        <x:v>2023</x:v>
      </x:c>
      <x:c r="D1269" s="8" t="str">
        <x:v>RAINBOW TROUT</x:v>
      </x:c>
      <x:c r="E1269" s="13" t="n">
        <x:f>SUMIFS('Stocking details'!$F$6:$F$3307,'Stocking details'!$I$6:$I$3307,G1269)</x:f>
        <x:v>3800</x:v>
      </x:c>
      <x:c r="F1269" s="13" t="n">
        <x:f>COUNTIFS('Stocking details'!$I$6:$I$3307,G1269)</x:f>
        <x:v>2</x:v>
      </x:c>
      <x:c r="G1269" s="8" t="str">
        <x:f>B1269&amp;" / "&amp;C1269&amp;" / "&amp;D1269</x:f>
        <x:v>6757 / 2023 / RAINBOW TROUT</x:v>
      </x:c>
    </x:row>
    <x:row r="1270" ht="23" customHeight="1">
      <x:c r="A1270" s="8" t="str">
        <x:v>McQuillan Reservoir</x:v>
      </x:c>
      <x:c r="B1270" s="8" t="str">
        <x:v>6757</x:v>
      </x:c>
      <x:c r="C1270" s="17" t="n">
        <x:v>2022</x:v>
      </x:c>
      <x:c r="D1270" s="8" t="str">
        <x:v>RAINBOW TROUT</x:v>
      </x:c>
      <x:c r="E1270" s="13" t="n">
        <x:f>SUMIFS('Stocking details'!$F$6:$F$3307,'Stocking details'!$I$6:$I$3307,G1270)</x:f>
        <x:v>3800</x:v>
      </x:c>
      <x:c r="F1270" s="13" t="n">
        <x:f>COUNTIFS('Stocking details'!$I$6:$I$3307,G1270)</x:f>
        <x:v>2</x:v>
      </x:c>
      <x:c r="G1270" s="8" t="str">
        <x:f>B1270&amp;" / "&amp;C1270&amp;" / "&amp;D1270</x:f>
        <x:v>6757 / 2022 / RAINBOW TROUT</x:v>
      </x:c>
    </x:row>
    <x:row r="1271" ht="23" customHeight="1">
      <x:c r="A1271" s="8" t="str">
        <x:v>McQuillan Reservoir</x:v>
      </x:c>
      <x:c r="B1271" s="8" t="str">
        <x:v>6757</x:v>
      </x:c>
      <x:c r="C1271" s="17" t="n">
        <x:v>2021</x:v>
      </x:c>
      <x:c r="D1271" s="8" t="str">
        <x:v>RAINBOW TROUT</x:v>
      </x:c>
      <x:c r="E1271" s="13" t="n">
        <x:f>SUMIFS('Stocking details'!$F$6:$F$3307,'Stocking details'!$I$6:$I$3307,G1271)</x:f>
        <x:v>1900</x:v>
      </x:c>
      <x:c r="F1271" s="13" t="n">
        <x:f>COUNTIFS('Stocking details'!$I$6:$I$3307,G1271)</x:f>
        <x:v>1</x:v>
      </x:c>
      <x:c r="G1271" s="8" t="str">
        <x:f>B1271&amp;" / "&amp;C1271&amp;" / "&amp;D1271</x:f>
        <x:v>6757 / 2021 / RAINBOW TROUT</x:v>
      </x:c>
    </x:row>
    <x:row r="1272" ht="23" customHeight="1">
      <x:c r="A1272" s="8" t="str">
        <x:v>McVinnie Reservoir</x:v>
      </x:c>
      <x:c r="B1272" s="8" t="str">
        <x:v>6758</x:v>
      </x:c>
      <x:c r="C1272" s="17" t="n">
        <x:v>2026</x:v>
      </x:c>
      <x:c r="D1272" s="8" t="str">
        <x:v>RAINBOW TROUT</x:v>
      </x:c>
      <x:c r="E1272" s="13" t="n">
        <x:f>SUMIFS('Stocking details'!$F$6:$F$3307,'Stocking details'!$I$6:$I$3307,G1272)</x:f>
        <x:v>1155</x:v>
      </x:c>
      <x:c r="F1272" s="13" t="n">
        <x:f>COUNTIFS('Stocking details'!$I$6:$I$3307,G1272)</x:f>
        <x:v>1</x:v>
      </x:c>
      <x:c r="G1272" s="8" t="str">
        <x:f>B1272&amp;" / "&amp;C1272&amp;" / "&amp;D1272</x:f>
        <x:v>6758 / 2026 / RAINBOW TROUT</x:v>
      </x:c>
    </x:row>
    <x:row r="1273" ht="23" customHeight="1">
      <x:c r="A1273" s="8" t="str">
        <x:v>McVinnie Reservoir</x:v>
      </x:c>
      <x:c r="B1273" s="8" t="str">
        <x:v>6758</x:v>
      </x:c>
      <x:c r="C1273" s="17" t="n">
        <x:v>2026</x:v>
      </x:c>
      <x:c r="D1273" s="8" t="str">
        <x:v>TIGER TROUT</x:v>
      </x:c>
      <x:c r="E1273" s="13" t="n">
        <x:f>SUMIFS('Stocking details'!$F$6:$F$3307,'Stocking details'!$I$6:$I$3307,G1273)</x:f>
        <x:v>400</x:v>
      </x:c>
      <x:c r="F1273" s="13" t="n">
        <x:f>COUNTIFS('Stocking details'!$I$6:$I$3307,G1273)</x:f>
        <x:v>1</x:v>
      </x:c>
      <x:c r="G1273" s="8" t="str">
        <x:f>B1273&amp;" / "&amp;C1273&amp;" / "&amp;D1273</x:f>
        <x:v>6758 / 2026 / TIGER TROUT</x:v>
      </x:c>
    </x:row>
    <x:row r="1274" ht="23" customHeight="1">
      <x:c r="A1274" s="8" t="str">
        <x:v>McVinnie Reservoir</x:v>
      </x:c>
      <x:c r="B1274" s="8" t="str">
        <x:v>6758</x:v>
      </x:c>
      <x:c r="C1274" s="17" t="n">
        <x:v>2025</x:v>
      </x:c>
      <x:c r="D1274" s="8" t="str">
        <x:v>RAINBOW TROUT</x:v>
      </x:c>
      <x:c r="E1274" s="13" t="n">
        <x:f>SUMIFS('Stocking details'!$F$6:$F$3307,'Stocking details'!$I$6:$I$3307,G1274)</x:f>
        <x:v>2800</x:v>
      </x:c>
      <x:c r="F1274" s="13" t="n">
        <x:f>COUNTIFS('Stocking details'!$I$6:$I$3307,G1274)</x:f>
        <x:v>2</x:v>
      </x:c>
      <x:c r="G1274" s="8" t="str">
        <x:f>B1274&amp;" / "&amp;C1274&amp;" / "&amp;D1274</x:f>
        <x:v>6758 / 2025 / RAINBOW TROUT</x:v>
      </x:c>
    </x:row>
    <x:row r="1275" ht="23" customHeight="1">
      <x:c r="A1275" s="8" t="str">
        <x:v>McVinnie Reservoir</x:v>
      </x:c>
      <x:c r="B1275" s="8" t="str">
        <x:v>6758</x:v>
      </x:c>
      <x:c r="C1275" s="17" t="n">
        <x:v>2025</x:v>
      </x:c>
      <x:c r="D1275" s="8" t="str">
        <x:v>TIGER TROUT</x:v>
      </x:c>
      <x:c r="E1275" s="13" t="n">
        <x:f>SUMIFS('Stocking details'!$F$6:$F$3307,'Stocking details'!$I$6:$I$3307,G1275)</x:f>
        <x:v>400</x:v>
      </x:c>
      <x:c r="F1275" s="13" t="n">
        <x:f>COUNTIFS('Stocking details'!$I$6:$I$3307,G1275)</x:f>
        <x:v>1</x:v>
      </x:c>
      <x:c r="G1275" s="8" t="str">
        <x:f>B1275&amp;" / "&amp;C1275&amp;" / "&amp;D1275</x:f>
        <x:v>6758 / 2025 / TIGER TROUT</x:v>
      </x:c>
    </x:row>
    <x:row r="1276" ht="23" customHeight="1">
      <x:c r="A1276" s="8" t="str">
        <x:v>McVinnie Reservoir</x:v>
      </x:c>
      <x:c r="B1276" s="8" t="str">
        <x:v>6758</x:v>
      </x:c>
      <x:c r="C1276" s="17" t="n">
        <x:v>2024</x:v>
      </x:c>
      <x:c r="D1276" s="8" t="str">
        <x:v>RAINBOW TROUT</x:v>
      </x:c>
      <x:c r="E1276" s="13" t="n">
        <x:f>SUMIFS('Stocking details'!$F$6:$F$3307,'Stocking details'!$I$6:$I$3307,G1276)</x:f>
        <x:v>2800</x:v>
      </x:c>
      <x:c r="F1276" s="13" t="n">
        <x:f>COUNTIFS('Stocking details'!$I$6:$I$3307,G1276)</x:f>
        <x:v>2</x:v>
      </x:c>
      <x:c r="G1276" s="8" t="str">
        <x:f>B1276&amp;" / "&amp;C1276&amp;" / "&amp;D1276</x:f>
        <x:v>6758 / 2024 / RAINBOW TROUT</x:v>
      </x:c>
    </x:row>
    <x:row r="1277" ht="23" customHeight="1">
      <x:c r="A1277" s="8" t="str">
        <x:v>McVinnie Reservoir</x:v>
      </x:c>
      <x:c r="B1277" s="8" t="str">
        <x:v>6758</x:v>
      </x:c>
      <x:c r="C1277" s="17" t="n">
        <x:v>2024</x:v>
      </x:c>
      <x:c r="D1277" s="8" t="str">
        <x:v>TIGER TROUT</x:v>
      </x:c>
      <x:c r="E1277" s="13" t="n">
        <x:f>SUMIFS('Stocking details'!$F$6:$F$3307,'Stocking details'!$I$6:$I$3307,G1277)</x:f>
        <x:v>400</x:v>
      </x:c>
      <x:c r="F1277" s="13" t="n">
        <x:f>COUNTIFS('Stocking details'!$I$6:$I$3307,G1277)</x:f>
        <x:v>1</x:v>
      </x:c>
      <x:c r="G1277" s="8" t="str">
        <x:f>B1277&amp;" / "&amp;C1277&amp;" / "&amp;D1277</x:f>
        <x:v>6758 / 2024 / TIGER TROUT</x:v>
      </x:c>
    </x:row>
    <x:row r="1278" ht="23" customHeight="1">
      <x:c r="A1278" s="8" t="str">
        <x:v>McVinnie Reservoir</x:v>
      </x:c>
      <x:c r="B1278" s="8" t="str">
        <x:v>6758</x:v>
      </x:c>
      <x:c r="C1278" s="17" t="n">
        <x:v>2023</x:v>
      </x:c>
      <x:c r="D1278" s="8" t="str">
        <x:v>RAINBOW TROUT</x:v>
      </x:c>
      <x:c r="E1278" s="13" t="n">
        <x:f>SUMIFS('Stocking details'!$F$6:$F$3307,'Stocking details'!$I$6:$I$3307,G1278)</x:f>
        <x:v>4100</x:v>
      </x:c>
      <x:c r="F1278" s="13" t="n">
        <x:f>COUNTIFS('Stocking details'!$I$6:$I$3307,G1278)</x:f>
        <x:v>2</x:v>
      </x:c>
      <x:c r="G1278" s="8" t="str">
        <x:f>B1278&amp;" / "&amp;C1278&amp;" / "&amp;D1278</x:f>
        <x:v>6758 / 2023 / RAINBOW TROUT</x:v>
      </x:c>
    </x:row>
    <x:row r="1279" ht="23" customHeight="1">
      <x:c r="A1279" s="8" t="str">
        <x:v>McVinnie Reservoir</x:v>
      </x:c>
      <x:c r="B1279" s="8" t="str">
        <x:v>6758</x:v>
      </x:c>
      <x:c r="C1279" s="17" t="n">
        <x:v>2023</x:v>
      </x:c>
      <x:c r="D1279" s="8" t="str">
        <x:v>TIGER TROUT</x:v>
      </x:c>
      <x:c r="E1279" s="13" t="n">
        <x:f>SUMIFS('Stocking details'!$F$6:$F$3307,'Stocking details'!$I$6:$I$3307,G1279)</x:f>
        <x:v>400</x:v>
      </x:c>
      <x:c r="F1279" s="13" t="n">
        <x:f>COUNTIFS('Stocking details'!$I$6:$I$3307,G1279)</x:f>
        <x:v>1</x:v>
      </x:c>
      <x:c r="G1279" s="8" t="str">
        <x:f>B1279&amp;" / "&amp;C1279&amp;" / "&amp;D1279</x:f>
        <x:v>6758 / 2023 / TIGER TROUT</x:v>
      </x:c>
    </x:row>
    <x:row r="1280" ht="23" customHeight="1">
      <x:c r="A1280" s="8" t="str">
        <x:v>McVinnie Reservoir</x:v>
      </x:c>
      <x:c r="B1280" s="8" t="str">
        <x:v>6758</x:v>
      </x:c>
      <x:c r="C1280" s="17" t="n">
        <x:v>2022</x:v>
      </x:c>
      <x:c r="D1280" s="8" t="str">
        <x:v>RAINBOW TROUT</x:v>
      </x:c>
      <x:c r="E1280" s="13" t="n">
        <x:f>SUMIFS('Stocking details'!$F$6:$F$3307,'Stocking details'!$I$6:$I$3307,G1280)</x:f>
        <x:v>4100</x:v>
      </x:c>
      <x:c r="F1280" s="13" t="n">
        <x:f>COUNTIFS('Stocking details'!$I$6:$I$3307,G1280)</x:f>
        <x:v>2</x:v>
      </x:c>
      <x:c r="G1280" s="8" t="str">
        <x:f>B1280&amp;" / "&amp;C1280&amp;" / "&amp;D1280</x:f>
        <x:v>6758 / 2022 / RAINBOW TROUT</x:v>
      </x:c>
    </x:row>
    <x:row r="1281" ht="23" customHeight="1">
      <x:c r="A1281" s="8" t="str">
        <x:v>McVinnie Reservoir</x:v>
      </x:c>
      <x:c r="B1281" s="8" t="str">
        <x:v>6758</x:v>
      </x:c>
      <x:c r="C1281" s="17" t="n">
        <x:v>2022</x:v>
      </x:c>
      <x:c r="D1281" s="8" t="str">
        <x:v>TIGER TROUT</x:v>
      </x:c>
      <x:c r="E1281" s="13" t="n">
        <x:f>SUMIFS('Stocking details'!$F$6:$F$3307,'Stocking details'!$I$6:$I$3307,G1281)</x:f>
        <x:v>400</x:v>
      </x:c>
      <x:c r="F1281" s="13" t="n">
        <x:f>COUNTIFS('Stocking details'!$I$6:$I$3307,G1281)</x:f>
        <x:v>1</x:v>
      </x:c>
      <x:c r="G1281" s="8" t="str">
        <x:f>B1281&amp;" / "&amp;C1281&amp;" / "&amp;D1281</x:f>
        <x:v>6758 / 2022 / TIGER TROUT</x:v>
      </x:c>
    </x:row>
    <x:row r="1282" ht="23" customHeight="1">
      <x:c r="A1282" s="8" t="str">
        <x:v>McVinnie Reservoir</x:v>
      </x:c>
      <x:c r="B1282" s="8" t="str">
        <x:v>6758</x:v>
      </x:c>
      <x:c r="C1282" s="17" t="n">
        <x:v>2021</x:v>
      </x:c>
      <x:c r="D1282" s="8" t="str">
        <x:v>RAINBOW TROUT</x:v>
      </x:c>
      <x:c r="E1282" s="13" t="n">
        <x:f>SUMIFS('Stocking details'!$F$6:$F$3307,'Stocking details'!$I$6:$I$3307,G1282)</x:f>
        <x:v>2155</x:v>
      </x:c>
      <x:c r="F1282" s="13" t="n">
        <x:f>COUNTIFS('Stocking details'!$I$6:$I$3307,G1282)</x:f>
        <x:v>2</x:v>
      </x:c>
      <x:c r="G1282" s="8" t="str">
        <x:f>B1282&amp;" / "&amp;C1282&amp;" / "&amp;D1282</x:f>
        <x:v>6758 / 2021 / RAINBOW TROUT</x:v>
      </x:c>
    </x:row>
    <x:row r="1283" ht="23" customHeight="1">
      <x:c r="A1283" s="8" t="str">
        <x:v>McVinnie Reservoir</x:v>
      </x:c>
      <x:c r="B1283" s="8" t="str">
        <x:v>6758</x:v>
      </x:c>
      <x:c r="C1283" s="17" t="n">
        <x:v>2021</x:v>
      </x:c>
      <x:c r="D1283" s="8" t="str">
        <x:v>TIGER TROUT</x:v>
      </x:c>
      <x:c r="E1283" s="13" t="n">
        <x:f>SUMIFS('Stocking details'!$F$6:$F$3307,'Stocking details'!$I$6:$I$3307,G1283)</x:f>
        <x:v>400</x:v>
      </x:c>
      <x:c r="F1283" s="13" t="n">
        <x:f>COUNTIFS('Stocking details'!$I$6:$I$3307,G1283)</x:f>
        <x:v>1</x:v>
      </x:c>
      <x:c r="G1283" s="8" t="str">
        <x:f>B1283&amp;" / "&amp;C1283&amp;" / "&amp;D1283</x:f>
        <x:v>6758 / 2021 / TIGER TROUT</x:v>
      </x:c>
    </x:row>
    <x:row r="1284" ht="23" customHeight="1">
      <x:c r="A1284" s="8" t="str">
        <x:v>MD Peace Pond #1</x:v>
      </x:c>
      <x:c r="B1284" s="8" t="str">
        <x:v>6721</x:v>
      </x:c>
      <x:c r="C1284" s="17" t="n">
        <x:v>2026</x:v>
      </x:c>
      <x:c r="D1284" s="8" t="str">
        <x:v>RAINBOW TROUT</x:v>
      </x:c>
      <x:c r="E1284" s="13" t="n">
        <x:f>SUMIFS('Stocking details'!$F$6:$F$3307,'Stocking details'!$I$6:$I$3307,G1284)</x:f>
        <x:v>1000</x:v>
      </x:c>
      <x:c r="F1284" s="13" t="n">
        <x:f>COUNTIFS('Stocking details'!$I$6:$I$3307,G1284)</x:f>
        <x:v>1</x:v>
      </x:c>
      <x:c r="G1284" s="8" t="str">
        <x:f>B1284&amp;" / "&amp;C1284&amp;" / "&amp;D1284</x:f>
        <x:v>6721 / 2026 / RAINBOW TROUT</x:v>
      </x:c>
    </x:row>
    <x:row r="1285" ht="23" customHeight="1">
      <x:c r="A1285" s="8" t="str">
        <x:v>MD Peace Pond #1</x:v>
      </x:c>
      <x:c r="B1285" s="8" t="str">
        <x:v>6721</x:v>
      </x:c>
      <x:c r="C1285" s="17" t="n">
        <x:v>2025</x:v>
      </x:c>
      <x:c r="D1285" s="8" t="str">
        <x:v>RAINBOW TROUT</x:v>
      </x:c>
      <x:c r="E1285" s="13" t="n">
        <x:f>SUMIFS('Stocking details'!$F$6:$F$3307,'Stocking details'!$I$6:$I$3307,G1285)</x:f>
        <x:v>1000</x:v>
      </x:c>
      <x:c r="F1285" s="13" t="n">
        <x:f>COUNTIFS('Stocking details'!$I$6:$I$3307,G1285)</x:f>
        <x:v>1</x:v>
      </x:c>
      <x:c r="G1285" s="8" t="str">
        <x:f>B1285&amp;" / "&amp;C1285&amp;" / "&amp;D1285</x:f>
        <x:v>6721 / 2025 / RAINBOW TROUT</x:v>
      </x:c>
    </x:row>
    <x:row r="1286" ht="23" customHeight="1">
      <x:c r="A1286" s="8" t="str">
        <x:v>MD Peace Pond #1</x:v>
      </x:c>
      <x:c r="B1286" s="8" t="str">
        <x:v>6721</x:v>
      </x:c>
      <x:c r="C1286" s="17" t="n">
        <x:v>2024</x:v>
      </x:c>
      <x:c r="D1286" s="8" t="str">
        <x:v>RAINBOW TROUT</x:v>
      </x:c>
      <x:c r="E1286" s="13" t="n">
        <x:f>SUMIFS('Stocking details'!$F$6:$F$3307,'Stocking details'!$I$6:$I$3307,G1286)</x:f>
        <x:v>500</x:v>
      </x:c>
      <x:c r="F1286" s="13" t="n">
        <x:f>COUNTIFS('Stocking details'!$I$6:$I$3307,G1286)</x:f>
        <x:v>1</x:v>
      </x:c>
      <x:c r="G1286" s="8" t="str">
        <x:f>B1286&amp;" / "&amp;C1286&amp;" / "&amp;D1286</x:f>
        <x:v>6721 / 2024 / RAINBOW TROUT</x:v>
      </x:c>
    </x:row>
    <x:row r="1287" ht="23" customHeight="1">
      <x:c r="A1287" s="8" t="str">
        <x:v>MD Peace Pond #1</x:v>
      </x:c>
      <x:c r="B1287" s="8" t="str">
        <x:v>6721</x:v>
      </x:c>
      <x:c r="C1287" s="17" t="n">
        <x:v>2023</x:v>
      </x:c>
      <x:c r="D1287" s="8" t="str">
        <x:v>RAINBOW TROUT</x:v>
      </x:c>
      <x:c r="E1287" s="13" t="n">
        <x:f>SUMIFS('Stocking details'!$F$6:$F$3307,'Stocking details'!$I$6:$I$3307,G1287)</x:f>
        <x:v>502</x:v>
      </x:c>
      <x:c r="F1287" s="13" t="n">
        <x:f>COUNTIFS('Stocking details'!$I$6:$I$3307,G1287)</x:f>
        <x:v>1</x:v>
      </x:c>
      <x:c r="G1287" s="8" t="str">
        <x:f>B1287&amp;" / "&amp;C1287&amp;" / "&amp;D1287</x:f>
        <x:v>6721 / 2023 / RAINBOW TROUT</x:v>
      </x:c>
    </x:row>
    <x:row r="1288" ht="23" customHeight="1">
      <x:c r="A1288" s="8" t="str">
        <x:v>MD Peace Pond #1</x:v>
      </x:c>
      <x:c r="B1288" s="8" t="str">
        <x:v>6721</x:v>
      </x:c>
      <x:c r="C1288" s="17" t="n">
        <x:v>2022</x:v>
      </x:c>
      <x:c r="D1288" s="8" t="str">
        <x:v>RAINBOW TROUT</x:v>
      </x:c>
      <x:c r="E1288" s="13" t="n">
        <x:f>SUMIFS('Stocking details'!$F$6:$F$3307,'Stocking details'!$I$6:$I$3307,G1288)</x:f>
        <x:v>1000</x:v>
      </x:c>
      <x:c r="F1288" s="13" t="n">
        <x:f>COUNTIFS('Stocking details'!$I$6:$I$3307,G1288)</x:f>
        <x:v>1</x:v>
      </x:c>
      <x:c r="G1288" s="8" t="str">
        <x:f>B1288&amp;" / "&amp;C1288&amp;" / "&amp;D1288</x:f>
        <x:v>6721 / 2022 / RAINBOW TROUT</x:v>
      </x:c>
    </x:row>
    <x:row r="1289" ht="23" customHeight="1">
      <x:c r="A1289" s="8" t="str">
        <x:v>MD Peace Pond #1</x:v>
      </x:c>
      <x:c r="B1289" s="8" t="str">
        <x:v>6721</x:v>
      </x:c>
      <x:c r="C1289" s="17" t="n">
        <x:v>2021</x:v>
      </x:c>
      <x:c r="D1289" s="8" t="str">
        <x:v>RAINBOW TROUT</x:v>
      </x:c>
      <x:c r="E1289" s="13" t="n">
        <x:f>SUMIFS('Stocking details'!$F$6:$F$3307,'Stocking details'!$I$6:$I$3307,G1289)</x:f>
        <x:v>1000</x:v>
      </x:c>
      <x:c r="F1289" s="13" t="n">
        <x:f>COUNTIFS('Stocking details'!$I$6:$I$3307,G1289)</x:f>
        <x:v>1</x:v>
      </x:c>
      <x:c r="G1289" s="8" t="str">
        <x:f>B1289&amp;" / "&amp;C1289&amp;" / "&amp;D1289</x:f>
        <x:v>6721 / 2021 / RAINBOW TROUT</x:v>
      </x:c>
    </x:row>
    <x:row r="1290" ht="23" customHeight="1">
      <x:c r="A1290" s="8" t="str">
        <x:v>MD Peace Pond #2</x:v>
      </x:c>
      <x:c r="B1290" s="8" t="str">
        <x:v>22995</x:v>
      </x:c>
      <x:c r="C1290" s="17" t="n">
        <x:v>2026</x:v>
      </x:c>
      <x:c r="D1290" s="8" t="str">
        <x:v>RAINBOW TROUT</x:v>
      </x:c>
      <x:c r="E1290" s="13" t="n">
        <x:f>SUMIFS('Stocking details'!$F$6:$F$3307,'Stocking details'!$I$6:$I$3307,G1290)</x:f>
        <x:v>1000</x:v>
      </x:c>
      <x:c r="F1290" s="13" t="n">
        <x:f>COUNTIFS('Stocking details'!$I$6:$I$3307,G1290)</x:f>
        <x:v>1</x:v>
      </x:c>
      <x:c r="G1290" s="8" t="str">
        <x:f>B1290&amp;" / "&amp;C1290&amp;" / "&amp;D1290</x:f>
        <x:v>22995 / 2026 / RAINBOW TROUT</x:v>
      </x:c>
    </x:row>
    <x:row r="1291" ht="23" customHeight="1">
      <x:c r="A1291" s="8" t="str">
        <x:v>MD Peace Pond #2</x:v>
      </x:c>
      <x:c r="B1291" s="8" t="str">
        <x:v>22995</x:v>
      </x:c>
      <x:c r="C1291" s="17" t="n">
        <x:v>2025</x:v>
      </x:c>
      <x:c r="D1291" s="8" t="str">
        <x:v>RAINBOW TROUT</x:v>
      </x:c>
      <x:c r="E1291" s="13" t="n">
        <x:f>SUMIFS('Stocking details'!$F$6:$F$3307,'Stocking details'!$I$6:$I$3307,G1291)</x:f>
        <x:v>1000</x:v>
      </x:c>
      <x:c r="F1291" s="13" t="n">
        <x:f>COUNTIFS('Stocking details'!$I$6:$I$3307,G1291)</x:f>
        <x:v>1</x:v>
      </x:c>
      <x:c r="G1291" s="8" t="str">
        <x:f>B1291&amp;" / "&amp;C1291&amp;" / "&amp;D1291</x:f>
        <x:v>22995 / 2025 / RAINBOW TROUT</x:v>
      </x:c>
    </x:row>
    <x:row r="1292" ht="23" customHeight="1">
      <x:c r="A1292" s="8" t="str">
        <x:v>MD Peace Pond #2</x:v>
      </x:c>
      <x:c r="B1292" s="8" t="str">
        <x:v>22995</x:v>
      </x:c>
      <x:c r="C1292" s="17" t="n">
        <x:v>2024</x:v>
      </x:c>
      <x:c r="D1292" s="8" t="str">
        <x:v>RAINBOW TROUT</x:v>
      </x:c>
      <x:c r="E1292" s="13" t="n">
        <x:f>SUMIFS('Stocking details'!$F$6:$F$3307,'Stocking details'!$I$6:$I$3307,G1292)</x:f>
        <x:v>500</x:v>
      </x:c>
      <x:c r="F1292" s="13" t="n">
        <x:f>COUNTIFS('Stocking details'!$I$6:$I$3307,G1292)</x:f>
        <x:v>1</x:v>
      </x:c>
      <x:c r="G1292" s="8" t="str">
        <x:f>B1292&amp;" / "&amp;C1292&amp;" / "&amp;D1292</x:f>
        <x:v>22995 / 2024 / RAINBOW TROUT</x:v>
      </x:c>
    </x:row>
    <x:row r="1293" ht="23" customHeight="1">
      <x:c r="A1293" s="8" t="str">
        <x:v>MD Peace Pond #2</x:v>
      </x:c>
      <x:c r="B1293" s="8" t="str">
        <x:v>22995</x:v>
      </x:c>
      <x:c r="C1293" s="17" t="n">
        <x:v>2023</x:v>
      </x:c>
      <x:c r="D1293" s="8" t="str">
        <x:v>RAINBOW TROUT</x:v>
      </x:c>
      <x:c r="E1293" s="13" t="n">
        <x:f>SUMIFS('Stocking details'!$F$6:$F$3307,'Stocking details'!$I$6:$I$3307,G1293)</x:f>
        <x:v>502</x:v>
      </x:c>
      <x:c r="F1293" s="13" t="n">
        <x:f>COUNTIFS('Stocking details'!$I$6:$I$3307,G1293)</x:f>
        <x:v>1</x:v>
      </x:c>
      <x:c r="G1293" s="8" t="str">
        <x:f>B1293&amp;" / "&amp;C1293&amp;" / "&amp;D1293</x:f>
        <x:v>22995 / 2023 / RAINBOW TROUT</x:v>
      </x:c>
    </x:row>
    <x:row r="1294" ht="23" customHeight="1">
      <x:c r="A1294" s="8" t="str">
        <x:v>MD Peace Pond #2</x:v>
      </x:c>
      <x:c r="B1294" s="8" t="str">
        <x:v>22995</x:v>
      </x:c>
      <x:c r="C1294" s="17" t="n">
        <x:v>2022</x:v>
      </x:c>
      <x:c r="D1294" s="8" t="str">
        <x:v>RAINBOW TROUT</x:v>
      </x:c>
      <x:c r="E1294" s="13" t="n">
        <x:f>SUMIFS('Stocking details'!$F$6:$F$3307,'Stocking details'!$I$6:$I$3307,G1294)</x:f>
        <x:v>1000</x:v>
      </x:c>
      <x:c r="F1294" s="13" t="n">
        <x:f>COUNTIFS('Stocking details'!$I$6:$I$3307,G1294)</x:f>
        <x:v>1</x:v>
      </x:c>
      <x:c r="G1294" s="8" t="str">
        <x:f>B1294&amp;" / "&amp;C1294&amp;" / "&amp;D1294</x:f>
        <x:v>22995 / 2022 / RAINBOW TROUT</x:v>
      </x:c>
    </x:row>
    <x:row r="1295" ht="23" customHeight="1">
      <x:c r="A1295" s="8" t="str">
        <x:v>MD Peace Pond #2</x:v>
      </x:c>
      <x:c r="B1295" s="8" t="str">
        <x:v>22995</x:v>
      </x:c>
      <x:c r="C1295" s="17" t="n">
        <x:v>2021</x:v>
      </x:c>
      <x:c r="D1295" s="8" t="str">
        <x:v>RAINBOW TROUT</x:v>
      </x:c>
      <x:c r="E1295" s="13" t="n">
        <x:f>SUMIFS('Stocking details'!$F$6:$F$3307,'Stocking details'!$I$6:$I$3307,G1295)</x:f>
        <x:v>1000</x:v>
      </x:c>
      <x:c r="F1295" s="13" t="n">
        <x:f>COUNTIFS('Stocking details'!$I$6:$I$3307,G1295)</x:f>
        <x:v>1</x:v>
      </x:c>
      <x:c r="G1295" s="8" t="str">
        <x:f>B1295&amp;" / "&amp;C1295&amp;" / "&amp;D1295</x:f>
        <x:v>22995 / 2021 / RAINBOW TROUT</x:v>
      </x:c>
    </x:row>
    <x:row r="1296" ht="23" customHeight="1">
      <x:c r="A1296" s="8" t="str">
        <x:v>Medley River</x:v>
      </x:c>
      <x:c r="B1296" s="8" t="str">
        <x:v>2129</x:v>
      </x:c>
      <x:c r="C1296" s="17" t="n">
        <x:v>2025</x:v>
      </x:c>
      <x:c r="D1296" s="8" t="str">
        <x:v>RAINBOW TROUT</x:v>
      </x:c>
      <x:c r="E1296" s="13" t="n">
        <x:f>SUMIFS('Stocking details'!$F$6:$F$3307,'Stocking details'!$I$6:$I$3307,G1296)</x:f>
        <x:v>1500</x:v>
      </x:c>
      <x:c r="F1296" s="13" t="n">
        <x:f>COUNTIFS('Stocking details'!$I$6:$I$3307,G1296)</x:f>
        <x:v>1</x:v>
      </x:c>
      <x:c r="G1296" s="8" t="str">
        <x:f>B1296&amp;" / "&amp;C1296&amp;" / "&amp;D1296</x:f>
        <x:v>2129 / 2025 / RAINBOW TROUT</x:v>
      </x:c>
    </x:row>
    <x:row r="1297" ht="23" customHeight="1">
      <x:c r="A1297" s="8" t="str">
        <x:v>Medley River</x:v>
      </x:c>
      <x:c r="B1297" s="8" t="str">
        <x:v>2129</x:v>
      </x:c>
      <x:c r="C1297" s="17" t="n">
        <x:v>2024</x:v>
      </x:c>
      <x:c r="D1297" s="8" t="str">
        <x:v>RAINBOW TROUT</x:v>
      </x:c>
      <x:c r="E1297" s="13" t="n">
        <x:f>SUMIFS('Stocking details'!$F$6:$F$3307,'Stocking details'!$I$6:$I$3307,G1297)</x:f>
        <x:v>250</x:v>
      </x:c>
      <x:c r="F1297" s="13" t="n">
        <x:f>COUNTIFS('Stocking details'!$I$6:$I$3307,G1297)</x:f>
        <x:v>1</x:v>
      </x:c>
      <x:c r="G1297" s="8" t="str">
        <x:f>B1297&amp;" / "&amp;C1297&amp;" / "&amp;D1297</x:f>
        <x:v>2129 / 2024 / RAINBOW TROUT</x:v>
      </x:c>
    </x:row>
    <x:row r="1298" ht="23" customHeight="1">
      <x:c r="A1298" s="8" t="str">
        <x:v>Medley River</x:v>
      </x:c>
      <x:c r="B1298" s="8" t="str">
        <x:v>2129</x:v>
      </x:c>
      <x:c r="C1298" s="17" t="n">
        <x:v>2023</x:v>
      </x:c>
      <x:c r="D1298" s="8" t="str">
        <x:v>RAINBOW TROUT</x:v>
      </x:c>
      <x:c r="E1298" s="13" t="n">
        <x:f>SUMIFS('Stocking details'!$F$6:$F$3307,'Stocking details'!$I$6:$I$3307,G1298)</x:f>
        <x:v>753</x:v>
      </x:c>
      <x:c r="F1298" s="13" t="n">
        <x:f>COUNTIFS('Stocking details'!$I$6:$I$3307,G1298)</x:f>
        <x:v>1</x:v>
      </x:c>
      <x:c r="G1298" s="8" t="str">
        <x:f>B1298&amp;" / "&amp;C1298&amp;" / "&amp;D1298</x:f>
        <x:v>2129 / 2023 / RAINBOW TROUT</x:v>
      </x:c>
    </x:row>
    <x:row r="1299" ht="23" customHeight="1">
      <x:c r="A1299" s="8" t="str">
        <x:v>Medley River</x:v>
      </x:c>
      <x:c r="B1299" s="8" t="str">
        <x:v>2129</x:v>
      </x:c>
      <x:c r="C1299" s="17" t="n">
        <x:v>2022</x:v>
      </x:c>
      <x:c r="D1299" s="8" t="str">
        <x:v>RAINBOW TROUT</x:v>
      </x:c>
      <x:c r="E1299" s="13" t="n">
        <x:f>SUMIFS('Stocking details'!$F$6:$F$3307,'Stocking details'!$I$6:$I$3307,G1299)</x:f>
        <x:v>1200</x:v>
      </x:c>
      <x:c r="F1299" s="13" t="n">
        <x:f>COUNTIFS('Stocking details'!$I$6:$I$3307,G1299)</x:f>
        <x:v>3</x:v>
      </x:c>
      <x:c r="G1299" s="8" t="str">
        <x:f>B1299&amp;" / "&amp;C1299&amp;" / "&amp;D1299</x:f>
        <x:v>2129 / 2022 / RAINBOW TROUT</x:v>
      </x:c>
    </x:row>
    <x:row r="1300" ht="23" customHeight="1">
      <x:c r="A1300" s="8" t="str">
        <x:v>Michel Creek Reservoir</x:v>
      </x:c>
      <x:c r="B1300" s="8" t="str">
        <x:v>3523</x:v>
      </x:c>
      <x:c r="C1300" s="17" t="n">
        <x:v>2026</x:v>
      </x:c>
      <x:c r="D1300" s="8" t="str">
        <x:v>BROWN TROUT</x:v>
      </x:c>
      <x:c r="E1300" s="13" t="n">
        <x:f>SUMIFS('Stocking details'!$F$6:$F$3307,'Stocking details'!$I$6:$I$3307,G1300)</x:f>
        <x:v>1500</x:v>
      </x:c>
      <x:c r="F1300" s="13" t="n">
        <x:f>COUNTIFS('Stocking details'!$I$6:$I$3307,G1300)</x:f>
        <x:v>1</x:v>
      </x:c>
      <x:c r="G1300" s="8" t="str">
        <x:f>B1300&amp;" / "&amp;C1300&amp;" / "&amp;D1300</x:f>
        <x:v>3523 / 2026 / BROWN TROUT</x:v>
      </x:c>
    </x:row>
    <x:row r="1301" ht="23" customHeight="1">
      <x:c r="A1301" s="8" t="str">
        <x:v>Michel Creek Reservoir</x:v>
      </x:c>
      <x:c r="B1301" s="8" t="str">
        <x:v>3523</x:v>
      </x:c>
      <x:c r="C1301" s="17" t="n">
        <x:v>2026</x:v>
      </x:c>
      <x:c r="D1301" s="8" t="str">
        <x:v>RAINBOW TROUT</x:v>
      </x:c>
      <x:c r="E1301" s="13" t="n">
        <x:f>SUMIFS('Stocking details'!$F$6:$F$3307,'Stocking details'!$I$6:$I$3307,G1301)</x:f>
        <x:v>7500</x:v>
      </x:c>
      <x:c r="F1301" s="13" t="n">
        <x:f>COUNTIFS('Stocking details'!$I$6:$I$3307,G1301)</x:f>
        <x:v>1</x:v>
      </x:c>
      <x:c r="G1301" s="8" t="str">
        <x:f>B1301&amp;" / "&amp;C1301&amp;" / "&amp;D1301</x:f>
        <x:v>3523 / 2026 / RAINBOW TROUT</x:v>
      </x:c>
    </x:row>
    <x:row r="1302" ht="23" customHeight="1">
      <x:c r="A1302" s="8" t="str">
        <x:v>Michel Creek Reservoir</x:v>
      </x:c>
      <x:c r="B1302" s="8" t="str">
        <x:v>3523</x:v>
      </x:c>
      <x:c r="C1302" s="17" t="n">
        <x:v>2025</x:v>
      </x:c>
      <x:c r="D1302" s="8" t="str">
        <x:v>BROWN TROUT</x:v>
      </x:c>
      <x:c r="E1302" s="13" t="n">
        <x:f>SUMIFS('Stocking details'!$F$6:$F$3307,'Stocking details'!$I$6:$I$3307,G1302)</x:f>
        <x:v>1500</x:v>
      </x:c>
      <x:c r="F1302" s="13" t="n">
        <x:f>COUNTIFS('Stocking details'!$I$6:$I$3307,G1302)</x:f>
        <x:v>1</x:v>
      </x:c>
      <x:c r="G1302" s="8" t="str">
        <x:f>B1302&amp;" / "&amp;C1302&amp;" / "&amp;D1302</x:f>
        <x:v>3523 / 2025 / BROWN TROUT</x:v>
      </x:c>
    </x:row>
    <x:row r="1303" ht="23" customHeight="1">
      <x:c r="A1303" s="8" t="str">
        <x:v>Michel Creek Reservoir</x:v>
      </x:c>
      <x:c r="B1303" s="8" t="str">
        <x:v>3523</x:v>
      </x:c>
      <x:c r="C1303" s="17" t="n">
        <x:v>2025</x:v>
      </x:c>
      <x:c r="D1303" s="8" t="str">
        <x:v>RAINBOW TROUT</x:v>
      </x:c>
      <x:c r="E1303" s="13" t="n">
        <x:f>SUMIFS('Stocking details'!$F$6:$F$3307,'Stocking details'!$I$6:$I$3307,G1303)</x:f>
        <x:v>7500</x:v>
      </x:c>
      <x:c r="F1303" s="13" t="n">
        <x:f>COUNTIFS('Stocking details'!$I$6:$I$3307,G1303)</x:f>
        <x:v>1</x:v>
      </x:c>
      <x:c r="G1303" s="8" t="str">
        <x:f>B1303&amp;" / "&amp;C1303&amp;" / "&amp;D1303</x:f>
        <x:v>3523 / 2025 / RAINBOW TROUT</x:v>
      </x:c>
    </x:row>
    <x:row r="1304" ht="23" customHeight="1">
      <x:c r="A1304" s="8" t="str">
        <x:v>Michel Creek Reservoir</x:v>
      </x:c>
      <x:c r="B1304" s="8" t="str">
        <x:v>3523</x:v>
      </x:c>
      <x:c r="C1304" s="17" t="n">
        <x:v>2024</x:v>
      </x:c>
      <x:c r="D1304" s="8" t="str">
        <x:v>BROWN TROUT</x:v>
      </x:c>
      <x:c r="E1304" s="13" t="n">
        <x:f>SUMIFS('Stocking details'!$F$6:$F$3307,'Stocking details'!$I$6:$I$3307,G1304)</x:f>
        <x:v>1500</x:v>
      </x:c>
      <x:c r="F1304" s="13" t="n">
        <x:f>COUNTIFS('Stocking details'!$I$6:$I$3307,G1304)</x:f>
        <x:v>1</x:v>
      </x:c>
      <x:c r="G1304" s="8" t="str">
        <x:f>B1304&amp;" / "&amp;C1304&amp;" / "&amp;D1304</x:f>
        <x:v>3523 / 2024 / BROWN TROUT</x:v>
      </x:c>
    </x:row>
    <x:row r="1305" ht="23" customHeight="1">
      <x:c r="A1305" s="8" t="str">
        <x:v>Michel Creek Reservoir</x:v>
      </x:c>
      <x:c r="B1305" s="8" t="str">
        <x:v>3523</x:v>
      </x:c>
      <x:c r="C1305" s="17" t="n">
        <x:v>2024</x:v>
      </x:c>
      <x:c r="D1305" s="8" t="str">
        <x:v>RAINBOW TROUT</x:v>
      </x:c>
      <x:c r="E1305" s="13" t="n">
        <x:f>SUMIFS('Stocking details'!$F$6:$F$3307,'Stocking details'!$I$6:$I$3307,G1305)</x:f>
        <x:v>24491</x:v>
      </x:c>
      <x:c r="F1305" s="13" t="n">
        <x:f>COUNTIFS('Stocking details'!$I$6:$I$3307,G1305)</x:f>
        <x:v>3</x:v>
      </x:c>
      <x:c r="G1305" s="8" t="str">
        <x:f>B1305&amp;" / "&amp;C1305&amp;" / "&amp;D1305</x:f>
        <x:v>3523 / 2024 / RAINBOW TROUT</x:v>
      </x:c>
    </x:row>
    <x:row r="1306" ht="23" customHeight="1">
      <x:c r="A1306" s="8" t="str">
        <x:v>Michel Creek Reservoir</x:v>
      </x:c>
      <x:c r="B1306" s="8" t="str">
        <x:v>3523</x:v>
      </x:c>
      <x:c r="C1306" s="17" t="n">
        <x:v>2023</x:v>
      </x:c>
      <x:c r="D1306" s="8" t="str">
        <x:v>BROWN TROUT</x:v>
      </x:c>
      <x:c r="E1306" s="13" t="n">
        <x:f>SUMIFS('Stocking details'!$F$6:$F$3307,'Stocking details'!$I$6:$I$3307,G1306)</x:f>
        <x:v>6450</x:v>
      </x:c>
      <x:c r="F1306" s="13" t="n">
        <x:f>COUNTIFS('Stocking details'!$I$6:$I$3307,G1306)</x:f>
        <x:v>3</x:v>
      </x:c>
      <x:c r="G1306" s="8" t="str">
        <x:f>B1306&amp;" / "&amp;C1306&amp;" / "&amp;D1306</x:f>
        <x:v>3523 / 2023 / BROWN TROUT</x:v>
      </x:c>
    </x:row>
    <x:row r="1307" ht="23" customHeight="1">
      <x:c r="A1307" s="8" t="str">
        <x:v>Michel Creek Reservoir</x:v>
      </x:c>
      <x:c r="B1307" s="8" t="str">
        <x:v>3523</x:v>
      </x:c>
      <x:c r="C1307" s="17" t="n">
        <x:v>2023</x:v>
      </x:c>
      <x:c r="D1307" s="8" t="str">
        <x:v>RAINBOW TROUT</x:v>
      </x:c>
      <x:c r="E1307" s="13" t="n">
        <x:f>SUMIFS('Stocking details'!$F$6:$F$3307,'Stocking details'!$I$6:$I$3307,G1307)</x:f>
        <x:v>2933</x:v>
      </x:c>
      <x:c r="F1307" s="13" t="n">
        <x:f>COUNTIFS('Stocking details'!$I$6:$I$3307,G1307)</x:f>
        <x:v>1</x:v>
      </x:c>
      <x:c r="G1307" s="8" t="str">
        <x:f>B1307&amp;" / "&amp;C1307&amp;" / "&amp;D1307</x:f>
        <x:v>3523 / 2023 / RAINBOW TROUT</x:v>
      </x:c>
    </x:row>
    <x:row r="1308" ht="23" customHeight="1">
      <x:c r="A1308" s="8" t="str">
        <x:v>Michel Creek Reservoir</x:v>
      </x:c>
      <x:c r="B1308" s="8" t="str">
        <x:v>3523</x:v>
      </x:c>
      <x:c r="C1308" s="17" t="n">
        <x:v>2022</x:v>
      </x:c>
      <x:c r="D1308" s="8" t="str">
        <x:v>BROWN TROUT</x:v>
      </x:c>
      <x:c r="E1308" s="13" t="n">
        <x:f>SUMIFS('Stocking details'!$F$6:$F$3307,'Stocking details'!$I$6:$I$3307,G1308)</x:f>
        <x:v>1500</x:v>
      </x:c>
      <x:c r="F1308" s="13" t="n">
        <x:f>COUNTIFS('Stocking details'!$I$6:$I$3307,G1308)</x:f>
        <x:v>1</x:v>
      </x:c>
      <x:c r="G1308" s="8" t="str">
        <x:f>B1308&amp;" / "&amp;C1308&amp;" / "&amp;D1308</x:f>
        <x:v>3523 / 2022 / BROWN TROUT</x:v>
      </x:c>
    </x:row>
    <x:row r="1309" ht="23" customHeight="1">
      <x:c r="A1309" s="8" t="str">
        <x:v>Michel Creek Reservoir</x:v>
      </x:c>
      <x:c r="B1309" s="8" t="str">
        <x:v>3523</x:v>
      </x:c>
      <x:c r="C1309" s="17" t="n">
        <x:v>2022</x:v>
      </x:c>
      <x:c r="D1309" s="8" t="str">
        <x:v>RAINBOW TROUT</x:v>
      </x:c>
      <x:c r="E1309" s="13" t="n">
        <x:f>SUMIFS('Stocking details'!$F$6:$F$3307,'Stocking details'!$I$6:$I$3307,G1309)</x:f>
        <x:v>7500</x:v>
      </x:c>
      <x:c r="F1309" s="13" t="n">
        <x:f>COUNTIFS('Stocking details'!$I$6:$I$3307,G1309)</x:f>
        <x:v>1</x:v>
      </x:c>
      <x:c r="G1309" s="8" t="str">
        <x:f>B1309&amp;" / "&amp;C1309&amp;" / "&amp;D1309</x:f>
        <x:v>3523 / 2022 / RAINBOW TROUT</x:v>
      </x:c>
    </x:row>
    <x:row r="1310" ht="23" customHeight="1">
      <x:c r="A1310" s="8" t="str">
        <x:v>Michel Creek Reservoir</x:v>
      </x:c>
      <x:c r="B1310" s="8" t="str">
        <x:v>3523</x:v>
      </x:c>
      <x:c r="C1310" s="17" t="n">
        <x:v>2021</x:v>
      </x:c>
      <x:c r="D1310" s="8" t="str">
        <x:v>BROWN TROUT</x:v>
      </x:c>
      <x:c r="E1310" s="13" t="n">
        <x:f>SUMIFS('Stocking details'!$F$6:$F$3307,'Stocking details'!$I$6:$I$3307,G1310)</x:f>
        <x:v>2066</x:v>
      </x:c>
      <x:c r="F1310" s="13" t="n">
        <x:f>COUNTIFS('Stocking details'!$I$6:$I$3307,G1310)</x:f>
        <x:v>3</x:v>
      </x:c>
      <x:c r="G1310" s="8" t="str">
        <x:f>B1310&amp;" / "&amp;C1310&amp;" / "&amp;D1310</x:f>
        <x:v>3523 / 2021 / BROWN TROUT</x:v>
      </x:c>
    </x:row>
    <x:row r="1311" ht="23" customHeight="1">
      <x:c r="A1311" s="8" t="str">
        <x:v>Michel Creek Reservoir</x:v>
      </x:c>
      <x:c r="B1311" s="8" t="str">
        <x:v>3523</x:v>
      </x:c>
      <x:c r="C1311" s="17" t="n">
        <x:v>2021</x:v>
      </x:c>
      <x:c r="D1311" s="8" t="str">
        <x:v>RAINBOW TROUT</x:v>
      </x:c>
      <x:c r="E1311" s="13" t="n">
        <x:f>SUMIFS('Stocking details'!$F$6:$F$3307,'Stocking details'!$I$6:$I$3307,G1311)</x:f>
        <x:v>5000</x:v>
      </x:c>
      <x:c r="F1311" s="13" t="n">
        <x:f>COUNTIFS('Stocking details'!$I$6:$I$3307,G1311)</x:f>
        <x:v>1</x:v>
      </x:c>
      <x:c r="G1311" s="8" t="str">
        <x:f>B1311&amp;" / "&amp;C1311&amp;" / "&amp;D1311</x:f>
        <x:v>3523 / 2021 / RAINBOW TROUT</x:v>
      </x:c>
    </x:row>
    <x:row r="1312" ht="23" customHeight="1">
      <x:c r="A1312" s="8" t="str">
        <x:v>Michichi Reservoir</x:v>
      </x:c>
      <x:c r="B1312" s="8" t="str">
        <x:v>3524</x:v>
      </x:c>
      <x:c r="C1312" s="17" t="n">
        <x:v>2026</x:v>
      </x:c>
      <x:c r="D1312" s="8" t="str">
        <x:v>RAINBOW TROUT</x:v>
      </x:c>
      <x:c r="E1312" s="13" t="n">
        <x:f>SUMIFS('Stocking details'!$F$6:$F$3307,'Stocking details'!$I$6:$I$3307,G1312)</x:f>
        <x:v>5600</x:v>
      </x:c>
      <x:c r="F1312" s="13" t="n">
        <x:f>COUNTIFS('Stocking details'!$I$6:$I$3307,G1312)</x:f>
        <x:v>2</x:v>
      </x:c>
      <x:c r="G1312" s="8" t="str">
        <x:f>B1312&amp;" / "&amp;C1312&amp;" / "&amp;D1312</x:f>
        <x:v>3524 / 2026 / RAINBOW TROUT</x:v>
      </x:c>
    </x:row>
    <x:row r="1313" ht="23" customHeight="1">
      <x:c r="A1313" s="8" t="str">
        <x:v>Michichi Reservoir</x:v>
      </x:c>
      <x:c r="B1313" s="8" t="str">
        <x:v>3524</x:v>
      </x:c>
      <x:c r="C1313" s="17" t="n">
        <x:v>2025</x:v>
      </x:c>
      <x:c r="D1313" s="8" t="str">
        <x:v>RAINBOW TROUT</x:v>
      </x:c>
      <x:c r="E1313" s="13" t="n">
        <x:f>SUMIFS('Stocking details'!$F$6:$F$3307,'Stocking details'!$I$6:$I$3307,G1313)</x:f>
        <x:v>5600</x:v>
      </x:c>
      <x:c r="F1313" s="13" t="n">
        <x:f>COUNTIFS('Stocking details'!$I$6:$I$3307,G1313)</x:f>
        <x:v>2</x:v>
      </x:c>
      <x:c r="G1313" s="8" t="str">
        <x:f>B1313&amp;" / "&amp;C1313&amp;" / "&amp;D1313</x:f>
        <x:v>3524 / 2025 / RAINBOW TROUT</x:v>
      </x:c>
    </x:row>
    <x:row r="1314" ht="23" customHeight="1">
      <x:c r="A1314" s="8" t="str">
        <x:v>Michichi Reservoir</x:v>
      </x:c>
      <x:c r="B1314" s="8" t="str">
        <x:v>3524</x:v>
      </x:c>
      <x:c r="C1314" s="17" t="n">
        <x:v>2024</x:v>
      </x:c>
      <x:c r="D1314" s="8" t="str">
        <x:v>RAINBOW TROUT</x:v>
      </x:c>
      <x:c r="E1314" s="13" t="n">
        <x:f>SUMIFS('Stocking details'!$F$6:$F$3307,'Stocking details'!$I$6:$I$3307,G1314)</x:f>
        <x:v>3360</x:v>
      </x:c>
      <x:c r="F1314" s="13" t="n">
        <x:f>COUNTIFS('Stocking details'!$I$6:$I$3307,G1314)</x:f>
        <x:v>1</x:v>
      </x:c>
      <x:c r="G1314" s="8" t="str">
        <x:f>B1314&amp;" / "&amp;C1314&amp;" / "&amp;D1314</x:f>
        <x:v>3524 / 2024 / RAINBOW TROUT</x:v>
      </x:c>
    </x:row>
    <x:row r="1315" ht="23" customHeight="1">
      <x:c r="A1315" s="8" t="str">
        <x:v>Michichi Reservoir</x:v>
      </x:c>
      <x:c r="B1315" s="8" t="str">
        <x:v>3524</x:v>
      </x:c>
      <x:c r="C1315" s="17" t="n">
        <x:v>2023</x:v>
      </x:c>
      <x:c r="D1315" s="8" t="str">
        <x:v>RAINBOW TROUT</x:v>
      </x:c>
      <x:c r="E1315" s="13" t="n">
        <x:f>SUMIFS('Stocking details'!$F$6:$F$3307,'Stocking details'!$I$6:$I$3307,G1315)</x:f>
        <x:v>2811</x:v>
      </x:c>
      <x:c r="F1315" s="13" t="n">
        <x:f>COUNTIFS('Stocking details'!$I$6:$I$3307,G1315)</x:f>
        <x:v>1</x:v>
      </x:c>
      <x:c r="G1315" s="8" t="str">
        <x:f>B1315&amp;" / "&amp;C1315&amp;" / "&amp;D1315</x:f>
        <x:v>3524 / 2023 / RAINBOW TROUT</x:v>
      </x:c>
    </x:row>
    <x:row r="1316" ht="23" customHeight="1">
      <x:c r="A1316" s="8" t="str">
        <x:v>Michichi Reservoir</x:v>
      </x:c>
      <x:c r="B1316" s="8" t="str">
        <x:v>3524</x:v>
      </x:c>
      <x:c r="C1316" s="17" t="n">
        <x:v>2022</x:v>
      </x:c>
      <x:c r="D1316" s="8" t="str">
        <x:v>RAINBOW TROUT</x:v>
      </x:c>
      <x:c r="E1316" s="13" t="n">
        <x:f>SUMIFS('Stocking details'!$F$6:$F$3307,'Stocking details'!$I$6:$I$3307,G1316)</x:f>
        <x:v>5600</x:v>
      </x:c>
      <x:c r="F1316" s="13" t="n">
        <x:f>COUNTIFS('Stocking details'!$I$6:$I$3307,G1316)</x:f>
        <x:v>1</x:v>
      </x:c>
      <x:c r="G1316" s="8" t="str">
        <x:f>B1316&amp;" / "&amp;C1316&amp;" / "&amp;D1316</x:f>
        <x:v>3524 / 2022 / RAINBOW TROUT</x:v>
      </x:c>
    </x:row>
    <x:row r="1317" ht="23" customHeight="1">
      <x:c r="A1317" s="8" t="str">
        <x:v>Michichi Reservoir</x:v>
      </x:c>
      <x:c r="B1317" s="8" t="str">
        <x:v>3524</x:v>
      </x:c>
      <x:c r="C1317" s="17" t="n">
        <x:v>2021</x:v>
      </x:c>
      <x:c r="D1317" s="8" t="str">
        <x:v>RAINBOW TROUT</x:v>
      </x:c>
      <x:c r="E1317" s="13" t="n">
        <x:f>SUMIFS('Stocking details'!$F$6:$F$3307,'Stocking details'!$I$6:$I$3307,G1317)</x:f>
        <x:v>6048</x:v>
      </x:c>
      <x:c r="F1317" s="13" t="n">
        <x:f>COUNTIFS('Stocking details'!$I$6:$I$3307,G1317)</x:f>
        <x:v>10</x:v>
      </x:c>
      <x:c r="G1317" s="8" t="str">
        <x:f>B1317&amp;" / "&amp;C1317&amp;" / "&amp;D1317</x:f>
        <x:v>3524 / 2021 / RAINBOW TROUT</x:v>
      </x:c>
    </x:row>
    <x:row r="1318" ht="23" customHeight="1">
      <x:c r="A1318" s="8" t="str">
        <x:v>Middle Pierre Greys Lake</x:v>
      </x:c>
      <x:c r="B1318" s="8" t="str">
        <x:v>6533</x:v>
      </x:c>
      <x:c r="C1318" s="17" t="n">
        <x:v>2026</x:v>
      </x:c>
      <x:c r="D1318" s="8" t="str">
        <x:v>RAINBOW TROUT</x:v>
      </x:c>
      <x:c r="E1318" s="13" t="n">
        <x:f>SUMIFS('Stocking details'!$F$6:$F$3307,'Stocking details'!$I$6:$I$3307,G1318)</x:f>
        <x:v>15000</x:v>
      </x:c>
      <x:c r="F1318" s="13" t="n">
        <x:f>COUNTIFS('Stocking details'!$I$6:$I$3307,G1318)</x:f>
        <x:v>1</x:v>
      </x:c>
      <x:c r="G1318" s="8" t="str">
        <x:f>B1318&amp;" / "&amp;C1318&amp;" / "&amp;D1318</x:f>
        <x:v>6533 / 2026 / RAINBOW TROUT</x:v>
      </x:c>
    </x:row>
    <x:row r="1319" ht="23" customHeight="1">
      <x:c r="A1319" s="8" t="str">
        <x:v>Middle Pierre Greys Lake</x:v>
      </x:c>
      <x:c r="B1319" s="8" t="str">
        <x:v>6533</x:v>
      </x:c>
      <x:c r="C1319" s="17" t="n">
        <x:v>2025</x:v>
      </x:c>
      <x:c r="D1319" s="8" t="str">
        <x:v>RAINBOW TROUT</x:v>
      </x:c>
      <x:c r="E1319" s="13" t="n">
        <x:f>SUMIFS('Stocking details'!$F$6:$F$3307,'Stocking details'!$I$6:$I$3307,G1319)</x:f>
        <x:v>15000</x:v>
      </x:c>
      <x:c r="F1319" s="13" t="n">
        <x:f>COUNTIFS('Stocking details'!$I$6:$I$3307,G1319)</x:f>
        <x:v>1</x:v>
      </x:c>
      <x:c r="G1319" s="8" t="str">
        <x:f>B1319&amp;" / "&amp;C1319&amp;" / "&amp;D1319</x:f>
        <x:v>6533 / 2025 / RAINBOW TROUT</x:v>
      </x:c>
    </x:row>
    <x:row r="1320" ht="23" customHeight="1">
      <x:c r="A1320" s="8" t="str">
        <x:v>Middle Pierre Greys Lake</x:v>
      </x:c>
      <x:c r="B1320" s="8" t="str">
        <x:v>6533</x:v>
      </x:c>
      <x:c r="C1320" s="17" t="n">
        <x:v>2024</x:v>
      </x:c>
      <x:c r="D1320" s="8" t="str">
        <x:v>RAINBOW TROUT</x:v>
      </x:c>
      <x:c r="E1320" s="13" t="n">
        <x:f>SUMIFS('Stocking details'!$F$6:$F$3307,'Stocking details'!$I$6:$I$3307,G1320)</x:f>
        <x:v>17500</x:v>
      </x:c>
      <x:c r="F1320" s="13" t="n">
        <x:f>COUNTIFS('Stocking details'!$I$6:$I$3307,G1320)</x:f>
        <x:v>2</x:v>
      </x:c>
      <x:c r="G1320" s="8" t="str">
        <x:f>B1320&amp;" / "&amp;C1320&amp;" / "&amp;D1320</x:f>
        <x:v>6533 / 2024 / RAINBOW TROUT</x:v>
      </x:c>
    </x:row>
    <x:row r="1321" ht="23" customHeight="1">
      <x:c r="A1321" s="8" t="str">
        <x:v>Middle Pierre Greys Lake</x:v>
      </x:c>
      <x:c r="B1321" s="8" t="str">
        <x:v>6533</x:v>
      </x:c>
      <x:c r="C1321" s="17" t="n">
        <x:v>2023</x:v>
      </x:c>
      <x:c r="D1321" s="8" t="str">
        <x:v>RAINBOW TROUT</x:v>
      </x:c>
      <x:c r="E1321" s="13" t="n">
        <x:f>SUMIFS('Stocking details'!$F$6:$F$3307,'Stocking details'!$I$6:$I$3307,G1321)</x:f>
        <x:v>7110</x:v>
      </x:c>
      <x:c r="F1321" s="13" t="n">
        <x:f>COUNTIFS('Stocking details'!$I$6:$I$3307,G1321)</x:f>
        <x:v>1</x:v>
      </x:c>
      <x:c r="G1321" s="8" t="str">
        <x:f>B1321&amp;" / "&amp;C1321&amp;" / "&amp;D1321</x:f>
        <x:v>6533 / 2023 / RAINBOW TROUT</x:v>
      </x:c>
    </x:row>
    <x:row r="1322" ht="23" customHeight="1">
      <x:c r="A1322" s="8" t="str">
        <x:v>Middle Pierre Greys Lake</x:v>
      </x:c>
      <x:c r="B1322" s="8" t="str">
        <x:v>6533</x:v>
      </x:c>
      <x:c r="C1322" s="17" t="n">
        <x:v>2022</x:v>
      </x:c>
      <x:c r="D1322" s="8" t="str">
        <x:v>RAINBOW TROUT</x:v>
      </x:c>
      <x:c r="E1322" s="13" t="n">
        <x:f>SUMIFS('Stocking details'!$F$6:$F$3307,'Stocking details'!$I$6:$I$3307,G1322)</x:f>
        <x:v>15000</x:v>
      </x:c>
      <x:c r="F1322" s="13" t="n">
        <x:f>COUNTIFS('Stocking details'!$I$6:$I$3307,G1322)</x:f>
        <x:v>1</x:v>
      </x:c>
      <x:c r="G1322" s="8" t="str">
        <x:f>B1322&amp;" / "&amp;C1322&amp;" / "&amp;D1322</x:f>
        <x:v>6533 / 2022 / RAINBOW TROUT</x:v>
      </x:c>
    </x:row>
    <x:row r="1323" ht="23" customHeight="1">
      <x:c r="A1323" s="8" t="str">
        <x:v>Middle Pierre Greys Lake</x:v>
      </x:c>
      <x:c r="B1323" s="8" t="str">
        <x:v>6533</x:v>
      </x:c>
      <x:c r="C1323" s="17" t="n">
        <x:v>2021</x:v>
      </x:c>
      <x:c r="D1323" s="8" t="str">
        <x:v>RAINBOW TROUT</x:v>
      </x:c>
      <x:c r="E1323" s="13" t="n">
        <x:f>SUMIFS('Stocking details'!$F$6:$F$3307,'Stocking details'!$I$6:$I$3307,G1323)</x:f>
        <x:v>15000</x:v>
      </x:c>
      <x:c r="F1323" s="13" t="n">
        <x:f>COUNTIFS('Stocking details'!$I$6:$I$3307,G1323)</x:f>
        <x:v>1</x:v>
      </x:c>
      <x:c r="G1323" s="8" t="str">
        <x:f>B1323&amp;" / "&amp;C1323&amp;" / "&amp;D1323</x:f>
        <x:v>6533 / 2021 / RAINBOW TROUT</x:v>
      </x:c>
    </x:row>
    <x:row r="1324" ht="23" customHeight="1">
      <x:c r="A1324" s="8" t="str">
        <x:v>Midway Reservoir</x:v>
      </x:c>
      <x:c r="B1324" s="8" t="str">
        <x:v>6741</x:v>
      </x:c>
      <x:c r="C1324" s="17" t="n">
        <x:v>2025</x:v>
      </x:c>
      <x:c r="D1324" s="8" t="str">
        <x:v>RAINBOW TROUT</x:v>
      </x:c>
      <x:c r="E1324" s="13" t="n">
        <x:f>SUMIFS('Stocking details'!$F$6:$F$3307,'Stocking details'!$I$6:$I$3307,G1324)</x:f>
        <x:v>1800</x:v>
      </x:c>
      <x:c r="F1324" s="13" t="n">
        <x:f>COUNTIFS('Stocking details'!$I$6:$I$3307,G1324)</x:f>
        <x:v>1</x:v>
      </x:c>
      <x:c r="G1324" s="8" t="str">
        <x:f>B1324&amp;" / "&amp;C1324&amp;" / "&amp;D1324</x:f>
        <x:v>6741 / 2025 / RAINBOW TROUT</x:v>
      </x:c>
    </x:row>
    <x:row r="1325" ht="23" customHeight="1">
      <x:c r="A1325" s="8" t="str">
        <x:v>Midway Reservoir</x:v>
      </x:c>
      <x:c r="B1325" s="8" t="str">
        <x:v>6741</x:v>
      </x:c>
      <x:c r="C1325" s="17" t="n">
        <x:v>2024</x:v>
      </x:c>
      <x:c r="D1325" s="8" t="str">
        <x:v>RAINBOW TROUT</x:v>
      </x:c>
      <x:c r="E1325" s="13" t="n">
        <x:f>SUMIFS('Stocking details'!$F$6:$F$3307,'Stocking details'!$I$6:$I$3307,G1325)</x:f>
        <x:v>2000</x:v>
      </x:c>
      <x:c r="F1325" s="13" t="n">
        <x:f>COUNTIFS('Stocking details'!$I$6:$I$3307,G1325)</x:f>
        <x:v>1</x:v>
      </x:c>
      <x:c r="G1325" s="8" t="str">
        <x:f>B1325&amp;" / "&amp;C1325&amp;" / "&amp;D1325</x:f>
        <x:v>6741 / 2024 / RAINBOW TROUT</x:v>
      </x:c>
    </x:row>
    <x:row r="1326" ht="23" customHeight="1">
      <x:c r="A1326" s="8" t="str">
        <x:v>Midway Reservoir</x:v>
      </x:c>
      <x:c r="B1326" s="8" t="str">
        <x:v>6741</x:v>
      </x:c>
      <x:c r="C1326" s="17" t="n">
        <x:v>2023</x:v>
      </x:c>
      <x:c r="D1326" s="8" t="str">
        <x:v>RAINBOW TROUT</x:v>
      </x:c>
      <x:c r="E1326" s="13" t="n">
        <x:f>SUMIFS('Stocking details'!$F$6:$F$3307,'Stocking details'!$I$6:$I$3307,G1326)</x:f>
        <x:v>2000</x:v>
      </x:c>
      <x:c r="F1326" s="13" t="n">
        <x:f>COUNTIFS('Stocking details'!$I$6:$I$3307,G1326)</x:f>
        <x:v>1</x:v>
      </x:c>
      <x:c r="G1326" s="8" t="str">
        <x:f>B1326&amp;" / "&amp;C1326&amp;" / "&amp;D1326</x:f>
        <x:v>6741 / 2023 / RAINBOW TROUT</x:v>
      </x:c>
    </x:row>
    <x:row r="1327" ht="23" customHeight="1">
      <x:c r="A1327" s="8" t="str">
        <x:v>Midway Reservoir</x:v>
      </x:c>
      <x:c r="B1327" s="8" t="str">
        <x:v>6741</x:v>
      </x:c>
      <x:c r="C1327" s="17" t="n">
        <x:v>2021</x:v>
      </x:c>
      <x:c r="D1327" s="8" t="str">
        <x:v>RAINBOW TROUT</x:v>
      </x:c>
      <x:c r="E1327" s="13" t="n">
        <x:f>SUMIFS('Stocking details'!$F$6:$F$3307,'Stocking details'!$I$6:$I$3307,G1327)</x:f>
        <x:v>2215</x:v>
      </x:c>
      <x:c r="F1327" s="13" t="n">
        <x:f>COUNTIFS('Stocking details'!$I$6:$I$3307,G1327)</x:f>
        <x:v>2</x:v>
      </x:c>
      <x:c r="G1327" s="8" t="str">
        <x:f>B1327&amp;" / "&amp;C1327&amp;" / "&amp;D1327</x:f>
        <x:v>6741 / 2021 / RAINBOW TROUT</x:v>
      </x:c>
    </x:row>
    <x:row r="1328" ht="23" customHeight="1">
      <x:c r="A1328" s="8" t="str">
        <x:v>Mile 07 Lake</x:v>
      </x:c>
      <x:c r="B1328" s="8" t="str">
        <x:v>6642</x:v>
      </x:c>
      <x:c r="C1328" s="17" t="n">
        <x:v>2026</x:v>
      </x:c>
      <x:c r="D1328" s="8" t="str">
        <x:v>RAINBOW TROUT</x:v>
      </x:c>
      <x:c r="E1328" s="13" t="n">
        <x:f>SUMIFS('Stocking details'!$F$6:$F$3307,'Stocking details'!$I$6:$I$3307,G1328)</x:f>
        <x:v>11000</x:v>
      </x:c>
      <x:c r="F1328" s="13" t="n">
        <x:f>COUNTIFS('Stocking details'!$I$6:$I$3307,G1328)</x:f>
        <x:v>1</x:v>
      </x:c>
      <x:c r="G1328" s="8" t="str">
        <x:f>B1328&amp;" / "&amp;C1328&amp;" / "&amp;D1328</x:f>
        <x:v>6642 / 2026 / RAINBOW TROUT</x:v>
      </x:c>
    </x:row>
    <x:row r="1329" ht="23" customHeight="1">
      <x:c r="A1329" s="8" t="str">
        <x:v>Mile 07 Lake</x:v>
      </x:c>
      <x:c r="B1329" s="8" t="str">
        <x:v>6642</x:v>
      </x:c>
      <x:c r="C1329" s="17" t="n">
        <x:v>2025</x:v>
      </x:c>
      <x:c r="D1329" s="8" t="str">
        <x:v>RAINBOW TROUT</x:v>
      </x:c>
      <x:c r="E1329" s="13" t="n">
        <x:f>SUMIFS('Stocking details'!$F$6:$F$3307,'Stocking details'!$I$6:$I$3307,G1329)</x:f>
        <x:v>11000</x:v>
      </x:c>
      <x:c r="F1329" s="13" t="n">
        <x:f>COUNTIFS('Stocking details'!$I$6:$I$3307,G1329)</x:f>
        <x:v>1</x:v>
      </x:c>
      <x:c r="G1329" s="8" t="str">
        <x:f>B1329&amp;" / "&amp;C1329&amp;" / "&amp;D1329</x:f>
        <x:v>6642 / 2025 / RAINBOW TROUT</x:v>
      </x:c>
    </x:row>
    <x:row r="1330" ht="23" customHeight="1">
      <x:c r="A1330" s="8" t="str">
        <x:v>Mile 07 Lake</x:v>
      </x:c>
      <x:c r="B1330" s="8" t="str">
        <x:v>6642</x:v>
      </x:c>
      <x:c r="C1330" s="17" t="n">
        <x:v>2024</x:v>
      </x:c>
      <x:c r="D1330" s="8" t="str">
        <x:v>RAINBOW TROUT</x:v>
      </x:c>
      <x:c r="E1330" s="13" t="n">
        <x:f>SUMIFS('Stocking details'!$F$6:$F$3307,'Stocking details'!$I$6:$I$3307,G1330)</x:f>
        <x:v>4400</x:v>
      </x:c>
      <x:c r="F1330" s="13" t="n">
        <x:f>COUNTIFS('Stocking details'!$I$6:$I$3307,G1330)</x:f>
        <x:v>1</x:v>
      </x:c>
      <x:c r="G1330" s="8" t="str">
        <x:f>B1330&amp;" / "&amp;C1330&amp;" / "&amp;D1330</x:f>
        <x:v>6642 / 2024 / RAINBOW TROUT</x:v>
      </x:c>
    </x:row>
    <x:row r="1331" ht="23" customHeight="1">
      <x:c r="A1331" s="8" t="str">
        <x:v>Mile 07 Lake</x:v>
      </x:c>
      <x:c r="B1331" s="8" t="str">
        <x:v>6642</x:v>
      </x:c>
      <x:c r="C1331" s="17" t="n">
        <x:v>2023</x:v>
      </x:c>
      <x:c r="D1331" s="8" t="str">
        <x:v>RAINBOW TROUT</x:v>
      </x:c>
      <x:c r="E1331" s="13" t="n">
        <x:f>SUMIFS('Stocking details'!$F$6:$F$3307,'Stocking details'!$I$6:$I$3307,G1331)</x:f>
        <x:v>4254</x:v>
      </x:c>
      <x:c r="F1331" s="13" t="n">
        <x:f>COUNTIFS('Stocking details'!$I$6:$I$3307,G1331)</x:f>
        <x:v>3</x:v>
      </x:c>
      <x:c r="G1331" s="8" t="str">
        <x:f>B1331&amp;" / "&amp;C1331&amp;" / "&amp;D1331</x:f>
        <x:v>6642 / 2023 / RAINBOW TROUT</x:v>
      </x:c>
    </x:row>
    <x:row r="1332" ht="23" customHeight="1">
      <x:c r="A1332" s="8" t="str">
        <x:v>Mile 07 Lake</x:v>
      </x:c>
      <x:c r="B1332" s="8" t="str">
        <x:v>6642</x:v>
      </x:c>
      <x:c r="C1332" s="17" t="n">
        <x:v>2022</x:v>
      </x:c>
      <x:c r="D1332" s="8" t="str">
        <x:v>RAINBOW TROUT</x:v>
      </x:c>
      <x:c r="E1332" s="13" t="n">
        <x:f>SUMIFS('Stocking details'!$F$6:$F$3307,'Stocking details'!$I$6:$I$3307,G1332)</x:f>
        <x:v>10000</x:v>
      </x:c>
      <x:c r="F1332" s="13" t="n">
        <x:f>COUNTIFS('Stocking details'!$I$6:$I$3307,G1332)</x:f>
        <x:v>2</x:v>
      </x:c>
      <x:c r="G1332" s="8" t="str">
        <x:f>B1332&amp;" / "&amp;C1332&amp;" / "&amp;D1332</x:f>
        <x:v>6642 / 2022 / RAINBOW TROUT</x:v>
      </x:c>
    </x:row>
    <x:row r="1333" ht="23" customHeight="1">
      <x:c r="A1333" s="8" t="str">
        <x:v>Mile 07 Lake</x:v>
      </x:c>
      <x:c r="B1333" s="8" t="str">
        <x:v>6642</x:v>
      </x:c>
      <x:c r="C1333" s="17" t="n">
        <x:v>2021</x:v>
      </x:c>
      <x:c r="D1333" s="8" t="str">
        <x:v>RAINBOW TROUT</x:v>
      </x:c>
      <x:c r="E1333" s="13" t="n">
        <x:f>SUMIFS('Stocking details'!$F$6:$F$3307,'Stocking details'!$I$6:$I$3307,G1333)</x:f>
        <x:v>10000</x:v>
      </x:c>
      <x:c r="F1333" s="13" t="n">
        <x:f>COUNTIFS('Stocking details'!$I$6:$I$3307,G1333)</x:f>
        <x:v>1</x:v>
      </x:c>
      <x:c r="G1333" s="8" t="str">
        <x:f>B1333&amp;" / "&amp;C1333&amp;" / "&amp;D1333</x:f>
        <x:v>6642 / 2021 / RAINBOW TROUT</x:v>
      </x:c>
    </x:row>
    <x:row r="1334" ht="23" customHeight="1">
      <x:c r="A1334" s="8" t="str">
        <x:v>Milk River Ridge Reservoir</x:v>
      </x:c>
      <x:c r="B1334" s="8" t="str">
        <x:v>3526</x:v>
      </x:c>
      <x:c r="C1334" s="17" t="n">
        <x:v>2022</x:v>
      </x:c>
      <x:c r="D1334" s="8" t="str">
        <x:v>WALLEYE</x:v>
      </x:c>
      <x:c r="E1334" s="13" t="n">
        <x:f>SUMIFS('Stocking details'!$F$6:$F$3307,'Stocking details'!$I$6:$I$3307,G1334)</x:f>
        <x:v>229742</x:v>
      </x:c>
      <x:c r="F1334" s="13" t="n">
        <x:f>COUNTIFS('Stocking details'!$I$6:$I$3307,G1334)</x:f>
        <x:v>1</x:v>
      </x:c>
      <x:c r="G1334" s="8" t="str">
        <x:f>B1334&amp;" / "&amp;C1334&amp;" / "&amp;D1334</x:f>
        <x:v>3526 / 2022 / WALLEYE</x:v>
      </x:c>
    </x:row>
    <x:row r="1335" ht="23" customHeight="1">
      <x:c r="A1335" s="8" t="str">
        <x:v>Milk River Ridge Reservoir</x:v>
      </x:c>
      <x:c r="B1335" s="8" t="str">
        <x:v>3526</x:v>
      </x:c>
      <x:c r="C1335" s="17" t="n">
        <x:v>2021</x:v>
      </x:c>
      <x:c r="D1335" s="8" t="str">
        <x:v>WALLEYE</x:v>
      </x:c>
      <x:c r="E1335" s="13" t="n">
        <x:f>SUMIFS('Stocking details'!$F$6:$F$3307,'Stocking details'!$I$6:$I$3307,G1335)</x:f>
        <x:v>206015</x:v>
      </x:c>
      <x:c r="F1335" s="13" t="n">
        <x:f>COUNTIFS('Stocking details'!$I$6:$I$3307,G1335)</x:f>
        <x:v>2</x:v>
      </x:c>
      <x:c r="G1335" s="8" t="str">
        <x:f>B1335&amp;" / "&amp;C1335&amp;" / "&amp;D1335</x:f>
        <x:v>3526 / 2021 / WALLEYE</x:v>
      </x:c>
    </x:row>
    <x:row r="1336" ht="23" customHeight="1">
      <x:c r="A1336" s="8" t="str">
        <x:v>Millers Lake</x:v>
      </x:c>
      <x:c r="B1336" s="8" t="str">
        <x:v>5324</x:v>
      </x:c>
      <x:c r="C1336" s="17" t="n">
        <x:v>2026</x:v>
      </x:c>
      <x:c r="D1336" s="8" t="str">
        <x:v>BROWN TROUT</x:v>
      </x:c>
      <x:c r="E1336" s="13" t="n">
        <x:f>SUMIFS('Stocking details'!$F$6:$F$3307,'Stocking details'!$I$6:$I$3307,G1336)</x:f>
        <x:v>2500</x:v>
      </x:c>
      <x:c r="F1336" s="13" t="n">
        <x:f>COUNTIFS('Stocking details'!$I$6:$I$3307,G1336)</x:f>
        <x:v>1</x:v>
      </x:c>
      <x:c r="G1336" s="8" t="str">
        <x:f>B1336&amp;" / "&amp;C1336&amp;" / "&amp;D1336</x:f>
        <x:v>5324 / 2026 / BROWN TROUT</x:v>
      </x:c>
    </x:row>
    <x:row r="1337" ht="23" customHeight="1">
      <x:c r="A1337" s="8" t="str">
        <x:v>Millers Lake</x:v>
      </x:c>
      <x:c r="B1337" s="8" t="str">
        <x:v>5324</x:v>
      </x:c>
      <x:c r="C1337" s="17" t="n">
        <x:v>2026</x:v>
      </x:c>
      <x:c r="D1337" s="8" t="str">
        <x:v>RAINBOW TROUT</x:v>
      </x:c>
      <x:c r="E1337" s="13" t="n">
        <x:f>SUMIFS('Stocking details'!$F$6:$F$3307,'Stocking details'!$I$6:$I$3307,G1337)</x:f>
        <x:v>14364</x:v>
      </x:c>
      <x:c r="F1337" s="13" t="n">
        <x:f>COUNTIFS('Stocking details'!$I$6:$I$3307,G1337)</x:f>
        <x:v>3</x:v>
      </x:c>
      <x:c r="G1337" s="8" t="str">
        <x:f>B1337&amp;" / "&amp;C1337&amp;" / "&amp;D1337</x:f>
        <x:v>5324 / 2026 / RAINBOW TROUT</x:v>
      </x:c>
    </x:row>
    <x:row r="1338" ht="23" customHeight="1">
      <x:c r="A1338" s="8" t="str">
        <x:v>Millers Lake</x:v>
      </x:c>
      <x:c r="B1338" s="8" t="str">
        <x:v>5324</x:v>
      </x:c>
      <x:c r="C1338" s="17" t="n">
        <x:v>2025</x:v>
      </x:c>
      <x:c r="D1338" s="8" t="str">
        <x:v>RAINBOW TROUT</x:v>
      </x:c>
      <x:c r="E1338" s="13" t="n">
        <x:f>SUMIFS('Stocking details'!$F$6:$F$3307,'Stocking details'!$I$6:$I$3307,G1338)</x:f>
        <x:v>13500</x:v>
      </x:c>
      <x:c r="F1338" s="13" t="n">
        <x:f>COUNTIFS('Stocking details'!$I$6:$I$3307,G1338)</x:f>
        <x:v>3</x:v>
      </x:c>
      <x:c r="G1338" s="8" t="str">
        <x:f>B1338&amp;" / "&amp;C1338&amp;" / "&amp;D1338</x:f>
        <x:v>5324 / 2025 / RAINBOW TROUT</x:v>
      </x:c>
    </x:row>
    <x:row r="1339" ht="23" customHeight="1">
      <x:c r="A1339" s="8" t="str">
        <x:v>Millers Lake</x:v>
      </x:c>
      <x:c r="B1339" s="8" t="str">
        <x:v>5324</x:v>
      </x:c>
      <x:c r="C1339" s="17" t="n">
        <x:v>2025</x:v>
      </x:c>
      <x:c r="D1339" s="8" t="str">
        <x:v>TIGER TROUT</x:v>
      </x:c>
      <x:c r="E1339" s="13" t="n">
        <x:f>SUMIFS('Stocking details'!$F$6:$F$3307,'Stocking details'!$I$6:$I$3307,G1339)</x:f>
        <x:v>1450</x:v>
      </x:c>
      <x:c r="F1339" s="13" t="n">
        <x:f>COUNTIFS('Stocking details'!$I$6:$I$3307,G1339)</x:f>
        <x:v>1</x:v>
      </x:c>
      <x:c r="G1339" s="8" t="str">
        <x:f>B1339&amp;" / "&amp;C1339&amp;" / "&amp;D1339</x:f>
        <x:v>5324 / 2025 / TIGER TROUT</x:v>
      </x:c>
    </x:row>
    <x:row r="1340" ht="23" customHeight="1">
      <x:c r="A1340" s="8" t="str">
        <x:v>Millers Lake</x:v>
      </x:c>
      <x:c r="B1340" s="8" t="str">
        <x:v>5324</x:v>
      </x:c>
      <x:c r="C1340" s="17" t="n">
        <x:v>2024</x:v>
      </x:c>
      <x:c r="D1340" s="8" t="str">
        <x:v>RAINBOW TROUT</x:v>
      </x:c>
      <x:c r="E1340" s="13" t="n">
        <x:f>SUMIFS('Stocking details'!$F$6:$F$3307,'Stocking details'!$I$6:$I$3307,G1340)</x:f>
        <x:v>18275</x:v>
      </x:c>
      <x:c r="F1340" s="13" t="n">
        <x:f>COUNTIFS('Stocking details'!$I$6:$I$3307,G1340)</x:f>
        <x:v>3</x:v>
      </x:c>
      <x:c r="G1340" s="8" t="str">
        <x:f>B1340&amp;" / "&amp;C1340&amp;" / "&amp;D1340</x:f>
        <x:v>5324 / 2024 / RAINBOW TROUT</x:v>
      </x:c>
    </x:row>
    <x:row r="1341" ht="23" customHeight="1">
      <x:c r="A1341" s="8" t="str">
        <x:v>Millers Lake</x:v>
      </x:c>
      <x:c r="B1341" s="8" t="str">
        <x:v>5324</x:v>
      </x:c>
      <x:c r="C1341" s="17" t="n">
        <x:v>2023</x:v>
      </x:c>
      <x:c r="D1341" s="8" t="str">
        <x:v>RAINBOW TROUT</x:v>
      </x:c>
      <x:c r="E1341" s="13" t="n">
        <x:f>SUMIFS('Stocking details'!$F$6:$F$3307,'Stocking details'!$I$6:$I$3307,G1341)</x:f>
        <x:v>10296</x:v>
      </x:c>
      <x:c r="F1341" s="13" t="n">
        <x:f>COUNTIFS('Stocking details'!$I$6:$I$3307,G1341)</x:f>
        <x:v>2</x:v>
      </x:c>
      <x:c r="G1341" s="8" t="str">
        <x:f>B1341&amp;" / "&amp;C1341&amp;" / "&amp;D1341</x:f>
        <x:v>5324 / 2023 / RAINBOW TROUT</x:v>
      </x:c>
    </x:row>
    <x:row r="1342" ht="23" customHeight="1">
      <x:c r="A1342" s="8" t="str">
        <x:v>Millers Lake</x:v>
      </x:c>
      <x:c r="B1342" s="8" t="str">
        <x:v>5324</x:v>
      </x:c>
      <x:c r="C1342" s="17" t="n">
        <x:v>2023</x:v>
      </x:c>
      <x:c r="D1342" s="8" t="str">
        <x:v>TIGER TROUT</x:v>
      </x:c>
      <x:c r="E1342" s="13" t="n">
        <x:f>SUMIFS('Stocking details'!$F$6:$F$3307,'Stocking details'!$I$6:$I$3307,G1342)</x:f>
        <x:v>1683</x:v>
      </x:c>
      <x:c r="F1342" s="13" t="n">
        <x:f>COUNTIFS('Stocking details'!$I$6:$I$3307,G1342)</x:f>
        <x:v>1</x:v>
      </x:c>
      <x:c r="G1342" s="8" t="str">
        <x:f>B1342&amp;" / "&amp;C1342&amp;" / "&amp;D1342</x:f>
        <x:v>5324 / 2023 / TIGER TROUT</x:v>
      </x:c>
    </x:row>
    <x:row r="1343" ht="23" customHeight="1">
      <x:c r="A1343" s="8" t="str">
        <x:v>Millers Lake</x:v>
      </x:c>
      <x:c r="B1343" s="8" t="str">
        <x:v>5324</x:v>
      </x:c>
      <x:c r="C1343" s="17" t="n">
        <x:v>2022</x:v>
      </x:c>
      <x:c r="D1343" s="8" t="str">
        <x:v>RAINBOW TROUT</x:v>
      </x:c>
      <x:c r="E1343" s="13" t="n">
        <x:f>SUMIFS('Stocking details'!$F$6:$F$3307,'Stocking details'!$I$6:$I$3307,G1343)</x:f>
        <x:v>10550</x:v>
      </x:c>
      <x:c r="F1343" s="13" t="n">
        <x:f>COUNTIFS('Stocking details'!$I$6:$I$3307,G1343)</x:f>
        <x:v>1</x:v>
      </x:c>
      <x:c r="G1343" s="8" t="str">
        <x:f>B1343&amp;" / "&amp;C1343&amp;" / "&amp;D1343</x:f>
        <x:v>5324 / 2022 / RAINBOW TROUT</x:v>
      </x:c>
    </x:row>
    <x:row r="1344" ht="23" customHeight="1">
      <x:c r="A1344" s="8" t="str">
        <x:v>Millers Lake</x:v>
      </x:c>
      <x:c r="B1344" s="8" t="str">
        <x:v>5324</x:v>
      </x:c>
      <x:c r="C1344" s="17" t="n">
        <x:v>2022</x:v>
      </x:c>
      <x:c r="D1344" s="8" t="str">
        <x:v>TIGER TROUT</x:v>
      </x:c>
      <x:c r="E1344" s="13" t="n">
        <x:f>SUMIFS('Stocking details'!$F$6:$F$3307,'Stocking details'!$I$6:$I$3307,G1344)</x:f>
        <x:v>4450</x:v>
      </x:c>
      <x:c r="F1344" s="13" t="n">
        <x:f>COUNTIFS('Stocking details'!$I$6:$I$3307,G1344)</x:f>
        <x:v>2</x:v>
      </x:c>
      <x:c r="G1344" s="8" t="str">
        <x:f>B1344&amp;" / "&amp;C1344&amp;" / "&amp;D1344</x:f>
        <x:v>5324 / 2022 / TIGER TROUT</x:v>
      </x:c>
    </x:row>
    <x:row r="1345" ht="23" customHeight="1">
      <x:c r="A1345" s="8" t="str">
        <x:v>Millers Lake</x:v>
      </x:c>
      <x:c r="B1345" s="8" t="str">
        <x:v>5324</x:v>
      </x:c>
      <x:c r="C1345" s="17" t="n">
        <x:v>2021</x:v>
      </x:c>
      <x:c r="D1345" s="8" t="str">
        <x:v>RAINBOW TROUT</x:v>
      </x:c>
      <x:c r="E1345" s="13" t="n">
        <x:f>SUMIFS('Stocking details'!$F$6:$F$3307,'Stocking details'!$I$6:$I$3307,G1345)</x:f>
        <x:v>10550</x:v>
      </x:c>
      <x:c r="F1345" s="13" t="n">
        <x:f>COUNTIFS('Stocking details'!$I$6:$I$3307,G1345)</x:f>
        <x:v>1</x:v>
      </x:c>
      <x:c r="G1345" s="8" t="str">
        <x:f>B1345&amp;" / "&amp;C1345&amp;" / "&amp;D1345</x:f>
        <x:v>5324 / 2021 / RAINBOW TROUT</x:v>
      </x:c>
    </x:row>
    <x:row r="1346" ht="23" customHeight="1">
      <x:c r="A1346" s="8" t="str">
        <x:v>Millers Lake</x:v>
      </x:c>
      <x:c r="B1346" s="8" t="str">
        <x:v>5324</x:v>
      </x:c>
      <x:c r="C1346" s="17" t="n">
        <x:v>2021</x:v>
      </x:c>
      <x:c r="D1346" s="8" t="str">
        <x:v>TIGER TROUT</x:v>
      </x:c>
      <x:c r="E1346" s="13" t="n">
        <x:f>SUMIFS('Stocking details'!$F$6:$F$3307,'Stocking details'!$I$6:$I$3307,G1346)</x:f>
        <x:v>1450</x:v>
      </x:c>
      <x:c r="F1346" s="13" t="n">
        <x:f>COUNTIFS('Stocking details'!$I$6:$I$3307,G1346)</x:f>
        <x:v>1</x:v>
      </x:c>
      <x:c r="G1346" s="8" t="str">
        <x:f>B1346&amp;" / "&amp;C1346&amp;" / "&amp;D1346</x:f>
        <x:v>5324 / 2021 / TIGER TROUT</x:v>
      </x:c>
    </x:row>
    <x:row r="1347" ht="23" customHeight="1">
      <x:c r="A1347" s="8" t="str">
        <x:v>Minnow Lake</x:v>
      </x:c>
      <x:c r="B1347" s="8" t="str">
        <x:v>5336</x:v>
      </x:c>
      <x:c r="C1347" s="17" t="n">
        <x:v>2025</x:v>
      </x:c>
      <x:c r="D1347" s="8" t="str">
        <x:v>WALLEYE</x:v>
      </x:c>
      <x:c r="E1347" s="13" t="n">
        <x:f>SUMIFS('Stocking details'!$F$6:$F$3307,'Stocking details'!$I$6:$I$3307,G1347)</x:f>
        <x:v>187000</x:v>
      </x:c>
      <x:c r="F1347" s="13" t="n">
        <x:f>COUNTIFS('Stocking details'!$I$6:$I$3307,G1347)</x:f>
        <x:v>1</x:v>
      </x:c>
      <x:c r="G1347" s="8" t="str">
        <x:f>B1347&amp;" / "&amp;C1347&amp;" / "&amp;D1347</x:f>
        <x:v>5336 / 2025 / WALLEYE</x:v>
      </x:c>
    </x:row>
    <x:row r="1348" ht="23" customHeight="1">
      <x:c r="A1348" s="8" t="str">
        <x:v>Minnow Lake</x:v>
      </x:c>
      <x:c r="B1348" s="8" t="str">
        <x:v>5336</x:v>
      </x:c>
      <x:c r="C1348" s="17" t="n">
        <x:v>2024</x:v>
      </x:c>
      <x:c r="D1348" s="8" t="str">
        <x:v>WALLEYE</x:v>
      </x:c>
      <x:c r="E1348" s="13" t="n">
        <x:f>SUMIFS('Stocking details'!$F$6:$F$3307,'Stocking details'!$I$6:$I$3307,G1348)</x:f>
        <x:v>236065</x:v>
      </x:c>
      <x:c r="F1348" s="13" t="n">
        <x:f>COUNTIFS('Stocking details'!$I$6:$I$3307,G1348)</x:f>
        <x:v>1</x:v>
      </x:c>
      <x:c r="G1348" s="8" t="str">
        <x:f>B1348&amp;" / "&amp;C1348&amp;" / "&amp;D1348</x:f>
        <x:v>5336 / 2024 / WALLEYE</x:v>
      </x:c>
    </x:row>
    <x:row r="1349" ht="23" customHeight="1">
      <x:c r="A1349" s="8" t="str">
        <x:v>Minnow Lake</x:v>
      </x:c>
      <x:c r="B1349" s="8" t="str">
        <x:v>5336</x:v>
      </x:c>
      <x:c r="C1349" s="17" t="n">
        <x:v>2023</x:v>
      </x:c>
      <x:c r="D1349" s="8" t="str">
        <x:v>WALLEYE</x:v>
      </x:c>
      <x:c r="E1349" s="13" t="n">
        <x:f>SUMIFS('Stocking details'!$F$6:$F$3307,'Stocking details'!$I$6:$I$3307,G1349)</x:f>
        <x:v>72471</x:v>
      </x:c>
      <x:c r="F1349" s="13" t="n">
        <x:f>COUNTIFS('Stocking details'!$I$6:$I$3307,G1349)</x:f>
        <x:v>1</x:v>
      </x:c>
      <x:c r="G1349" s="8" t="str">
        <x:f>B1349&amp;" / "&amp;C1349&amp;" / "&amp;D1349</x:f>
        <x:v>5336 / 2023 / WALLEYE</x:v>
      </x:c>
    </x:row>
    <x:row r="1350" ht="23" customHeight="1">
      <x:c r="A1350" s="8" t="str">
        <x:v>Mirage Lake</x:v>
      </x:c>
      <x:c r="B1350" s="8" t="str">
        <x:v>5360</x:v>
      </x:c>
      <x:c r="C1350" s="17" t="n">
        <x:v>2026</x:v>
      </x:c>
      <x:c r="D1350" s="8" t="str">
        <x:v>BROWN TROUT</x:v>
      </x:c>
      <x:c r="E1350" s="13" t="n">
        <x:f>SUMIFS('Stocking details'!$F$6:$F$3307,'Stocking details'!$I$6:$I$3307,G1350)</x:f>
        <x:v>500</x:v>
      </x:c>
      <x:c r="F1350" s="13" t="n">
        <x:f>COUNTIFS('Stocking details'!$I$6:$I$3307,G1350)</x:f>
        <x:v>1</x:v>
      </x:c>
      <x:c r="G1350" s="8" t="str">
        <x:f>B1350&amp;" / "&amp;C1350&amp;" / "&amp;D1350</x:f>
        <x:v>5360 / 2026 / BROWN TROUT</x:v>
      </x:c>
    </x:row>
    <x:row r="1351" ht="23" customHeight="1">
      <x:c r="A1351" s="8" t="str">
        <x:v>Mirage Lake</x:v>
      </x:c>
      <x:c r="B1351" s="8" t="str">
        <x:v>5360</x:v>
      </x:c>
      <x:c r="C1351" s="17" t="n">
        <x:v>2026</x:v>
      </x:c>
      <x:c r="D1351" s="8" t="str">
        <x:v>RAINBOW TROUT</x:v>
      </x:c>
      <x:c r="E1351" s="13" t="n">
        <x:f>SUMIFS('Stocking details'!$F$6:$F$3307,'Stocking details'!$I$6:$I$3307,G1351)</x:f>
        <x:v>9300</x:v>
      </x:c>
      <x:c r="F1351" s="13" t="n">
        <x:f>COUNTIFS('Stocking details'!$I$6:$I$3307,G1351)</x:f>
        <x:v>1</x:v>
      </x:c>
      <x:c r="G1351" s="8" t="str">
        <x:f>B1351&amp;" / "&amp;C1351&amp;" / "&amp;D1351</x:f>
        <x:v>5360 / 2026 / RAINBOW TROUT</x:v>
      </x:c>
    </x:row>
    <x:row r="1352" ht="23" customHeight="1">
      <x:c r="A1352" s="8" t="str">
        <x:v>Mirage Lake</x:v>
      </x:c>
      <x:c r="B1352" s="8" t="str">
        <x:v>5360</x:v>
      </x:c>
      <x:c r="C1352" s="17" t="n">
        <x:v>2025</x:v>
      </x:c>
      <x:c r="D1352" s="8" t="str">
        <x:v>BROWN TROUT</x:v>
      </x:c>
      <x:c r="E1352" s="13" t="n">
        <x:f>SUMIFS('Stocking details'!$F$6:$F$3307,'Stocking details'!$I$6:$I$3307,G1352)</x:f>
        <x:v>1000</x:v>
      </x:c>
      <x:c r="F1352" s="13" t="n">
        <x:f>COUNTIFS('Stocking details'!$I$6:$I$3307,G1352)</x:f>
        <x:v>1</x:v>
      </x:c>
      <x:c r="G1352" s="8" t="str">
        <x:f>B1352&amp;" / "&amp;C1352&amp;" / "&amp;D1352</x:f>
        <x:v>5360 / 2025 / BROWN TROUT</x:v>
      </x:c>
    </x:row>
    <x:row r="1353" ht="23" customHeight="1">
      <x:c r="A1353" s="8" t="str">
        <x:v>Mirage Lake</x:v>
      </x:c>
      <x:c r="B1353" s="8" t="str">
        <x:v>5360</x:v>
      </x:c>
      <x:c r="C1353" s="17" t="n">
        <x:v>2025</x:v>
      </x:c>
      <x:c r="D1353" s="8" t="str">
        <x:v>RAINBOW TROUT</x:v>
      </x:c>
      <x:c r="E1353" s="13" t="n">
        <x:f>SUMIFS('Stocking details'!$F$6:$F$3307,'Stocking details'!$I$6:$I$3307,G1353)</x:f>
        <x:v>9300</x:v>
      </x:c>
      <x:c r="F1353" s="13" t="n">
        <x:f>COUNTIFS('Stocking details'!$I$6:$I$3307,G1353)</x:f>
        <x:v>1</x:v>
      </x:c>
      <x:c r="G1353" s="8" t="str">
        <x:f>B1353&amp;" / "&amp;C1353&amp;" / "&amp;D1353</x:f>
        <x:v>5360 / 2025 / RAINBOW TROUT</x:v>
      </x:c>
    </x:row>
    <x:row r="1354" ht="23" customHeight="1">
      <x:c r="A1354" s="8" t="str">
        <x:v>Mirage Lake</x:v>
      </x:c>
      <x:c r="B1354" s="8" t="str">
        <x:v>5360</x:v>
      </x:c>
      <x:c r="C1354" s="17" t="n">
        <x:v>2025</x:v>
      </x:c>
      <x:c r="D1354" s="8" t="str">
        <x:v>TIGER TROUT</x:v>
      </x:c>
      <x:c r="E1354" s="13" t="n">
        <x:f>SUMIFS('Stocking details'!$F$6:$F$3307,'Stocking details'!$I$6:$I$3307,G1354)</x:f>
        <x:v>2350</x:v>
      </x:c>
      <x:c r="F1354" s="13" t="n">
        <x:f>COUNTIFS('Stocking details'!$I$6:$I$3307,G1354)</x:f>
        <x:v>1</x:v>
      </x:c>
      <x:c r="G1354" s="8" t="str">
        <x:f>B1354&amp;" / "&amp;C1354&amp;" / "&amp;D1354</x:f>
        <x:v>5360 / 2025 / TIGER TROUT</x:v>
      </x:c>
    </x:row>
    <x:row r="1355" ht="23" customHeight="1">
      <x:c r="A1355" s="8" t="str">
        <x:v>Mirage Lake</x:v>
      </x:c>
      <x:c r="B1355" s="8" t="str">
        <x:v>5360</x:v>
      </x:c>
      <x:c r="C1355" s="17" t="n">
        <x:v>2024</x:v>
      </x:c>
      <x:c r="D1355" s="8" t="str">
        <x:v>BROWN TROUT</x:v>
      </x:c>
      <x:c r="E1355" s="13" t="n">
        <x:f>SUMIFS('Stocking details'!$F$6:$F$3307,'Stocking details'!$I$6:$I$3307,G1355)</x:f>
        <x:v>1996</x:v>
      </x:c>
      <x:c r="F1355" s="13" t="n">
        <x:f>COUNTIFS('Stocking details'!$I$6:$I$3307,G1355)</x:f>
        <x:v>2</x:v>
      </x:c>
      <x:c r="G1355" s="8" t="str">
        <x:f>B1355&amp;" / "&amp;C1355&amp;" / "&amp;D1355</x:f>
        <x:v>5360 / 2024 / BROWN TROUT</x:v>
      </x:c>
    </x:row>
    <x:row r="1356" ht="23" customHeight="1">
      <x:c r="A1356" s="8" t="str">
        <x:v>Mirage Lake</x:v>
      </x:c>
      <x:c r="B1356" s="8" t="str">
        <x:v>5360</x:v>
      </x:c>
      <x:c r="C1356" s="17" t="n">
        <x:v>2024</x:v>
      </x:c>
      <x:c r="D1356" s="8" t="str">
        <x:v>RAINBOW TROUT</x:v>
      </x:c>
      <x:c r="E1356" s="13" t="n">
        <x:f>SUMIFS('Stocking details'!$F$6:$F$3307,'Stocking details'!$I$6:$I$3307,G1356)</x:f>
        <x:v>9150</x:v>
      </x:c>
      <x:c r="F1356" s="13" t="n">
        <x:f>COUNTIFS('Stocking details'!$I$6:$I$3307,G1356)</x:f>
        <x:v>3</x:v>
      </x:c>
      <x:c r="G1356" s="8" t="str">
        <x:f>B1356&amp;" / "&amp;C1356&amp;" / "&amp;D1356</x:f>
        <x:v>5360 / 2024 / RAINBOW TROUT</x:v>
      </x:c>
    </x:row>
    <x:row r="1357" ht="23" customHeight="1">
      <x:c r="A1357" s="8" t="str">
        <x:v>Mirage Lake</x:v>
      </x:c>
      <x:c r="B1357" s="8" t="str">
        <x:v>5360</x:v>
      </x:c>
      <x:c r="C1357" s="17" t="n">
        <x:v>2023</x:v>
      </x:c>
      <x:c r="D1357" s="8" t="str">
        <x:v>BROWN TROUT</x:v>
      </x:c>
      <x:c r="E1357" s="13" t="n">
        <x:f>SUMIFS('Stocking details'!$F$6:$F$3307,'Stocking details'!$I$6:$I$3307,G1357)</x:f>
        <x:v>1000</x:v>
      </x:c>
      <x:c r="F1357" s="13" t="n">
        <x:f>COUNTIFS('Stocking details'!$I$6:$I$3307,G1357)</x:f>
        <x:v>2</x:v>
      </x:c>
      <x:c r="G1357" s="8" t="str">
        <x:f>B1357&amp;" / "&amp;C1357&amp;" / "&amp;D1357</x:f>
        <x:v>5360 / 2023 / BROWN TROUT</x:v>
      </x:c>
    </x:row>
    <x:row r="1358" ht="23" customHeight="1">
      <x:c r="A1358" s="8" t="str">
        <x:v>Mirage Lake</x:v>
      </x:c>
      <x:c r="B1358" s="8" t="str">
        <x:v>5360</x:v>
      </x:c>
      <x:c r="C1358" s="17" t="n">
        <x:v>2023</x:v>
      </x:c>
      <x:c r="D1358" s="8" t="str">
        <x:v>RAINBOW TROUT</x:v>
      </x:c>
      <x:c r="E1358" s="13" t="n">
        <x:f>SUMIFS('Stocking details'!$F$6:$F$3307,'Stocking details'!$I$6:$I$3307,G1358)</x:f>
        <x:v>4408</x:v>
      </x:c>
      <x:c r="F1358" s="13" t="n">
        <x:f>COUNTIFS('Stocking details'!$I$6:$I$3307,G1358)</x:f>
        <x:v>1</x:v>
      </x:c>
      <x:c r="G1358" s="8" t="str">
        <x:f>B1358&amp;" / "&amp;C1358&amp;" / "&amp;D1358</x:f>
        <x:v>5360 / 2023 / RAINBOW TROUT</x:v>
      </x:c>
    </x:row>
    <x:row r="1359" ht="23" customHeight="1">
      <x:c r="A1359" s="8" t="str">
        <x:v>Mirage Lake</x:v>
      </x:c>
      <x:c r="B1359" s="8" t="str">
        <x:v>5360</x:v>
      </x:c>
      <x:c r="C1359" s="17" t="n">
        <x:v>2023</x:v>
      </x:c>
      <x:c r="D1359" s="8" t="str">
        <x:v>TIGER TROUT</x:v>
      </x:c>
      <x:c r="E1359" s="13" t="n">
        <x:f>SUMIFS('Stocking details'!$F$6:$F$3307,'Stocking details'!$I$6:$I$3307,G1359)</x:f>
        <x:v>1794</x:v>
      </x:c>
      <x:c r="F1359" s="13" t="n">
        <x:f>COUNTIFS('Stocking details'!$I$6:$I$3307,G1359)</x:f>
        <x:v>1</x:v>
      </x:c>
      <x:c r="G1359" s="8" t="str">
        <x:f>B1359&amp;" / "&amp;C1359&amp;" / "&amp;D1359</x:f>
        <x:v>5360 / 2023 / TIGER TROUT</x:v>
      </x:c>
    </x:row>
    <x:row r="1360" ht="23" customHeight="1">
      <x:c r="A1360" s="8" t="str">
        <x:v>Mirage Lake</x:v>
      </x:c>
      <x:c r="B1360" s="8" t="str">
        <x:v>5360</x:v>
      </x:c>
      <x:c r="C1360" s="17" t="n">
        <x:v>2022</x:v>
      </x:c>
      <x:c r="D1360" s="8" t="str">
        <x:v>BROWN TROUT</x:v>
      </x:c>
      <x:c r="E1360" s="13" t="n">
        <x:f>SUMIFS('Stocking details'!$F$6:$F$3307,'Stocking details'!$I$6:$I$3307,G1360)</x:f>
        <x:v>1000</x:v>
      </x:c>
      <x:c r="F1360" s="13" t="n">
        <x:f>COUNTIFS('Stocking details'!$I$6:$I$3307,G1360)</x:f>
        <x:v>2</x:v>
      </x:c>
      <x:c r="G1360" s="8" t="str">
        <x:f>B1360&amp;" / "&amp;C1360&amp;" / "&amp;D1360</x:f>
        <x:v>5360 / 2022 / BROWN TROUT</x:v>
      </x:c>
    </x:row>
    <x:row r="1361" ht="23" customHeight="1">
      <x:c r="A1361" s="8" t="str">
        <x:v>Mirage Lake</x:v>
      </x:c>
      <x:c r="B1361" s="8" t="str">
        <x:v>5360</x:v>
      </x:c>
      <x:c r="C1361" s="17" t="n">
        <x:v>2022</x:v>
      </x:c>
      <x:c r="D1361" s="8" t="str">
        <x:v>RAINBOW TROUT</x:v>
      </x:c>
      <x:c r="E1361" s="13" t="n">
        <x:f>SUMIFS('Stocking details'!$F$6:$F$3307,'Stocking details'!$I$6:$I$3307,G1361)</x:f>
        <x:v>9300</x:v>
      </x:c>
      <x:c r="F1361" s="13" t="n">
        <x:f>COUNTIFS('Stocking details'!$I$6:$I$3307,G1361)</x:f>
        <x:v>1</x:v>
      </x:c>
      <x:c r="G1361" s="8" t="str">
        <x:f>B1361&amp;" / "&amp;C1361&amp;" / "&amp;D1361</x:f>
        <x:v>5360 / 2022 / RAINBOW TROUT</x:v>
      </x:c>
    </x:row>
    <x:row r="1362" ht="23" customHeight="1">
      <x:c r="A1362" s="8" t="str">
        <x:v>Mirage Lake</x:v>
      </x:c>
      <x:c r="B1362" s="8" t="str">
        <x:v>5360</x:v>
      </x:c>
      <x:c r="C1362" s="17" t="n">
        <x:v>2022</x:v>
      </x:c>
      <x:c r="D1362" s="8" t="str">
        <x:v>TIGER TROUT</x:v>
      </x:c>
      <x:c r="E1362" s="13" t="n">
        <x:f>SUMIFS('Stocking details'!$F$6:$F$3307,'Stocking details'!$I$6:$I$3307,G1362)</x:f>
        <x:v>1500</x:v>
      </x:c>
      <x:c r="F1362" s="13" t="n">
        <x:f>COUNTIFS('Stocking details'!$I$6:$I$3307,G1362)</x:f>
        <x:v>1</x:v>
      </x:c>
      <x:c r="G1362" s="8" t="str">
        <x:f>B1362&amp;" / "&amp;C1362&amp;" / "&amp;D1362</x:f>
        <x:v>5360 / 2022 / TIGER TROUT</x:v>
      </x:c>
    </x:row>
    <x:row r="1363" ht="23" customHeight="1">
      <x:c r="A1363" s="8" t="str">
        <x:v>Mirage Lake</x:v>
      </x:c>
      <x:c r="B1363" s="8" t="str">
        <x:v>5360</x:v>
      </x:c>
      <x:c r="C1363" s="17" t="n">
        <x:v>2021</x:v>
      </x:c>
      <x:c r="D1363" s="8" t="str">
        <x:v>BROWN TROUT</x:v>
      </x:c>
      <x:c r="E1363" s="13" t="n">
        <x:f>SUMIFS('Stocking details'!$F$6:$F$3307,'Stocking details'!$I$6:$I$3307,G1363)</x:f>
        <x:v>1000</x:v>
      </x:c>
      <x:c r="F1363" s="13" t="n">
        <x:f>COUNTIFS('Stocking details'!$I$6:$I$3307,G1363)</x:f>
        <x:v>2</x:v>
      </x:c>
      <x:c r="G1363" s="8" t="str">
        <x:f>B1363&amp;" / "&amp;C1363&amp;" / "&amp;D1363</x:f>
        <x:v>5360 / 2021 / BROWN TROUT</x:v>
      </x:c>
    </x:row>
    <x:row r="1364" ht="23" customHeight="1">
      <x:c r="A1364" s="8" t="str">
        <x:v>Mirage Lake</x:v>
      </x:c>
      <x:c r="B1364" s="8" t="str">
        <x:v>5360</x:v>
      </x:c>
      <x:c r="C1364" s="17" t="n">
        <x:v>2021</x:v>
      </x:c>
      <x:c r="D1364" s="8" t="str">
        <x:v>RAINBOW TROUT</x:v>
      </x:c>
      <x:c r="E1364" s="13" t="n">
        <x:f>SUMIFS('Stocking details'!$F$6:$F$3307,'Stocking details'!$I$6:$I$3307,G1364)</x:f>
        <x:v>9300</x:v>
      </x:c>
      <x:c r="F1364" s="13" t="n">
        <x:f>COUNTIFS('Stocking details'!$I$6:$I$3307,G1364)</x:f>
        <x:v>1</x:v>
      </x:c>
      <x:c r="G1364" s="8" t="str">
        <x:f>B1364&amp;" / "&amp;C1364&amp;" / "&amp;D1364</x:f>
        <x:v>5360 / 2021 / RAINBOW TROUT</x:v>
      </x:c>
    </x:row>
    <x:row r="1365" ht="23" customHeight="1">
      <x:c r="A1365" s="8" t="str">
        <x:v>Mirage Lake</x:v>
      </x:c>
      <x:c r="B1365" s="8" t="str">
        <x:v>5360</x:v>
      </x:c>
      <x:c r="C1365" s="17" t="n">
        <x:v>2021</x:v>
      </x:c>
      <x:c r="D1365" s="8" t="str">
        <x:v>TIGER TROUT</x:v>
      </x:c>
      <x:c r="E1365" s="13" t="n">
        <x:f>SUMIFS('Stocking details'!$F$6:$F$3307,'Stocking details'!$I$6:$I$3307,G1365)</x:f>
        <x:v>1500</x:v>
      </x:c>
      <x:c r="F1365" s="13" t="n">
        <x:f>COUNTIFS('Stocking details'!$I$6:$I$3307,G1365)</x:f>
        <x:v>1</x:v>
      </x:c>
      <x:c r="G1365" s="8" t="str">
        <x:f>B1365&amp;" / "&amp;C1365&amp;" / "&amp;D1365</x:f>
        <x:v>5360 / 2021 / TIGER TROUT</x:v>
      </x:c>
    </x:row>
    <x:row r="1366" ht="23" customHeight="1">
      <x:c r="A1366" s="8" t="str">
        <x:v>Mirror Reservoir</x:v>
      </x:c>
      <x:c r="B1366" s="8" t="str">
        <x:v>6746</x:v>
      </x:c>
      <x:c r="C1366" s="17" t="n">
        <x:v>2023</x:v>
      </x:c>
      <x:c r="D1366" s="8" t="str">
        <x:v>BROWN TROUT</x:v>
      </x:c>
      <x:c r="E1366" s="13" t="n">
        <x:f>SUMIFS('Stocking details'!$F$6:$F$3307,'Stocking details'!$I$6:$I$3307,G1366)</x:f>
        <x:v>245</x:v>
      </x:c>
      <x:c r="F1366" s="13" t="n">
        <x:f>COUNTIFS('Stocking details'!$I$6:$I$3307,G1366)</x:f>
        <x:v>1</x:v>
      </x:c>
      <x:c r="G1366" s="8" t="str">
        <x:f>B1366&amp;" / "&amp;C1366&amp;" / "&amp;D1366</x:f>
        <x:v>6746 / 2023 / BROWN TROUT</x:v>
      </x:c>
    </x:row>
    <x:row r="1367" ht="23" customHeight="1">
      <x:c r="A1367" s="8" t="str">
        <x:v>Mirror Reservoir</x:v>
      </x:c>
      <x:c r="B1367" s="8" t="str">
        <x:v>6746</x:v>
      </x:c>
      <x:c r="C1367" s="17" t="n">
        <x:v>2022</x:v>
      </x:c>
      <x:c r="D1367" s="8" t="str">
        <x:v>BROWN TROUT</x:v>
      </x:c>
      <x:c r="E1367" s="13" t="n">
        <x:f>SUMIFS('Stocking details'!$F$6:$F$3307,'Stocking details'!$I$6:$I$3307,G1367)</x:f>
        <x:v>245</x:v>
      </x:c>
      <x:c r="F1367" s="13" t="n">
        <x:f>COUNTIFS('Stocking details'!$I$6:$I$3307,G1367)</x:f>
        <x:v>1</x:v>
      </x:c>
      <x:c r="G1367" s="8" t="str">
        <x:f>B1367&amp;" / "&amp;C1367&amp;" / "&amp;D1367</x:f>
        <x:v>6746 / 2022 / BROWN TROUT</x:v>
      </x:c>
    </x:row>
    <x:row r="1368" ht="23" customHeight="1">
      <x:c r="A1368" s="8" t="str">
        <x:v>Mirror Reservoir</x:v>
      </x:c>
      <x:c r="B1368" s="8" t="str">
        <x:v>6746</x:v>
      </x:c>
      <x:c r="C1368" s="17" t="n">
        <x:v>2021</x:v>
      </x:c>
      <x:c r="D1368" s="8" t="str">
        <x:v>BROWN TROUT</x:v>
      </x:c>
      <x:c r="E1368" s="13" t="n">
        <x:f>SUMIFS('Stocking details'!$F$6:$F$3307,'Stocking details'!$I$6:$I$3307,G1368)</x:f>
        <x:v>245</x:v>
      </x:c>
      <x:c r="F1368" s="13" t="n">
        <x:f>COUNTIFS('Stocking details'!$I$6:$I$3307,G1368)</x:f>
        <x:v>1</x:v>
      </x:c>
      <x:c r="G1368" s="8" t="str">
        <x:f>B1368&amp;" / "&amp;C1368&amp;" / "&amp;D1368</x:f>
        <x:v>6746 / 2021 / BROWN TROUT</x:v>
      </x:c>
    </x:row>
    <x:row r="1369" ht="23" customHeight="1">
      <x:c r="A1369" s="8" t="str">
        <x:v>Mirror Reservoir</x:v>
      </x:c>
      <x:c r="B1369" s="8" t="str">
        <x:v>6746</x:v>
      </x:c>
      <x:c r="C1369" s="17" t="n">
        <x:v>2021</x:v>
      </x:c>
      <x:c r="D1369" s="8" t="str">
        <x:v>RAINBOW TROUT</x:v>
      </x:c>
      <x:c r="E1369" s="13" t="n">
        <x:f>SUMIFS('Stocking details'!$F$6:$F$3307,'Stocking details'!$I$6:$I$3307,G1369)</x:f>
        <x:v>2800</x:v>
      </x:c>
      <x:c r="F1369" s="13" t="n">
        <x:f>COUNTIFS('Stocking details'!$I$6:$I$3307,G1369)</x:f>
        <x:v>1</x:v>
      </x:c>
      <x:c r="G1369" s="8" t="str">
        <x:f>B1369&amp;" / "&amp;C1369&amp;" / "&amp;D1369</x:f>
        <x:v>6746 / 2021 / RAINBOW TROUT</x:v>
      </x:c>
    </x:row>
    <x:row r="1370" ht="23" customHeight="1">
      <x:c r="A1370" s="8" t="str">
        <x:v>Mitchell Lake</x:v>
      </x:c>
      <x:c r="B1370" s="8" t="str">
        <x:v>5348</x:v>
      </x:c>
      <x:c r="C1370" s="17" t="n">
        <x:v>2026</x:v>
      </x:c>
      <x:c r="D1370" s="8" t="str">
        <x:v>BROWN TROUT</x:v>
      </x:c>
      <x:c r="E1370" s="13" t="n">
        <x:f>SUMIFS('Stocking details'!$F$6:$F$3307,'Stocking details'!$I$6:$I$3307,G1370)</x:f>
        <x:v>500</x:v>
      </x:c>
      <x:c r="F1370" s="13" t="n">
        <x:f>COUNTIFS('Stocking details'!$I$6:$I$3307,G1370)</x:f>
        <x:v>1</x:v>
      </x:c>
      <x:c r="G1370" s="8" t="str">
        <x:f>B1370&amp;" / "&amp;C1370&amp;" / "&amp;D1370</x:f>
        <x:v>5348 / 2026 / BROWN TROUT</x:v>
      </x:c>
    </x:row>
    <x:row r="1371" ht="23" customHeight="1">
      <x:c r="A1371" s="8" t="str">
        <x:v>Mitchell Lake</x:v>
      </x:c>
      <x:c r="B1371" s="8" t="str">
        <x:v>5348</x:v>
      </x:c>
      <x:c r="C1371" s="17" t="n">
        <x:v>2026</x:v>
      </x:c>
      <x:c r="D1371" s="8" t="str">
        <x:v>RAINBOW TROUT</x:v>
      </x:c>
      <x:c r="E1371" s="13" t="n">
        <x:f>SUMIFS('Stocking details'!$F$6:$F$3307,'Stocking details'!$I$6:$I$3307,G1371)</x:f>
        <x:v>2000</x:v>
      </x:c>
      <x:c r="F1371" s="13" t="n">
        <x:f>COUNTIFS('Stocking details'!$I$6:$I$3307,G1371)</x:f>
        <x:v>1</x:v>
      </x:c>
      <x:c r="G1371" s="8" t="str">
        <x:f>B1371&amp;" / "&amp;C1371&amp;" / "&amp;D1371</x:f>
        <x:v>5348 / 2026 / RAINBOW TROUT</x:v>
      </x:c>
    </x:row>
    <x:row r="1372" ht="23" customHeight="1">
      <x:c r="A1372" s="8" t="str">
        <x:v>Mitchell Lake</x:v>
      </x:c>
      <x:c r="B1372" s="8" t="str">
        <x:v>5348</x:v>
      </x:c>
      <x:c r="C1372" s="17" t="n">
        <x:v>2025</x:v>
      </x:c>
      <x:c r="D1372" s="8" t="str">
        <x:v>BROWN TROUT</x:v>
      </x:c>
      <x:c r="E1372" s="13" t="n">
        <x:f>SUMIFS('Stocking details'!$F$6:$F$3307,'Stocking details'!$I$6:$I$3307,G1372)</x:f>
        <x:v>500</x:v>
      </x:c>
      <x:c r="F1372" s="13" t="n">
        <x:f>COUNTIFS('Stocking details'!$I$6:$I$3307,G1372)</x:f>
        <x:v>1</x:v>
      </x:c>
      <x:c r="G1372" s="8" t="str">
        <x:f>B1372&amp;" / "&amp;C1372&amp;" / "&amp;D1372</x:f>
        <x:v>5348 / 2025 / BROWN TROUT</x:v>
      </x:c>
    </x:row>
    <x:row r="1373" ht="23" customHeight="1">
      <x:c r="A1373" s="8" t="str">
        <x:v>Mitchell Lake</x:v>
      </x:c>
      <x:c r="B1373" s="8" t="str">
        <x:v>5348</x:v>
      </x:c>
      <x:c r="C1373" s="17" t="n">
        <x:v>2025</x:v>
      </x:c>
      <x:c r="D1373" s="8" t="str">
        <x:v>RAINBOW TROUT</x:v>
      </x:c>
      <x:c r="E1373" s="13" t="n">
        <x:f>SUMIFS('Stocking details'!$F$6:$F$3307,'Stocking details'!$I$6:$I$3307,G1373)</x:f>
        <x:v>2000</x:v>
      </x:c>
      <x:c r="F1373" s="13" t="n">
        <x:f>COUNTIFS('Stocking details'!$I$6:$I$3307,G1373)</x:f>
        <x:v>1</x:v>
      </x:c>
      <x:c r="G1373" s="8" t="str">
        <x:f>B1373&amp;" / "&amp;C1373&amp;" / "&amp;D1373</x:f>
        <x:v>5348 / 2025 / RAINBOW TROUT</x:v>
      </x:c>
    </x:row>
    <x:row r="1374" ht="23" customHeight="1">
      <x:c r="A1374" s="8" t="str">
        <x:v>Mitchell Lake</x:v>
      </x:c>
      <x:c r="B1374" s="8" t="str">
        <x:v>5348</x:v>
      </x:c>
      <x:c r="C1374" s="17" t="n">
        <x:v>2025</x:v>
      </x:c>
      <x:c r="D1374" s="8" t="str">
        <x:v>TIGER TROUT</x:v>
      </x:c>
      <x:c r="E1374" s="13" t="n">
        <x:f>SUMIFS('Stocking details'!$F$6:$F$3307,'Stocking details'!$I$6:$I$3307,G1374)</x:f>
        <x:v>2200</x:v>
      </x:c>
      <x:c r="F1374" s="13" t="n">
        <x:f>COUNTIFS('Stocking details'!$I$6:$I$3307,G1374)</x:f>
        <x:v>2</x:v>
      </x:c>
      <x:c r="G1374" s="8" t="str">
        <x:f>B1374&amp;" / "&amp;C1374&amp;" / "&amp;D1374</x:f>
        <x:v>5348 / 2025 / TIGER TROUT</x:v>
      </x:c>
    </x:row>
    <x:row r="1375" ht="23" customHeight="1">
      <x:c r="A1375" s="8" t="str">
        <x:v>Mitchell Lake</x:v>
      </x:c>
      <x:c r="B1375" s="8" t="str">
        <x:v>5348</x:v>
      </x:c>
      <x:c r="C1375" s="17" t="n">
        <x:v>2024</x:v>
      </x:c>
      <x:c r="D1375" s="8" t="str">
        <x:v>BROWN TROUT</x:v>
      </x:c>
      <x:c r="E1375" s="13" t="n">
        <x:f>SUMIFS('Stocking details'!$F$6:$F$3307,'Stocking details'!$I$6:$I$3307,G1375)</x:f>
        <x:v>500</x:v>
      </x:c>
      <x:c r="F1375" s="13" t="n">
        <x:f>COUNTIFS('Stocking details'!$I$6:$I$3307,G1375)</x:f>
        <x:v>1</x:v>
      </x:c>
      <x:c r="G1375" s="8" t="str">
        <x:f>B1375&amp;" / "&amp;C1375&amp;" / "&amp;D1375</x:f>
        <x:v>5348 / 2024 / BROWN TROUT</x:v>
      </x:c>
    </x:row>
    <x:row r="1376" ht="23" customHeight="1">
      <x:c r="A1376" s="8" t="str">
        <x:v>Mitchell Lake</x:v>
      </x:c>
      <x:c r="B1376" s="8" t="str">
        <x:v>5348</x:v>
      </x:c>
      <x:c r="C1376" s="17" t="n">
        <x:v>2024</x:v>
      </x:c>
      <x:c r="D1376" s="8" t="str">
        <x:v>RAINBOW TROUT</x:v>
      </x:c>
      <x:c r="E1376" s="13" t="n">
        <x:f>SUMIFS('Stocking details'!$F$6:$F$3307,'Stocking details'!$I$6:$I$3307,G1376)</x:f>
        <x:v>1000</x:v>
      </x:c>
      <x:c r="F1376" s="13" t="n">
        <x:f>COUNTIFS('Stocking details'!$I$6:$I$3307,G1376)</x:f>
        <x:v>1</x:v>
      </x:c>
      <x:c r="G1376" s="8" t="str">
        <x:f>B1376&amp;" / "&amp;C1376&amp;" / "&amp;D1376</x:f>
        <x:v>5348 / 2024 / RAINBOW TROUT</x:v>
      </x:c>
    </x:row>
    <x:row r="1377" ht="23" customHeight="1">
      <x:c r="A1377" s="8" t="str">
        <x:v>Mitchell Lake</x:v>
      </x:c>
      <x:c r="B1377" s="8" t="str">
        <x:v>5348</x:v>
      </x:c>
      <x:c r="C1377" s="17" t="n">
        <x:v>2024</x:v>
      </x:c>
      <x:c r="D1377" s="8" t="str">
        <x:v>TIGER TROUT</x:v>
      </x:c>
      <x:c r="E1377" s="13" t="n">
        <x:f>SUMIFS('Stocking details'!$F$6:$F$3307,'Stocking details'!$I$6:$I$3307,G1377)</x:f>
        <x:v>1200</x:v>
      </x:c>
      <x:c r="F1377" s="13" t="n">
        <x:f>COUNTIFS('Stocking details'!$I$6:$I$3307,G1377)</x:f>
        <x:v>1</x:v>
      </x:c>
      <x:c r="G1377" s="8" t="str">
        <x:f>B1377&amp;" / "&amp;C1377&amp;" / "&amp;D1377</x:f>
        <x:v>5348 / 2024 / TIGER TROUT</x:v>
      </x:c>
    </x:row>
    <x:row r="1378" ht="23" customHeight="1">
      <x:c r="A1378" s="8" t="str">
        <x:v>Mitchell Lake</x:v>
      </x:c>
      <x:c r="B1378" s="8" t="str">
        <x:v>5348</x:v>
      </x:c>
      <x:c r="C1378" s="17" t="n">
        <x:v>2023</x:v>
      </x:c>
      <x:c r="D1378" s="8" t="str">
        <x:v>BROWN TROUT</x:v>
      </x:c>
      <x:c r="E1378" s="13" t="n">
        <x:f>SUMIFS('Stocking details'!$F$6:$F$3307,'Stocking details'!$I$6:$I$3307,G1378)</x:f>
        <x:v>500</x:v>
      </x:c>
      <x:c r="F1378" s="13" t="n">
        <x:f>COUNTIFS('Stocking details'!$I$6:$I$3307,G1378)</x:f>
        <x:v>1</x:v>
      </x:c>
      <x:c r="G1378" s="8" t="str">
        <x:f>B1378&amp;" / "&amp;C1378&amp;" / "&amp;D1378</x:f>
        <x:v>5348 / 2023 / BROWN TROUT</x:v>
      </x:c>
    </x:row>
    <x:row r="1379" ht="23" customHeight="1">
      <x:c r="A1379" s="8" t="str">
        <x:v>Mitchell Lake</x:v>
      </x:c>
      <x:c r="B1379" s="8" t="str">
        <x:v>5348</x:v>
      </x:c>
      <x:c r="C1379" s="17" t="n">
        <x:v>2023</x:v>
      </x:c>
      <x:c r="D1379" s="8" t="str">
        <x:v>RAINBOW TROUT</x:v>
      </x:c>
      <x:c r="E1379" s="13" t="n">
        <x:f>SUMIFS('Stocking details'!$F$6:$F$3307,'Stocking details'!$I$6:$I$3307,G1379)</x:f>
        <x:v>1810</x:v>
      </x:c>
      <x:c r="F1379" s="13" t="n">
        <x:f>COUNTIFS('Stocking details'!$I$6:$I$3307,G1379)</x:f>
        <x:v>2</x:v>
      </x:c>
      <x:c r="G1379" s="8" t="str">
        <x:f>B1379&amp;" / "&amp;C1379&amp;" / "&amp;D1379</x:f>
        <x:v>5348 / 2023 / RAINBOW TROUT</x:v>
      </x:c>
    </x:row>
    <x:row r="1380" ht="23" customHeight="1">
      <x:c r="A1380" s="8" t="str">
        <x:v>Mitchell Lake</x:v>
      </x:c>
      <x:c r="B1380" s="8" t="str">
        <x:v>5348</x:v>
      </x:c>
      <x:c r="C1380" s="17" t="n">
        <x:v>2023</x:v>
      </x:c>
      <x:c r="D1380" s="8" t="str">
        <x:v>TIGER TROUT</x:v>
      </x:c>
      <x:c r="E1380" s="13" t="n">
        <x:f>SUMIFS('Stocking details'!$F$6:$F$3307,'Stocking details'!$I$6:$I$3307,G1380)</x:f>
        <x:v>1400</x:v>
      </x:c>
      <x:c r="F1380" s="13" t="n">
        <x:f>COUNTIFS('Stocking details'!$I$6:$I$3307,G1380)</x:f>
        <x:v>2</x:v>
      </x:c>
      <x:c r="G1380" s="8" t="str">
        <x:f>B1380&amp;" / "&amp;C1380&amp;" / "&amp;D1380</x:f>
        <x:v>5348 / 2023 / TIGER TROUT</x:v>
      </x:c>
    </x:row>
    <x:row r="1381" ht="23" customHeight="1">
      <x:c r="A1381" s="8" t="str">
        <x:v>Mitchell Lake</x:v>
      </x:c>
      <x:c r="B1381" s="8" t="str">
        <x:v>5348</x:v>
      </x:c>
      <x:c r="C1381" s="17" t="n">
        <x:v>2022</x:v>
      </x:c>
      <x:c r="D1381" s="8" t="str">
        <x:v>BROWN TROUT</x:v>
      </x:c>
      <x:c r="E1381" s="13" t="n">
        <x:f>SUMIFS('Stocking details'!$F$6:$F$3307,'Stocking details'!$I$6:$I$3307,G1381)</x:f>
        <x:v>500</x:v>
      </x:c>
      <x:c r="F1381" s="13" t="n">
        <x:f>COUNTIFS('Stocking details'!$I$6:$I$3307,G1381)</x:f>
        <x:v>1</x:v>
      </x:c>
      <x:c r="G1381" s="8" t="str">
        <x:f>B1381&amp;" / "&amp;C1381&amp;" / "&amp;D1381</x:f>
        <x:v>5348 / 2022 / BROWN TROUT</x:v>
      </x:c>
    </x:row>
    <x:row r="1382" ht="23" customHeight="1">
      <x:c r="A1382" s="8" t="str">
        <x:v>Mitchell Lake</x:v>
      </x:c>
      <x:c r="B1382" s="8" t="str">
        <x:v>5348</x:v>
      </x:c>
      <x:c r="C1382" s="17" t="n">
        <x:v>2022</x:v>
      </x:c>
      <x:c r="D1382" s="8" t="str">
        <x:v>RAINBOW TROUT</x:v>
      </x:c>
      <x:c r="E1382" s="13" t="n">
        <x:f>SUMIFS('Stocking details'!$F$6:$F$3307,'Stocking details'!$I$6:$I$3307,G1382)</x:f>
        <x:v>2000</x:v>
      </x:c>
      <x:c r="F1382" s="13" t="n">
        <x:f>COUNTIFS('Stocking details'!$I$6:$I$3307,G1382)</x:f>
        <x:v>1</x:v>
      </x:c>
      <x:c r="G1382" s="8" t="str">
        <x:f>B1382&amp;" / "&amp;C1382&amp;" / "&amp;D1382</x:f>
        <x:v>5348 / 2022 / RAINBOW TROUT</x:v>
      </x:c>
    </x:row>
    <x:row r="1383" ht="23" customHeight="1">
      <x:c r="A1383" s="8" t="str">
        <x:v>Mitchell Lake</x:v>
      </x:c>
      <x:c r="B1383" s="8" t="str">
        <x:v>5348</x:v>
      </x:c>
      <x:c r="C1383" s="17" t="n">
        <x:v>2022</x:v>
      </x:c>
      <x:c r="D1383" s="8" t="str">
        <x:v>TIGER TROUT</x:v>
      </x:c>
      <x:c r="E1383" s="13" t="n">
        <x:f>SUMIFS('Stocking details'!$F$6:$F$3307,'Stocking details'!$I$6:$I$3307,G1383)</x:f>
        <x:v>1200</x:v>
      </x:c>
      <x:c r="F1383" s="13" t="n">
        <x:f>COUNTIFS('Stocking details'!$I$6:$I$3307,G1383)</x:f>
        <x:v>2</x:v>
      </x:c>
      <x:c r="G1383" s="8" t="str">
        <x:f>B1383&amp;" / "&amp;C1383&amp;" / "&amp;D1383</x:f>
        <x:v>5348 / 2022 / TIGER TROUT</x:v>
      </x:c>
    </x:row>
    <x:row r="1384" ht="23" customHeight="1">
      <x:c r="A1384" s="8" t="str">
        <x:v>Mitchell Lake</x:v>
      </x:c>
      <x:c r="B1384" s="8" t="str">
        <x:v>5348</x:v>
      </x:c>
      <x:c r="C1384" s="17" t="n">
        <x:v>2021</x:v>
      </x:c>
      <x:c r="D1384" s="8" t="str">
        <x:v>BROWN TROUT</x:v>
      </x:c>
      <x:c r="E1384" s="13" t="n">
        <x:f>SUMIFS('Stocking details'!$F$6:$F$3307,'Stocking details'!$I$6:$I$3307,G1384)</x:f>
        <x:v>500</x:v>
      </x:c>
      <x:c r="F1384" s="13" t="n">
        <x:f>COUNTIFS('Stocking details'!$I$6:$I$3307,G1384)</x:f>
        <x:v>1</x:v>
      </x:c>
      <x:c r="G1384" s="8" t="str">
        <x:f>B1384&amp;" / "&amp;C1384&amp;" / "&amp;D1384</x:f>
        <x:v>5348 / 2021 / BROWN TROUT</x:v>
      </x:c>
    </x:row>
    <x:row r="1385" ht="23" customHeight="1">
      <x:c r="A1385" s="8" t="str">
        <x:v>Mitchell Lake</x:v>
      </x:c>
      <x:c r="B1385" s="8" t="str">
        <x:v>5348</x:v>
      </x:c>
      <x:c r="C1385" s="17" t="n">
        <x:v>2021</x:v>
      </x:c>
      <x:c r="D1385" s="8" t="str">
        <x:v>RAINBOW TROUT</x:v>
      </x:c>
      <x:c r="E1385" s="13" t="n">
        <x:f>SUMIFS('Stocking details'!$F$6:$F$3307,'Stocking details'!$I$6:$I$3307,G1385)</x:f>
        <x:v>2000</x:v>
      </x:c>
      <x:c r="F1385" s="13" t="n">
        <x:f>COUNTIFS('Stocking details'!$I$6:$I$3307,G1385)</x:f>
        <x:v>1</x:v>
      </x:c>
      <x:c r="G1385" s="8" t="str">
        <x:f>B1385&amp;" / "&amp;C1385&amp;" / "&amp;D1385</x:f>
        <x:v>5348 / 2021 / RAINBOW TROUT</x:v>
      </x:c>
    </x:row>
    <x:row r="1386" ht="23" customHeight="1">
      <x:c r="A1386" s="8" t="str">
        <x:v>Mitchell Lake</x:v>
      </x:c>
      <x:c r="B1386" s="8" t="str">
        <x:v>5348</x:v>
      </x:c>
      <x:c r="C1386" s="17" t="n">
        <x:v>2021</x:v>
      </x:c>
      <x:c r="D1386" s="8" t="str">
        <x:v>TIGER TROUT</x:v>
      </x:c>
      <x:c r="E1386" s="13" t="n">
        <x:f>SUMIFS('Stocking details'!$F$6:$F$3307,'Stocking details'!$I$6:$I$3307,G1386)</x:f>
        <x:v>1200</x:v>
      </x:c>
      <x:c r="F1386" s="13" t="n">
        <x:f>COUNTIFS('Stocking details'!$I$6:$I$3307,G1386)</x:f>
        <x:v>1</x:v>
      </x:c>
      <x:c r="G1386" s="8" t="str">
        <x:f>B1386&amp;" / "&amp;C1386&amp;" / "&amp;D1386</x:f>
        <x:v>5348 / 2021 / TIGER TROUT</x:v>
      </x:c>
    </x:row>
    <x:row r="1387" ht="23" customHeight="1">
      <x:c r="A1387" s="8" t="str">
        <x:v>Mitford Ponds</x:v>
      </x:c>
      <x:c r="B1387" s="8" t="str">
        <x:v>395196</x:v>
      </x:c>
      <x:c r="C1387" s="17" t="n">
        <x:v>2026</x:v>
      </x:c>
      <x:c r="D1387" s="8" t="str">
        <x:v>BROWN TROUT</x:v>
      </x:c>
      <x:c r="E1387" s="13" t="n">
        <x:f>SUMIFS('Stocking details'!$F$6:$F$3307,'Stocking details'!$I$6:$I$3307,G1387)</x:f>
        <x:v>61</x:v>
      </x:c>
      <x:c r="F1387" s="13" t="n">
        <x:f>COUNTIFS('Stocking details'!$I$6:$I$3307,G1387)</x:f>
        <x:v>1</x:v>
      </x:c>
      <x:c r="G1387" s="8" t="str">
        <x:f>B1387&amp;" / "&amp;C1387&amp;" / "&amp;D1387</x:f>
        <x:v>395196 / 2026 / BROWN TROUT</x:v>
      </x:c>
    </x:row>
    <x:row r="1388" ht="23" customHeight="1">
      <x:c r="A1388" s="8" t="str">
        <x:v>Mitford Ponds</x:v>
      </x:c>
      <x:c r="B1388" s="8" t="str">
        <x:v>395196</x:v>
      </x:c>
      <x:c r="C1388" s="17" t="n">
        <x:v>2026</x:v>
      </x:c>
      <x:c r="D1388" s="8" t="str">
        <x:v>RAINBOW TROUT</x:v>
      </x:c>
      <x:c r="E1388" s="13" t="n">
        <x:f>SUMIFS('Stocking details'!$F$6:$F$3307,'Stocking details'!$I$6:$I$3307,G1388)</x:f>
        <x:v>639</x:v>
      </x:c>
      <x:c r="F1388" s="13" t="n">
        <x:f>COUNTIFS('Stocking details'!$I$6:$I$3307,G1388)</x:f>
        <x:v>2</x:v>
      </x:c>
      <x:c r="G1388" s="8" t="str">
        <x:f>B1388&amp;" / "&amp;C1388&amp;" / "&amp;D1388</x:f>
        <x:v>395196 / 2026 / RAINBOW TROUT</x:v>
      </x:c>
    </x:row>
    <x:row r="1389" ht="23" customHeight="1">
      <x:c r="A1389" s="8" t="str">
        <x:v>Mitford Ponds</x:v>
      </x:c>
      <x:c r="B1389" s="8" t="str">
        <x:v>395196</x:v>
      </x:c>
      <x:c r="C1389" s="17" t="n">
        <x:v>2025</x:v>
      </x:c>
      <x:c r="D1389" s="8" t="str">
        <x:v>BROWN TROUT</x:v>
      </x:c>
      <x:c r="E1389" s="13" t="n">
        <x:f>SUMIFS('Stocking details'!$F$6:$F$3307,'Stocking details'!$I$6:$I$3307,G1389)</x:f>
        <x:v>61</x:v>
      </x:c>
      <x:c r="F1389" s="13" t="n">
        <x:f>COUNTIFS('Stocking details'!$I$6:$I$3307,G1389)</x:f>
        <x:v>1</x:v>
      </x:c>
      <x:c r="G1389" s="8" t="str">
        <x:f>B1389&amp;" / "&amp;C1389&amp;" / "&amp;D1389</x:f>
        <x:v>395196 / 2025 / BROWN TROUT</x:v>
      </x:c>
    </x:row>
    <x:row r="1390" ht="23" customHeight="1">
      <x:c r="A1390" s="8" t="str">
        <x:v>Mitford Ponds</x:v>
      </x:c>
      <x:c r="B1390" s="8" t="str">
        <x:v>395196</x:v>
      </x:c>
      <x:c r="C1390" s="17" t="n">
        <x:v>2025</x:v>
      </x:c>
      <x:c r="D1390" s="8" t="str">
        <x:v>RAINBOW TROUT</x:v>
      </x:c>
      <x:c r="E1390" s="13" t="n">
        <x:f>SUMIFS('Stocking details'!$F$6:$F$3307,'Stocking details'!$I$6:$I$3307,G1390)</x:f>
        <x:v>350</x:v>
      </x:c>
      <x:c r="F1390" s="13" t="n">
        <x:f>COUNTIFS('Stocking details'!$I$6:$I$3307,G1390)</x:f>
        <x:v>1</x:v>
      </x:c>
      <x:c r="G1390" s="8" t="str">
        <x:f>B1390&amp;" / "&amp;C1390&amp;" / "&amp;D1390</x:f>
        <x:v>395196 / 2025 / RAINBOW TROUT</x:v>
      </x:c>
    </x:row>
    <x:row r="1391" ht="23" customHeight="1">
      <x:c r="A1391" s="8" t="str">
        <x:v>Mitford Ponds</x:v>
      </x:c>
      <x:c r="B1391" s="8" t="str">
        <x:v>395196</x:v>
      </x:c>
      <x:c r="C1391" s="17" t="n">
        <x:v>2024</x:v>
      </x:c>
      <x:c r="D1391" s="8" t="str">
        <x:v>BROWN TROUT</x:v>
      </x:c>
      <x:c r="E1391" s="13" t="n">
        <x:f>SUMIFS('Stocking details'!$F$6:$F$3307,'Stocking details'!$I$6:$I$3307,G1391)</x:f>
        <x:v>61</x:v>
      </x:c>
      <x:c r="F1391" s="13" t="n">
        <x:f>COUNTIFS('Stocking details'!$I$6:$I$3307,G1391)</x:f>
        <x:v>1</x:v>
      </x:c>
      <x:c r="G1391" s="8" t="str">
        <x:f>B1391&amp;" / "&amp;C1391&amp;" / "&amp;D1391</x:f>
        <x:v>395196 / 2024 / BROWN TROUT</x:v>
      </x:c>
    </x:row>
    <x:row r="1392" ht="23" customHeight="1">
      <x:c r="A1392" s="8" t="str">
        <x:v>Mitford Ponds</x:v>
      </x:c>
      <x:c r="B1392" s="8" t="str">
        <x:v>395196</x:v>
      </x:c>
      <x:c r="C1392" s="17" t="n">
        <x:v>2024</x:v>
      </x:c>
      <x:c r="D1392" s="8" t="str">
        <x:v>RAINBOW TROUT</x:v>
      </x:c>
      <x:c r="E1392" s="13" t="n">
        <x:f>SUMIFS('Stocking details'!$F$6:$F$3307,'Stocking details'!$I$6:$I$3307,G1392)</x:f>
        <x:v>638</x:v>
      </x:c>
      <x:c r="F1392" s="13" t="n">
        <x:f>COUNTIFS('Stocking details'!$I$6:$I$3307,G1392)</x:f>
        <x:v>3</x:v>
      </x:c>
      <x:c r="G1392" s="8" t="str">
        <x:f>B1392&amp;" / "&amp;C1392&amp;" / "&amp;D1392</x:f>
        <x:v>395196 / 2024 / RAINBOW TROUT</x:v>
      </x:c>
    </x:row>
    <x:row r="1393" ht="23" customHeight="1">
      <x:c r="A1393" s="8" t="str">
        <x:v>Mitford Ponds</x:v>
      </x:c>
      <x:c r="B1393" s="8" t="str">
        <x:v>395196</x:v>
      </x:c>
      <x:c r="C1393" s="17" t="n">
        <x:v>2023</x:v>
      </x:c>
      <x:c r="D1393" s="8" t="str">
        <x:v>BROWN TROUT</x:v>
      </x:c>
      <x:c r="E1393" s="13" t="n">
        <x:f>SUMIFS('Stocking details'!$F$6:$F$3307,'Stocking details'!$I$6:$I$3307,G1393)</x:f>
        <x:v>61</x:v>
      </x:c>
      <x:c r="F1393" s="13" t="n">
        <x:f>COUNTIFS('Stocking details'!$I$6:$I$3307,G1393)</x:f>
        <x:v>1</x:v>
      </x:c>
      <x:c r="G1393" s="8" t="str">
        <x:f>B1393&amp;" / "&amp;C1393&amp;" / "&amp;D1393</x:f>
        <x:v>395196 / 2023 / BROWN TROUT</x:v>
      </x:c>
    </x:row>
    <x:row r="1394" ht="23" customHeight="1">
      <x:c r="A1394" s="8" t="str">
        <x:v>Mitford Ponds</x:v>
      </x:c>
      <x:c r="B1394" s="8" t="str">
        <x:v>395196</x:v>
      </x:c>
      <x:c r="C1394" s="17" t="n">
        <x:v>2023</x:v>
      </x:c>
      <x:c r="D1394" s="8" t="str">
        <x:v>RAINBOW TROUT</x:v>
      </x:c>
      <x:c r="E1394" s="13" t="n">
        <x:f>SUMIFS('Stocking details'!$F$6:$F$3307,'Stocking details'!$I$6:$I$3307,G1394)</x:f>
        <x:v>635</x:v>
      </x:c>
      <x:c r="F1394" s="13" t="n">
        <x:f>COUNTIFS('Stocking details'!$I$6:$I$3307,G1394)</x:f>
        <x:v>2</x:v>
      </x:c>
      <x:c r="G1394" s="8" t="str">
        <x:f>B1394&amp;" / "&amp;C1394&amp;" / "&amp;D1394</x:f>
        <x:v>395196 / 2023 / RAINBOW TROUT</x:v>
      </x:c>
    </x:row>
    <x:row r="1395" ht="23" customHeight="1">
      <x:c r="A1395" s="8" t="str">
        <x:v>Mitford Ponds</x:v>
      </x:c>
      <x:c r="B1395" s="8" t="str">
        <x:v>395196</x:v>
      </x:c>
      <x:c r="C1395" s="17" t="n">
        <x:v>2022</x:v>
      </x:c>
      <x:c r="D1395" s="8" t="str">
        <x:v>BROWN TROUT</x:v>
      </x:c>
      <x:c r="E1395" s="13" t="n">
        <x:f>SUMIFS('Stocking details'!$F$6:$F$3307,'Stocking details'!$I$6:$I$3307,G1395)</x:f>
        <x:v>61</x:v>
      </x:c>
      <x:c r="F1395" s="13" t="n">
        <x:f>COUNTIFS('Stocking details'!$I$6:$I$3307,G1395)</x:f>
        <x:v>1</x:v>
      </x:c>
      <x:c r="G1395" s="8" t="str">
        <x:f>B1395&amp;" / "&amp;C1395&amp;" / "&amp;D1395</x:f>
        <x:v>395196 / 2022 / BROWN TROUT</x:v>
      </x:c>
    </x:row>
    <x:row r="1396" ht="23" customHeight="1">
      <x:c r="A1396" s="8" t="str">
        <x:v>Mitford Ponds</x:v>
      </x:c>
      <x:c r="B1396" s="8" t="str">
        <x:v>395196</x:v>
      </x:c>
      <x:c r="C1396" s="17" t="n">
        <x:v>2022</x:v>
      </x:c>
      <x:c r="D1396" s="8" t="str">
        <x:v>RAINBOW TROUT</x:v>
      </x:c>
      <x:c r="E1396" s="13" t="n">
        <x:f>SUMIFS('Stocking details'!$F$6:$F$3307,'Stocking details'!$I$6:$I$3307,G1396)</x:f>
        <x:v>700</x:v>
      </x:c>
      <x:c r="F1396" s="13" t="n">
        <x:f>COUNTIFS('Stocking details'!$I$6:$I$3307,G1396)</x:f>
        <x:v>3</x:v>
      </x:c>
      <x:c r="G1396" s="8" t="str">
        <x:f>B1396&amp;" / "&amp;C1396&amp;" / "&amp;D1396</x:f>
        <x:v>395196 / 2022 / RAINBOW TROUT</x:v>
      </x:c>
    </x:row>
    <x:row r="1397" ht="23" customHeight="1">
      <x:c r="A1397" s="8" t="str">
        <x:v>Mitford Ponds</x:v>
      </x:c>
      <x:c r="B1397" s="8" t="str">
        <x:v>395196</x:v>
      </x:c>
      <x:c r="C1397" s="17" t="n">
        <x:v>2021</x:v>
      </x:c>
      <x:c r="D1397" s="8" t="str">
        <x:v>BROWN TROUT</x:v>
      </x:c>
      <x:c r="E1397" s="13" t="n">
        <x:f>SUMIFS('Stocking details'!$F$6:$F$3307,'Stocking details'!$I$6:$I$3307,G1397)</x:f>
        <x:v>61</x:v>
      </x:c>
      <x:c r="F1397" s="13" t="n">
        <x:f>COUNTIFS('Stocking details'!$I$6:$I$3307,G1397)</x:f>
        <x:v>1</x:v>
      </x:c>
      <x:c r="G1397" s="8" t="str">
        <x:f>B1397&amp;" / "&amp;C1397&amp;" / "&amp;D1397</x:f>
        <x:v>395196 / 2021 / BROWN TROUT</x:v>
      </x:c>
    </x:row>
    <x:row r="1398" ht="23" customHeight="1">
      <x:c r="A1398" s="8" t="str">
        <x:v>Mitford Ponds</x:v>
      </x:c>
      <x:c r="B1398" s="8" t="str">
        <x:v>395196</x:v>
      </x:c>
      <x:c r="C1398" s="17" t="n">
        <x:v>2021</x:v>
      </x:c>
      <x:c r="D1398" s="8" t="str">
        <x:v>RAINBOW TROUT</x:v>
      </x:c>
      <x:c r="E1398" s="13" t="n">
        <x:f>SUMIFS('Stocking details'!$F$6:$F$3307,'Stocking details'!$I$6:$I$3307,G1398)</x:f>
        <x:v>1200</x:v>
      </x:c>
      <x:c r="F1398" s="13" t="n">
        <x:f>COUNTIFS('Stocking details'!$I$6:$I$3307,G1398)</x:f>
        <x:v>3</x:v>
      </x:c>
      <x:c r="G1398" s="8" t="str">
        <x:f>B1398&amp;" / "&amp;C1398&amp;" / "&amp;D1398</x:f>
        <x:v>395196 / 2021 / RAINBOW TROUT</x:v>
      </x:c>
    </x:row>
    <x:row r="1399" ht="23" customHeight="1">
      <x:c r="A1399" s="8" t="str">
        <x:v>Moore Lake</x:v>
      </x:c>
      <x:c r="B1399" s="8" t="str">
        <x:v>4351</x:v>
      </x:c>
      <x:c r="C1399" s="17" t="n">
        <x:v>2024</x:v>
      </x:c>
      <x:c r="D1399" s="8" t="str">
        <x:v>WALLEYE</x:v>
      </x:c>
      <x:c r="E1399" s="13" t="n">
        <x:f>SUMIFS('Stocking details'!$F$6:$F$3307,'Stocking details'!$I$6:$I$3307,G1399)</x:f>
        <x:v>343090</x:v>
      </x:c>
      <x:c r="F1399" s="13" t="n">
        <x:f>COUNTIFS('Stocking details'!$I$6:$I$3307,G1399)</x:f>
        <x:v>2</x:v>
      </x:c>
      <x:c r="G1399" s="8" t="str">
        <x:f>B1399&amp;" / "&amp;C1399&amp;" / "&amp;D1399</x:f>
        <x:v>4351 / 2024 / WALLEYE</x:v>
      </x:c>
    </x:row>
    <x:row r="1400" ht="23" customHeight="1">
      <x:c r="A1400" s="8" t="str">
        <x:v>Moore Lake</x:v>
      </x:c>
      <x:c r="B1400" s="8" t="str">
        <x:v>4351</x:v>
      </x:c>
      <x:c r="C1400" s="17" t="n">
        <x:v>2023</x:v>
      </x:c>
      <x:c r="D1400" s="8" t="str">
        <x:v>WALLEYE</x:v>
      </x:c>
      <x:c r="E1400" s="13" t="n">
        <x:f>SUMIFS('Stocking details'!$F$6:$F$3307,'Stocking details'!$I$6:$I$3307,G1400)</x:f>
        <x:v>82593</x:v>
      </x:c>
      <x:c r="F1400" s="13" t="n">
        <x:f>COUNTIFS('Stocking details'!$I$6:$I$3307,G1400)</x:f>
        <x:v>1</x:v>
      </x:c>
      <x:c r="G1400" s="8" t="str">
        <x:f>B1400&amp;" / "&amp;C1400&amp;" / "&amp;D1400</x:f>
        <x:v>4351 / 2023 / WALLEYE</x:v>
      </x:c>
    </x:row>
    <x:row r="1401" ht="23" customHeight="1">
      <x:c r="A1401" s="8" t="str">
        <x:v>Morinville Fish and Game Pond</x:v>
      </x:c>
      <x:c r="B1401" s="8" t="str">
        <x:v>6736</x:v>
      </x:c>
      <x:c r="C1401" s="17" t="n">
        <x:v>2026</x:v>
      </x:c>
      <x:c r="D1401" s="8" t="str">
        <x:v>BROWN TROUT</x:v>
      </x:c>
      <x:c r="E1401" s="13" t="n">
        <x:f>SUMIFS('Stocking details'!$F$6:$F$3307,'Stocking details'!$I$6:$I$3307,G1401)</x:f>
        <x:v>100</x:v>
      </x:c>
      <x:c r="F1401" s="13" t="n">
        <x:f>COUNTIFS('Stocking details'!$I$6:$I$3307,G1401)</x:f>
        <x:v>1</x:v>
      </x:c>
      <x:c r="G1401" s="8" t="str">
        <x:f>B1401&amp;" / "&amp;C1401&amp;" / "&amp;D1401</x:f>
        <x:v>6736 / 2026 / BROWN TROUT</x:v>
      </x:c>
    </x:row>
    <x:row r="1402" ht="23" customHeight="1">
      <x:c r="A1402" s="8" t="str">
        <x:v>Morinville Fish and Game Pond</x:v>
      </x:c>
      <x:c r="B1402" s="8" t="str">
        <x:v>6736</x:v>
      </x:c>
      <x:c r="C1402" s="17" t="n">
        <x:v>2026</x:v>
      </x:c>
      <x:c r="D1402" s="8" t="str">
        <x:v>RAINBOW TROUT</x:v>
      </x:c>
      <x:c r="E1402" s="13" t="n">
        <x:f>SUMIFS('Stocking details'!$F$6:$F$3307,'Stocking details'!$I$6:$I$3307,G1402)</x:f>
        <x:v>1425</x:v>
      </x:c>
      <x:c r="F1402" s="13" t="n">
        <x:f>COUNTIFS('Stocking details'!$I$6:$I$3307,G1402)</x:f>
        <x:v>1</x:v>
      </x:c>
      <x:c r="G1402" s="8" t="str">
        <x:f>B1402&amp;" / "&amp;C1402&amp;" / "&amp;D1402</x:f>
        <x:v>6736 / 2026 / RAINBOW TROUT</x:v>
      </x:c>
    </x:row>
    <x:row r="1403" ht="23" customHeight="1">
      <x:c r="A1403" s="8" t="str">
        <x:v>Morinville Fish and Game Pond</x:v>
      </x:c>
      <x:c r="B1403" s="8" t="str">
        <x:v>6736</x:v>
      </x:c>
      <x:c r="C1403" s="17" t="n">
        <x:v>2025</x:v>
      </x:c>
      <x:c r="D1403" s="8" t="str">
        <x:v>BROWN TROUT</x:v>
      </x:c>
      <x:c r="E1403" s="13" t="n">
        <x:f>SUMIFS('Stocking details'!$F$6:$F$3307,'Stocking details'!$I$6:$I$3307,G1403)</x:f>
        <x:v>100</x:v>
      </x:c>
      <x:c r="F1403" s="13" t="n">
        <x:f>COUNTIFS('Stocking details'!$I$6:$I$3307,G1403)</x:f>
        <x:v>1</x:v>
      </x:c>
      <x:c r="G1403" s="8" t="str">
        <x:f>B1403&amp;" / "&amp;C1403&amp;" / "&amp;D1403</x:f>
        <x:v>6736 / 2025 / BROWN TROUT</x:v>
      </x:c>
    </x:row>
    <x:row r="1404" ht="23" customHeight="1">
      <x:c r="A1404" s="8" t="str">
        <x:v>Morinville Fish and Game Pond</x:v>
      </x:c>
      <x:c r="B1404" s="8" t="str">
        <x:v>6736</x:v>
      </x:c>
      <x:c r="C1404" s="17" t="n">
        <x:v>2025</x:v>
      </x:c>
      <x:c r="D1404" s="8" t="str">
        <x:v>RAINBOW TROUT</x:v>
      </x:c>
      <x:c r="E1404" s="13" t="n">
        <x:f>SUMIFS('Stocking details'!$F$6:$F$3307,'Stocking details'!$I$6:$I$3307,G1404)</x:f>
        <x:v>2525</x:v>
      </x:c>
      <x:c r="F1404" s="13" t="n">
        <x:f>COUNTIFS('Stocking details'!$I$6:$I$3307,G1404)</x:f>
        <x:v>2</x:v>
      </x:c>
      <x:c r="G1404" s="8" t="str">
        <x:f>B1404&amp;" / "&amp;C1404&amp;" / "&amp;D1404</x:f>
        <x:v>6736 / 2025 / RAINBOW TROUT</x:v>
      </x:c>
    </x:row>
    <x:row r="1405" ht="23" customHeight="1">
      <x:c r="A1405" s="8" t="str">
        <x:v>Morinville Fish and Game Pond</x:v>
      </x:c>
      <x:c r="B1405" s="8" t="str">
        <x:v>6736</x:v>
      </x:c>
      <x:c r="C1405" s="17" t="n">
        <x:v>2024</x:v>
      </x:c>
      <x:c r="D1405" s="8" t="str">
        <x:v>BROWN TROUT</x:v>
      </x:c>
      <x:c r="E1405" s="13" t="n">
        <x:f>SUMIFS('Stocking details'!$F$6:$F$3307,'Stocking details'!$I$6:$I$3307,G1405)</x:f>
        <x:v>222</x:v>
      </x:c>
      <x:c r="F1405" s="13" t="n">
        <x:f>COUNTIFS('Stocking details'!$I$6:$I$3307,G1405)</x:f>
        <x:v>1</x:v>
      </x:c>
      <x:c r="G1405" s="8" t="str">
        <x:f>B1405&amp;" / "&amp;C1405&amp;" / "&amp;D1405</x:f>
        <x:v>6736 / 2024 / BROWN TROUT</x:v>
      </x:c>
    </x:row>
    <x:row r="1406" ht="23" customHeight="1">
      <x:c r="A1406" s="8" t="str">
        <x:v>Morinville Fish and Game Pond</x:v>
      </x:c>
      <x:c r="B1406" s="8" t="str">
        <x:v>6736</x:v>
      </x:c>
      <x:c r="C1406" s="17" t="n">
        <x:v>2024</x:v>
      </x:c>
      <x:c r="D1406" s="8" t="str">
        <x:v>RAINBOW TROUT</x:v>
      </x:c>
      <x:c r="E1406" s="13" t="n">
        <x:f>SUMIFS('Stocking details'!$F$6:$F$3307,'Stocking details'!$I$6:$I$3307,G1406)</x:f>
        <x:v>2425</x:v>
      </x:c>
      <x:c r="F1406" s="13" t="n">
        <x:f>COUNTIFS('Stocking details'!$I$6:$I$3307,G1406)</x:f>
        <x:v>2</x:v>
      </x:c>
      <x:c r="G1406" s="8" t="str">
        <x:f>B1406&amp;" / "&amp;C1406&amp;" / "&amp;D1406</x:f>
        <x:v>6736 / 2024 / RAINBOW TROUT</x:v>
      </x:c>
    </x:row>
    <x:row r="1407" ht="23" customHeight="1">
      <x:c r="A1407" s="8" t="str">
        <x:v>Morinville Fish and Game Pond</x:v>
      </x:c>
      <x:c r="B1407" s="8" t="str">
        <x:v>6736</x:v>
      </x:c>
      <x:c r="C1407" s="17" t="n">
        <x:v>2023</x:v>
      </x:c>
      <x:c r="D1407" s="8" t="str">
        <x:v>BROWN TROUT</x:v>
      </x:c>
      <x:c r="E1407" s="13" t="n">
        <x:f>SUMIFS('Stocking details'!$F$6:$F$3307,'Stocking details'!$I$6:$I$3307,G1407)</x:f>
        <x:v>100</x:v>
      </x:c>
      <x:c r="F1407" s="13" t="n">
        <x:f>COUNTIFS('Stocking details'!$I$6:$I$3307,G1407)</x:f>
        <x:v>1</x:v>
      </x:c>
      <x:c r="G1407" s="8" t="str">
        <x:f>B1407&amp;" / "&amp;C1407&amp;" / "&amp;D1407</x:f>
        <x:v>6736 / 2023 / BROWN TROUT</x:v>
      </x:c>
    </x:row>
    <x:row r="1408" ht="23" customHeight="1">
      <x:c r="A1408" s="8" t="str">
        <x:v>Morinville Fish and Game Pond</x:v>
      </x:c>
      <x:c r="B1408" s="8" t="str">
        <x:v>6736</x:v>
      </x:c>
      <x:c r="C1408" s="17" t="n">
        <x:v>2023</x:v>
      </x:c>
      <x:c r="D1408" s="8" t="str">
        <x:v>RAINBOW TROUT</x:v>
      </x:c>
      <x:c r="E1408" s="13" t="n">
        <x:f>SUMIFS('Stocking details'!$F$6:$F$3307,'Stocking details'!$I$6:$I$3307,G1408)</x:f>
        <x:v>1937</x:v>
      </x:c>
      <x:c r="F1408" s="13" t="n">
        <x:f>COUNTIFS('Stocking details'!$I$6:$I$3307,G1408)</x:f>
        <x:v>2</x:v>
      </x:c>
      <x:c r="G1408" s="8" t="str">
        <x:f>B1408&amp;" / "&amp;C1408&amp;" / "&amp;D1408</x:f>
        <x:v>6736 / 2023 / RAINBOW TROUT</x:v>
      </x:c>
    </x:row>
    <x:row r="1409" ht="23" customHeight="1">
      <x:c r="A1409" s="8" t="str">
        <x:v>Morinville Fish and Game Pond</x:v>
      </x:c>
      <x:c r="B1409" s="8" t="str">
        <x:v>6736</x:v>
      </x:c>
      <x:c r="C1409" s="17" t="n">
        <x:v>2022</x:v>
      </x:c>
      <x:c r="D1409" s="8" t="str">
        <x:v>BROWN TROUT</x:v>
      </x:c>
      <x:c r="E1409" s="13" t="n">
        <x:f>SUMIFS('Stocking details'!$F$6:$F$3307,'Stocking details'!$I$6:$I$3307,G1409)</x:f>
        <x:v>100</x:v>
      </x:c>
      <x:c r="F1409" s="13" t="n">
        <x:f>COUNTIFS('Stocking details'!$I$6:$I$3307,G1409)</x:f>
        <x:v>1</x:v>
      </x:c>
      <x:c r="G1409" s="8" t="str">
        <x:f>B1409&amp;" / "&amp;C1409&amp;" / "&amp;D1409</x:f>
        <x:v>6736 / 2022 / BROWN TROUT</x:v>
      </x:c>
    </x:row>
    <x:row r="1410" ht="23" customHeight="1">
      <x:c r="A1410" s="8" t="str">
        <x:v>Morinville Fish and Game Pond</x:v>
      </x:c>
      <x:c r="B1410" s="8" t="str">
        <x:v>6736</x:v>
      </x:c>
      <x:c r="C1410" s="17" t="n">
        <x:v>2022</x:v>
      </x:c>
      <x:c r="D1410" s="8" t="str">
        <x:v>RAINBOW TROUT</x:v>
      </x:c>
      <x:c r="E1410" s="13" t="n">
        <x:f>SUMIFS('Stocking details'!$F$6:$F$3307,'Stocking details'!$I$6:$I$3307,G1410)</x:f>
        <x:v>2425</x:v>
      </x:c>
      <x:c r="F1410" s="13" t="n">
        <x:f>COUNTIFS('Stocking details'!$I$6:$I$3307,G1410)</x:f>
        <x:v>2</x:v>
      </x:c>
      <x:c r="G1410" s="8" t="str">
        <x:f>B1410&amp;" / "&amp;C1410&amp;" / "&amp;D1410</x:f>
        <x:v>6736 / 2022 / RAINBOW TROUT</x:v>
      </x:c>
    </x:row>
    <x:row r="1411" ht="23" customHeight="1">
      <x:c r="A1411" s="8" t="str">
        <x:v>Morinville Fish and Game Pond</x:v>
      </x:c>
      <x:c r="B1411" s="8" t="str">
        <x:v>6736</x:v>
      </x:c>
      <x:c r="C1411" s="17" t="n">
        <x:v>2021</x:v>
      </x:c>
      <x:c r="D1411" s="8" t="str">
        <x:v>BROWN TROUT</x:v>
      </x:c>
      <x:c r="E1411" s="13" t="n">
        <x:f>SUMIFS('Stocking details'!$F$6:$F$3307,'Stocking details'!$I$6:$I$3307,G1411)</x:f>
        <x:v>100</x:v>
      </x:c>
      <x:c r="F1411" s="13" t="n">
        <x:f>COUNTIFS('Stocking details'!$I$6:$I$3307,G1411)</x:f>
        <x:v>1</x:v>
      </x:c>
      <x:c r="G1411" s="8" t="str">
        <x:f>B1411&amp;" / "&amp;C1411&amp;" / "&amp;D1411</x:f>
        <x:v>6736 / 2021 / BROWN TROUT</x:v>
      </x:c>
    </x:row>
    <x:row r="1412" ht="23" customHeight="1">
      <x:c r="A1412" s="8" t="str">
        <x:v>Morinville Fish and Game Pond</x:v>
      </x:c>
      <x:c r="B1412" s="8" t="str">
        <x:v>6736</x:v>
      </x:c>
      <x:c r="C1412" s="17" t="n">
        <x:v>2021</x:v>
      </x:c>
      <x:c r="D1412" s="8" t="str">
        <x:v>RAINBOW TROUT</x:v>
      </x:c>
      <x:c r="E1412" s="13" t="n">
        <x:f>SUMIFS('Stocking details'!$F$6:$F$3307,'Stocking details'!$I$6:$I$3307,G1412)</x:f>
        <x:v>2425</x:v>
      </x:c>
      <x:c r="F1412" s="13" t="n">
        <x:f>COUNTIFS('Stocking details'!$I$6:$I$3307,G1412)</x:f>
        <x:v>2</x:v>
      </x:c>
      <x:c r="G1412" s="8" t="str">
        <x:f>B1412&amp;" / "&amp;C1412&amp;" / "&amp;D1412</x:f>
        <x:v>6736 / 2021 / RAINBOW TROUT</x:v>
      </x:c>
    </x:row>
    <x:row r="1413" ht="23" customHeight="1">
      <x:c r="A1413" s="8" t="str">
        <x:v>Mound Red Reservoir</x:v>
      </x:c>
      <x:c r="B1413" s="8" t="str">
        <x:v>6737</x:v>
      </x:c>
      <x:c r="C1413" s="17" t="n">
        <x:v>2026</x:v>
      </x:c>
      <x:c r="D1413" s="8" t="str">
        <x:v>RAINBOW TROUT</x:v>
      </x:c>
      <x:c r="E1413" s="13" t="n">
        <x:f>SUMIFS('Stocking details'!$F$6:$F$3307,'Stocking details'!$I$6:$I$3307,G1413)</x:f>
        <x:v>3000</x:v>
      </x:c>
      <x:c r="F1413" s="13" t="n">
        <x:f>COUNTIFS('Stocking details'!$I$6:$I$3307,G1413)</x:f>
        <x:v>1</x:v>
      </x:c>
      <x:c r="G1413" s="8" t="str">
        <x:f>B1413&amp;" / "&amp;C1413&amp;" / "&amp;D1413</x:f>
        <x:v>6737 / 2026 / RAINBOW TROUT</x:v>
      </x:c>
    </x:row>
    <x:row r="1414" ht="23" customHeight="1">
      <x:c r="A1414" s="8" t="str">
        <x:v>Mound Red Reservoir</x:v>
      </x:c>
      <x:c r="B1414" s="8" t="str">
        <x:v>6737</x:v>
      </x:c>
      <x:c r="C1414" s="17" t="n">
        <x:v>2025</x:v>
      </x:c>
      <x:c r="D1414" s="8" t="str">
        <x:v>RAINBOW TROUT</x:v>
      </x:c>
      <x:c r="E1414" s="13" t="n">
        <x:f>SUMIFS('Stocking details'!$F$6:$F$3307,'Stocking details'!$I$6:$I$3307,G1414)</x:f>
        <x:v>3050</x:v>
      </x:c>
      <x:c r="F1414" s="13" t="n">
        <x:f>COUNTIFS('Stocking details'!$I$6:$I$3307,G1414)</x:f>
        <x:v>2</x:v>
      </x:c>
      <x:c r="G1414" s="8" t="str">
        <x:f>B1414&amp;" / "&amp;C1414&amp;" / "&amp;D1414</x:f>
        <x:v>6737 / 2025 / RAINBOW TROUT</x:v>
      </x:c>
    </x:row>
    <x:row r="1415" ht="23" customHeight="1">
      <x:c r="A1415" s="8" t="str">
        <x:v>Mound Red Reservoir</x:v>
      </x:c>
      <x:c r="B1415" s="8" t="str">
        <x:v>6737</x:v>
      </x:c>
      <x:c r="C1415" s="17" t="n">
        <x:v>2024</x:v>
      </x:c>
      <x:c r="D1415" s="8" t="str">
        <x:v>RAINBOW TROUT</x:v>
      </x:c>
      <x:c r="E1415" s="13" t="n">
        <x:f>SUMIFS('Stocking details'!$F$6:$F$3307,'Stocking details'!$I$6:$I$3307,G1415)</x:f>
        <x:v>3050</x:v>
      </x:c>
      <x:c r="F1415" s="13" t="n">
        <x:f>COUNTIFS('Stocking details'!$I$6:$I$3307,G1415)</x:f>
        <x:v>2</x:v>
      </x:c>
      <x:c r="G1415" s="8" t="str">
        <x:f>B1415&amp;" / "&amp;C1415&amp;" / "&amp;D1415</x:f>
        <x:v>6737 / 2024 / RAINBOW TROUT</x:v>
      </x:c>
    </x:row>
    <x:row r="1416" ht="23" customHeight="1">
      <x:c r="A1416" s="8" t="str">
        <x:v>Mound Red Reservoir</x:v>
      </x:c>
      <x:c r="B1416" s="8" t="str">
        <x:v>6737</x:v>
      </x:c>
      <x:c r="C1416" s="17" t="n">
        <x:v>2023</x:v>
      </x:c>
      <x:c r="D1416" s="8" t="str">
        <x:v>RAINBOW TROUT</x:v>
      </x:c>
      <x:c r="E1416" s="13" t="n">
        <x:f>SUMIFS('Stocking details'!$F$6:$F$3307,'Stocking details'!$I$6:$I$3307,G1416)</x:f>
        <x:v>3200</x:v>
      </x:c>
      <x:c r="F1416" s="13" t="n">
        <x:f>COUNTIFS('Stocking details'!$I$6:$I$3307,G1416)</x:f>
        <x:v>2</x:v>
      </x:c>
      <x:c r="G1416" s="8" t="str">
        <x:f>B1416&amp;" / "&amp;C1416&amp;" / "&amp;D1416</x:f>
        <x:v>6737 / 2023 / RAINBOW TROUT</x:v>
      </x:c>
    </x:row>
    <x:row r="1417" ht="23" customHeight="1">
      <x:c r="A1417" s="8" t="str">
        <x:v>Mound Red Reservoir</x:v>
      </x:c>
      <x:c r="B1417" s="8" t="str">
        <x:v>6737</x:v>
      </x:c>
      <x:c r="C1417" s="17" t="n">
        <x:v>2022</x:v>
      </x:c>
      <x:c r="D1417" s="8" t="str">
        <x:v>RAINBOW TROUT</x:v>
      </x:c>
      <x:c r="E1417" s="13" t="n">
        <x:f>SUMIFS('Stocking details'!$F$6:$F$3307,'Stocking details'!$I$6:$I$3307,G1417)</x:f>
        <x:v>3000</x:v>
      </x:c>
      <x:c r="F1417" s="13" t="n">
        <x:f>COUNTIFS('Stocking details'!$I$6:$I$3307,G1417)</x:f>
        <x:v>1</x:v>
      </x:c>
      <x:c r="G1417" s="8" t="str">
        <x:f>B1417&amp;" / "&amp;C1417&amp;" / "&amp;D1417</x:f>
        <x:v>6737 / 2022 / RAINBOW TROUT</x:v>
      </x:c>
    </x:row>
    <x:row r="1418" ht="23" customHeight="1">
      <x:c r="A1418" s="8" t="str">
        <x:v>Mound Red Reservoir</x:v>
      </x:c>
      <x:c r="B1418" s="8" t="str">
        <x:v>6737</x:v>
      </x:c>
      <x:c r="C1418" s="17" t="n">
        <x:v>2021</x:v>
      </x:c>
      <x:c r="D1418" s="8" t="str">
        <x:v>RAINBOW TROUT</x:v>
      </x:c>
      <x:c r="E1418" s="13" t="n">
        <x:f>SUMIFS('Stocking details'!$F$6:$F$3307,'Stocking details'!$I$6:$I$3307,G1418)</x:f>
        <x:v>1500</x:v>
      </x:c>
      <x:c r="F1418" s="13" t="n">
        <x:f>COUNTIFS('Stocking details'!$I$6:$I$3307,G1418)</x:f>
        <x:v>1</x:v>
      </x:c>
      <x:c r="G1418" s="8" t="str">
        <x:f>B1418&amp;" / "&amp;C1418&amp;" / "&amp;D1418</x:f>
        <x:v>6737 / 2021 / RAINBOW TROUT</x:v>
      </x:c>
    </x:row>
    <x:row r="1419" ht="23" customHeight="1">
      <x:c r="A1419" s="8" t="str">
        <x:v>Mount Lorette Ponds</x:v>
      </x:c>
      <x:c r="B1419" s="8" t="str">
        <x:v>3482</x:v>
      </x:c>
      <x:c r="C1419" s="17" t="n">
        <x:v>2026</x:v>
      </x:c>
      <x:c r="D1419" s="8" t="str">
        <x:v>RAINBOW TROUT</x:v>
      </x:c>
      <x:c r="E1419" s="13" t="n">
        <x:f>SUMIFS('Stocking details'!$F$6:$F$3307,'Stocking details'!$I$6:$I$3307,G1419)</x:f>
        <x:v>2095</x:v>
      </x:c>
      <x:c r="F1419" s="13" t="n">
        <x:f>COUNTIFS('Stocking details'!$I$6:$I$3307,G1419)</x:f>
        <x:v>4</x:v>
      </x:c>
      <x:c r="G1419" s="8" t="str">
        <x:f>B1419&amp;" / "&amp;C1419&amp;" / "&amp;D1419</x:f>
        <x:v>3482 / 2026 / RAINBOW TROUT</x:v>
      </x:c>
    </x:row>
    <x:row r="1420" ht="23" customHeight="1">
      <x:c r="A1420" s="8" t="str">
        <x:v>Mount Lorette Ponds</x:v>
      </x:c>
      <x:c r="B1420" s="8" t="str">
        <x:v>3482</x:v>
      </x:c>
      <x:c r="C1420" s="17" t="n">
        <x:v>2026</x:v>
      </x:c>
      <x:c r="D1420" s="8" t="str">
        <x:v>WESTSLOPE CUTTHROAT TROUT</x:v>
      </x:c>
      <x:c r="E1420" s="13" t="n">
        <x:f>SUMIFS('Stocking details'!$F$6:$F$3307,'Stocking details'!$I$6:$I$3307,G1420)</x:f>
        <x:v>3000</x:v>
      </x:c>
      <x:c r="F1420" s="13" t="n">
        <x:f>COUNTIFS('Stocking details'!$I$6:$I$3307,G1420)</x:f>
        <x:v>4</x:v>
      </x:c>
      <x:c r="G1420" s="8" t="str">
        <x:f>B1420&amp;" / "&amp;C1420&amp;" / "&amp;D1420</x:f>
        <x:v>3482 / 2026 / WESTSLOPE CUTTHROAT TROUT</x:v>
      </x:c>
    </x:row>
    <x:row r="1421" ht="23" customHeight="1">
      <x:c r="A1421" s="8" t="str">
        <x:v>Mount Lorette Ponds</x:v>
      </x:c>
      <x:c r="B1421" s="8" t="str">
        <x:v>3482</x:v>
      </x:c>
      <x:c r="C1421" s="17" t="n">
        <x:v>2025</x:v>
      </x:c>
      <x:c r="D1421" s="8" t="str">
        <x:v>CUTTHROAT TROUT</x:v>
      </x:c>
      <x:c r="E1421" s="13" t="n">
        <x:f>SUMIFS('Stocking details'!$F$6:$F$3307,'Stocking details'!$I$6:$I$3307,G1421)</x:f>
        <x:v>3100</x:v>
      </x:c>
      <x:c r="F1421" s="13" t="n">
        <x:f>COUNTIFS('Stocking details'!$I$6:$I$3307,G1421)</x:f>
        <x:v>5</x:v>
      </x:c>
      <x:c r="G1421" s="8" t="str">
        <x:f>B1421&amp;" / "&amp;C1421&amp;" / "&amp;D1421</x:f>
        <x:v>3482 / 2025 / CUTTHROAT TROUT</x:v>
      </x:c>
    </x:row>
    <x:row r="1422" ht="23" customHeight="1">
      <x:c r="A1422" s="8" t="str">
        <x:v>Mount Lorette Ponds</x:v>
      </x:c>
      <x:c r="B1422" s="8" t="str">
        <x:v>3482</x:v>
      </x:c>
      <x:c r="C1422" s="17" t="n">
        <x:v>2025</x:v>
      </x:c>
      <x:c r="D1422" s="8" t="str">
        <x:v>RAINBOW TROUT</x:v>
      </x:c>
      <x:c r="E1422" s="13" t="n">
        <x:f>SUMIFS('Stocking details'!$F$6:$F$3307,'Stocking details'!$I$6:$I$3307,G1422)</x:f>
        <x:v>1600</x:v>
      </x:c>
      <x:c r="F1422" s="13" t="n">
        <x:f>COUNTIFS('Stocking details'!$I$6:$I$3307,G1422)</x:f>
        <x:v>4</x:v>
      </x:c>
      <x:c r="G1422" s="8" t="str">
        <x:f>B1422&amp;" / "&amp;C1422&amp;" / "&amp;D1422</x:f>
        <x:v>3482 / 2025 / RAINBOW TROUT</x:v>
      </x:c>
    </x:row>
    <x:row r="1423" ht="23" customHeight="1">
      <x:c r="A1423" s="8" t="str">
        <x:v>Mount Lorette Ponds</x:v>
      </x:c>
      <x:c r="B1423" s="8" t="str">
        <x:v>3482</x:v>
      </x:c>
      <x:c r="C1423" s="17" t="n">
        <x:v>2024</x:v>
      </x:c>
      <x:c r="D1423" s="8" t="str">
        <x:v>RAINBOW TROUT</x:v>
      </x:c>
      <x:c r="E1423" s="13" t="n">
        <x:f>SUMIFS('Stocking details'!$F$6:$F$3307,'Stocking details'!$I$6:$I$3307,G1423)</x:f>
        <x:v>4071</x:v>
      </x:c>
      <x:c r="F1423" s="13" t="n">
        <x:f>COUNTIFS('Stocking details'!$I$6:$I$3307,G1423)</x:f>
        <x:v>7</x:v>
      </x:c>
      <x:c r="G1423" s="8" t="str">
        <x:f>B1423&amp;" / "&amp;C1423&amp;" / "&amp;D1423</x:f>
        <x:v>3482 / 2024 / RAINBOW TROUT</x:v>
      </x:c>
    </x:row>
    <x:row r="1424" ht="23" customHeight="1">
      <x:c r="A1424" s="8" t="str">
        <x:v>Mount Lorette Ponds</x:v>
      </x:c>
      <x:c r="B1424" s="8" t="str">
        <x:v>3482</x:v>
      </x:c>
      <x:c r="C1424" s="17" t="n">
        <x:v>2023</x:v>
      </x:c>
      <x:c r="D1424" s="8" t="str">
        <x:v>RAINBOW TROUT</x:v>
      </x:c>
      <x:c r="E1424" s="13" t="n">
        <x:f>SUMIFS('Stocking details'!$F$6:$F$3307,'Stocking details'!$I$6:$I$3307,G1424)</x:f>
        <x:v>4402</x:v>
      </x:c>
      <x:c r="F1424" s="13" t="n">
        <x:f>COUNTIFS('Stocking details'!$I$6:$I$3307,G1424)</x:f>
        <x:v>6</x:v>
      </x:c>
      <x:c r="G1424" s="8" t="str">
        <x:f>B1424&amp;" / "&amp;C1424&amp;" / "&amp;D1424</x:f>
        <x:v>3482 / 2023 / RAINBOW TROUT</x:v>
      </x:c>
    </x:row>
    <x:row r="1425" ht="23" customHeight="1">
      <x:c r="A1425" s="8" t="str">
        <x:v>Mount Lorette Ponds</x:v>
      </x:c>
      <x:c r="B1425" s="8" t="str">
        <x:v>3482</x:v>
      </x:c>
      <x:c r="C1425" s="17" t="n">
        <x:v>2022</x:v>
      </x:c>
      <x:c r="D1425" s="8" t="str">
        <x:v>RAINBOW TROUT</x:v>
      </x:c>
      <x:c r="E1425" s="13" t="n">
        <x:f>SUMIFS('Stocking details'!$F$6:$F$3307,'Stocking details'!$I$6:$I$3307,G1425)</x:f>
        <x:v>4000</x:v>
      </x:c>
      <x:c r="F1425" s="13" t="n">
        <x:f>COUNTIFS('Stocking details'!$I$6:$I$3307,G1425)</x:f>
        <x:v>4</x:v>
      </x:c>
      <x:c r="G1425" s="8" t="str">
        <x:f>B1425&amp;" / "&amp;C1425&amp;" / "&amp;D1425</x:f>
        <x:v>3482 / 2022 / RAINBOW TROUT</x:v>
      </x:c>
    </x:row>
    <x:row r="1426" ht="23" customHeight="1">
      <x:c r="A1426" s="8" t="str">
        <x:v>Mount Lorette Ponds</x:v>
      </x:c>
      <x:c r="B1426" s="8" t="str">
        <x:v>3482</x:v>
      </x:c>
      <x:c r="C1426" s="17" t="n">
        <x:v>2021</x:v>
      </x:c>
      <x:c r="D1426" s="8" t="str">
        <x:v>RAINBOW TROUT</x:v>
      </x:c>
      <x:c r="E1426" s="13" t="n">
        <x:f>SUMIFS('Stocking details'!$F$6:$F$3307,'Stocking details'!$I$6:$I$3307,G1426)</x:f>
        <x:v>4000</x:v>
      </x:c>
      <x:c r="F1426" s="13" t="n">
        <x:f>COUNTIFS('Stocking details'!$I$6:$I$3307,G1426)</x:f>
        <x:v>5</x:v>
      </x:c>
      <x:c r="G1426" s="8" t="str">
        <x:f>B1426&amp;" / "&amp;C1426&amp;" / "&amp;D1426</x:f>
        <x:v>3482 / 2021 / RAINBOW TROUT</x:v>
      </x:c>
    </x:row>
    <x:row r="1427" ht="23" customHeight="1">
      <x:c r="A1427" s="8" t="str">
        <x:v>Muir Lake</x:v>
      </x:c>
      <x:c r="B1427" s="8" t="str">
        <x:v>5387</x:v>
      </x:c>
      <x:c r="C1427" s="17" t="n">
        <x:v>2026</x:v>
      </x:c>
      <x:c r="D1427" s="8" t="str">
        <x:v>BROWN TROUT</x:v>
      </x:c>
      <x:c r="E1427" s="13" t="n">
        <x:f>SUMIFS('Stocking details'!$F$6:$F$3307,'Stocking details'!$I$6:$I$3307,G1427)</x:f>
        <x:v>500</x:v>
      </x:c>
      <x:c r="F1427" s="13" t="n">
        <x:f>COUNTIFS('Stocking details'!$I$6:$I$3307,G1427)</x:f>
        <x:v>1</x:v>
      </x:c>
      <x:c r="G1427" s="8" t="str">
        <x:f>B1427&amp;" / "&amp;C1427&amp;" / "&amp;D1427</x:f>
        <x:v>5387 / 2026 / BROWN TROUT</x:v>
      </x:c>
    </x:row>
    <x:row r="1428" ht="23" customHeight="1">
      <x:c r="A1428" s="8" t="str">
        <x:v>Muir Lake</x:v>
      </x:c>
      <x:c r="B1428" s="8" t="str">
        <x:v>5387</x:v>
      </x:c>
      <x:c r="C1428" s="17" t="n">
        <x:v>2026</x:v>
      </x:c>
      <x:c r="D1428" s="8" t="str">
        <x:v>RAINBOW TROUT</x:v>
      </x:c>
      <x:c r="E1428" s="13" t="n">
        <x:f>SUMIFS('Stocking details'!$F$6:$F$3307,'Stocking details'!$I$6:$I$3307,G1428)</x:f>
        <x:v>3000</x:v>
      </x:c>
      <x:c r="F1428" s="13" t="n">
        <x:f>COUNTIFS('Stocking details'!$I$6:$I$3307,G1428)</x:f>
        <x:v>2</x:v>
      </x:c>
      <x:c r="G1428" s="8" t="str">
        <x:f>B1428&amp;" / "&amp;C1428&amp;" / "&amp;D1428</x:f>
        <x:v>5387 / 2026 / RAINBOW TROUT</x:v>
      </x:c>
    </x:row>
    <x:row r="1429" ht="23" customHeight="1">
      <x:c r="A1429" s="8" t="str">
        <x:v>Muir Lake</x:v>
      </x:c>
      <x:c r="B1429" s="8" t="str">
        <x:v>5387</x:v>
      </x:c>
      <x:c r="C1429" s="17" t="n">
        <x:v>2025</x:v>
      </x:c>
      <x:c r="D1429" s="8" t="str">
        <x:v>BROWN TROUT</x:v>
      </x:c>
      <x:c r="E1429" s="13" t="n">
        <x:f>SUMIFS('Stocking details'!$F$6:$F$3307,'Stocking details'!$I$6:$I$3307,G1429)</x:f>
        <x:v>500</x:v>
      </x:c>
      <x:c r="F1429" s="13" t="n">
        <x:f>COUNTIFS('Stocking details'!$I$6:$I$3307,G1429)</x:f>
        <x:v>1</x:v>
      </x:c>
      <x:c r="G1429" s="8" t="str">
        <x:f>B1429&amp;" / "&amp;C1429&amp;" / "&amp;D1429</x:f>
        <x:v>5387 / 2025 / BROWN TROUT</x:v>
      </x:c>
    </x:row>
    <x:row r="1430" ht="23" customHeight="1">
      <x:c r="A1430" s="8" t="str">
        <x:v>Muir Lake</x:v>
      </x:c>
      <x:c r="B1430" s="8" t="str">
        <x:v>5387</x:v>
      </x:c>
      <x:c r="C1430" s="17" t="n">
        <x:v>2025</x:v>
      </x:c>
      <x:c r="D1430" s="8" t="str">
        <x:v>RAINBOW TROUT</x:v>
      </x:c>
      <x:c r="E1430" s="13" t="n">
        <x:f>SUMIFS('Stocking details'!$F$6:$F$3307,'Stocking details'!$I$6:$I$3307,G1430)</x:f>
        <x:v>3000</x:v>
      </x:c>
      <x:c r="F1430" s="13" t="n">
        <x:f>COUNTIFS('Stocking details'!$I$6:$I$3307,G1430)</x:f>
        <x:v>2</x:v>
      </x:c>
      <x:c r="G1430" s="8" t="str">
        <x:f>B1430&amp;" / "&amp;C1430&amp;" / "&amp;D1430</x:f>
        <x:v>5387 / 2025 / RAINBOW TROUT</x:v>
      </x:c>
    </x:row>
    <x:row r="1431" ht="23" customHeight="1">
      <x:c r="A1431" s="8" t="str">
        <x:v>Muir Lake</x:v>
      </x:c>
      <x:c r="B1431" s="8" t="str">
        <x:v>5387</x:v>
      </x:c>
      <x:c r="C1431" s="17" t="n">
        <x:v>2024</x:v>
      </x:c>
      <x:c r="D1431" s="8" t="str">
        <x:v>BROWN TROUT</x:v>
      </x:c>
      <x:c r="E1431" s="13" t="n">
        <x:f>SUMIFS('Stocking details'!$F$6:$F$3307,'Stocking details'!$I$6:$I$3307,G1431)</x:f>
        <x:v>500</x:v>
      </x:c>
      <x:c r="F1431" s="13" t="n">
        <x:f>COUNTIFS('Stocking details'!$I$6:$I$3307,G1431)</x:f>
        <x:v>1</x:v>
      </x:c>
      <x:c r="G1431" s="8" t="str">
        <x:f>B1431&amp;" / "&amp;C1431&amp;" / "&amp;D1431</x:f>
        <x:v>5387 / 2024 / BROWN TROUT</x:v>
      </x:c>
    </x:row>
    <x:row r="1432" ht="23" customHeight="1">
      <x:c r="A1432" s="8" t="str">
        <x:v>Muir Lake</x:v>
      </x:c>
      <x:c r="B1432" s="8" t="str">
        <x:v>5387</x:v>
      </x:c>
      <x:c r="C1432" s="17" t="n">
        <x:v>2024</x:v>
      </x:c>
      <x:c r="D1432" s="8" t="str">
        <x:v>RAINBOW TROUT</x:v>
      </x:c>
      <x:c r="E1432" s="13" t="n">
        <x:f>SUMIFS('Stocking details'!$F$6:$F$3307,'Stocking details'!$I$6:$I$3307,G1432)</x:f>
        <x:v>1506</x:v>
      </x:c>
      <x:c r="F1432" s="13" t="n">
        <x:f>COUNTIFS('Stocking details'!$I$6:$I$3307,G1432)</x:f>
        <x:v>1</x:v>
      </x:c>
      <x:c r="G1432" s="8" t="str">
        <x:f>B1432&amp;" / "&amp;C1432&amp;" / "&amp;D1432</x:f>
        <x:v>5387 / 2024 / RAINBOW TROUT</x:v>
      </x:c>
    </x:row>
    <x:row r="1433" ht="23" customHeight="1">
      <x:c r="A1433" s="8" t="str">
        <x:v>Muir Lake</x:v>
      </x:c>
      <x:c r="B1433" s="8" t="str">
        <x:v>5387</x:v>
      </x:c>
      <x:c r="C1433" s="17" t="n">
        <x:v>2023</x:v>
      </x:c>
      <x:c r="D1433" s="8" t="str">
        <x:v>BROWN TROUT</x:v>
      </x:c>
      <x:c r="E1433" s="13" t="n">
        <x:f>SUMIFS('Stocking details'!$F$6:$F$3307,'Stocking details'!$I$6:$I$3307,G1433)</x:f>
        <x:v>500</x:v>
      </x:c>
      <x:c r="F1433" s="13" t="n">
        <x:f>COUNTIFS('Stocking details'!$I$6:$I$3307,G1433)</x:f>
        <x:v>1</x:v>
      </x:c>
      <x:c r="G1433" s="8" t="str">
        <x:f>B1433&amp;" / "&amp;C1433&amp;" / "&amp;D1433</x:f>
        <x:v>5387 / 2023 / BROWN TROUT</x:v>
      </x:c>
    </x:row>
    <x:row r="1434" ht="23" customHeight="1">
      <x:c r="A1434" s="8" t="str">
        <x:v>Muir Lake</x:v>
      </x:c>
      <x:c r="B1434" s="8" t="str">
        <x:v>5387</x:v>
      </x:c>
      <x:c r="C1434" s="17" t="n">
        <x:v>2023</x:v>
      </x:c>
      <x:c r="D1434" s="8" t="str">
        <x:v>RAINBOW TROUT</x:v>
      </x:c>
      <x:c r="E1434" s="13" t="n">
        <x:f>SUMIFS('Stocking details'!$F$6:$F$3307,'Stocking details'!$I$6:$I$3307,G1434)</x:f>
        <x:v>1506</x:v>
      </x:c>
      <x:c r="F1434" s="13" t="n">
        <x:f>COUNTIFS('Stocking details'!$I$6:$I$3307,G1434)</x:f>
        <x:v>1</x:v>
      </x:c>
      <x:c r="G1434" s="8" t="str">
        <x:f>B1434&amp;" / "&amp;C1434&amp;" / "&amp;D1434</x:f>
        <x:v>5387 / 2023 / RAINBOW TROUT</x:v>
      </x:c>
    </x:row>
    <x:row r="1435" ht="23" customHeight="1">
      <x:c r="A1435" s="8" t="str">
        <x:v>Muir Lake</x:v>
      </x:c>
      <x:c r="B1435" s="8" t="str">
        <x:v>5387</x:v>
      </x:c>
      <x:c r="C1435" s="17" t="n">
        <x:v>2022</x:v>
      </x:c>
      <x:c r="D1435" s="8" t="str">
        <x:v>BROWN TROUT</x:v>
      </x:c>
      <x:c r="E1435" s="13" t="n">
        <x:f>SUMIFS('Stocking details'!$F$6:$F$3307,'Stocking details'!$I$6:$I$3307,G1435)</x:f>
        <x:v>500</x:v>
      </x:c>
      <x:c r="F1435" s="13" t="n">
        <x:f>COUNTIFS('Stocking details'!$I$6:$I$3307,G1435)</x:f>
        <x:v>1</x:v>
      </x:c>
      <x:c r="G1435" s="8" t="str">
        <x:f>B1435&amp;" / "&amp;C1435&amp;" / "&amp;D1435</x:f>
        <x:v>5387 / 2022 / BROWN TROUT</x:v>
      </x:c>
    </x:row>
    <x:row r="1436" ht="23" customHeight="1">
      <x:c r="A1436" s="8" t="str">
        <x:v>Muir Lake</x:v>
      </x:c>
      <x:c r="B1436" s="8" t="str">
        <x:v>5387</x:v>
      </x:c>
      <x:c r="C1436" s="17" t="n">
        <x:v>2022</x:v>
      </x:c>
      <x:c r="D1436" s="8" t="str">
        <x:v>RAINBOW TROUT</x:v>
      </x:c>
      <x:c r="E1436" s="13" t="n">
        <x:f>SUMIFS('Stocking details'!$F$6:$F$3307,'Stocking details'!$I$6:$I$3307,G1436)</x:f>
        <x:v>4000</x:v>
      </x:c>
      <x:c r="F1436" s="13" t="n">
        <x:f>COUNTIFS('Stocking details'!$I$6:$I$3307,G1436)</x:f>
        <x:v>2</x:v>
      </x:c>
      <x:c r="G1436" s="8" t="str">
        <x:f>B1436&amp;" / "&amp;C1436&amp;" / "&amp;D1436</x:f>
        <x:v>5387 / 2022 / RAINBOW TROUT</x:v>
      </x:c>
    </x:row>
    <x:row r="1437" ht="23" customHeight="1">
      <x:c r="A1437" s="8" t="str">
        <x:v>Muir Lake</x:v>
      </x:c>
      <x:c r="B1437" s="8" t="str">
        <x:v>5387</x:v>
      </x:c>
      <x:c r="C1437" s="17" t="n">
        <x:v>2021</x:v>
      </x:c>
      <x:c r="D1437" s="8" t="str">
        <x:v>BROWN TROUT</x:v>
      </x:c>
      <x:c r="E1437" s="13" t="n">
        <x:f>SUMIFS('Stocking details'!$F$6:$F$3307,'Stocking details'!$I$6:$I$3307,G1437)</x:f>
        <x:v>800</x:v>
      </x:c>
      <x:c r="F1437" s="13" t="n">
        <x:f>COUNTIFS('Stocking details'!$I$6:$I$3307,G1437)</x:f>
        <x:v>2</x:v>
      </x:c>
      <x:c r="G1437" s="8" t="str">
        <x:f>B1437&amp;" / "&amp;C1437&amp;" / "&amp;D1437</x:f>
        <x:v>5387 / 2021 / BROWN TROUT</x:v>
      </x:c>
    </x:row>
    <x:row r="1438" ht="23" customHeight="1">
      <x:c r="A1438" s="8" t="str">
        <x:v>Muir Lake</x:v>
      </x:c>
      <x:c r="B1438" s="8" t="str">
        <x:v>5387</x:v>
      </x:c>
      <x:c r="C1438" s="17" t="n">
        <x:v>2021</x:v>
      </x:c>
      <x:c r="D1438" s="8" t="str">
        <x:v>RAINBOW TROUT</x:v>
      </x:c>
      <x:c r="E1438" s="13" t="n">
        <x:f>SUMIFS('Stocking details'!$F$6:$F$3307,'Stocking details'!$I$6:$I$3307,G1438)</x:f>
        <x:v>4100</x:v>
      </x:c>
      <x:c r="F1438" s="13" t="n">
        <x:f>COUNTIFS('Stocking details'!$I$6:$I$3307,G1438)</x:f>
        <x:v>3</x:v>
      </x:c>
      <x:c r="G1438" s="8" t="str">
        <x:f>B1438&amp;" / "&amp;C1438&amp;" / "&amp;D1438</x:f>
        <x:v>5387 / 2021 / RAINBOW TROUT</x:v>
      </x:c>
    </x:row>
    <x:row r="1439" ht="23" customHeight="1">
      <x:c r="A1439" s="8" t="str">
        <x:v>Muskiki Lake</x:v>
      </x:c>
      <x:c r="B1439" s="8" t="str">
        <x:v>5407</x:v>
      </x:c>
      <x:c r="C1439" s="17" t="n">
        <x:v>2026</x:v>
      </x:c>
      <x:c r="D1439" s="8" t="str">
        <x:v>WESTSLOPE CUTTHROAT TROUT</x:v>
      </x:c>
      <x:c r="E1439" s="13" t="n">
        <x:f>SUMIFS('Stocking details'!$F$6:$F$3307,'Stocking details'!$I$6:$I$3307,G1439)</x:f>
        <x:v>1589</x:v>
      </x:c>
      <x:c r="F1439" s="13" t="n">
        <x:f>COUNTIFS('Stocking details'!$I$6:$I$3307,G1439)</x:f>
        <x:v>2</x:v>
      </x:c>
      <x:c r="G1439" s="8" t="str">
        <x:f>B1439&amp;" / "&amp;C1439&amp;" / "&amp;D1439</x:f>
        <x:v>5407 / 2026 / WESTSLOPE CUTTHROAT TROUT</x:v>
      </x:c>
    </x:row>
    <x:row r="1440" ht="23" customHeight="1">
      <x:c r="A1440" s="8" t="str">
        <x:v>Muskiki Lake</x:v>
      </x:c>
      <x:c r="B1440" s="8" t="str">
        <x:v>5407</x:v>
      </x:c>
      <x:c r="C1440" s="17" t="n">
        <x:v>2025</x:v>
      </x:c>
      <x:c r="D1440" s="8" t="str">
        <x:v>CUTTHROAT TROUT</x:v>
      </x:c>
      <x:c r="E1440" s="13" t="n">
        <x:f>SUMIFS('Stocking details'!$F$6:$F$3307,'Stocking details'!$I$6:$I$3307,G1440)</x:f>
        <x:v>4500</x:v>
      </x:c>
      <x:c r="F1440" s="13" t="n">
        <x:f>COUNTIFS('Stocking details'!$I$6:$I$3307,G1440)</x:f>
        <x:v>2</x:v>
      </x:c>
      <x:c r="G1440" s="8" t="str">
        <x:f>B1440&amp;" / "&amp;C1440&amp;" / "&amp;D1440</x:f>
        <x:v>5407 / 2025 / CUTTHROAT TROUT</x:v>
      </x:c>
    </x:row>
    <x:row r="1441" ht="23" customHeight="1">
      <x:c r="A1441" s="8" t="str">
        <x:v>Muskiki Lake</x:v>
      </x:c>
      <x:c r="B1441" s="8" t="str">
        <x:v>5407</x:v>
      </x:c>
      <x:c r="C1441" s="17" t="n">
        <x:v>2023</x:v>
      </x:c>
      <x:c r="D1441" s="8" t="str">
        <x:v>CUTTHROAT TROUT</x:v>
      </x:c>
      <x:c r="E1441" s="13" t="n">
        <x:f>SUMIFS('Stocking details'!$F$6:$F$3307,'Stocking details'!$I$6:$I$3307,G1441)</x:f>
        <x:v>8000</x:v>
      </x:c>
      <x:c r="F1441" s="13" t="n">
        <x:f>COUNTIFS('Stocking details'!$I$6:$I$3307,G1441)</x:f>
        <x:v>2</x:v>
      </x:c>
      <x:c r="G1441" s="8" t="str">
        <x:f>B1441&amp;" / "&amp;C1441&amp;" / "&amp;D1441</x:f>
        <x:v>5407 / 2023 / CUTTHROAT TROUT</x:v>
      </x:c>
    </x:row>
    <x:row r="1442" ht="23" customHeight="1">
      <x:c r="A1442" s="8" t="str">
        <x:v>Muskiki Lake</x:v>
      </x:c>
      <x:c r="B1442" s="8" t="str">
        <x:v>5407</x:v>
      </x:c>
      <x:c r="C1442" s="17" t="n">
        <x:v>2022</x:v>
      </x:c>
      <x:c r="D1442" s="8" t="str">
        <x:v>CUTTHROAT TROUT</x:v>
      </x:c>
      <x:c r="E1442" s="13" t="n">
        <x:f>SUMIFS('Stocking details'!$F$6:$F$3307,'Stocking details'!$I$6:$I$3307,G1442)</x:f>
        <x:v>8166</x:v>
      </x:c>
      <x:c r="F1442" s="13" t="n">
        <x:f>COUNTIFS('Stocking details'!$I$6:$I$3307,G1442)</x:f>
        <x:v>2</x:v>
      </x:c>
      <x:c r="G1442" s="8" t="str">
        <x:f>B1442&amp;" / "&amp;C1442&amp;" / "&amp;D1442</x:f>
        <x:v>5407 / 2022 / CUTTHROAT TROUT</x:v>
      </x:c>
    </x:row>
    <x:row r="1443" ht="23" customHeight="1">
      <x:c r="A1443" s="8" t="str">
        <x:v>Muskoseepi Pond</x:v>
      </x:c>
      <x:c r="B1443" s="8" t="str">
        <x:v>6730</x:v>
      </x:c>
      <x:c r="C1443" s="17" t="n">
        <x:v>2026</x:v>
      </x:c>
      <x:c r="D1443" s="8" t="str">
        <x:v>RAINBOW TROUT</x:v>
      </x:c>
      <x:c r="E1443" s="13" t="n">
        <x:f>SUMIFS('Stocking details'!$F$6:$F$3307,'Stocking details'!$I$6:$I$3307,G1443)</x:f>
        <x:v>500</x:v>
      </x:c>
      <x:c r="F1443" s="13" t="n">
        <x:f>COUNTIFS('Stocking details'!$I$6:$I$3307,G1443)</x:f>
        <x:v>1</x:v>
      </x:c>
      <x:c r="G1443" s="8" t="str">
        <x:f>B1443&amp;" / "&amp;C1443&amp;" / "&amp;D1443</x:f>
        <x:v>6730 / 2026 / RAINBOW TROUT</x:v>
      </x:c>
    </x:row>
    <x:row r="1444" ht="23" customHeight="1">
      <x:c r="A1444" s="8" t="str">
        <x:v>Muskoseepi Pond</x:v>
      </x:c>
      <x:c r="B1444" s="8" t="str">
        <x:v>6730</x:v>
      </x:c>
      <x:c r="C1444" s="17" t="n">
        <x:v>2025</x:v>
      </x:c>
      <x:c r="D1444" s="8" t="str">
        <x:v>RAINBOW TROUT</x:v>
      </x:c>
      <x:c r="E1444" s="13" t="n">
        <x:f>SUMIFS('Stocking details'!$F$6:$F$3307,'Stocking details'!$I$6:$I$3307,G1444)</x:f>
        <x:v>500</x:v>
      </x:c>
      <x:c r="F1444" s="13" t="n">
        <x:f>COUNTIFS('Stocking details'!$I$6:$I$3307,G1444)</x:f>
        <x:v>1</x:v>
      </x:c>
      <x:c r="G1444" s="8" t="str">
        <x:f>B1444&amp;" / "&amp;C1444&amp;" / "&amp;D1444</x:f>
        <x:v>6730 / 2025 / RAINBOW TROUT</x:v>
      </x:c>
    </x:row>
    <x:row r="1445" ht="23" customHeight="1">
      <x:c r="A1445" s="8" t="str">
        <x:v>Muskoseepi Pond</x:v>
      </x:c>
      <x:c r="B1445" s="8" t="str">
        <x:v>6730</x:v>
      </x:c>
      <x:c r="C1445" s="17" t="n">
        <x:v>2024</x:v>
      </x:c>
      <x:c r="D1445" s="8" t="str">
        <x:v>RAINBOW TROUT</x:v>
      </x:c>
      <x:c r="E1445" s="13" t="n">
        <x:f>SUMIFS('Stocking details'!$F$6:$F$3307,'Stocking details'!$I$6:$I$3307,G1445)</x:f>
        <x:v>250</x:v>
      </x:c>
      <x:c r="F1445" s="13" t="n">
        <x:f>COUNTIFS('Stocking details'!$I$6:$I$3307,G1445)</x:f>
        <x:v>1</x:v>
      </x:c>
      <x:c r="G1445" s="8" t="str">
        <x:f>B1445&amp;" / "&amp;C1445&amp;" / "&amp;D1445</x:f>
        <x:v>6730 / 2024 / RAINBOW TROUT</x:v>
      </x:c>
    </x:row>
    <x:row r="1446" ht="23" customHeight="1">
      <x:c r="A1446" s="8" t="str">
        <x:v>Muskoseepi Pond</x:v>
      </x:c>
      <x:c r="B1446" s="8" t="str">
        <x:v>6730</x:v>
      </x:c>
      <x:c r="C1446" s="17" t="n">
        <x:v>2023</x:v>
      </x:c>
      <x:c r="D1446" s="8" t="str">
        <x:v>RAINBOW TROUT</x:v>
      </x:c>
      <x:c r="E1446" s="13" t="n">
        <x:f>SUMIFS('Stocking details'!$F$6:$F$3307,'Stocking details'!$I$6:$I$3307,G1446)</x:f>
        <x:v>251</x:v>
      </x:c>
      <x:c r="F1446" s="13" t="n">
        <x:f>COUNTIFS('Stocking details'!$I$6:$I$3307,G1446)</x:f>
        <x:v>1</x:v>
      </x:c>
      <x:c r="G1446" s="8" t="str">
        <x:f>B1446&amp;" / "&amp;C1446&amp;" / "&amp;D1446</x:f>
        <x:v>6730 / 2023 / RAINBOW TROUT</x:v>
      </x:c>
    </x:row>
    <x:row r="1447" ht="23" customHeight="1">
      <x:c r="A1447" s="8" t="str">
        <x:v>Muskoseepi Pond</x:v>
      </x:c>
      <x:c r="B1447" s="8" t="str">
        <x:v>6730</x:v>
      </x:c>
      <x:c r="C1447" s="17" t="n">
        <x:v>2022</x:v>
      </x:c>
      <x:c r="D1447" s="8" t="str">
        <x:v>RAINBOW TROUT</x:v>
      </x:c>
      <x:c r="E1447" s="13" t="n">
        <x:f>SUMIFS('Stocking details'!$F$6:$F$3307,'Stocking details'!$I$6:$I$3307,G1447)</x:f>
        <x:v>500</x:v>
      </x:c>
      <x:c r="F1447" s="13" t="n">
        <x:f>COUNTIFS('Stocking details'!$I$6:$I$3307,G1447)</x:f>
        <x:v>1</x:v>
      </x:c>
      <x:c r="G1447" s="8" t="str">
        <x:f>B1447&amp;" / "&amp;C1447&amp;" / "&amp;D1447</x:f>
        <x:v>6730 / 2022 / RAINBOW TROUT</x:v>
      </x:c>
    </x:row>
    <x:row r="1448" ht="23" customHeight="1">
      <x:c r="A1448" s="8" t="str">
        <x:v>Muskoseepi Pond</x:v>
      </x:c>
      <x:c r="B1448" s="8" t="str">
        <x:v>6730</x:v>
      </x:c>
      <x:c r="C1448" s="17" t="n">
        <x:v>2021</x:v>
      </x:c>
      <x:c r="D1448" s="8" t="str">
        <x:v>RAINBOW TROUT</x:v>
      </x:c>
      <x:c r="E1448" s="13" t="n">
        <x:f>SUMIFS('Stocking details'!$F$6:$F$3307,'Stocking details'!$I$6:$I$3307,G1448)</x:f>
        <x:v>1000</x:v>
      </x:c>
      <x:c r="F1448" s="13" t="n">
        <x:f>COUNTIFS('Stocking details'!$I$6:$I$3307,G1448)</x:f>
        <x:v>1</x:v>
      </x:c>
      <x:c r="G1448" s="8" t="str">
        <x:f>B1448&amp;" / "&amp;C1448&amp;" / "&amp;D1448</x:f>
        <x:v>6730 / 2021 / RAINBOW TROUT</x:v>
      </x:c>
    </x:row>
    <x:row r="1449" ht="23" customHeight="1">
      <x:c r="A1449" s="8" t="str">
        <x:v>Nardam Lake</x:v>
      </x:c>
      <x:c r="B1449" s="8" t="str">
        <x:v>6732</x:v>
      </x:c>
      <x:c r="C1449" s="17" t="n">
        <x:v>2026</x:v>
      </x:c>
      <x:c r="D1449" s="8" t="str">
        <x:v>RAINBOW TROUT</x:v>
      </x:c>
      <x:c r="E1449" s="13" t="n">
        <x:f>SUMIFS('Stocking details'!$F$6:$F$3307,'Stocking details'!$I$6:$I$3307,G1449)</x:f>
        <x:v>500</x:v>
      </x:c>
      <x:c r="F1449" s="13" t="n">
        <x:f>COUNTIFS('Stocking details'!$I$6:$I$3307,G1449)</x:f>
        <x:v>1</x:v>
      </x:c>
      <x:c r="G1449" s="8" t="str">
        <x:f>B1449&amp;" / "&amp;C1449&amp;" / "&amp;D1449</x:f>
        <x:v>6732 / 2026 / RAINBOW TROUT</x:v>
      </x:c>
    </x:row>
    <x:row r="1450" ht="23" customHeight="1">
      <x:c r="A1450" s="8" t="str">
        <x:v>Nardam Lake</x:v>
      </x:c>
      <x:c r="B1450" s="8" t="str">
        <x:v>6732</x:v>
      </x:c>
      <x:c r="C1450" s="17" t="n">
        <x:v>2025</x:v>
      </x:c>
      <x:c r="D1450" s="8" t="str">
        <x:v>RAINBOW TROUT</x:v>
      </x:c>
      <x:c r="E1450" s="13" t="n">
        <x:f>SUMIFS('Stocking details'!$F$6:$F$3307,'Stocking details'!$I$6:$I$3307,G1450)</x:f>
        <x:v>500</x:v>
      </x:c>
      <x:c r="F1450" s="13" t="n">
        <x:f>COUNTIFS('Stocking details'!$I$6:$I$3307,G1450)</x:f>
        <x:v>1</x:v>
      </x:c>
      <x:c r="G1450" s="8" t="str">
        <x:f>B1450&amp;" / "&amp;C1450&amp;" / "&amp;D1450</x:f>
        <x:v>6732 / 2025 / RAINBOW TROUT</x:v>
      </x:c>
    </x:row>
    <x:row r="1451" ht="23" customHeight="1">
      <x:c r="A1451" s="8" t="str">
        <x:v>Nardam Lake</x:v>
      </x:c>
      <x:c r="B1451" s="8" t="str">
        <x:v>6732</x:v>
      </x:c>
      <x:c r="C1451" s="17" t="n">
        <x:v>2024</x:v>
      </x:c>
      <x:c r="D1451" s="8" t="str">
        <x:v>RAINBOW TROUT</x:v>
      </x:c>
      <x:c r="E1451" s="13" t="n">
        <x:f>SUMIFS('Stocking details'!$F$6:$F$3307,'Stocking details'!$I$6:$I$3307,G1451)</x:f>
        <x:v>250</x:v>
      </x:c>
      <x:c r="F1451" s="13" t="n">
        <x:f>COUNTIFS('Stocking details'!$I$6:$I$3307,G1451)</x:f>
        <x:v>1</x:v>
      </x:c>
      <x:c r="G1451" s="8" t="str">
        <x:f>B1451&amp;" / "&amp;C1451&amp;" / "&amp;D1451</x:f>
        <x:v>6732 / 2024 / RAINBOW TROUT</x:v>
      </x:c>
    </x:row>
    <x:row r="1452" ht="23" customHeight="1">
      <x:c r="A1452" s="8" t="str">
        <x:v>Nardam Lake</x:v>
      </x:c>
      <x:c r="B1452" s="8" t="str">
        <x:v>6732</x:v>
      </x:c>
      <x:c r="C1452" s="17" t="n">
        <x:v>2023</x:v>
      </x:c>
      <x:c r="D1452" s="8" t="str">
        <x:v>BROWN TROUT</x:v>
      </x:c>
      <x:c r="E1452" s="13" t="n">
        <x:f>SUMIFS('Stocking details'!$F$6:$F$3307,'Stocking details'!$I$6:$I$3307,G1452)</x:f>
        <x:v>100</x:v>
      </x:c>
      <x:c r="F1452" s="13" t="n">
        <x:f>COUNTIFS('Stocking details'!$I$6:$I$3307,G1452)</x:f>
        <x:v>1</x:v>
      </x:c>
      <x:c r="G1452" s="8" t="str">
        <x:f>B1452&amp;" / "&amp;C1452&amp;" / "&amp;D1452</x:f>
        <x:v>6732 / 2023 / BROWN TROUT</x:v>
      </x:c>
    </x:row>
    <x:row r="1453" ht="23" customHeight="1">
      <x:c r="A1453" s="8" t="str">
        <x:v>Nardam Lake</x:v>
      </x:c>
      <x:c r="B1453" s="8" t="str">
        <x:v>6732</x:v>
      </x:c>
      <x:c r="C1453" s="17" t="n">
        <x:v>2023</x:v>
      </x:c>
      <x:c r="D1453" s="8" t="str">
        <x:v>RAINBOW TROUT</x:v>
      </x:c>
      <x:c r="E1453" s="13" t="n">
        <x:f>SUMIFS('Stocking details'!$F$6:$F$3307,'Stocking details'!$I$6:$I$3307,G1453)</x:f>
        <x:v>1676</x:v>
      </x:c>
      <x:c r="F1453" s="13" t="n">
        <x:f>COUNTIFS('Stocking details'!$I$6:$I$3307,G1453)</x:f>
        <x:v>2</x:v>
      </x:c>
      <x:c r="G1453" s="8" t="str">
        <x:f>B1453&amp;" / "&amp;C1453&amp;" / "&amp;D1453</x:f>
        <x:v>6732 / 2023 / RAINBOW TROUT</x:v>
      </x:c>
    </x:row>
    <x:row r="1454" ht="23" customHeight="1">
      <x:c r="A1454" s="8" t="str">
        <x:v>Nardam Lake</x:v>
      </x:c>
      <x:c r="B1454" s="8" t="str">
        <x:v>6732</x:v>
      </x:c>
      <x:c r="C1454" s="17" t="n">
        <x:v>2022</x:v>
      </x:c>
      <x:c r="D1454" s="8" t="str">
        <x:v>RAINBOW TROUT</x:v>
      </x:c>
      <x:c r="E1454" s="13" t="n">
        <x:f>SUMIFS('Stocking details'!$F$6:$F$3307,'Stocking details'!$I$6:$I$3307,G1454)</x:f>
        <x:v>500</x:v>
      </x:c>
      <x:c r="F1454" s="13" t="n">
        <x:f>COUNTIFS('Stocking details'!$I$6:$I$3307,G1454)</x:f>
        <x:v>1</x:v>
      </x:c>
      <x:c r="G1454" s="8" t="str">
        <x:f>B1454&amp;" / "&amp;C1454&amp;" / "&amp;D1454</x:f>
        <x:v>6732 / 2022 / RAINBOW TROUT</x:v>
      </x:c>
    </x:row>
    <x:row r="1455" ht="23" customHeight="1">
      <x:c r="A1455" s="8" t="str">
        <x:v>Nardam Lake</x:v>
      </x:c>
      <x:c r="B1455" s="8" t="str">
        <x:v>6732</x:v>
      </x:c>
      <x:c r="C1455" s="17" t="n">
        <x:v>2021</x:v>
      </x:c>
      <x:c r="D1455" s="8" t="str">
        <x:v>RAINBOW TROUT</x:v>
      </x:c>
      <x:c r="E1455" s="13" t="n">
        <x:f>SUMIFS('Stocking details'!$F$6:$F$3307,'Stocking details'!$I$6:$I$3307,G1455)</x:f>
        <x:v>500</x:v>
      </x:c>
      <x:c r="F1455" s="13" t="n">
        <x:f>COUNTIFS('Stocking details'!$I$6:$I$3307,G1455)</x:f>
        <x:v>1</x:v>
      </x:c>
      <x:c r="G1455" s="8" t="str">
        <x:f>B1455&amp;" / "&amp;C1455&amp;" / "&amp;D1455</x:f>
        <x:v>6732 / 2021 / RAINBOW TROUT</x:v>
      </x:c>
    </x:row>
    <x:row r="1456" ht="23" customHeight="1">
      <x:c r="A1456" s="8" t="str">
        <x:v>Nicholas Sheran Park Pond</x:v>
      </x:c>
      <x:c r="B1456" s="8" t="str">
        <x:v>6734</x:v>
      </x:c>
      <x:c r="C1456" s="17" t="n">
        <x:v>2026</x:v>
      </x:c>
      <x:c r="D1456" s="8" t="str">
        <x:v>BROOK TROUT</x:v>
      </x:c>
      <x:c r="E1456" s="13" t="n">
        <x:f>SUMIFS('Stocking details'!$F$6:$F$3307,'Stocking details'!$I$6:$I$3307,G1456)</x:f>
        <x:v>2130</x:v>
      </x:c>
      <x:c r="F1456" s="13" t="n">
        <x:f>COUNTIFS('Stocking details'!$I$6:$I$3307,G1456)</x:f>
        <x:v>2</x:v>
      </x:c>
      <x:c r="G1456" s="8" t="str">
        <x:f>B1456&amp;" / "&amp;C1456&amp;" / "&amp;D1456</x:f>
        <x:v>6734 / 2026 / BROOK TROUT</x:v>
      </x:c>
    </x:row>
    <x:row r="1457" ht="23" customHeight="1">
      <x:c r="A1457" s="8" t="str">
        <x:v>Nicholas Sheran Park Pond</x:v>
      </x:c>
      <x:c r="B1457" s="8" t="str">
        <x:v>6734</x:v>
      </x:c>
      <x:c r="C1457" s="17" t="n">
        <x:v>2026</x:v>
      </x:c>
      <x:c r="D1457" s="8" t="str">
        <x:v>BROWN TROUT</x:v>
      </x:c>
      <x:c r="E1457" s="13" t="n">
        <x:f>SUMIFS('Stocking details'!$F$6:$F$3307,'Stocking details'!$I$6:$I$3307,G1457)</x:f>
        <x:v>2050</x:v>
      </x:c>
      <x:c r="F1457" s="13" t="n">
        <x:f>COUNTIFS('Stocking details'!$I$6:$I$3307,G1457)</x:f>
        <x:v>2</x:v>
      </x:c>
      <x:c r="G1457" s="8" t="str">
        <x:f>B1457&amp;" / "&amp;C1457&amp;" / "&amp;D1457</x:f>
        <x:v>6734 / 2026 / BROWN TROUT</x:v>
      </x:c>
    </x:row>
    <x:row r="1458" ht="23" customHeight="1">
      <x:c r="A1458" s="8" t="str">
        <x:v>Nicholas Sheran Park Pond</x:v>
      </x:c>
      <x:c r="B1458" s="8" t="str">
        <x:v>6734</x:v>
      </x:c>
      <x:c r="C1458" s="17" t="n">
        <x:v>2026</x:v>
      </x:c>
      <x:c r="D1458" s="8" t="str">
        <x:v>RAINBOW TROUT</x:v>
      </x:c>
      <x:c r="E1458" s="13" t="n">
        <x:f>SUMIFS('Stocking details'!$F$6:$F$3307,'Stocking details'!$I$6:$I$3307,G1458)</x:f>
        <x:v>2000</x:v>
      </x:c>
      <x:c r="F1458" s="13" t="n">
        <x:f>COUNTIFS('Stocking details'!$I$6:$I$3307,G1458)</x:f>
        <x:v>1</x:v>
      </x:c>
      <x:c r="G1458" s="8" t="str">
        <x:f>B1458&amp;" / "&amp;C1458&amp;" / "&amp;D1458</x:f>
        <x:v>6734 / 2026 / RAINBOW TROUT</x:v>
      </x:c>
    </x:row>
    <x:row r="1459" ht="23" customHeight="1">
      <x:c r="A1459" s="8" t="str">
        <x:v>Nicholas Sheran Park Pond</x:v>
      </x:c>
      <x:c r="B1459" s="8" t="str">
        <x:v>6734</x:v>
      </x:c>
      <x:c r="C1459" s="17" t="n">
        <x:v>2025</x:v>
      </x:c>
      <x:c r="D1459" s="8" t="str">
        <x:v>BROOK TROUT</x:v>
      </x:c>
      <x:c r="E1459" s="13" t="n">
        <x:f>SUMIFS('Stocking details'!$F$6:$F$3307,'Stocking details'!$I$6:$I$3307,G1459)</x:f>
        <x:v>2500</x:v>
      </x:c>
      <x:c r="F1459" s="13" t="n">
        <x:f>COUNTIFS('Stocking details'!$I$6:$I$3307,G1459)</x:f>
        <x:v>3</x:v>
      </x:c>
      <x:c r="G1459" s="8" t="str">
        <x:f>B1459&amp;" / "&amp;C1459&amp;" / "&amp;D1459</x:f>
        <x:v>6734 / 2025 / BROOK TROUT</x:v>
      </x:c>
    </x:row>
    <x:row r="1460" ht="23" customHeight="1">
      <x:c r="A1460" s="8" t="str">
        <x:v>Nicholas Sheran Park Pond</x:v>
      </x:c>
      <x:c r="B1460" s="8" t="str">
        <x:v>6734</x:v>
      </x:c>
      <x:c r="C1460" s="17" t="n">
        <x:v>2025</x:v>
      </x:c>
      <x:c r="D1460" s="8" t="str">
        <x:v>BROWN TROUT</x:v>
      </x:c>
      <x:c r="E1460" s="13" t="n">
        <x:f>SUMIFS('Stocking details'!$F$6:$F$3307,'Stocking details'!$I$6:$I$3307,G1460)</x:f>
        <x:v>2000</x:v>
      </x:c>
      <x:c r="F1460" s="13" t="n">
        <x:f>COUNTIFS('Stocking details'!$I$6:$I$3307,G1460)</x:f>
        <x:v>1</x:v>
      </x:c>
      <x:c r="G1460" s="8" t="str">
        <x:f>B1460&amp;" / "&amp;C1460&amp;" / "&amp;D1460</x:f>
        <x:v>6734 / 2025 / BROWN TROUT</x:v>
      </x:c>
    </x:row>
    <x:row r="1461" ht="23" customHeight="1">
      <x:c r="A1461" s="8" t="str">
        <x:v>Nicholas Sheran Park Pond</x:v>
      </x:c>
      <x:c r="B1461" s="8" t="str">
        <x:v>6734</x:v>
      </x:c>
      <x:c r="C1461" s="17" t="n">
        <x:v>2025</x:v>
      </x:c>
      <x:c r="D1461" s="8" t="str">
        <x:v>RAINBOW TROUT</x:v>
      </x:c>
      <x:c r="E1461" s="13" t="n">
        <x:f>SUMIFS('Stocking details'!$F$6:$F$3307,'Stocking details'!$I$6:$I$3307,G1461)</x:f>
        <x:v>4500</x:v>
      </x:c>
      <x:c r="F1461" s="13" t="n">
        <x:f>COUNTIFS('Stocking details'!$I$6:$I$3307,G1461)</x:f>
        <x:v>3</x:v>
      </x:c>
      <x:c r="G1461" s="8" t="str">
        <x:f>B1461&amp;" / "&amp;C1461&amp;" / "&amp;D1461</x:f>
        <x:v>6734 / 2025 / RAINBOW TROUT</x:v>
      </x:c>
    </x:row>
    <x:row r="1462" ht="23" customHeight="1">
      <x:c r="A1462" s="8" t="str">
        <x:v>Nicholas Sheran Park Pond</x:v>
      </x:c>
      <x:c r="B1462" s="8" t="str">
        <x:v>6734</x:v>
      </x:c>
      <x:c r="C1462" s="17" t="n">
        <x:v>2024</x:v>
      </x:c>
      <x:c r="D1462" s="8" t="str">
        <x:v>BROOK TROUT</x:v>
      </x:c>
      <x:c r="E1462" s="13" t="n">
        <x:f>SUMIFS('Stocking details'!$F$6:$F$3307,'Stocking details'!$I$6:$I$3307,G1462)</x:f>
        <x:v>1268</x:v>
      </x:c>
      <x:c r="F1462" s="13" t="n">
        <x:f>COUNTIFS('Stocking details'!$I$6:$I$3307,G1462)</x:f>
        <x:v>2</x:v>
      </x:c>
      <x:c r="G1462" s="8" t="str">
        <x:f>B1462&amp;" / "&amp;C1462&amp;" / "&amp;D1462</x:f>
        <x:v>6734 / 2024 / BROOK TROUT</x:v>
      </x:c>
    </x:row>
    <x:row r="1463" ht="23" customHeight="1">
      <x:c r="A1463" s="8" t="str">
        <x:v>Nicholas Sheran Park Pond</x:v>
      </x:c>
      <x:c r="B1463" s="8" t="str">
        <x:v>6734</x:v>
      </x:c>
      <x:c r="C1463" s="17" t="n">
        <x:v>2024</x:v>
      </x:c>
      <x:c r="D1463" s="8" t="str">
        <x:v>BROWN TROUT</x:v>
      </x:c>
      <x:c r="E1463" s="13" t="n">
        <x:f>SUMIFS('Stocking details'!$F$6:$F$3307,'Stocking details'!$I$6:$I$3307,G1463)</x:f>
        <x:v>1000</x:v>
      </x:c>
      <x:c r="F1463" s="13" t="n">
        <x:f>COUNTIFS('Stocking details'!$I$6:$I$3307,G1463)</x:f>
        <x:v>1</x:v>
      </x:c>
      <x:c r="G1463" s="8" t="str">
        <x:f>B1463&amp;" / "&amp;C1463&amp;" / "&amp;D1463</x:f>
        <x:v>6734 / 2024 / BROWN TROUT</x:v>
      </x:c>
    </x:row>
    <x:row r="1464" ht="23" customHeight="1">
      <x:c r="A1464" s="8" t="str">
        <x:v>Nicholas Sheran Park Pond</x:v>
      </x:c>
      <x:c r="B1464" s="8" t="str">
        <x:v>6734</x:v>
      </x:c>
      <x:c r="C1464" s="17" t="n">
        <x:v>2024</x:v>
      </x:c>
      <x:c r="D1464" s="8" t="str">
        <x:v>RAINBOW TROUT</x:v>
      </x:c>
      <x:c r="E1464" s="13" t="n">
        <x:f>SUMIFS('Stocking details'!$F$6:$F$3307,'Stocking details'!$I$6:$I$3307,G1464)</x:f>
        <x:v>1050</x:v>
      </x:c>
      <x:c r="F1464" s="13" t="n">
        <x:f>COUNTIFS('Stocking details'!$I$6:$I$3307,G1464)</x:f>
        <x:v>2</x:v>
      </x:c>
      <x:c r="G1464" s="8" t="str">
        <x:f>B1464&amp;" / "&amp;C1464&amp;" / "&amp;D1464</x:f>
        <x:v>6734 / 2024 / RAINBOW TROUT</x:v>
      </x:c>
    </x:row>
    <x:row r="1465" ht="23" customHeight="1">
      <x:c r="A1465" s="8" t="str">
        <x:v>Nicholas Sheran Park Pond</x:v>
      </x:c>
      <x:c r="B1465" s="8" t="str">
        <x:v>6734</x:v>
      </x:c>
      <x:c r="C1465" s="17" t="n">
        <x:v>2023</x:v>
      </x:c>
      <x:c r="D1465" s="8" t="str">
        <x:v>BROOK TROUT</x:v>
      </x:c>
      <x:c r="E1465" s="13" t="n">
        <x:f>SUMIFS('Stocking details'!$F$6:$F$3307,'Stocking details'!$I$6:$I$3307,G1465)</x:f>
        <x:v>1471</x:v>
      </x:c>
      <x:c r="F1465" s="13" t="n">
        <x:f>COUNTIFS('Stocking details'!$I$6:$I$3307,G1465)</x:f>
        <x:v>3</x:v>
      </x:c>
      <x:c r="G1465" s="8" t="str">
        <x:f>B1465&amp;" / "&amp;C1465&amp;" / "&amp;D1465</x:f>
        <x:v>6734 / 2023 / BROOK TROUT</x:v>
      </x:c>
    </x:row>
    <x:row r="1466" ht="23" customHeight="1">
      <x:c r="A1466" s="8" t="str">
        <x:v>Nicholas Sheran Park Pond</x:v>
      </x:c>
      <x:c r="B1466" s="8" t="str">
        <x:v>6734</x:v>
      </x:c>
      <x:c r="C1466" s="17" t="n">
        <x:v>2023</x:v>
      </x:c>
      <x:c r="D1466" s="8" t="str">
        <x:v>BROWN TROUT</x:v>
      </x:c>
      <x:c r="E1466" s="13" t="n">
        <x:f>SUMIFS('Stocking details'!$F$6:$F$3307,'Stocking details'!$I$6:$I$3307,G1466)</x:f>
        <x:v>1000</x:v>
      </x:c>
      <x:c r="F1466" s="13" t="n">
        <x:f>COUNTIFS('Stocking details'!$I$6:$I$3307,G1466)</x:f>
        <x:v>1</x:v>
      </x:c>
      <x:c r="G1466" s="8" t="str">
        <x:f>B1466&amp;" / "&amp;C1466&amp;" / "&amp;D1466</x:f>
        <x:v>6734 / 2023 / BROWN TROUT</x:v>
      </x:c>
    </x:row>
    <x:row r="1467" ht="23" customHeight="1">
      <x:c r="A1467" s="8" t="str">
        <x:v>Nicholas Sheran Park Pond</x:v>
      </x:c>
      <x:c r="B1467" s="8" t="str">
        <x:v>6734</x:v>
      </x:c>
      <x:c r="C1467" s="17" t="n">
        <x:v>2023</x:v>
      </x:c>
      <x:c r="D1467" s="8" t="str">
        <x:v>RAINBOW TROUT</x:v>
      </x:c>
      <x:c r="E1467" s="13" t="n">
        <x:f>SUMIFS('Stocking details'!$F$6:$F$3307,'Stocking details'!$I$6:$I$3307,G1467)</x:f>
        <x:v>798</x:v>
      </x:c>
      <x:c r="F1467" s="13" t="n">
        <x:f>COUNTIFS('Stocking details'!$I$6:$I$3307,G1467)</x:f>
        <x:v>1</x:v>
      </x:c>
      <x:c r="G1467" s="8" t="str">
        <x:f>B1467&amp;" / "&amp;C1467&amp;" / "&amp;D1467</x:f>
        <x:v>6734 / 2023 / RAINBOW TROUT</x:v>
      </x:c>
    </x:row>
    <x:row r="1468" ht="23" customHeight="1">
      <x:c r="A1468" s="8" t="str">
        <x:v>Nicholas Sheran Park Pond</x:v>
      </x:c>
      <x:c r="B1468" s="8" t="str">
        <x:v>6734</x:v>
      </x:c>
      <x:c r="C1468" s="17" t="n">
        <x:v>2022</x:v>
      </x:c>
      <x:c r="D1468" s="8" t="str">
        <x:v>BROOK TROUT</x:v>
      </x:c>
      <x:c r="E1468" s="13" t="n">
        <x:f>SUMIFS('Stocking details'!$F$6:$F$3307,'Stocking details'!$I$6:$I$3307,G1468)</x:f>
        <x:v>2375</x:v>
      </x:c>
      <x:c r="F1468" s="13" t="n">
        <x:f>COUNTIFS('Stocking details'!$I$6:$I$3307,G1468)</x:f>
        <x:v>3</x:v>
      </x:c>
      <x:c r="G1468" s="8" t="str">
        <x:f>B1468&amp;" / "&amp;C1468&amp;" / "&amp;D1468</x:f>
        <x:v>6734 / 2022 / BROOK TROUT</x:v>
      </x:c>
    </x:row>
    <x:row r="1469" ht="23" customHeight="1">
      <x:c r="A1469" s="8" t="str">
        <x:v>Nicholas Sheran Park Pond</x:v>
      </x:c>
      <x:c r="B1469" s="8" t="str">
        <x:v>6734</x:v>
      </x:c>
      <x:c r="C1469" s="17" t="n">
        <x:v>2022</x:v>
      </x:c>
      <x:c r="D1469" s="8" t="str">
        <x:v>BROWN TROUT</x:v>
      </x:c>
      <x:c r="E1469" s="13" t="n">
        <x:f>SUMIFS('Stocking details'!$F$6:$F$3307,'Stocking details'!$I$6:$I$3307,G1469)</x:f>
        <x:v>2000</x:v>
      </x:c>
      <x:c r="F1469" s="13" t="n">
        <x:f>COUNTIFS('Stocking details'!$I$6:$I$3307,G1469)</x:f>
        <x:v>1</x:v>
      </x:c>
      <x:c r="G1469" s="8" t="str">
        <x:f>B1469&amp;" / "&amp;C1469&amp;" / "&amp;D1469</x:f>
        <x:v>6734 / 2022 / BROWN TROUT</x:v>
      </x:c>
    </x:row>
    <x:row r="1470" ht="23" customHeight="1">
      <x:c r="A1470" s="8" t="str">
        <x:v>Nicholas Sheran Park Pond</x:v>
      </x:c>
      <x:c r="B1470" s="8" t="str">
        <x:v>6734</x:v>
      </x:c>
      <x:c r="C1470" s="17" t="n">
        <x:v>2022</x:v>
      </x:c>
      <x:c r="D1470" s="8" t="str">
        <x:v>RAINBOW TROUT</x:v>
      </x:c>
      <x:c r="E1470" s="13" t="n">
        <x:f>SUMIFS('Stocking details'!$F$6:$F$3307,'Stocking details'!$I$6:$I$3307,G1470)</x:f>
        <x:v>2000</x:v>
      </x:c>
      <x:c r="F1470" s="13" t="n">
        <x:f>COUNTIFS('Stocking details'!$I$6:$I$3307,G1470)</x:f>
        <x:v>1</x:v>
      </x:c>
      <x:c r="G1470" s="8" t="str">
        <x:f>B1470&amp;" / "&amp;C1470&amp;" / "&amp;D1470</x:f>
        <x:v>6734 / 2022 / RAINBOW TROUT</x:v>
      </x:c>
    </x:row>
    <x:row r="1471" ht="23" customHeight="1">
      <x:c r="A1471" s="8" t="str">
        <x:v>Nicholas Sheran Park Pond</x:v>
      </x:c>
      <x:c r="B1471" s="8" t="str">
        <x:v>6734</x:v>
      </x:c>
      <x:c r="C1471" s="17" t="n">
        <x:v>2021</x:v>
      </x:c>
      <x:c r="D1471" s="8" t="str">
        <x:v>BROOK TROUT</x:v>
      </x:c>
      <x:c r="E1471" s="13" t="n">
        <x:f>SUMIFS('Stocking details'!$F$6:$F$3307,'Stocking details'!$I$6:$I$3307,G1471)</x:f>
        <x:v>295</x:v>
      </x:c>
      <x:c r="F1471" s="13" t="n">
        <x:f>COUNTIFS('Stocking details'!$I$6:$I$3307,G1471)</x:f>
        <x:v>1</x:v>
      </x:c>
      <x:c r="G1471" s="8" t="str">
        <x:f>B1471&amp;" / "&amp;C1471&amp;" / "&amp;D1471</x:f>
        <x:v>6734 / 2021 / BROOK TROUT</x:v>
      </x:c>
    </x:row>
    <x:row r="1472" ht="23" customHeight="1">
      <x:c r="A1472" s="8" t="str">
        <x:v>Nicholas Sheran Park Pond</x:v>
      </x:c>
      <x:c r="B1472" s="8" t="str">
        <x:v>6734</x:v>
      </x:c>
      <x:c r="C1472" s="17" t="n">
        <x:v>2021</x:v>
      </x:c>
      <x:c r="D1472" s="8" t="str">
        <x:v>BROWN TROUT</x:v>
      </x:c>
      <x:c r="E1472" s="13" t="n">
        <x:f>SUMIFS('Stocking details'!$F$6:$F$3307,'Stocking details'!$I$6:$I$3307,G1472)</x:f>
        <x:v>2000</x:v>
      </x:c>
      <x:c r="F1472" s="13" t="n">
        <x:f>COUNTIFS('Stocking details'!$I$6:$I$3307,G1472)</x:f>
        <x:v>1</x:v>
      </x:c>
      <x:c r="G1472" s="8" t="str">
        <x:f>B1472&amp;" / "&amp;C1472&amp;" / "&amp;D1472</x:f>
        <x:v>6734 / 2021 / BROWN TROUT</x:v>
      </x:c>
    </x:row>
    <x:row r="1473" ht="23" customHeight="1">
      <x:c r="A1473" s="8" t="str">
        <x:v>Nicholas Sheran Park Pond</x:v>
      </x:c>
      <x:c r="B1473" s="8" t="str">
        <x:v>6734</x:v>
      </x:c>
      <x:c r="C1473" s="17" t="n">
        <x:v>2021</x:v>
      </x:c>
      <x:c r="D1473" s="8" t="str">
        <x:v>RAINBOW TROUT</x:v>
      </x:c>
      <x:c r="E1473" s="13" t="n">
        <x:f>SUMIFS('Stocking details'!$F$6:$F$3307,'Stocking details'!$I$6:$I$3307,G1473)</x:f>
        <x:v>2000</x:v>
      </x:c>
      <x:c r="F1473" s="13" t="n">
        <x:f>COUNTIFS('Stocking details'!$I$6:$I$3307,G1473)</x:f>
        <x:v>1</x:v>
      </x:c>
      <x:c r="G1473" s="8" t="str">
        <x:f>B1473&amp;" / "&amp;C1473&amp;" / "&amp;D1473</x:f>
        <x:v>6734 / 2021 / RAINBOW TROUT</x:v>
      </x:c>
    </x:row>
    <x:row r="1474" ht="23" customHeight="1">
      <x:c r="A1474" s="8" t="str">
        <x:v>Niton Lake</x:v>
      </x:c>
      <x:c r="B1474" s="8" t="str">
        <x:v>6647</x:v>
      </x:c>
      <x:c r="C1474" s="17" t="n">
        <x:v>2026</x:v>
      </x:c>
      <x:c r="D1474" s="8" t="str">
        <x:v>RAINBOW TROUT</x:v>
      </x:c>
      <x:c r="E1474" s="13" t="n">
        <x:f>SUMIFS('Stocking details'!$F$6:$F$3307,'Stocking details'!$I$6:$I$3307,G1474)</x:f>
        <x:v>1500</x:v>
      </x:c>
      <x:c r="F1474" s="13" t="n">
        <x:f>COUNTIFS('Stocking details'!$I$6:$I$3307,G1474)</x:f>
        <x:v>1</x:v>
      </x:c>
      <x:c r="G1474" s="8" t="str">
        <x:f>B1474&amp;" / "&amp;C1474&amp;" / "&amp;D1474</x:f>
        <x:v>6647 / 2026 / RAINBOW TROUT</x:v>
      </x:c>
    </x:row>
    <x:row r="1475" ht="23" customHeight="1">
      <x:c r="A1475" s="8" t="str">
        <x:v>Niton Lake</x:v>
      </x:c>
      <x:c r="B1475" s="8" t="str">
        <x:v>6647</x:v>
      </x:c>
      <x:c r="C1475" s="17" t="n">
        <x:v>2025</x:v>
      </x:c>
      <x:c r="D1475" s="8" t="str">
        <x:v>RAINBOW TROUT</x:v>
      </x:c>
      <x:c r="E1475" s="13" t="n">
        <x:f>SUMIFS('Stocking details'!$F$6:$F$3307,'Stocking details'!$I$6:$I$3307,G1475)</x:f>
        <x:v>1500</x:v>
      </x:c>
      <x:c r="F1475" s="13" t="n">
        <x:f>COUNTIFS('Stocking details'!$I$6:$I$3307,G1475)</x:f>
        <x:v>1</x:v>
      </x:c>
      <x:c r="G1475" s="8" t="str">
        <x:f>B1475&amp;" / "&amp;C1475&amp;" / "&amp;D1475</x:f>
        <x:v>6647 / 2025 / RAINBOW TROUT</x:v>
      </x:c>
    </x:row>
    <x:row r="1476" ht="23" customHeight="1">
      <x:c r="A1476" s="8" t="str">
        <x:v>Niton Lake</x:v>
      </x:c>
      <x:c r="B1476" s="8" t="str">
        <x:v>6647</x:v>
      </x:c>
      <x:c r="C1476" s="17" t="n">
        <x:v>2024</x:v>
      </x:c>
      <x:c r="D1476" s="8" t="str">
        <x:v>RAINBOW TROUT</x:v>
      </x:c>
      <x:c r="E1476" s="13" t="n">
        <x:f>SUMIFS('Stocking details'!$F$6:$F$3307,'Stocking details'!$I$6:$I$3307,G1476)</x:f>
        <x:v>753</x:v>
      </x:c>
      <x:c r="F1476" s="13" t="n">
        <x:f>COUNTIFS('Stocking details'!$I$6:$I$3307,G1476)</x:f>
        <x:v>1</x:v>
      </x:c>
      <x:c r="G1476" s="8" t="str">
        <x:f>B1476&amp;" / "&amp;C1476&amp;" / "&amp;D1476</x:f>
        <x:v>6647 / 2024 / RAINBOW TROUT</x:v>
      </x:c>
    </x:row>
    <x:row r="1477" ht="23" customHeight="1">
      <x:c r="A1477" s="8" t="str">
        <x:v>Niton Lake</x:v>
      </x:c>
      <x:c r="B1477" s="8" t="str">
        <x:v>6647</x:v>
      </x:c>
      <x:c r="C1477" s="17" t="n">
        <x:v>2023</x:v>
      </x:c>
      <x:c r="D1477" s="8" t="str">
        <x:v>RAINBOW TROUT</x:v>
      </x:c>
      <x:c r="E1477" s="13" t="n">
        <x:f>SUMIFS('Stocking details'!$F$6:$F$3307,'Stocking details'!$I$6:$I$3307,G1477)</x:f>
        <x:v>753</x:v>
      </x:c>
      <x:c r="F1477" s="13" t="n">
        <x:f>COUNTIFS('Stocking details'!$I$6:$I$3307,G1477)</x:f>
        <x:v>1</x:v>
      </x:c>
      <x:c r="G1477" s="8" t="str">
        <x:f>B1477&amp;" / "&amp;C1477&amp;" / "&amp;D1477</x:f>
        <x:v>6647 / 2023 / RAINBOW TROUT</x:v>
      </x:c>
    </x:row>
    <x:row r="1478" ht="23" customHeight="1">
      <x:c r="A1478" s="8" t="str">
        <x:v>Niton Lake</x:v>
      </x:c>
      <x:c r="B1478" s="8" t="str">
        <x:v>6647</x:v>
      </x:c>
      <x:c r="C1478" s="17" t="n">
        <x:v>2022</x:v>
      </x:c>
      <x:c r="D1478" s="8" t="str">
        <x:v>RAINBOW TROUT</x:v>
      </x:c>
      <x:c r="E1478" s="13" t="n">
        <x:f>SUMIFS('Stocking details'!$F$6:$F$3307,'Stocking details'!$I$6:$I$3307,G1478)</x:f>
        <x:v>1500</x:v>
      </x:c>
      <x:c r="F1478" s="13" t="n">
        <x:f>COUNTIFS('Stocking details'!$I$6:$I$3307,G1478)</x:f>
        <x:v>1</x:v>
      </x:c>
      <x:c r="G1478" s="8" t="str">
        <x:f>B1478&amp;" / "&amp;C1478&amp;" / "&amp;D1478</x:f>
        <x:v>6647 / 2022 / RAINBOW TROUT</x:v>
      </x:c>
    </x:row>
    <x:row r="1479" ht="23" customHeight="1">
      <x:c r="A1479" s="8" t="str">
        <x:v>Niton Lake</x:v>
      </x:c>
      <x:c r="B1479" s="8" t="str">
        <x:v>6647</x:v>
      </x:c>
      <x:c r="C1479" s="17" t="n">
        <x:v>2021</x:v>
      </x:c>
      <x:c r="D1479" s="8" t="str">
        <x:v>RAINBOW TROUT</x:v>
      </x:c>
      <x:c r="E1479" s="13" t="n">
        <x:f>SUMIFS('Stocking details'!$F$6:$F$3307,'Stocking details'!$I$6:$I$3307,G1479)</x:f>
        <x:v>1500</x:v>
      </x:c>
      <x:c r="F1479" s="13" t="n">
        <x:f>COUNTIFS('Stocking details'!$I$6:$I$3307,G1479)</x:f>
        <x:v>1</x:v>
      </x:c>
      <x:c r="G1479" s="8" t="str">
        <x:f>B1479&amp;" / "&amp;C1479&amp;" / "&amp;D1479</x:f>
        <x:v>6647 / 2021 / RAINBOW TROUT</x:v>
      </x:c>
    </x:row>
    <x:row r="1480" ht="23" customHeight="1">
      <x:c r="A1480" s="8" t="str">
        <x:v>Nordegg Borrow Pit (East)</x:v>
      </x:c>
      <x:c r="B1480" s="8" t="str">
        <x:v>6914</x:v>
      </x:c>
      <x:c r="C1480" s="17" t="n">
        <x:v>2026</x:v>
      </x:c>
      <x:c r="D1480" s="8" t="str">
        <x:v>RAINBOW TROUT</x:v>
      </x:c>
      <x:c r="E1480" s="13" t="n">
        <x:f>SUMIFS('Stocking details'!$F$6:$F$3307,'Stocking details'!$I$6:$I$3307,G1480)</x:f>
        <x:v>300</x:v>
      </x:c>
      <x:c r="F1480" s="13" t="n">
        <x:f>COUNTIFS('Stocking details'!$I$6:$I$3307,G1480)</x:f>
        <x:v>1</x:v>
      </x:c>
      <x:c r="G1480" s="8" t="str">
        <x:f>B1480&amp;" / "&amp;C1480&amp;" / "&amp;D1480</x:f>
        <x:v>6914 / 2026 / RAINBOW TROUT</x:v>
      </x:c>
    </x:row>
    <x:row r="1481" ht="23" customHeight="1">
      <x:c r="A1481" s="8" t="str">
        <x:v>Nordegg Borrow Pit (East)</x:v>
      </x:c>
      <x:c r="B1481" s="8" t="str">
        <x:v>6914</x:v>
      </x:c>
      <x:c r="C1481" s="17" t="n">
        <x:v>2025</x:v>
      </x:c>
      <x:c r="D1481" s="8" t="str">
        <x:v>RAINBOW TROUT</x:v>
      </x:c>
      <x:c r="E1481" s="13" t="n">
        <x:f>SUMIFS('Stocking details'!$F$6:$F$3307,'Stocking details'!$I$6:$I$3307,G1481)</x:f>
        <x:v>300</x:v>
      </x:c>
      <x:c r="F1481" s="13" t="n">
        <x:f>COUNTIFS('Stocking details'!$I$6:$I$3307,G1481)</x:f>
        <x:v>1</x:v>
      </x:c>
      <x:c r="G1481" s="8" t="str">
        <x:f>B1481&amp;" / "&amp;C1481&amp;" / "&amp;D1481</x:f>
        <x:v>6914 / 2025 / RAINBOW TROUT</x:v>
      </x:c>
    </x:row>
    <x:row r="1482" ht="23" customHeight="1">
      <x:c r="A1482" s="8" t="str">
        <x:v>Nordegg Borrow Pit (East)</x:v>
      </x:c>
      <x:c r="B1482" s="8" t="str">
        <x:v>6914</x:v>
      </x:c>
      <x:c r="C1482" s="17" t="n">
        <x:v>2024</x:v>
      </x:c>
      <x:c r="D1482" s="8" t="str">
        <x:v>RAINBOW TROUT</x:v>
      </x:c>
      <x:c r="E1482" s="13" t="n">
        <x:f>SUMIFS('Stocking details'!$F$6:$F$3307,'Stocking details'!$I$6:$I$3307,G1482)</x:f>
        <x:v>171</x:v>
      </x:c>
      <x:c r="F1482" s="13" t="n">
        <x:f>COUNTIFS('Stocking details'!$I$6:$I$3307,G1482)</x:f>
        <x:v>2</x:v>
      </x:c>
      <x:c r="G1482" s="8" t="str">
        <x:f>B1482&amp;" / "&amp;C1482&amp;" / "&amp;D1482</x:f>
        <x:v>6914 / 2024 / RAINBOW TROUT</x:v>
      </x:c>
    </x:row>
    <x:row r="1483" ht="23" customHeight="1">
      <x:c r="A1483" s="8" t="str">
        <x:v>Nordegg Borrow Pit (East)</x:v>
      </x:c>
      <x:c r="B1483" s="8" t="str">
        <x:v>6914</x:v>
      </x:c>
      <x:c r="C1483" s="17" t="n">
        <x:v>2023</x:v>
      </x:c>
      <x:c r="D1483" s="8" t="str">
        <x:v>RAINBOW TROUT</x:v>
      </x:c>
      <x:c r="E1483" s="13" t="n">
        <x:f>SUMIFS('Stocking details'!$F$6:$F$3307,'Stocking details'!$I$6:$I$3307,G1483)</x:f>
        <x:v>151</x:v>
      </x:c>
      <x:c r="F1483" s="13" t="n">
        <x:f>COUNTIFS('Stocking details'!$I$6:$I$3307,G1483)</x:f>
        <x:v>1</x:v>
      </x:c>
      <x:c r="G1483" s="8" t="str">
        <x:f>B1483&amp;" / "&amp;C1483&amp;" / "&amp;D1483</x:f>
        <x:v>6914 / 2023 / RAINBOW TROUT</x:v>
      </x:c>
    </x:row>
    <x:row r="1484" ht="23" customHeight="1">
      <x:c r="A1484" s="8" t="str">
        <x:v>Nordegg Borrow Pit (East)</x:v>
      </x:c>
      <x:c r="B1484" s="8" t="str">
        <x:v>6914</x:v>
      </x:c>
      <x:c r="C1484" s="17" t="n">
        <x:v>2022</x:v>
      </x:c>
      <x:c r="D1484" s="8" t="str">
        <x:v>RAINBOW TROUT</x:v>
      </x:c>
      <x:c r="E1484" s="13" t="n">
        <x:f>SUMIFS('Stocking details'!$F$6:$F$3307,'Stocking details'!$I$6:$I$3307,G1484)</x:f>
        <x:v>300</x:v>
      </x:c>
      <x:c r="F1484" s="13" t="n">
        <x:f>COUNTIFS('Stocking details'!$I$6:$I$3307,G1484)</x:f>
        <x:v>1</x:v>
      </x:c>
      <x:c r="G1484" s="8" t="str">
        <x:f>B1484&amp;" / "&amp;C1484&amp;" / "&amp;D1484</x:f>
        <x:v>6914 / 2022 / RAINBOW TROUT</x:v>
      </x:c>
    </x:row>
    <x:row r="1485" ht="23" customHeight="1">
      <x:c r="A1485" s="8" t="str">
        <x:v>Nordegg Borrow Pit (East)</x:v>
      </x:c>
      <x:c r="B1485" s="8" t="str">
        <x:v>6914</x:v>
      </x:c>
      <x:c r="C1485" s="17" t="n">
        <x:v>2021</x:v>
      </x:c>
      <x:c r="D1485" s="8" t="str">
        <x:v>RAINBOW TROUT</x:v>
      </x:c>
      <x:c r="E1485" s="13" t="n">
        <x:f>SUMIFS('Stocking details'!$F$6:$F$3307,'Stocking details'!$I$6:$I$3307,G1485)</x:f>
        <x:v>305</x:v>
      </x:c>
      <x:c r="F1485" s="13" t="n">
        <x:f>COUNTIFS('Stocking details'!$I$6:$I$3307,G1485)</x:f>
        <x:v>2</x:v>
      </x:c>
      <x:c r="G1485" s="8" t="str">
        <x:f>B1485&amp;" / "&amp;C1485&amp;" / "&amp;D1485</x:f>
        <x:v>6914 / 2021 / RAINBOW TROUT</x:v>
      </x:c>
    </x:row>
    <x:row r="1486" ht="23" customHeight="1">
      <x:c r="A1486" s="8" t="str">
        <x:v>Nordegg Borrow Pit (West)</x:v>
      </x:c>
      <x:c r="B1486" s="8" t="str">
        <x:v>6915</x:v>
      </x:c>
      <x:c r="C1486" s="17" t="n">
        <x:v>2026</x:v>
      </x:c>
      <x:c r="D1486" s="8" t="str">
        <x:v>RAINBOW TROUT</x:v>
      </x:c>
      <x:c r="E1486" s="13" t="n">
        <x:f>SUMIFS('Stocking details'!$F$6:$F$3307,'Stocking details'!$I$6:$I$3307,G1486)</x:f>
        <x:v>400</x:v>
      </x:c>
      <x:c r="F1486" s="13" t="n">
        <x:f>COUNTIFS('Stocking details'!$I$6:$I$3307,G1486)</x:f>
        <x:v>1</x:v>
      </x:c>
      <x:c r="G1486" s="8" t="str">
        <x:f>B1486&amp;" / "&amp;C1486&amp;" / "&amp;D1486</x:f>
        <x:v>6915 / 2026 / RAINBOW TROUT</x:v>
      </x:c>
    </x:row>
    <x:row r="1487" ht="23" customHeight="1">
      <x:c r="A1487" s="8" t="str">
        <x:v>Nordegg Borrow Pit (West)</x:v>
      </x:c>
      <x:c r="B1487" s="8" t="str">
        <x:v>6915</x:v>
      </x:c>
      <x:c r="C1487" s="17" t="n">
        <x:v>2025</x:v>
      </x:c>
      <x:c r="D1487" s="8" t="str">
        <x:v>RAINBOW TROUT</x:v>
      </x:c>
      <x:c r="E1487" s="13" t="n">
        <x:f>SUMIFS('Stocking details'!$F$6:$F$3307,'Stocking details'!$I$6:$I$3307,G1487)</x:f>
        <x:v>400</x:v>
      </x:c>
      <x:c r="F1487" s="13" t="n">
        <x:f>COUNTIFS('Stocking details'!$I$6:$I$3307,G1487)</x:f>
        <x:v>1</x:v>
      </x:c>
      <x:c r="G1487" s="8" t="str">
        <x:f>B1487&amp;" / "&amp;C1487&amp;" / "&amp;D1487</x:f>
        <x:v>6915 / 2025 / RAINBOW TROUT</x:v>
      </x:c>
    </x:row>
    <x:row r="1488" ht="23" customHeight="1">
      <x:c r="A1488" s="8" t="str">
        <x:v>Nordegg Borrow Pit (West)</x:v>
      </x:c>
      <x:c r="B1488" s="8" t="str">
        <x:v>6915</x:v>
      </x:c>
      <x:c r="C1488" s="17" t="n">
        <x:v>2024</x:v>
      </x:c>
      <x:c r="D1488" s="8" t="str">
        <x:v>RAINBOW TROUT</x:v>
      </x:c>
      <x:c r="E1488" s="13" t="n">
        <x:f>SUMIFS('Stocking details'!$F$6:$F$3307,'Stocking details'!$I$6:$I$3307,G1488)</x:f>
        <x:v>221</x:v>
      </x:c>
      <x:c r="F1488" s="13" t="n">
        <x:f>COUNTIFS('Stocking details'!$I$6:$I$3307,G1488)</x:f>
        <x:v>2</x:v>
      </x:c>
      <x:c r="G1488" s="8" t="str">
        <x:f>B1488&amp;" / "&amp;C1488&amp;" / "&amp;D1488</x:f>
        <x:v>6915 / 2024 / RAINBOW TROUT</x:v>
      </x:c>
    </x:row>
    <x:row r="1489" ht="23" customHeight="1">
      <x:c r="A1489" s="8" t="str">
        <x:v>Nordegg Borrow Pit (West)</x:v>
      </x:c>
      <x:c r="B1489" s="8" t="str">
        <x:v>6915</x:v>
      </x:c>
      <x:c r="C1489" s="17" t="n">
        <x:v>2023</x:v>
      </x:c>
      <x:c r="D1489" s="8" t="str">
        <x:v>RAINBOW TROUT</x:v>
      </x:c>
      <x:c r="E1489" s="13" t="n">
        <x:f>SUMIFS('Stocking details'!$F$6:$F$3307,'Stocking details'!$I$6:$I$3307,G1489)</x:f>
        <x:v>201</x:v>
      </x:c>
      <x:c r="F1489" s="13" t="n">
        <x:f>COUNTIFS('Stocking details'!$I$6:$I$3307,G1489)</x:f>
        <x:v>1</x:v>
      </x:c>
      <x:c r="G1489" s="8" t="str">
        <x:f>B1489&amp;" / "&amp;C1489&amp;" / "&amp;D1489</x:f>
        <x:v>6915 / 2023 / RAINBOW TROUT</x:v>
      </x:c>
    </x:row>
    <x:row r="1490" ht="23" customHeight="1">
      <x:c r="A1490" s="8" t="str">
        <x:v>Nordegg Borrow Pit (West)</x:v>
      </x:c>
      <x:c r="B1490" s="8" t="str">
        <x:v>6915</x:v>
      </x:c>
      <x:c r="C1490" s="17" t="n">
        <x:v>2022</x:v>
      </x:c>
      <x:c r="D1490" s="8" t="str">
        <x:v>RAINBOW TROUT</x:v>
      </x:c>
      <x:c r="E1490" s="13" t="n">
        <x:f>SUMIFS('Stocking details'!$F$6:$F$3307,'Stocking details'!$I$6:$I$3307,G1490)</x:f>
        <x:v>400</x:v>
      </x:c>
      <x:c r="F1490" s="13" t="n">
        <x:f>COUNTIFS('Stocking details'!$I$6:$I$3307,G1490)</x:f>
        <x:v>1</x:v>
      </x:c>
      <x:c r="G1490" s="8" t="str">
        <x:f>B1490&amp;" / "&amp;C1490&amp;" / "&amp;D1490</x:f>
        <x:v>6915 / 2022 / RAINBOW TROUT</x:v>
      </x:c>
    </x:row>
    <x:row r="1491" ht="23" customHeight="1">
      <x:c r="A1491" s="8" t="str">
        <x:v>Nordegg Borrow Pit (West)</x:v>
      </x:c>
      <x:c r="B1491" s="8" t="str">
        <x:v>6915</x:v>
      </x:c>
      <x:c r="C1491" s="17" t="n">
        <x:v>2021</x:v>
      </x:c>
      <x:c r="D1491" s="8" t="str">
        <x:v>RAINBOW TROUT</x:v>
      </x:c>
      <x:c r="E1491" s="13" t="n">
        <x:f>SUMIFS('Stocking details'!$F$6:$F$3307,'Stocking details'!$I$6:$I$3307,G1491)</x:f>
        <x:v>405</x:v>
      </x:c>
      <x:c r="F1491" s="13" t="n">
        <x:f>COUNTIFS('Stocking details'!$I$6:$I$3307,G1491)</x:f>
        <x:v>2</x:v>
      </x:c>
      <x:c r="G1491" s="8" t="str">
        <x:f>B1491&amp;" / "&amp;C1491&amp;" / "&amp;D1491</x:f>
        <x:v>6915 / 2021 / RAINBOW TROUT</x:v>
      </x:c>
    </x:row>
    <x:row r="1492" ht="23" customHeight="1">
      <x:c r="A1492" s="8" t="str">
        <x:v>North Two Lake</x:v>
      </x:c>
      <x:c r="B1492" s="8" t="str">
        <x:v>6535</x:v>
      </x:c>
      <x:c r="C1492" s="17" t="n">
        <x:v>2026</x:v>
      </x:c>
      <x:c r="D1492" s="8" t="str">
        <x:v>RAINBOW TROUT</x:v>
      </x:c>
      <x:c r="E1492" s="13" t="n">
        <x:f>SUMIFS('Stocking details'!$F$6:$F$3307,'Stocking details'!$I$6:$I$3307,G1492)</x:f>
        <x:v>7200</x:v>
      </x:c>
      <x:c r="F1492" s="13" t="n">
        <x:f>COUNTIFS('Stocking details'!$I$6:$I$3307,G1492)</x:f>
        <x:v>1</x:v>
      </x:c>
      <x:c r="G1492" s="8" t="str">
        <x:f>B1492&amp;" / "&amp;C1492&amp;" / "&amp;D1492</x:f>
        <x:v>6535 / 2026 / RAINBOW TROUT</x:v>
      </x:c>
    </x:row>
    <x:row r="1493" ht="23" customHeight="1">
      <x:c r="A1493" s="8" t="str">
        <x:v>North Two Lake</x:v>
      </x:c>
      <x:c r="B1493" s="8" t="str">
        <x:v>6535</x:v>
      </x:c>
      <x:c r="C1493" s="17" t="n">
        <x:v>2025</x:v>
      </x:c>
      <x:c r="D1493" s="8" t="str">
        <x:v>RAINBOW TROUT</x:v>
      </x:c>
      <x:c r="E1493" s="13" t="n">
        <x:f>SUMIFS('Stocking details'!$F$6:$F$3307,'Stocking details'!$I$6:$I$3307,G1493)</x:f>
        <x:v>7200</x:v>
      </x:c>
      <x:c r="F1493" s="13" t="n">
        <x:f>COUNTIFS('Stocking details'!$I$6:$I$3307,G1493)</x:f>
        <x:v>1</x:v>
      </x:c>
      <x:c r="G1493" s="8" t="str">
        <x:f>B1493&amp;" / "&amp;C1493&amp;" / "&amp;D1493</x:f>
        <x:v>6535 / 2025 / RAINBOW TROUT</x:v>
      </x:c>
    </x:row>
    <x:row r="1494" ht="23" customHeight="1">
      <x:c r="A1494" s="8" t="str">
        <x:v>North Two Lake</x:v>
      </x:c>
      <x:c r="B1494" s="8" t="str">
        <x:v>6535</x:v>
      </x:c>
      <x:c r="C1494" s="17" t="n">
        <x:v>2024</x:v>
      </x:c>
      <x:c r="D1494" s="8" t="str">
        <x:v>RAINBOW TROUT</x:v>
      </x:c>
      <x:c r="E1494" s="13" t="n">
        <x:f>SUMIFS('Stocking details'!$F$6:$F$3307,'Stocking details'!$I$6:$I$3307,G1494)</x:f>
        <x:v>3600</x:v>
      </x:c>
      <x:c r="F1494" s="13" t="n">
        <x:f>COUNTIFS('Stocking details'!$I$6:$I$3307,G1494)</x:f>
        <x:v>1</x:v>
      </x:c>
      <x:c r="G1494" s="8" t="str">
        <x:f>B1494&amp;" / "&amp;C1494&amp;" / "&amp;D1494</x:f>
        <x:v>6535 / 2024 / RAINBOW TROUT</x:v>
      </x:c>
    </x:row>
    <x:row r="1495" ht="23" customHeight="1">
      <x:c r="A1495" s="8" t="str">
        <x:v>North Two Lake</x:v>
      </x:c>
      <x:c r="B1495" s="8" t="str">
        <x:v>6535</x:v>
      </x:c>
      <x:c r="C1495" s="17" t="n">
        <x:v>2023</x:v>
      </x:c>
      <x:c r="D1495" s="8" t="str">
        <x:v>RAINBOW TROUT</x:v>
      </x:c>
      <x:c r="E1495" s="13" t="n">
        <x:f>SUMIFS('Stocking details'!$F$6:$F$3307,'Stocking details'!$I$6:$I$3307,G1495)</x:f>
        <x:v>3413</x:v>
      </x:c>
      <x:c r="F1495" s="13" t="n">
        <x:f>COUNTIFS('Stocking details'!$I$6:$I$3307,G1495)</x:f>
        <x:v>1</x:v>
      </x:c>
      <x:c r="G1495" s="8" t="str">
        <x:f>B1495&amp;" / "&amp;C1495&amp;" / "&amp;D1495</x:f>
        <x:v>6535 / 2023 / RAINBOW TROUT</x:v>
      </x:c>
    </x:row>
    <x:row r="1496" ht="23" customHeight="1">
      <x:c r="A1496" s="8" t="str">
        <x:v>North Two Lake</x:v>
      </x:c>
      <x:c r="B1496" s="8" t="str">
        <x:v>6535</x:v>
      </x:c>
      <x:c r="C1496" s="17" t="n">
        <x:v>2022</x:v>
      </x:c>
      <x:c r="D1496" s="8" t="str">
        <x:v>RAINBOW TROUT</x:v>
      </x:c>
      <x:c r="E1496" s="13" t="n">
        <x:f>SUMIFS('Stocking details'!$F$6:$F$3307,'Stocking details'!$I$6:$I$3307,G1496)</x:f>
        <x:v>7200</x:v>
      </x:c>
      <x:c r="F1496" s="13" t="n">
        <x:f>COUNTIFS('Stocking details'!$I$6:$I$3307,G1496)</x:f>
        <x:v>1</x:v>
      </x:c>
      <x:c r="G1496" s="8" t="str">
        <x:f>B1496&amp;" / "&amp;C1496&amp;" / "&amp;D1496</x:f>
        <x:v>6535 / 2022 / RAINBOW TROUT</x:v>
      </x:c>
    </x:row>
    <x:row r="1497" ht="23" customHeight="1">
      <x:c r="A1497" s="8" t="str">
        <x:v>North Two Lake</x:v>
      </x:c>
      <x:c r="B1497" s="8" t="str">
        <x:v>6535</x:v>
      </x:c>
      <x:c r="C1497" s="17" t="n">
        <x:v>2021</x:v>
      </x:c>
      <x:c r="D1497" s="8" t="str">
        <x:v>RAINBOW TROUT</x:v>
      </x:c>
      <x:c r="E1497" s="13" t="n">
        <x:f>SUMIFS('Stocking details'!$F$6:$F$3307,'Stocking details'!$I$6:$I$3307,G1497)</x:f>
        <x:v>7200</x:v>
      </x:c>
      <x:c r="F1497" s="13" t="n">
        <x:f>COUNTIFS('Stocking details'!$I$6:$I$3307,G1497)</x:f>
        <x:v>1</x:v>
      </x:c>
      <x:c r="G1497" s="8" t="str">
        <x:f>B1497&amp;" / "&amp;C1497&amp;" / "&amp;D1497</x:f>
        <x:v>6535 / 2021 / RAINBOW TROUT</x:v>
      </x:c>
    </x:row>
    <x:row r="1498" ht="23" customHeight="1">
      <x:c r="A1498" s="8" t="str">
        <x:v>Nose Creek Pond</x:v>
      </x:c>
      <x:c r="B1498" s="8" t="str">
        <x:v>6671</x:v>
      </x:c>
      <x:c r="C1498" s="17" t="n">
        <x:v>2026</x:v>
      </x:c>
      <x:c r="D1498" s="8" t="str">
        <x:v>RAINBOW TROUT</x:v>
      </x:c>
      <x:c r="E1498" s="13" t="n">
        <x:f>SUMIFS('Stocking details'!$F$6:$F$3307,'Stocking details'!$I$6:$I$3307,G1498)</x:f>
        <x:v>350</x:v>
      </x:c>
      <x:c r="F1498" s="13" t="n">
        <x:f>COUNTIFS('Stocking details'!$I$6:$I$3307,G1498)</x:f>
        <x:v>1</x:v>
      </x:c>
      <x:c r="G1498" s="8" t="str">
        <x:f>B1498&amp;" / "&amp;C1498&amp;" / "&amp;D1498</x:f>
        <x:v>6671 / 2026 / RAINBOW TROUT</x:v>
      </x:c>
    </x:row>
    <x:row r="1499" ht="23" customHeight="1">
      <x:c r="A1499" s="8" t="str">
        <x:v>Nose Creek Pond</x:v>
      </x:c>
      <x:c r="B1499" s="8" t="str">
        <x:v>6671</x:v>
      </x:c>
      <x:c r="C1499" s="17" t="n">
        <x:v>2025</x:v>
      </x:c>
      <x:c r="D1499" s="8" t="str">
        <x:v>RAINBOW TROUT</x:v>
      </x:c>
      <x:c r="E1499" s="13" t="n">
        <x:f>SUMIFS('Stocking details'!$F$6:$F$3307,'Stocking details'!$I$6:$I$3307,G1499)</x:f>
        <x:v>400</x:v>
      </x:c>
      <x:c r="F1499" s="13" t="n">
        <x:f>COUNTIFS('Stocking details'!$I$6:$I$3307,G1499)</x:f>
        <x:v>2</x:v>
      </x:c>
      <x:c r="G1499" s="8" t="str">
        <x:f>B1499&amp;" / "&amp;C1499&amp;" / "&amp;D1499</x:f>
        <x:v>6671 / 2025 / RAINBOW TROUT</x:v>
      </x:c>
    </x:row>
    <x:row r="1500" ht="23" customHeight="1">
      <x:c r="A1500" s="8" t="str">
        <x:v>Nose Creek Pond</x:v>
      </x:c>
      <x:c r="B1500" s="8" t="str">
        <x:v>6671</x:v>
      </x:c>
      <x:c r="C1500" s="17" t="n">
        <x:v>2024</x:v>
      </x:c>
      <x:c r="D1500" s="8" t="str">
        <x:v>RAINBOW TROUT</x:v>
      </x:c>
      <x:c r="E1500" s="13" t="n">
        <x:f>SUMIFS('Stocking details'!$F$6:$F$3307,'Stocking details'!$I$6:$I$3307,G1500)</x:f>
        <x:v>400</x:v>
      </x:c>
      <x:c r="F1500" s="13" t="n">
        <x:f>COUNTIFS('Stocking details'!$I$6:$I$3307,G1500)</x:f>
        <x:v>2</x:v>
      </x:c>
      <x:c r="G1500" s="8" t="str">
        <x:f>B1500&amp;" / "&amp;C1500&amp;" / "&amp;D1500</x:f>
        <x:v>6671 / 2024 / RAINBOW TROUT</x:v>
      </x:c>
    </x:row>
    <x:row r="1501" ht="23" customHeight="1">
      <x:c r="A1501" s="8" t="str">
        <x:v>Nose Creek Pond</x:v>
      </x:c>
      <x:c r="B1501" s="8" t="str">
        <x:v>6671</x:v>
      </x:c>
      <x:c r="C1501" s="17" t="n">
        <x:v>2023</x:v>
      </x:c>
      <x:c r="D1501" s="8" t="str">
        <x:v>RAINBOW TROUT</x:v>
      </x:c>
      <x:c r="E1501" s="13" t="n">
        <x:f>SUMIFS('Stocking details'!$F$6:$F$3307,'Stocking details'!$I$6:$I$3307,G1501)</x:f>
        <x:v>400</x:v>
      </x:c>
      <x:c r="F1501" s="13" t="n">
        <x:f>COUNTIFS('Stocking details'!$I$6:$I$3307,G1501)</x:f>
        <x:v>1</x:v>
      </x:c>
      <x:c r="G1501" s="8" t="str">
        <x:f>B1501&amp;" / "&amp;C1501&amp;" / "&amp;D1501</x:f>
        <x:v>6671 / 2023 / RAINBOW TROUT</x:v>
      </x:c>
    </x:row>
    <x:row r="1502" ht="23" customHeight="1">
      <x:c r="A1502" s="8" t="str">
        <x:v>Nose Creek Pond</x:v>
      </x:c>
      <x:c r="B1502" s="8" t="str">
        <x:v>6671</x:v>
      </x:c>
      <x:c r="C1502" s="17" t="n">
        <x:v>2021</x:v>
      </x:c>
      <x:c r="D1502" s="8" t="str">
        <x:v>RAINBOW TROUT</x:v>
      </x:c>
      <x:c r="E1502" s="13" t="n">
        <x:f>SUMIFS('Stocking details'!$F$6:$F$3307,'Stocking details'!$I$6:$I$3307,G1502)</x:f>
        <x:v>350</x:v>
      </x:c>
      <x:c r="F1502" s="13" t="n">
        <x:f>COUNTIFS('Stocking details'!$I$6:$I$3307,G1502)</x:f>
        <x:v>1</x:v>
      </x:c>
      <x:c r="G1502" s="8" t="str">
        <x:f>B1502&amp;" / "&amp;C1502&amp;" / "&amp;D1502</x:f>
        <x:v>6671 / 2021 / RAINBOW TROUT</x:v>
      </x:c>
    </x:row>
    <x:row r="1503" ht="23" customHeight="1">
      <x:c r="A1503" s="8" t="str">
        <x:v>Nuggent Pond</x:v>
      </x:c>
      <x:c r="B1503" s="8" t="str">
        <x:v>6724</x:v>
      </x:c>
      <x:c r="C1503" s="17" t="n">
        <x:v>2026</x:v>
      </x:c>
      <x:c r="D1503" s="8" t="str">
        <x:v>RAINBOW TROUT</x:v>
      </x:c>
      <x:c r="E1503" s="13" t="n">
        <x:f>SUMIFS('Stocking details'!$F$6:$F$3307,'Stocking details'!$I$6:$I$3307,G1503)</x:f>
        <x:v>600</x:v>
      </x:c>
      <x:c r="F1503" s="13" t="n">
        <x:f>COUNTIFS('Stocking details'!$I$6:$I$3307,G1503)</x:f>
        <x:v>1</x:v>
      </x:c>
      <x:c r="G1503" s="8" t="str">
        <x:f>B1503&amp;" / "&amp;C1503&amp;" / "&amp;D1503</x:f>
        <x:v>6724 / 2026 / RAINBOW TROUT</x:v>
      </x:c>
    </x:row>
    <x:row r="1504" ht="23" customHeight="1">
      <x:c r="A1504" s="8" t="str">
        <x:v>Nuggent Pond</x:v>
      </x:c>
      <x:c r="B1504" s="8" t="str">
        <x:v>6724</x:v>
      </x:c>
      <x:c r="C1504" s="17" t="n">
        <x:v>2025</x:v>
      </x:c>
      <x:c r="D1504" s="8" t="str">
        <x:v>RAINBOW TROUT</x:v>
      </x:c>
      <x:c r="E1504" s="13" t="n">
        <x:f>SUMIFS('Stocking details'!$F$6:$F$3307,'Stocking details'!$I$6:$I$3307,G1504)</x:f>
        <x:v>600</x:v>
      </x:c>
      <x:c r="F1504" s="13" t="n">
        <x:f>COUNTIFS('Stocking details'!$I$6:$I$3307,G1504)</x:f>
        <x:v>1</x:v>
      </x:c>
      <x:c r="G1504" s="8" t="str">
        <x:f>B1504&amp;" / "&amp;C1504&amp;" / "&amp;D1504</x:f>
        <x:v>6724 / 2025 / RAINBOW TROUT</x:v>
      </x:c>
    </x:row>
    <x:row r="1505" ht="23" customHeight="1">
      <x:c r="A1505" s="8" t="str">
        <x:v>Nuggent Pond</x:v>
      </x:c>
      <x:c r="B1505" s="8" t="str">
        <x:v>6724</x:v>
      </x:c>
      <x:c r="C1505" s="17" t="n">
        <x:v>2024</x:v>
      </x:c>
      <x:c r="D1505" s="8" t="str">
        <x:v>RAINBOW TROUT</x:v>
      </x:c>
      <x:c r="E1505" s="13" t="n">
        <x:f>SUMIFS('Stocking details'!$F$6:$F$3307,'Stocking details'!$I$6:$I$3307,G1505)</x:f>
        <x:v>600</x:v>
      </x:c>
      <x:c r="F1505" s="13" t="n">
        <x:f>COUNTIFS('Stocking details'!$I$6:$I$3307,G1505)</x:f>
        <x:v>1</x:v>
      </x:c>
      <x:c r="G1505" s="8" t="str">
        <x:f>B1505&amp;" / "&amp;C1505&amp;" / "&amp;D1505</x:f>
        <x:v>6724 / 2024 / RAINBOW TROUT</x:v>
      </x:c>
    </x:row>
    <x:row r="1506" ht="23" customHeight="1">
      <x:c r="A1506" s="8" t="str">
        <x:v>Nuggent Pond</x:v>
      </x:c>
      <x:c r="B1506" s="8" t="str">
        <x:v>6724</x:v>
      </x:c>
      <x:c r="C1506" s="17" t="n">
        <x:v>2023</x:v>
      </x:c>
      <x:c r="D1506" s="8" t="str">
        <x:v>RAINBOW TROUT</x:v>
      </x:c>
      <x:c r="E1506" s="13" t="n">
        <x:f>SUMIFS('Stocking details'!$F$6:$F$3307,'Stocking details'!$I$6:$I$3307,G1506)</x:f>
        <x:v>700</x:v>
      </x:c>
      <x:c r="F1506" s="13" t="n">
        <x:f>COUNTIFS('Stocking details'!$I$6:$I$3307,G1506)</x:f>
        <x:v>2</x:v>
      </x:c>
      <x:c r="G1506" s="8" t="str">
        <x:f>B1506&amp;" / "&amp;C1506&amp;" / "&amp;D1506</x:f>
        <x:v>6724 / 2023 / RAINBOW TROUT</x:v>
      </x:c>
    </x:row>
    <x:row r="1507" ht="23" customHeight="1">
      <x:c r="A1507" s="8" t="str">
        <x:v>Nuggent Pond</x:v>
      </x:c>
      <x:c r="B1507" s="8" t="str">
        <x:v>6724</x:v>
      </x:c>
      <x:c r="C1507" s="17" t="n">
        <x:v>2022</x:v>
      </x:c>
      <x:c r="D1507" s="8" t="str">
        <x:v>RAINBOW TROUT</x:v>
      </x:c>
      <x:c r="E1507" s="13" t="n">
        <x:f>SUMIFS('Stocking details'!$F$6:$F$3307,'Stocking details'!$I$6:$I$3307,G1507)</x:f>
        <x:v>700</x:v>
      </x:c>
      <x:c r="F1507" s="13" t="n">
        <x:f>COUNTIFS('Stocking details'!$I$6:$I$3307,G1507)</x:f>
        <x:v>2</x:v>
      </x:c>
      <x:c r="G1507" s="8" t="str">
        <x:f>B1507&amp;" / "&amp;C1507&amp;" / "&amp;D1507</x:f>
        <x:v>6724 / 2022 / RAINBOW TROUT</x:v>
      </x:c>
    </x:row>
    <x:row r="1508" ht="23" customHeight="1">
      <x:c r="A1508" s="8" t="str">
        <x:v>Nuggent Pond</x:v>
      </x:c>
      <x:c r="B1508" s="8" t="str">
        <x:v>6724</x:v>
      </x:c>
      <x:c r="C1508" s="17" t="n">
        <x:v>2021</x:v>
      </x:c>
      <x:c r="D1508" s="8" t="str">
        <x:v>RAINBOW TROUT</x:v>
      </x:c>
      <x:c r="E1508" s="13" t="n">
        <x:f>SUMIFS('Stocking details'!$F$6:$F$3307,'Stocking details'!$I$6:$I$3307,G1508)</x:f>
        <x:v>738</x:v>
      </x:c>
      <x:c r="F1508" s="13" t="n">
        <x:f>COUNTIFS('Stocking details'!$I$6:$I$3307,G1508)</x:f>
        <x:v>2</x:v>
      </x:c>
      <x:c r="G1508" s="8" t="str">
        <x:f>B1508&amp;" / "&amp;C1508&amp;" / "&amp;D1508</x:f>
        <x:v>6724 / 2021 / RAINBOW TROUT</x:v>
      </x:c>
    </x:row>
    <x:row r="1509" ht="23" customHeight="1">
      <x:c r="A1509" s="8" t="str">
        <x:v>Obed Lake</x:v>
      </x:c>
      <x:c r="B1509" s="8" t="str">
        <x:v>5466</x:v>
      </x:c>
      <x:c r="C1509" s="17" t="n">
        <x:v>2026</x:v>
      </x:c>
      <x:c r="D1509" s="8" t="str">
        <x:v>BROWN TROUT</x:v>
      </x:c>
      <x:c r="E1509" s="13" t="n">
        <x:f>SUMIFS('Stocking details'!$F$6:$F$3307,'Stocking details'!$I$6:$I$3307,G1509)</x:f>
        <x:v>13500</x:v>
      </x:c>
      <x:c r="F1509" s="13" t="n">
        <x:f>COUNTIFS('Stocking details'!$I$6:$I$3307,G1509)</x:f>
        <x:v>2</x:v>
      </x:c>
      <x:c r="G1509" s="8" t="str">
        <x:f>B1509&amp;" / "&amp;C1509&amp;" / "&amp;D1509</x:f>
        <x:v>5466 / 2026 / BROWN TROUT</x:v>
      </x:c>
    </x:row>
    <x:row r="1510" ht="23" customHeight="1">
      <x:c r="A1510" s="8" t="str">
        <x:v>Obed Lake</x:v>
      </x:c>
      <x:c r="B1510" s="8" t="str">
        <x:v>5466</x:v>
      </x:c>
      <x:c r="C1510" s="17" t="n">
        <x:v>2025</x:v>
      </x:c>
      <x:c r="D1510" s="8" t="str">
        <x:v>BROWN TROUT</x:v>
      </x:c>
      <x:c r="E1510" s="13" t="n">
        <x:f>SUMIFS('Stocking details'!$F$6:$F$3307,'Stocking details'!$I$6:$I$3307,G1510)</x:f>
        <x:v>19000</x:v>
      </x:c>
      <x:c r="F1510" s="13" t="n">
        <x:f>COUNTIFS('Stocking details'!$I$6:$I$3307,G1510)</x:f>
        <x:v>3</x:v>
      </x:c>
      <x:c r="G1510" s="8" t="str">
        <x:f>B1510&amp;" / "&amp;C1510&amp;" / "&amp;D1510</x:f>
        <x:v>5466 / 2025 / BROWN TROUT</x:v>
      </x:c>
    </x:row>
    <x:row r="1511" ht="23" customHeight="1">
      <x:c r="A1511" s="8" t="str">
        <x:v>Obed Lake</x:v>
      </x:c>
      <x:c r="B1511" s="8" t="str">
        <x:v>5466</x:v>
      </x:c>
      <x:c r="C1511" s="17" t="n">
        <x:v>2024</x:v>
      </x:c>
      <x:c r="D1511" s="8" t="str">
        <x:v>BROWN TROUT</x:v>
      </x:c>
      <x:c r="E1511" s="13" t="n">
        <x:f>SUMIFS('Stocking details'!$F$6:$F$3307,'Stocking details'!$I$6:$I$3307,G1511)</x:f>
        <x:v>25323</x:v>
      </x:c>
      <x:c r="F1511" s="13" t="n">
        <x:f>COUNTIFS('Stocking details'!$I$6:$I$3307,G1511)</x:f>
        <x:v>2</x:v>
      </x:c>
      <x:c r="G1511" s="8" t="str">
        <x:f>B1511&amp;" / "&amp;C1511&amp;" / "&amp;D1511</x:f>
        <x:v>5466 / 2024 / BROWN TROUT</x:v>
      </x:c>
    </x:row>
    <x:row r="1512" ht="23" customHeight="1">
      <x:c r="A1512" s="8" t="str">
        <x:v>Obed Lake</x:v>
      </x:c>
      <x:c r="B1512" s="8" t="str">
        <x:v>5466</x:v>
      </x:c>
      <x:c r="C1512" s="17" t="n">
        <x:v>2023</x:v>
      </x:c>
      <x:c r="D1512" s="8" t="str">
        <x:v>BROWN TROUT</x:v>
      </x:c>
      <x:c r="E1512" s="13" t="n">
        <x:f>SUMIFS('Stocking details'!$F$6:$F$3307,'Stocking details'!$I$6:$I$3307,G1512)</x:f>
        <x:v>19361</x:v>
      </x:c>
      <x:c r="F1512" s="13" t="n">
        <x:f>COUNTIFS('Stocking details'!$I$6:$I$3307,G1512)</x:f>
        <x:v>3</x:v>
      </x:c>
      <x:c r="G1512" s="8" t="str">
        <x:f>B1512&amp;" / "&amp;C1512&amp;" / "&amp;D1512</x:f>
        <x:v>5466 / 2023 / BROWN TROUT</x:v>
      </x:c>
    </x:row>
    <x:row r="1513" ht="23" customHeight="1">
      <x:c r="A1513" s="8" t="str">
        <x:v>Obed Lake</x:v>
      </x:c>
      <x:c r="B1513" s="8" t="str">
        <x:v>5466</x:v>
      </x:c>
      <x:c r="C1513" s="17" t="n">
        <x:v>2022</x:v>
      </x:c>
      <x:c r="D1513" s="8" t="str">
        <x:v>BROWN TROUT</x:v>
      </x:c>
      <x:c r="E1513" s="13" t="n">
        <x:f>SUMIFS('Stocking details'!$F$6:$F$3307,'Stocking details'!$I$6:$I$3307,G1513)</x:f>
        <x:v>24250</x:v>
      </x:c>
      <x:c r="F1513" s="13" t="n">
        <x:f>COUNTIFS('Stocking details'!$I$6:$I$3307,G1513)</x:f>
        <x:v>3</x:v>
      </x:c>
      <x:c r="G1513" s="8" t="str">
        <x:f>B1513&amp;" / "&amp;C1513&amp;" / "&amp;D1513</x:f>
        <x:v>5466 / 2022 / BROWN TROUT</x:v>
      </x:c>
    </x:row>
    <x:row r="1514" ht="23" customHeight="1">
      <x:c r="A1514" s="8" t="str">
        <x:v>Obed Lake</x:v>
      </x:c>
      <x:c r="B1514" s="8" t="str">
        <x:v>5466</x:v>
      </x:c>
      <x:c r="C1514" s="17" t="n">
        <x:v>2021</x:v>
      </x:c>
      <x:c r="D1514" s="8" t="str">
        <x:v>BROWN TROUT</x:v>
      </x:c>
      <x:c r="E1514" s="13" t="n">
        <x:f>SUMIFS('Stocking details'!$F$6:$F$3307,'Stocking details'!$I$6:$I$3307,G1514)</x:f>
        <x:v>14000</x:v>
      </x:c>
      <x:c r="F1514" s="13" t="n">
        <x:f>COUNTIFS('Stocking details'!$I$6:$I$3307,G1514)</x:f>
        <x:v>1</x:v>
      </x:c>
      <x:c r="G1514" s="8" t="str">
        <x:f>B1514&amp;" / "&amp;C1514&amp;" / "&amp;D1514</x:f>
        <x:v>5466 / 2021 / BROWN TROUT</x:v>
      </x:c>
    </x:row>
    <x:row r="1515" ht="23" customHeight="1">
      <x:c r="A1515" s="8" t="str">
        <x:v>Obstruction Lakes</x:v>
      </x:c>
      <x:c r="B1515" s="8" t="str">
        <x:v>5467</x:v>
      </x:c>
      <x:c r="C1515" s="17" t="n">
        <x:v>2025</x:v>
      </x:c>
      <x:c r="D1515" s="8" t="str">
        <x:v>CUTTHROAT TROUT</x:v>
      </x:c>
      <x:c r="E1515" s="13" t="n">
        <x:f>SUMIFS('Stocking details'!$F$6:$F$3307,'Stocking details'!$I$6:$I$3307,G1515)</x:f>
        <x:v>1068</x:v>
      </x:c>
      <x:c r="F1515" s="13" t="n">
        <x:f>COUNTIFS('Stocking details'!$I$6:$I$3307,G1515)</x:f>
        <x:v>1</x:v>
      </x:c>
      <x:c r="G1515" s="8" t="str">
        <x:f>B1515&amp;" / "&amp;C1515&amp;" / "&amp;D1515</x:f>
        <x:v>5467 / 2025 / CUTTHROAT TROUT</x:v>
      </x:c>
    </x:row>
    <x:row r="1516" ht="23" customHeight="1">
      <x:c r="A1516" s="8" t="str">
        <x:v>Obstruction Lakes</x:v>
      </x:c>
      <x:c r="B1516" s="8" t="str">
        <x:v>5467</x:v>
      </x:c>
      <x:c r="C1516" s="17" t="n">
        <x:v>2021</x:v>
      </x:c>
      <x:c r="D1516" s="8" t="str">
        <x:v>CUTTHROAT TROUT</x:v>
      </x:c>
      <x:c r="E1516" s="13" t="n">
        <x:f>SUMIFS('Stocking details'!$F$6:$F$3307,'Stocking details'!$I$6:$I$3307,G1516)</x:f>
        <x:v>800</x:v>
      </x:c>
      <x:c r="F1516" s="13" t="n">
        <x:f>COUNTIFS('Stocking details'!$I$6:$I$3307,G1516)</x:f>
        <x:v>1</x:v>
      </x:c>
      <x:c r="G1516" s="8" t="str">
        <x:f>B1516&amp;" / "&amp;C1516&amp;" / "&amp;D1516</x:f>
        <x:v>5467 / 2021 / CUTTHROAT TROUT</x:v>
      </x:c>
    </x:row>
    <x:row r="1517" ht="23" customHeight="1">
      <x:c r="A1517" s="8" t="str">
        <x:v>Odlum Lake</x:v>
      </x:c>
      <x:c r="B1517" s="8" t="str">
        <x:v>18997</x:v>
      </x:c>
      <x:c r="C1517" s="17" t="n">
        <x:v>2021</x:v>
      </x:c>
      <x:c r="D1517" s="8" t="str">
        <x:v>CUTTHROAT TROUT</x:v>
      </x:c>
      <x:c r="E1517" s="13" t="n">
        <x:f>SUMIFS('Stocking details'!$F$6:$F$3307,'Stocking details'!$I$6:$I$3307,G1517)</x:f>
        <x:v>400</x:v>
      </x:c>
      <x:c r="F1517" s="13" t="n">
        <x:f>COUNTIFS('Stocking details'!$I$6:$I$3307,G1517)</x:f>
        <x:v>1</x:v>
      </x:c>
      <x:c r="G1517" s="8" t="str">
        <x:f>B1517&amp;" / "&amp;C1517&amp;" / "&amp;D1517</x:f>
        <x:v>18997 / 2021 / CUTTHROAT TROUT</x:v>
      </x:c>
    </x:row>
    <x:row r="1518" ht="23" customHeight="1">
      <x:c r="A1518" s="8" t="str">
        <x:v>Ole Lake</x:v>
      </x:c>
      <x:c r="B1518" s="8" t="str">
        <x:v>5476</x:v>
      </x:c>
      <x:c r="C1518" s="17" t="n">
        <x:v>2026</x:v>
      </x:c>
      <x:c r="D1518" s="8" t="str">
        <x:v>RAINBOW TROUT</x:v>
      </x:c>
      <x:c r="E1518" s="13" t="n">
        <x:f>SUMIFS('Stocking details'!$F$6:$F$3307,'Stocking details'!$I$6:$I$3307,G1518)</x:f>
        <x:v>3000</x:v>
      </x:c>
      <x:c r="F1518" s="13" t="n">
        <x:f>COUNTIFS('Stocking details'!$I$6:$I$3307,G1518)</x:f>
        <x:v>1</x:v>
      </x:c>
      <x:c r="G1518" s="8" t="str">
        <x:f>B1518&amp;" / "&amp;C1518&amp;" / "&amp;D1518</x:f>
        <x:v>5476 / 2026 / RAINBOW TROUT</x:v>
      </x:c>
    </x:row>
    <x:row r="1519" ht="23" customHeight="1">
      <x:c r="A1519" s="8" t="str">
        <x:v>Ole Lake</x:v>
      </x:c>
      <x:c r="B1519" s="8" t="str">
        <x:v>5476</x:v>
      </x:c>
      <x:c r="C1519" s="17" t="n">
        <x:v>2025</x:v>
      </x:c>
      <x:c r="D1519" s="8" t="str">
        <x:v>RAINBOW TROUT</x:v>
      </x:c>
      <x:c r="E1519" s="13" t="n">
        <x:f>SUMIFS('Stocking details'!$F$6:$F$3307,'Stocking details'!$I$6:$I$3307,G1519)</x:f>
        <x:v>3000</x:v>
      </x:c>
      <x:c r="F1519" s="13" t="n">
        <x:f>COUNTIFS('Stocking details'!$I$6:$I$3307,G1519)</x:f>
        <x:v>1</x:v>
      </x:c>
      <x:c r="G1519" s="8" t="str">
        <x:f>B1519&amp;" / "&amp;C1519&amp;" / "&amp;D1519</x:f>
        <x:v>5476 / 2025 / RAINBOW TROUT</x:v>
      </x:c>
    </x:row>
    <x:row r="1520" ht="23" customHeight="1">
      <x:c r="A1520" s="8" t="str">
        <x:v>Ole Lake</x:v>
      </x:c>
      <x:c r="B1520" s="8" t="str">
        <x:v>5476</x:v>
      </x:c>
      <x:c r="C1520" s="17" t="n">
        <x:v>2024</x:v>
      </x:c>
      <x:c r="D1520" s="8" t="str">
        <x:v>RAINBOW TROUT</x:v>
      </x:c>
      <x:c r="E1520" s="13" t="n">
        <x:f>SUMIFS('Stocking details'!$F$6:$F$3307,'Stocking details'!$I$6:$I$3307,G1520)</x:f>
        <x:v>1500</x:v>
      </x:c>
      <x:c r="F1520" s="13" t="n">
        <x:f>COUNTIFS('Stocking details'!$I$6:$I$3307,G1520)</x:f>
        <x:v>1</x:v>
      </x:c>
      <x:c r="G1520" s="8" t="str">
        <x:f>B1520&amp;" / "&amp;C1520&amp;" / "&amp;D1520</x:f>
        <x:v>5476 / 2024 / RAINBOW TROUT</x:v>
      </x:c>
    </x:row>
    <x:row r="1521" ht="23" customHeight="1">
      <x:c r="A1521" s="8" t="str">
        <x:v>Ole Lake</x:v>
      </x:c>
      <x:c r="B1521" s="8" t="str">
        <x:v>5476</x:v>
      </x:c>
      <x:c r="C1521" s="17" t="n">
        <x:v>2023</x:v>
      </x:c>
      <x:c r="D1521" s="8" t="str">
        <x:v>RAINBOW TROUT</x:v>
      </x:c>
      <x:c r="E1521" s="13" t="n">
        <x:f>SUMIFS('Stocking details'!$F$6:$F$3307,'Stocking details'!$I$6:$I$3307,G1521)</x:f>
        <x:v>1506</x:v>
      </x:c>
      <x:c r="F1521" s="13" t="n">
        <x:f>COUNTIFS('Stocking details'!$I$6:$I$3307,G1521)</x:f>
        <x:v>1</x:v>
      </x:c>
      <x:c r="G1521" s="8" t="str">
        <x:f>B1521&amp;" / "&amp;C1521&amp;" / "&amp;D1521</x:f>
        <x:v>5476 / 2023 / RAINBOW TROUT</x:v>
      </x:c>
    </x:row>
    <x:row r="1522" ht="23" customHeight="1">
      <x:c r="A1522" s="8" t="str">
        <x:v>Ole Lake</x:v>
      </x:c>
      <x:c r="B1522" s="8" t="str">
        <x:v>5476</x:v>
      </x:c>
      <x:c r="C1522" s="17" t="n">
        <x:v>2022</x:v>
      </x:c>
      <x:c r="D1522" s="8" t="str">
        <x:v>RAINBOW TROUT</x:v>
      </x:c>
      <x:c r="E1522" s="13" t="n">
        <x:f>SUMIFS('Stocking details'!$F$6:$F$3307,'Stocking details'!$I$6:$I$3307,G1522)</x:f>
        <x:v>3000</x:v>
      </x:c>
      <x:c r="F1522" s="13" t="n">
        <x:f>COUNTIFS('Stocking details'!$I$6:$I$3307,G1522)</x:f>
        <x:v>1</x:v>
      </x:c>
      <x:c r="G1522" s="8" t="str">
        <x:f>B1522&amp;" / "&amp;C1522&amp;" / "&amp;D1522</x:f>
        <x:v>5476 / 2022 / RAINBOW TROUT</x:v>
      </x:c>
    </x:row>
    <x:row r="1523" ht="23" customHeight="1">
      <x:c r="A1523" s="8" t="str">
        <x:v>Ole Lake</x:v>
      </x:c>
      <x:c r="B1523" s="8" t="str">
        <x:v>5476</x:v>
      </x:c>
      <x:c r="C1523" s="17" t="n">
        <x:v>2021</x:v>
      </x:c>
      <x:c r="D1523" s="8" t="str">
        <x:v>RAINBOW TROUT</x:v>
      </x:c>
      <x:c r="E1523" s="13" t="n">
        <x:f>SUMIFS('Stocking details'!$F$6:$F$3307,'Stocking details'!$I$6:$I$3307,G1523)</x:f>
        <x:v>3000</x:v>
      </x:c>
      <x:c r="F1523" s="13" t="n">
        <x:f>COUNTIFS('Stocking details'!$I$6:$I$3307,G1523)</x:f>
        <x:v>1</x:v>
      </x:c>
      <x:c r="G1523" s="8" t="str">
        <x:f>B1523&amp;" / "&amp;C1523&amp;" / "&amp;D1523</x:f>
        <x:v>5476 / 2021 / RAINBOW TROUT</x:v>
      </x:c>
    </x:row>
    <x:row r="1524" ht="23" customHeight="1">
      <x:c r="A1524" s="8" t="str">
        <x:v>Open Creek Reservoir</x:v>
      </x:c>
      <x:c r="B1524" s="8" t="str">
        <x:v>6726</x:v>
      </x:c>
      <x:c r="C1524" s="17" t="n">
        <x:v>2026</x:v>
      </x:c>
      <x:c r="D1524" s="8" t="str">
        <x:v>RAINBOW TROUT</x:v>
      </x:c>
      <x:c r="E1524" s="13" t="n">
        <x:f>SUMIFS('Stocking details'!$F$6:$F$3307,'Stocking details'!$I$6:$I$3307,G1524)</x:f>
        <x:v>9000</x:v>
      </x:c>
      <x:c r="F1524" s="13" t="n">
        <x:f>COUNTIFS('Stocking details'!$I$6:$I$3307,G1524)</x:f>
        <x:v>2</x:v>
      </x:c>
      <x:c r="G1524" s="8" t="str">
        <x:f>B1524&amp;" / "&amp;C1524&amp;" / "&amp;D1524</x:f>
        <x:v>6726 / 2026 / RAINBOW TROUT</x:v>
      </x:c>
    </x:row>
    <x:row r="1525" ht="23" customHeight="1">
      <x:c r="A1525" s="8" t="str">
        <x:v>Open Creek Reservoir</x:v>
      </x:c>
      <x:c r="B1525" s="8" t="str">
        <x:v>6726</x:v>
      </x:c>
      <x:c r="C1525" s="17" t="n">
        <x:v>2025</x:v>
      </x:c>
      <x:c r="D1525" s="8" t="str">
        <x:v>RAINBOW TROUT</x:v>
      </x:c>
      <x:c r="E1525" s="13" t="n">
        <x:f>SUMIFS('Stocking details'!$F$6:$F$3307,'Stocking details'!$I$6:$I$3307,G1525)</x:f>
        <x:v>6000</x:v>
      </x:c>
      <x:c r="F1525" s="13" t="n">
        <x:f>COUNTIFS('Stocking details'!$I$6:$I$3307,G1525)</x:f>
        <x:v>1</x:v>
      </x:c>
      <x:c r="G1525" s="8" t="str">
        <x:f>B1525&amp;" / "&amp;C1525&amp;" / "&amp;D1525</x:f>
        <x:v>6726 / 2025 / RAINBOW TROUT</x:v>
      </x:c>
    </x:row>
    <x:row r="1526" ht="23" customHeight="1">
      <x:c r="A1526" s="8" t="str">
        <x:v>Open Creek Reservoir</x:v>
      </x:c>
      <x:c r="B1526" s="8" t="str">
        <x:v>6726</x:v>
      </x:c>
      <x:c r="C1526" s="17" t="n">
        <x:v>2024</x:v>
      </x:c>
      <x:c r="D1526" s="8" t="str">
        <x:v>RAINBOW TROUT</x:v>
      </x:c>
      <x:c r="E1526" s="13" t="n">
        <x:f>SUMIFS('Stocking details'!$F$6:$F$3307,'Stocking details'!$I$6:$I$3307,G1526)</x:f>
        <x:v>3450</x:v>
      </x:c>
      <x:c r="F1526" s="13" t="n">
        <x:f>COUNTIFS('Stocking details'!$I$6:$I$3307,G1526)</x:f>
        <x:v>4</x:v>
      </x:c>
      <x:c r="G1526" s="8" t="str">
        <x:f>B1526&amp;" / "&amp;C1526&amp;" / "&amp;D1526</x:f>
        <x:v>6726 / 2024 / RAINBOW TROUT</x:v>
      </x:c>
    </x:row>
    <x:row r="1527" ht="23" customHeight="1">
      <x:c r="A1527" s="8" t="str">
        <x:v>Open Creek Reservoir</x:v>
      </x:c>
      <x:c r="B1527" s="8" t="str">
        <x:v>6726</x:v>
      </x:c>
      <x:c r="C1527" s="17" t="n">
        <x:v>2023</x:v>
      </x:c>
      <x:c r="D1527" s="8" t="str">
        <x:v>RAINBOW TROUT</x:v>
      </x:c>
      <x:c r="E1527" s="13" t="n">
        <x:f>SUMIFS('Stocking details'!$F$6:$F$3307,'Stocking details'!$I$6:$I$3307,G1527)</x:f>
        <x:v>6020</x:v>
      </x:c>
      <x:c r="F1527" s="13" t="n">
        <x:f>COUNTIFS('Stocking details'!$I$6:$I$3307,G1527)</x:f>
        <x:v>3</x:v>
      </x:c>
      <x:c r="G1527" s="8" t="str">
        <x:f>B1527&amp;" / "&amp;C1527&amp;" / "&amp;D1527</x:f>
        <x:v>6726 / 2023 / RAINBOW TROUT</x:v>
      </x:c>
    </x:row>
    <x:row r="1528" ht="23" customHeight="1">
      <x:c r="A1528" s="8" t="str">
        <x:v>Open Creek Reservoir</x:v>
      </x:c>
      <x:c r="B1528" s="8" t="str">
        <x:v>6726</x:v>
      </x:c>
      <x:c r="C1528" s="17" t="n">
        <x:v>2022</x:v>
      </x:c>
      <x:c r="D1528" s="8" t="str">
        <x:v>RAINBOW TROUT</x:v>
      </x:c>
      <x:c r="E1528" s="13" t="n">
        <x:f>SUMIFS('Stocking details'!$F$6:$F$3307,'Stocking details'!$I$6:$I$3307,G1528)</x:f>
        <x:v>6020</x:v>
      </x:c>
      <x:c r="F1528" s="13" t="n">
        <x:f>COUNTIFS('Stocking details'!$I$6:$I$3307,G1528)</x:f>
        <x:v>2</x:v>
      </x:c>
      <x:c r="G1528" s="8" t="str">
        <x:f>B1528&amp;" / "&amp;C1528&amp;" / "&amp;D1528</x:f>
        <x:v>6726 / 2022 / RAINBOW TROUT</x:v>
      </x:c>
    </x:row>
    <x:row r="1529" ht="23" customHeight="1">
      <x:c r="A1529" s="8" t="str">
        <x:v>Open Creek Reservoir</x:v>
      </x:c>
      <x:c r="B1529" s="8" t="str">
        <x:v>6726</x:v>
      </x:c>
      <x:c r="C1529" s="17" t="n">
        <x:v>2021</x:v>
      </x:c>
      <x:c r="D1529" s="8" t="str">
        <x:v>RAINBOW TROUT</x:v>
      </x:c>
      <x:c r="E1529" s="13" t="n">
        <x:f>SUMIFS('Stocking details'!$F$6:$F$3307,'Stocking details'!$I$6:$I$3307,G1529)</x:f>
        <x:v>6115</x:v>
      </x:c>
      <x:c r="F1529" s="13" t="n">
        <x:f>COUNTIFS('Stocking details'!$I$6:$I$3307,G1529)</x:f>
        <x:v>5</x:v>
      </x:c>
      <x:c r="G1529" s="8" t="str">
        <x:f>B1529&amp;" / "&amp;C1529&amp;" / "&amp;D1529</x:f>
        <x:v>6726 / 2021 / RAINBOW TROUT</x:v>
      </x:c>
    </x:row>
    <x:row r="1530" ht="23" customHeight="1">
      <x:c r="A1530" s="8" t="str">
        <x:v>Oyen Pond</x:v>
      </x:c>
      <x:c r="B1530" s="8" t="str">
        <x:v>18020</x:v>
      </x:c>
      <x:c r="C1530" s="17" t="n">
        <x:v>2026</x:v>
      </x:c>
      <x:c r="D1530" s="8" t="str">
        <x:v>RAINBOW TROUT</x:v>
      </x:c>
      <x:c r="E1530" s="13" t="n">
        <x:f>SUMIFS('Stocking details'!$F$6:$F$3307,'Stocking details'!$I$6:$I$3307,G1530)</x:f>
        <x:v>300</x:v>
      </x:c>
      <x:c r="F1530" s="13" t="n">
        <x:f>COUNTIFS('Stocking details'!$I$6:$I$3307,G1530)</x:f>
        <x:v>1</x:v>
      </x:c>
      <x:c r="G1530" s="8" t="str">
        <x:f>B1530&amp;" / "&amp;C1530&amp;" / "&amp;D1530</x:f>
        <x:v>18020 / 2026 / RAINBOW TROUT</x:v>
      </x:c>
    </x:row>
    <x:row r="1531" ht="23" customHeight="1">
      <x:c r="A1531" s="8" t="str">
        <x:v>Oyen Pond</x:v>
      </x:c>
      <x:c r="B1531" s="8" t="str">
        <x:v>18020</x:v>
      </x:c>
      <x:c r="C1531" s="17" t="n">
        <x:v>2025</x:v>
      </x:c>
      <x:c r="D1531" s="8" t="str">
        <x:v>RAINBOW TROUT</x:v>
      </x:c>
      <x:c r="E1531" s="13" t="n">
        <x:f>SUMIFS('Stocking details'!$F$6:$F$3307,'Stocking details'!$I$6:$I$3307,G1531)</x:f>
        <x:v>300</x:v>
      </x:c>
      <x:c r="F1531" s="13" t="n">
        <x:f>COUNTIFS('Stocking details'!$I$6:$I$3307,G1531)</x:f>
        <x:v>1</x:v>
      </x:c>
      <x:c r="G1531" s="8" t="str">
        <x:f>B1531&amp;" / "&amp;C1531&amp;" / "&amp;D1531</x:f>
        <x:v>18020 / 2025 / RAINBOW TROUT</x:v>
      </x:c>
    </x:row>
    <x:row r="1532" ht="23" customHeight="1">
      <x:c r="A1532" s="8" t="str">
        <x:v>Oyen Pond</x:v>
      </x:c>
      <x:c r="B1532" s="8" t="str">
        <x:v>18020</x:v>
      </x:c>
      <x:c r="C1532" s="17" t="n">
        <x:v>2024</x:v>
      </x:c>
      <x:c r="D1532" s="8" t="str">
        <x:v>RAINBOW TROUT</x:v>
      </x:c>
      <x:c r="E1532" s="13" t="n">
        <x:f>SUMIFS('Stocking details'!$F$6:$F$3307,'Stocking details'!$I$6:$I$3307,G1532)</x:f>
        <x:v>350</x:v>
      </x:c>
      <x:c r="F1532" s="13" t="n">
        <x:f>COUNTIFS('Stocking details'!$I$6:$I$3307,G1532)</x:f>
        <x:v>1</x:v>
      </x:c>
      <x:c r="G1532" s="8" t="str">
        <x:f>B1532&amp;" / "&amp;C1532&amp;" / "&amp;D1532</x:f>
        <x:v>18020 / 2024 / RAINBOW TROUT</x:v>
      </x:c>
    </x:row>
    <x:row r="1533" ht="23" customHeight="1">
      <x:c r="A1533" s="8" t="str">
        <x:v>Oyen Pond</x:v>
      </x:c>
      <x:c r="B1533" s="8" t="str">
        <x:v>18020</x:v>
      </x:c>
      <x:c r="C1533" s="17" t="n">
        <x:v>2023</x:v>
      </x:c>
      <x:c r="D1533" s="8" t="str">
        <x:v>RAINBOW TROUT</x:v>
      </x:c>
      <x:c r="E1533" s="13" t="n">
        <x:f>SUMIFS('Stocking details'!$F$6:$F$3307,'Stocking details'!$I$6:$I$3307,G1533)</x:f>
        <x:v>350</x:v>
      </x:c>
      <x:c r="F1533" s="13" t="n">
        <x:f>COUNTIFS('Stocking details'!$I$6:$I$3307,G1533)</x:f>
        <x:v>1</x:v>
      </x:c>
      <x:c r="G1533" s="8" t="str">
        <x:f>B1533&amp;" / "&amp;C1533&amp;" / "&amp;D1533</x:f>
        <x:v>18020 / 2023 / RAINBOW TROUT</x:v>
      </x:c>
    </x:row>
    <x:row r="1534" ht="23" customHeight="1">
      <x:c r="A1534" s="8" t="str">
        <x:v>Oyen Pond</x:v>
      </x:c>
      <x:c r="B1534" s="8" t="str">
        <x:v>18020</x:v>
      </x:c>
      <x:c r="C1534" s="17" t="n">
        <x:v>2022</x:v>
      </x:c>
      <x:c r="D1534" s="8" t="str">
        <x:v>RAINBOW TROUT</x:v>
      </x:c>
      <x:c r="E1534" s="13" t="n">
        <x:f>SUMIFS('Stocking details'!$F$6:$F$3307,'Stocking details'!$I$6:$I$3307,G1534)</x:f>
        <x:v>350</x:v>
      </x:c>
      <x:c r="F1534" s="13" t="n">
        <x:f>COUNTIFS('Stocking details'!$I$6:$I$3307,G1534)</x:f>
        <x:v>1</x:v>
      </x:c>
      <x:c r="G1534" s="8" t="str">
        <x:f>B1534&amp;" / "&amp;C1534&amp;" / "&amp;D1534</x:f>
        <x:v>18020 / 2022 / RAINBOW TROUT</x:v>
      </x:c>
    </x:row>
    <x:row r="1535" ht="23" customHeight="1">
      <x:c r="A1535" s="8" t="str">
        <x:v>Oyen Pond</x:v>
      </x:c>
      <x:c r="B1535" s="8" t="str">
        <x:v>18020</x:v>
      </x:c>
      <x:c r="C1535" s="17" t="n">
        <x:v>2021</x:v>
      </x:c>
      <x:c r="D1535" s="8" t="str">
        <x:v>RAINBOW TROUT</x:v>
      </x:c>
      <x:c r="E1535" s="13" t="n">
        <x:f>SUMIFS('Stocking details'!$F$6:$F$3307,'Stocking details'!$I$6:$I$3307,G1535)</x:f>
        <x:v>300</x:v>
      </x:c>
      <x:c r="F1535" s="13" t="n">
        <x:f>COUNTIFS('Stocking details'!$I$6:$I$3307,G1535)</x:f>
        <x:v>1</x:v>
      </x:c>
      <x:c r="G1535" s="8" t="str">
        <x:f>B1535&amp;" / "&amp;C1535&amp;" / "&amp;D1535</x:f>
        <x:v>18020 / 2021 / RAINBOW TROUT</x:v>
      </x:c>
    </x:row>
    <x:row r="1536" ht="23" customHeight="1">
      <x:c r="A1536" s="8" t="str">
        <x:v>Oyen Reservoir</x:v>
      </x:c>
      <x:c r="B1536" s="8" t="str">
        <x:v>6714</x:v>
      </x:c>
      <x:c r="C1536" s="17" t="n">
        <x:v>2023</x:v>
      </x:c>
      <x:c r="D1536" s="8" t="str">
        <x:v>RAINBOW TROUT</x:v>
      </x:c>
      <x:c r="E1536" s="13" t="n">
        <x:f>SUMIFS('Stocking details'!$F$6:$F$3307,'Stocking details'!$I$6:$I$3307,G1536)</x:f>
        <x:v>300</x:v>
      </x:c>
      <x:c r="F1536" s="13" t="n">
        <x:f>COUNTIFS('Stocking details'!$I$6:$I$3307,G1536)</x:f>
        <x:v>1</x:v>
      </x:c>
      <x:c r="G1536" s="8" t="str">
        <x:f>B1536&amp;" / "&amp;C1536&amp;" / "&amp;D1536</x:f>
        <x:v>6714 / 2023 / RAINBOW TROUT</x:v>
      </x:c>
    </x:row>
    <x:row r="1537" ht="23" customHeight="1">
      <x:c r="A1537" s="8" t="str">
        <x:v>Oyen Reservoir</x:v>
      </x:c>
      <x:c r="B1537" s="8" t="str">
        <x:v>6714</x:v>
      </x:c>
      <x:c r="C1537" s="17" t="n">
        <x:v>2022</x:v>
      </x:c>
      <x:c r="D1537" s="8" t="str">
        <x:v>RAINBOW TROUT</x:v>
      </x:c>
      <x:c r="E1537" s="13" t="n">
        <x:f>SUMIFS('Stocking details'!$F$6:$F$3307,'Stocking details'!$I$6:$I$3307,G1537)</x:f>
        <x:v>300</x:v>
      </x:c>
      <x:c r="F1537" s="13" t="n">
        <x:f>COUNTIFS('Stocking details'!$I$6:$I$3307,G1537)</x:f>
        <x:v>1</x:v>
      </x:c>
      <x:c r="G1537" s="8" t="str">
        <x:f>B1537&amp;" / "&amp;C1537&amp;" / "&amp;D1537</x:f>
        <x:v>6714 / 2022 / RAINBOW TROUT</x:v>
      </x:c>
    </x:row>
    <x:row r="1538" ht="23" customHeight="1">
      <x:c r="A1538" s="8" t="str">
        <x:v>Oyen Reservoir</x:v>
      </x:c>
      <x:c r="B1538" s="8" t="str">
        <x:v>6714</x:v>
      </x:c>
      <x:c r="C1538" s="17" t="n">
        <x:v>2021</x:v>
      </x:c>
      <x:c r="D1538" s="8" t="str">
        <x:v>RAINBOW TROUT</x:v>
      </x:c>
      <x:c r="E1538" s="13" t="n">
        <x:f>SUMIFS('Stocking details'!$F$6:$F$3307,'Stocking details'!$I$6:$I$3307,G1538)</x:f>
        <x:v>250</x:v>
      </x:c>
      <x:c r="F1538" s="13" t="n">
        <x:f>COUNTIFS('Stocking details'!$I$6:$I$3307,G1538)</x:f>
        <x:v>1</x:v>
      </x:c>
      <x:c r="G1538" s="8" t="str">
        <x:f>B1538&amp;" / "&amp;C1538&amp;" / "&amp;D1538</x:f>
        <x:v>6714 / 2021 / RAINBOW TROUT</x:v>
      </x:c>
    </x:row>
    <x:row r="1539" ht="23" customHeight="1">
      <x:c r="A1539" s="8" t="str">
        <x:v>Parker Lake</x:v>
      </x:c>
      <x:c r="B1539" s="8" t="str">
        <x:v>5521</x:v>
      </x:c>
      <x:c r="C1539" s="17" t="n">
        <x:v>2025</x:v>
      </x:c>
      <x:c r="D1539" s="8" t="str">
        <x:v>RAINBOW TROUT</x:v>
      </x:c>
      <x:c r="E1539" s="13" t="n">
        <x:f>SUMIFS('Stocking details'!$F$6:$F$3307,'Stocking details'!$I$6:$I$3307,G1539)</x:f>
        <x:v>7000</x:v>
      </x:c>
      <x:c r="F1539" s="13" t="n">
        <x:f>COUNTIFS('Stocking details'!$I$6:$I$3307,G1539)</x:f>
        <x:v>1</x:v>
      </x:c>
      <x:c r="G1539" s="8" t="str">
        <x:f>B1539&amp;" / "&amp;C1539&amp;" / "&amp;D1539</x:f>
        <x:v>5521 / 2025 / RAINBOW TROUT</x:v>
      </x:c>
    </x:row>
    <x:row r="1540" ht="23" customHeight="1">
      <x:c r="A1540" s="8" t="str">
        <x:v>Parker Lake</x:v>
      </x:c>
      <x:c r="B1540" s="8" t="str">
        <x:v>5521</x:v>
      </x:c>
      <x:c r="C1540" s="17" t="n">
        <x:v>2023</x:v>
      </x:c>
      <x:c r="D1540" s="8" t="str">
        <x:v>BROOK TROUT</x:v>
      </x:c>
      <x:c r="E1540" s="13" t="n">
        <x:f>SUMIFS('Stocking details'!$F$6:$F$3307,'Stocking details'!$I$6:$I$3307,G1540)</x:f>
        <x:v>2700</x:v>
      </x:c>
      <x:c r="F1540" s="13" t="n">
        <x:f>COUNTIFS('Stocking details'!$I$6:$I$3307,G1540)</x:f>
        <x:v>1</x:v>
      </x:c>
      <x:c r="G1540" s="8" t="str">
        <x:f>B1540&amp;" / "&amp;C1540&amp;" / "&amp;D1540</x:f>
        <x:v>5521 / 2023 / BROOK TROUT</x:v>
      </x:c>
    </x:row>
    <x:row r="1541" ht="23" customHeight="1">
      <x:c r="A1541" s="8" t="str">
        <x:v>Parker Lake</x:v>
      </x:c>
      <x:c r="B1541" s="8" t="str">
        <x:v>5521</x:v>
      </x:c>
      <x:c r="C1541" s="17" t="n">
        <x:v>2022</x:v>
      </x:c>
      <x:c r="D1541" s="8" t="str">
        <x:v>RAINBOW TROUT</x:v>
      </x:c>
      <x:c r="E1541" s="13" t="n">
        <x:f>SUMIFS('Stocking details'!$F$6:$F$3307,'Stocking details'!$I$6:$I$3307,G1541)</x:f>
        <x:v>7800</x:v>
      </x:c>
      <x:c r="F1541" s="13" t="n">
        <x:f>COUNTIFS('Stocking details'!$I$6:$I$3307,G1541)</x:f>
        <x:v>1</x:v>
      </x:c>
      <x:c r="G1541" s="8" t="str">
        <x:f>B1541&amp;" / "&amp;C1541&amp;" / "&amp;D1541</x:f>
        <x:v>5521 / 2022 / RAINBOW TROUT</x:v>
      </x:c>
    </x:row>
    <x:row r="1542" ht="23" customHeight="1">
      <x:c r="A1542" s="8" t="str">
        <x:v>Parker Lake</x:v>
      </x:c>
      <x:c r="B1542" s="8" t="str">
        <x:v>5521</x:v>
      </x:c>
      <x:c r="C1542" s="17" t="n">
        <x:v>2021</x:v>
      </x:c>
      <x:c r="D1542" s="8" t="str">
        <x:v>RAINBOW TROUT</x:v>
      </x:c>
      <x:c r="E1542" s="13" t="n">
        <x:f>SUMIFS('Stocking details'!$F$6:$F$3307,'Stocking details'!$I$6:$I$3307,G1542)</x:f>
        <x:v>7800</x:v>
      </x:c>
      <x:c r="F1542" s="13" t="n">
        <x:f>COUNTIFS('Stocking details'!$I$6:$I$3307,G1542)</x:f>
        <x:v>1</x:v>
      </x:c>
      <x:c r="G1542" s="8" t="str">
        <x:f>B1542&amp;" / "&amp;C1542&amp;" / "&amp;D1542</x:f>
        <x:v>5521 / 2021 / RAINBOW TROUT</x:v>
      </x:c>
    </x:row>
    <x:row r="1543" ht="23" customHeight="1">
      <x:c r="A1543" s="8" t="str">
        <x:v>Peanut Lake</x:v>
      </x:c>
      <x:c r="B1543" s="8" t="str">
        <x:v>5538</x:v>
      </x:c>
      <x:c r="C1543" s="17" t="n">
        <x:v>2026</x:v>
      </x:c>
      <x:c r="D1543" s="8" t="str">
        <x:v>BROOK TROUT</x:v>
      </x:c>
      <x:c r="E1543" s="13" t="n">
        <x:f>SUMIFS('Stocking details'!$F$6:$F$3307,'Stocking details'!$I$6:$I$3307,G1543)</x:f>
        <x:v>5000</x:v>
      </x:c>
      <x:c r="F1543" s="13" t="n">
        <x:f>COUNTIFS('Stocking details'!$I$6:$I$3307,G1543)</x:f>
        <x:v>1</x:v>
      </x:c>
      <x:c r="G1543" s="8" t="str">
        <x:f>B1543&amp;" / "&amp;C1543&amp;" / "&amp;D1543</x:f>
        <x:v>5538 / 2026 / BROOK TROUT</x:v>
      </x:c>
    </x:row>
    <x:row r="1544" ht="23" customHeight="1">
      <x:c r="A1544" s="8" t="str">
        <x:v>Peanut Lake</x:v>
      </x:c>
      <x:c r="B1544" s="8" t="str">
        <x:v>5538</x:v>
      </x:c>
      <x:c r="C1544" s="17" t="n">
        <x:v>2025</x:v>
      </x:c>
      <x:c r="D1544" s="8" t="str">
        <x:v>BROOK TROUT</x:v>
      </x:c>
      <x:c r="E1544" s="13" t="n">
        <x:f>SUMIFS('Stocking details'!$F$6:$F$3307,'Stocking details'!$I$6:$I$3307,G1544)</x:f>
        <x:v>5000</x:v>
      </x:c>
      <x:c r="F1544" s="13" t="n">
        <x:f>COUNTIFS('Stocking details'!$I$6:$I$3307,G1544)</x:f>
        <x:v>1</x:v>
      </x:c>
      <x:c r="G1544" s="8" t="str">
        <x:f>B1544&amp;" / "&amp;C1544&amp;" / "&amp;D1544</x:f>
        <x:v>5538 / 2025 / BROOK TROUT</x:v>
      </x:c>
    </x:row>
    <x:row r="1545" ht="23" customHeight="1">
      <x:c r="A1545" s="8" t="str">
        <x:v>Peanut Lake</x:v>
      </x:c>
      <x:c r="B1545" s="8" t="str">
        <x:v>5538</x:v>
      </x:c>
      <x:c r="C1545" s="17" t="n">
        <x:v>2025</x:v>
      </x:c>
      <x:c r="D1545" s="8" t="str">
        <x:v>RAINBOW TROUT</x:v>
      </x:c>
      <x:c r="E1545" s="13" t="n">
        <x:f>SUMIFS('Stocking details'!$F$6:$F$3307,'Stocking details'!$I$6:$I$3307,G1545)</x:f>
        <x:v>16200</x:v>
      </x:c>
      <x:c r="F1545" s="13" t="n">
        <x:f>COUNTIFS('Stocking details'!$I$6:$I$3307,G1545)</x:f>
        <x:v>2</x:v>
      </x:c>
      <x:c r="G1545" s="8" t="str">
        <x:f>B1545&amp;" / "&amp;C1545&amp;" / "&amp;D1545</x:f>
        <x:v>5538 / 2025 / RAINBOW TROUT</x:v>
      </x:c>
    </x:row>
    <x:row r="1546" ht="23" customHeight="1">
      <x:c r="A1546" s="8" t="str">
        <x:v>Peanut Lake</x:v>
      </x:c>
      <x:c r="B1546" s="8" t="str">
        <x:v>5538</x:v>
      </x:c>
      <x:c r="C1546" s="17" t="n">
        <x:v>2024</x:v>
      </x:c>
      <x:c r="D1546" s="8" t="str">
        <x:v>BROOK TROUT</x:v>
      </x:c>
      <x:c r="E1546" s="13" t="n">
        <x:f>SUMIFS('Stocking details'!$F$6:$F$3307,'Stocking details'!$I$6:$I$3307,G1546)</x:f>
        <x:v>2500</x:v>
      </x:c>
      <x:c r="F1546" s="13" t="n">
        <x:f>COUNTIFS('Stocking details'!$I$6:$I$3307,G1546)</x:f>
        <x:v>1</x:v>
      </x:c>
      <x:c r="G1546" s="8" t="str">
        <x:f>B1546&amp;" / "&amp;C1546&amp;" / "&amp;D1546</x:f>
        <x:v>5538 / 2024 / BROOK TROUT</x:v>
      </x:c>
    </x:row>
    <x:row r="1547" ht="23" customHeight="1">
      <x:c r="A1547" s="8" t="str">
        <x:v>Peanut Lake</x:v>
      </x:c>
      <x:c r="B1547" s="8" t="str">
        <x:v>5538</x:v>
      </x:c>
      <x:c r="C1547" s="17" t="n">
        <x:v>2024</x:v>
      </x:c>
      <x:c r="D1547" s="8" t="str">
        <x:v>RAINBOW TROUT</x:v>
      </x:c>
      <x:c r="E1547" s="13" t="n">
        <x:f>SUMIFS('Stocking details'!$F$6:$F$3307,'Stocking details'!$I$6:$I$3307,G1547)</x:f>
        <x:v>14200</x:v>
      </x:c>
      <x:c r="F1547" s="13" t="n">
        <x:f>COUNTIFS('Stocking details'!$I$6:$I$3307,G1547)</x:f>
        <x:v>2</x:v>
      </x:c>
      <x:c r="G1547" s="8" t="str">
        <x:f>B1547&amp;" / "&amp;C1547&amp;" / "&amp;D1547</x:f>
        <x:v>5538 / 2024 / RAINBOW TROUT</x:v>
      </x:c>
    </x:row>
    <x:row r="1548" ht="23" customHeight="1">
      <x:c r="A1548" s="8" t="str">
        <x:v>Peanut Lake</x:v>
      </x:c>
      <x:c r="B1548" s="8" t="str">
        <x:v>5538</x:v>
      </x:c>
      <x:c r="C1548" s="17" t="n">
        <x:v>2023</x:v>
      </x:c>
      <x:c r="D1548" s="8" t="str">
        <x:v>BROOK TROUT</x:v>
      </x:c>
      <x:c r="E1548" s="13" t="n">
        <x:f>SUMIFS('Stocking details'!$F$6:$F$3307,'Stocking details'!$I$6:$I$3307,G1548)</x:f>
        <x:v>8500</x:v>
      </x:c>
      <x:c r="F1548" s="13" t="n">
        <x:f>COUNTIFS('Stocking details'!$I$6:$I$3307,G1548)</x:f>
        <x:v>2</x:v>
      </x:c>
      <x:c r="G1548" s="8" t="str">
        <x:f>B1548&amp;" / "&amp;C1548&amp;" / "&amp;D1548</x:f>
        <x:v>5538 / 2023 / BROOK TROUT</x:v>
      </x:c>
    </x:row>
    <x:row r="1549" ht="23" customHeight="1">
      <x:c r="A1549" s="8" t="str">
        <x:v>Peanut Lake</x:v>
      </x:c>
      <x:c r="B1549" s="8" t="str">
        <x:v>5538</x:v>
      </x:c>
      <x:c r="C1549" s="17" t="n">
        <x:v>2023</x:v>
      </x:c>
      <x:c r="D1549" s="8" t="str">
        <x:v>RAINBOW TROUT</x:v>
      </x:c>
      <x:c r="E1549" s="13" t="n">
        <x:f>SUMIFS('Stocking details'!$F$6:$F$3307,'Stocking details'!$I$6:$I$3307,G1549)</x:f>
        <x:v>4029</x:v>
      </x:c>
      <x:c r="F1549" s="13" t="n">
        <x:f>COUNTIFS('Stocking details'!$I$6:$I$3307,G1549)</x:f>
        <x:v>1</x:v>
      </x:c>
      <x:c r="G1549" s="8" t="str">
        <x:f>B1549&amp;" / "&amp;C1549&amp;" / "&amp;D1549</x:f>
        <x:v>5538 / 2023 / RAINBOW TROUT</x:v>
      </x:c>
    </x:row>
    <x:row r="1550" ht="23" customHeight="1">
      <x:c r="A1550" s="8" t="str">
        <x:v>Peanut Lake</x:v>
      </x:c>
      <x:c r="B1550" s="8" t="str">
        <x:v>5538</x:v>
      </x:c>
      <x:c r="C1550" s="17" t="n">
        <x:v>2022</x:v>
      </x:c>
      <x:c r="D1550" s="8" t="str">
        <x:v>BROOK TROUT</x:v>
      </x:c>
      <x:c r="E1550" s="13" t="n">
        <x:f>SUMIFS('Stocking details'!$F$6:$F$3307,'Stocking details'!$I$6:$I$3307,G1550)</x:f>
        <x:v>5000</x:v>
      </x:c>
      <x:c r="F1550" s="13" t="n">
        <x:f>COUNTIFS('Stocking details'!$I$6:$I$3307,G1550)</x:f>
        <x:v>1</x:v>
      </x:c>
      <x:c r="G1550" s="8" t="str">
        <x:f>B1550&amp;" / "&amp;C1550&amp;" / "&amp;D1550</x:f>
        <x:v>5538 / 2022 / BROOK TROUT</x:v>
      </x:c>
    </x:row>
    <x:row r="1551" ht="23" customHeight="1">
      <x:c r="A1551" s="8" t="str">
        <x:v>Peanut Lake</x:v>
      </x:c>
      <x:c r="B1551" s="8" t="str">
        <x:v>5538</x:v>
      </x:c>
      <x:c r="C1551" s="17" t="n">
        <x:v>2021</x:v>
      </x:c>
      <x:c r="D1551" s="8" t="str">
        <x:v>BROOK TROUT</x:v>
      </x:c>
      <x:c r="E1551" s="13" t="n">
        <x:f>SUMIFS('Stocking details'!$F$6:$F$3307,'Stocking details'!$I$6:$I$3307,G1551)</x:f>
        <x:v>5000</x:v>
      </x:c>
      <x:c r="F1551" s="13" t="n">
        <x:f>COUNTIFS('Stocking details'!$I$6:$I$3307,G1551)</x:f>
        <x:v>1</x:v>
      </x:c>
      <x:c r="G1551" s="8" t="str">
        <x:f>B1551&amp;" / "&amp;C1551&amp;" / "&amp;D1551</x:f>
        <x:v>5538 / 2021 / BROOK TROUT</x:v>
      </x:c>
    </x:row>
    <x:row r="1552" ht="23" customHeight="1">
      <x:c r="A1552" s="8" t="str">
        <x:v>Peanut Lake</x:v>
      </x:c>
      <x:c r="B1552" s="8" t="str">
        <x:v>5538</x:v>
      </x:c>
      <x:c r="C1552" s="17" t="n">
        <x:v>2021</x:v>
      </x:c>
      <x:c r="D1552" s="8" t="str">
        <x:v>RAINBOW TROUT</x:v>
      </x:c>
      <x:c r="E1552" s="13" t="n">
        <x:f>SUMIFS('Stocking details'!$F$6:$F$3307,'Stocking details'!$I$6:$I$3307,G1552)</x:f>
        <x:v>15000</x:v>
      </x:c>
      <x:c r="F1552" s="13" t="n">
        <x:f>COUNTIFS('Stocking details'!$I$6:$I$3307,G1552)</x:f>
        <x:v>2</x:v>
      </x:c>
      <x:c r="G1552" s="8" t="str">
        <x:f>B1552&amp;" / "&amp;C1552&amp;" / "&amp;D1552</x:f>
        <x:v>5538 / 2021 / RAINBOW TROUT</x:v>
      </x:c>
    </x:row>
    <x:row r="1553" ht="23" customHeight="1">
      <x:c r="A1553" s="8" t="str">
        <x:v>Peppers Lake</x:v>
      </x:c>
      <x:c r="B1553" s="8" t="str">
        <x:v>5555</x:v>
      </x:c>
      <x:c r="C1553" s="17" t="n">
        <x:v>2026</x:v>
      </x:c>
      <x:c r="D1553" s="8" t="str">
        <x:v>BROOK TROUT</x:v>
      </x:c>
      <x:c r="E1553" s="13" t="n">
        <x:f>SUMIFS('Stocking details'!$F$6:$F$3307,'Stocking details'!$I$6:$I$3307,G1553)</x:f>
        <x:v>4000</x:v>
      </x:c>
      <x:c r="F1553" s="13" t="n">
        <x:f>COUNTIFS('Stocking details'!$I$6:$I$3307,G1553)</x:f>
        <x:v>1</x:v>
      </x:c>
      <x:c r="G1553" s="8" t="str">
        <x:f>B1553&amp;" / "&amp;C1553&amp;" / "&amp;D1553</x:f>
        <x:v>5555 / 2026 / BROOK TROUT</x:v>
      </x:c>
    </x:row>
    <x:row r="1554" ht="23" customHeight="1">
      <x:c r="A1554" s="8" t="str">
        <x:v>Peppers Lake</x:v>
      </x:c>
      <x:c r="B1554" s="8" t="str">
        <x:v>5555</x:v>
      </x:c>
      <x:c r="C1554" s="17" t="n">
        <x:v>2026</x:v>
      </x:c>
      <x:c r="D1554" s="8" t="str">
        <x:v>RAINBOW TROUT</x:v>
      </x:c>
      <x:c r="E1554" s="13" t="n">
        <x:f>SUMIFS('Stocking details'!$F$6:$F$3307,'Stocking details'!$I$6:$I$3307,G1554)</x:f>
        <x:v>2800</x:v>
      </x:c>
      <x:c r="F1554" s="13" t="n">
        <x:f>COUNTIFS('Stocking details'!$I$6:$I$3307,G1554)</x:f>
        <x:v>1</x:v>
      </x:c>
      <x:c r="G1554" s="8" t="str">
        <x:f>B1554&amp;" / "&amp;C1554&amp;" / "&amp;D1554</x:f>
        <x:v>5555 / 2026 / RAINBOW TROUT</x:v>
      </x:c>
    </x:row>
    <x:row r="1555" ht="23" customHeight="1">
      <x:c r="A1555" s="8" t="str">
        <x:v>Peppers Lake</x:v>
      </x:c>
      <x:c r="B1555" s="8" t="str">
        <x:v>5555</x:v>
      </x:c>
      <x:c r="C1555" s="17" t="n">
        <x:v>2025</x:v>
      </x:c>
      <x:c r="D1555" s="8" t="str">
        <x:v>BROOK TROUT</x:v>
      </x:c>
      <x:c r="E1555" s="13" t="n">
        <x:f>SUMIFS('Stocking details'!$F$6:$F$3307,'Stocking details'!$I$6:$I$3307,G1555)</x:f>
        <x:v>4000</x:v>
      </x:c>
      <x:c r="F1555" s="13" t="n">
        <x:f>COUNTIFS('Stocking details'!$I$6:$I$3307,G1555)</x:f>
        <x:v>1</x:v>
      </x:c>
      <x:c r="G1555" s="8" t="str">
        <x:f>B1555&amp;" / "&amp;C1555&amp;" / "&amp;D1555</x:f>
        <x:v>5555 / 2025 / BROOK TROUT</x:v>
      </x:c>
    </x:row>
    <x:row r="1556" ht="23" customHeight="1">
      <x:c r="A1556" s="8" t="str">
        <x:v>Peppers Lake</x:v>
      </x:c>
      <x:c r="B1556" s="8" t="str">
        <x:v>5555</x:v>
      </x:c>
      <x:c r="C1556" s="17" t="n">
        <x:v>2025</x:v>
      </x:c>
      <x:c r="D1556" s="8" t="str">
        <x:v>RAINBOW TROUT</x:v>
      </x:c>
      <x:c r="E1556" s="13" t="n">
        <x:f>SUMIFS('Stocking details'!$F$6:$F$3307,'Stocking details'!$I$6:$I$3307,G1556)</x:f>
        <x:v>2800</x:v>
      </x:c>
      <x:c r="F1556" s="13" t="n">
        <x:f>COUNTIFS('Stocking details'!$I$6:$I$3307,G1556)</x:f>
        <x:v>1</x:v>
      </x:c>
      <x:c r="G1556" s="8" t="str">
        <x:f>B1556&amp;" / "&amp;C1556&amp;" / "&amp;D1556</x:f>
        <x:v>5555 / 2025 / RAINBOW TROUT</x:v>
      </x:c>
    </x:row>
    <x:row r="1557" ht="23" customHeight="1">
      <x:c r="A1557" s="8" t="str">
        <x:v>Peppers Lake</x:v>
      </x:c>
      <x:c r="B1557" s="8" t="str">
        <x:v>5555</x:v>
      </x:c>
      <x:c r="C1557" s="17" t="n">
        <x:v>2024</x:v>
      </x:c>
      <x:c r="D1557" s="8" t="str">
        <x:v>BROOK TROUT</x:v>
      </x:c>
      <x:c r="E1557" s="13" t="n">
        <x:f>SUMIFS('Stocking details'!$F$6:$F$3307,'Stocking details'!$I$6:$I$3307,G1557)</x:f>
        <x:v>3500</x:v>
      </x:c>
      <x:c r="F1557" s="13" t="n">
        <x:f>COUNTIFS('Stocking details'!$I$6:$I$3307,G1557)</x:f>
        <x:v>1</x:v>
      </x:c>
      <x:c r="G1557" s="8" t="str">
        <x:f>B1557&amp;" / "&amp;C1557&amp;" / "&amp;D1557</x:f>
        <x:v>5555 / 2024 / BROOK TROUT</x:v>
      </x:c>
    </x:row>
    <x:row r="1558" ht="23" customHeight="1">
      <x:c r="A1558" s="8" t="str">
        <x:v>Peppers Lake</x:v>
      </x:c>
      <x:c r="B1558" s="8" t="str">
        <x:v>5555</x:v>
      </x:c>
      <x:c r="C1558" s="17" t="n">
        <x:v>2024</x:v>
      </x:c>
      <x:c r="D1558" s="8" t="str">
        <x:v>RAINBOW TROUT</x:v>
      </x:c>
      <x:c r="E1558" s="13" t="n">
        <x:f>SUMIFS('Stocking details'!$F$6:$F$3307,'Stocking details'!$I$6:$I$3307,G1558)</x:f>
        <x:v>1400</x:v>
      </x:c>
      <x:c r="F1558" s="13" t="n">
        <x:f>COUNTIFS('Stocking details'!$I$6:$I$3307,G1558)</x:f>
        <x:v>1</x:v>
      </x:c>
      <x:c r="G1558" s="8" t="str">
        <x:f>B1558&amp;" / "&amp;C1558&amp;" / "&amp;D1558</x:f>
        <x:v>5555 / 2024 / RAINBOW TROUT</x:v>
      </x:c>
    </x:row>
    <x:row r="1559" ht="23" customHeight="1">
      <x:c r="A1559" s="8" t="str">
        <x:v>Peppers Lake</x:v>
      </x:c>
      <x:c r="B1559" s="8" t="str">
        <x:v>5555</x:v>
      </x:c>
      <x:c r="C1559" s="17" t="n">
        <x:v>2023</x:v>
      </x:c>
      <x:c r="D1559" s="8" t="str">
        <x:v>BROOK TROUT</x:v>
      </x:c>
      <x:c r="E1559" s="13" t="n">
        <x:f>SUMIFS('Stocking details'!$F$6:$F$3307,'Stocking details'!$I$6:$I$3307,G1559)</x:f>
        <x:v>8000</x:v>
      </x:c>
      <x:c r="F1559" s="13" t="n">
        <x:f>COUNTIFS('Stocking details'!$I$6:$I$3307,G1559)</x:f>
        <x:v>2</x:v>
      </x:c>
      <x:c r="G1559" s="8" t="str">
        <x:f>B1559&amp;" / "&amp;C1559&amp;" / "&amp;D1559</x:f>
        <x:v>5555 / 2023 / BROOK TROUT</x:v>
      </x:c>
    </x:row>
    <x:row r="1560" ht="23" customHeight="1">
      <x:c r="A1560" s="8" t="str">
        <x:v>Peppers Lake</x:v>
      </x:c>
      <x:c r="B1560" s="8" t="str">
        <x:v>5555</x:v>
      </x:c>
      <x:c r="C1560" s="17" t="n">
        <x:v>2023</x:v>
      </x:c>
      <x:c r="D1560" s="8" t="str">
        <x:v>RAINBOW TROUT</x:v>
      </x:c>
      <x:c r="E1560" s="13" t="n">
        <x:f>SUMIFS('Stocking details'!$F$6:$F$3307,'Stocking details'!$I$6:$I$3307,G1560)</x:f>
        <x:v>2406</x:v>
      </x:c>
      <x:c r="F1560" s="13" t="n">
        <x:f>COUNTIFS('Stocking details'!$I$6:$I$3307,G1560)</x:f>
        <x:v>2</x:v>
      </x:c>
      <x:c r="G1560" s="8" t="str">
        <x:f>B1560&amp;" / "&amp;C1560&amp;" / "&amp;D1560</x:f>
        <x:v>5555 / 2023 / RAINBOW TROUT</x:v>
      </x:c>
    </x:row>
    <x:row r="1561" ht="23" customHeight="1">
      <x:c r="A1561" s="8" t="str">
        <x:v>Peppers Lake</x:v>
      </x:c>
      <x:c r="B1561" s="8" t="str">
        <x:v>5555</x:v>
      </x:c>
      <x:c r="C1561" s="17" t="n">
        <x:v>2022</x:v>
      </x:c>
      <x:c r="D1561" s="8" t="str">
        <x:v>BROOK TROUT</x:v>
      </x:c>
      <x:c r="E1561" s="13" t="n">
        <x:f>SUMIFS('Stocking details'!$F$6:$F$3307,'Stocking details'!$I$6:$I$3307,G1561)</x:f>
        <x:v>7419</x:v>
      </x:c>
      <x:c r="F1561" s="13" t="n">
        <x:f>COUNTIFS('Stocking details'!$I$6:$I$3307,G1561)</x:f>
        <x:v>4</x:v>
      </x:c>
      <x:c r="G1561" s="8" t="str">
        <x:f>B1561&amp;" / "&amp;C1561&amp;" / "&amp;D1561</x:f>
        <x:v>5555 / 2022 / BROOK TROUT</x:v>
      </x:c>
    </x:row>
    <x:row r="1562" ht="23" customHeight="1">
      <x:c r="A1562" s="8" t="str">
        <x:v>Peppers Lake</x:v>
      </x:c>
      <x:c r="B1562" s="8" t="str">
        <x:v>5555</x:v>
      </x:c>
      <x:c r="C1562" s="17" t="n">
        <x:v>2022</x:v>
      </x:c>
      <x:c r="D1562" s="8" t="str">
        <x:v>RAINBOW TROUT</x:v>
      </x:c>
      <x:c r="E1562" s="13" t="n">
        <x:f>SUMIFS('Stocking details'!$F$6:$F$3307,'Stocking details'!$I$6:$I$3307,G1562)</x:f>
        <x:v>2971</x:v>
      </x:c>
      <x:c r="F1562" s="13" t="n">
        <x:f>COUNTIFS('Stocking details'!$I$6:$I$3307,G1562)</x:f>
        <x:v>2</x:v>
      </x:c>
      <x:c r="G1562" s="8" t="str">
        <x:f>B1562&amp;" / "&amp;C1562&amp;" / "&amp;D1562</x:f>
        <x:v>5555 / 2022 / RAINBOW TROUT</x:v>
      </x:c>
    </x:row>
    <x:row r="1563" ht="23" customHeight="1">
      <x:c r="A1563" s="8" t="str">
        <x:v>Peppers Lake</x:v>
      </x:c>
      <x:c r="B1563" s="8" t="str">
        <x:v>5555</x:v>
      </x:c>
      <x:c r="C1563" s="17" t="n">
        <x:v>2021</x:v>
      </x:c>
      <x:c r="D1563" s="8" t="str">
        <x:v>BROOK TROUT</x:v>
      </x:c>
      <x:c r="E1563" s="13" t="n">
        <x:f>SUMIFS('Stocking details'!$F$6:$F$3307,'Stocking details'!$I$6:$I$3307,G1563)</x:f>
        <x:v>4000</x:v>
      </x:c>
      <x:c r="F1563" s="13" t="n">
        <x:f>COUNTIFS('Stocking details'!$I$6:$I$3307,G1563)</x:f>
        <x:v>1</x:v>
      </x:c>
      <x:c r="G1563" s="8" t="str">
        <x:f>B1563&amp;" / "&amp;C1563&amp;" / "&amp;D1563</x:f>
        <x:v>5555 / 2021 / BROOK TROUT</x:v>
      </x:c>
    </x:row>
    <x:row r="1564" ht="23" customHeight="1">
      <x:c r="A1564" s="8" t="str">
        <x:v>Peppers Lake</x:v>
      </x:c>
      <x:c r="B1564" s="8" t="str">
        <x:v>5555</x:v>
      </x:c>
      <x:c r="C1564" s="17" t="n">
        <x:v>2021</x:v>
      </x:c>
      <x:c r="D1564" s="8" t="str">
        <x:v>RAINBOW TROUT</x:v>
      </x:c>
      <x:c r="E1564" s="13" t="n">
        <x:f>SUMIFS('Stocking details'!$F$6:$F$3307,'Stocking details'!$I$6:$I$3307,G1564)</x:f>
        <x:v>2800</x:v>
      </x:c>
      <x:c r="F1564" s="13" t="n">
        <x:f>COUNTIFS('Stocking details'!$I$6:$I$3307,G1564)</x:f>
        <x:v>1</x:v>
      </x:c>
      <x:c r="G1564" s="8" t="str">
        <x:f>B1564&amp;" / "&amp;C1564&amp;" / "&amp;D1564</x:f>
        <x:v>5555 / 2021 / RAINBOW TROUT</x:v>
      </x:c>
    </x:row>
    <x:row r="1565" ht="23" customHeight="1">
      <x:c r="A1565" s="8" t="str">
        <x:v>Petite Lake</x:v>
      </x:c>
      <x:c r="B1565" s="8" t="str">
        <x:v>5565</x:v>
      </x:c>
      <x:c r="C1565" s="17" t="n">
        <x:v>2026</x:v>
      </x:c>
      <x:c r="D1565" s="8" t="str">
        <x:v>RAINBOW TROUT</x:v>
      </x:c>
      <x:c r="E1565" s="13" t="n">
        <x:f>SUMIFS('Stocking details'!$F$6:$F$3307,'Stocking details'!$I$6:$I$3307,G1565)</x:f>
        <x:v>2000</x:v>
      </x:c>
      <x:c r="F1565" s="13" t="n">
        <x:f>COUNTIFS('Stocking details'!$I$6:$I$3307,G1565)</x:f>
        <x:v>1</x:v>
      </x:c>
      <x:c r="G1565" s="8" t="str">
        <x:f>B1565&amp;" / "&amp;C1565&amp;" / "&amp;D1565</x:f>
        <x:v>5565 / 2026 / RAINBOW TROUT</x:v>
      </x:c>
    </x:row>
    <x:row r="1566" ht="23" customHeight="1">
      <x:c r="A1566" s="8" t="str">
        <x:v>Petite Lake</x:v>
      </x:c>
      <x:c r="B1566" s="8" t="str">
        <x:v>5565</x:v>
      </x:c>
      <x:c r="C1566" s="17" t="n">
        <x:v>2025</x:v>
      </x:c>
      <x:c r="D1566" s="8" t="str">
        <x:v>RAINBOW TROUT</x:v>
      </x:c>
      <x:c r="E1566" s="13" t="n">
        <x:f>SUMIFS('Stocking details'!$F$6:$F$3307,'Stocking details'!$I$6:$I$3307,G1566)</x:f>
        <x:v>2000</x:v>
      </x:c>
      <x:c r="F1566" s="13" t="n">
        <x:f>COUNTIFS('Stocking details'!$I$6:$I$3307,G1566)</x:f>
        <x:v>1</x:v>
      </x:c>
      <x:c r="G1566" s="8" t="str">
        <x:f>B1566&amp;" / "&amp;C1566&amp;" / "&amp;D1566</x:f>
        <x:v>5565 / 2025 / RAINBOW TROUT</x:v>
      </x:c>
    </x:row>
    <x:row r="1567" ht="23" customHeight="1">
      <x:c r="A1567" s="8" t="str">
        <x:v>Petite Lake</x:v>
      </x:c>
      <x:c r="B1567" s="8" t="str">
        <x:v>5565</x:v>
      </x:c>
      <x:c r="C1567" s="17" t="n">
        <x:v>2024</x:v>
      </x:c>
      <x:c r="D1567" s="8" t="str">
        <x:v>RAINBOW TROUT</x:v>
      </x:c>
      <x:c r="E1567" s="13" t="n">
        <x:f>SUMIFS('Stocking details'!$F$6:$F$3307,'Stocking details'!$I$6:$I$3307,G1567)</x:f>
        <x:v>1000</x:v>
      </x:c>
      <x:c r="F1567" s="13" t="n">
        <x:f>COUNTIFS('Stocking details'!$I$6:$I$3307,G1567)</x:f>
        <x:v>1</x:v>
      </x:c>
      <x:c r="G1567" s="8" t="str">
        <x:f>B1567&amp;" / "&amp;C1567&amp;" / "&amp;D1567</x:f>
        <x:v>5565 / 2024 / RAINBOW TROUT</x:v>
      </x:c>
    </x:row>
    <x:row r="1568" ht="23" customHeight="1">
      <x:c r="A1568" s="8" t="str">
        <x:v>Petite Lake</x:v>
      </x:c>
      <x:c r="B1568" s="8" t="str">
        <x:v>5565</x:v>
      </x:c>
      <x:c r="C1568" s="17" t="n">
        <x:v>2023</x:v>
      </x:c>
      <x:c r="D1568" s="8" t="str">
        <x:v>RAINBOW TROUT</x:v>
      </x:c>
      <x:c r="E1568" s="13" t="n">
        <x:f>SUMIFS('Stocking details'!$F$6:$F$3307,'Stocking details'!$I$6:$I$3307,G1568)</x:f>
        <x:v>948</x:v>
      </x:c>
      <x:c r="F1568" s="13" t="n">
        <x:f>COUNTIFS('Stocking details'!$I$6:$I$3307,G1568)</x:f>
        <x:v>1</x:v>
      </x:c>
      <x:c r="G1568" s="8" t="str">
        <x:f>B1568&amp;" / "&amp;C1568&amp;" / "&amp;D1568</x:f>
        <x:v>5565 / 2023 / RAINBOW TROUT</x:v>
      </x:c>
    </x:row>
    <x:row r="1569" ht="23" customHeight="1">
      <x:c r="A1569" s="8" t="str">
        <x:v>Petite Lake</x:v>
      </x:c>
      <x:c r="B1569" s="8" t="str">
        <x:v>5565</x:v>
      </x:c>
      <x:c r="C1569" s="17" t="n">
        <x:v>2022</x:v>
      </x:c>
      <x:c r="D1569" s="8" t="str">
        <x:v>RAINBOW TROUT</x:v>
      </x:c>
      <x:c r="E1569" s="13" t="n">
        <x:f>SUMIFS('Stocking details'!$F$6:$F$3307,'Stocking details'!$I$6:$I$3307,G1569)</x:f>
        <x:v>2000</x:v>
      </x:c>
      <x:c r="F1569" s="13" t="n">
        <x:f>COUNTIFS('Stocking details'!$I$6:$I$3307,G1569)</x:f>
        <x:v>1</x:v>
      </x:c>
      <x:c r="G1569" s="8" t="str">
        <x:f>B1569&amp;" / "&amp;C1569&amp;" / "&amp;D1569</x:f>
        <x:v>5565 / 2022 / RAINBOW TROUT</x:v>
      </x:c>
    </x:row>
    <x:row r="1570" ht="23" customHeight="1">
      <x:c r="A1570" s="8" t="str">
        <x:v>Petite Lake</x:v>
      </x:c>
      <x:c r="B1570" s="8" t="str">
        <x:v>5565</x:v>
      </x:c>
      <x:c r="C1570" s="17" t="n">
        <x:v>2021</x:v>
      </x:c>
      <x:c r="D1570" s="8" t="str">
        <x:v>RAINBOW TROUT</x:v>
      </x:c>
      <x:c r="E1570" s="13" t="n">
        <x:f>SUMIFS('Stocking details'!$F$6:$F$3307,'Stocking details'!$I$6:$I$3307,G1570)</x:f>
        <x:v>2000</x:v>
      </x:c>
      <x:c r="F1570" s="13" t="n">
        <x:f>COUNTIFS('Stocking details'!$I$6:$I$3307,G1570)</x:f>
        <x:v>2</x:v>
      </x:c>
      <x:c r="G1570" s="8" t="str">
        <x:f>B1570&amp;" / "&amp;C1570&amp;" / "&amp;D1570</x:f>
        <x:v>5565 / 2021 / RAINBOW TROUT</x:v>
      </x:c>
    </x:row>
    <x:row r="1571" ht="23" customHeight="1">
      <x:c r="A1571" s="8" t="str">
        <x:v>Phyllis Lake</x:v>
      </x:c>
      <x:c r="B1571" s="8" t="str">
        <x:v>5569</x:v>
      </x:c>
      <x:c r="C1571" s="17" t="n">
        <x:v>2026</x:v>
      </x:c>
      <x:c r="D1571" s="8" t="str">
        <x:v>RAINBOW TROUT</x:v>
      </x:c>
      <x:c r="E1571" s="13" t="n">
        <x:f>SUMIFS('Stocking details'!$F$6:$F$3307,'Stocking details'!$I$6:$I$3307,G1571)</x:f>
        <x:v>10000</x:v>
      </x:c>
      <x:c r="F1571" s="13" t="n">
        <x:f>COUNTIFS('Stocking details'!$I$6:$I$3307,G1571)</x:f>
        <x:v>2</x:v>
      </x:c>
      <x:c r="G1571" s="8" t="str">
        <x:f>B1571&amp;" / "&amp;C1571&amp;" / "&amp;D1571</x:f>
        <x:v>5569 / 2026 / RAINBOW TROUT</x:v>
      </x:c>
    </x:row>
    <x:row r="1572" ht="23" customHeight="1">
      <x:c r="A1572" s="8" t="str">
        <x:v>Phyllis Lake</x:v>
      </x:c>
      <x:c r="B1572" s="8" t="str">
        <x:v>5569</x:v>
      </x:c>
      <x:c r="C1572" s="17" t="n">
        <x:v>2025</x:v>
      </x:c>
      <x:c r="D1572" s="8" t="str">
        <x:v>RAINBOW TROUT</x:v>
      </x:c>
      <x:c r="E1572" s="13" t="n">
        <x:f>SUMIFS('Stocking details'!$F$6:$F$3307,'Stocking details'!$I$6:$I$3307,G1572)</x:f>
        <x:v>10000</x:v>
      </x:c>
      <x:c r="F1572" s="13" t="n">
        <x:f>COUNTIFS('Stocking details'!$I$6:$I$3307,G1572)</x:f>
        <x:v>1</x:v>
      </x:c>
      <x:c r="G1572" s="8" t="str">
        <x:f>B1572&amp;" / "&amp;C1572&amp;" / "&amp;D1572</x:f>
        <x:v>5569 / 2025 / RAINBOW TROUT</x:v>
      </x:c>
    </x:row>
    <x:row r="1573" ht="23" customHeight="1">
      <x:c r="A1573" s="8" t="str">
        <x:v>Phyllis Lake</x:v>
      </x:c>
      <x:c r="B1573" s="8" t="str">
        <x:v>5569</x:v>
      </x:c>
      <x:c r="C1573" s="17" t="n">
        <x:v>2024</x:v>
      </x:c>
      <x:c r="D1573" s="8" t="str">
        <x:v>RAINBOW TROUT</x:v>
      </x:c>
      <x:c r="E1573" s="13" t="n">
        <x:f>SUMIFS('Stocking details'!$F$6:$F$3307,'Stocking details'!$I$6:$I$3307,G1573)</x:f>
        <x:v>15050</x:v>
      </x:c>
      <x:c r="F1573" s="13" t="n">
        <x:f>COUNTIFS('Stocking details'!$I$6:$I$3307,G1573)</x:f>
        <x:v>5</x:v>
      </x:c>
      <x:c r="G1573" s="8" t="str">
        <x:f>B1573&amp;" / "&amp;C1573&amp;" / "&amp;D1573</x:f>
        <x:v>5569 / 2024 / RAINBOW TROUT</x:v>
      </x:c>
    </x:row>
    <x:row r="1574" ht="23" customHeight="1">
      <x:c r="A1574" s="8" t="str">
        <x:v>Phyllis Lake</x:v>
      </x:c>
      <x:c r="B1574" s="8" t="str">
        <x:v>5569</x:v>
      </x:c>
      <x:c r="C1574" s="17" t="n">
        <x:v>2023</x:v>
      </x:c>
      <x:c r="D1574" s="8" t="str">
        <x:v>RAINBOW TROUT</x:v>
      </x:c>
      <x:c r="E1574" s="13" t="n">
        <x:f>SUMIFS('Stocking details'!$F$6:$F$3307,'Stocking details'!$I$6:$I$3307,G1574)</x:f>
        <x:v>19050</x:v>
      </x:c>
      <x:c r="F1574" s="13" t="n">
        <x:f>COUNTIFS('Stocking details'!$I$6:$I$3307,G1574)</x:f>
        <x:v>3</x:v>
      </x:c>
      <x:c r="G1574" s="8" t="str">
        <x:f>B1574&amp;" / "&amp;C1574&amp;" / "&amp;D1574</x:f>
        <x:v>5569 / 2023 / RAINBOW TROUT</x:v>
      </x:c>
    </x:row>
    <x:row r="1575" ht="23" customHeight="1">
      <x:c r="A1575" s="8" t="str">
        <x:v>Phyllis Lake</x:v>
      </x:c>
      <x:c r="B1575" s="8" t="str">
        <x:v>5569</x:v>
      </x:c>
      <x:c r="C1575" s="17" t="n">
        <x:v>2022</x:v>
      </x:c>
      <x:c r="D1575" s="8" t="str">
        <x:v>RAINBOW TROUT</x:v>
      </x:c>
      <x:c r="E1575" s="13" t="n">
        <x:f>SUMIFS('Stocking details'!$F$6:$F$3307,'Stocking details'!$I$6:$I$3307,G1575)</x:f>
        <x:v>10260</x:v>
      </x:c>
      <x:c r="F1575" s="13" t="n">
        <x:f>COUNTIFS('Stocking details'!$I$6:$I$3307,G1575)</x:f>
        <x:v>2</x:v>
      </x:c>
      <x:c r="G1575" s="8" t="str">
        <x:f>B1575&amp;" / "&amp;C1575&amp;" / "&amp;D1575</x:f>
        <x:v>5569 / 2022 / RAINBOW TROUT</x:v>
      </x:c>
    </x:row>
    <x:row r="1576" ht="23" customHeight="1">
      <x:c r="A1576" s="8" t="str">
        <x:v>Phyllis Lake</x:v>
      </x:c>
      <x:c r="B1576" s="8" t="str">
        <x:v>5569</x:v>
      </x:c>
      <x:c r="C1576" s="17" t="n">
        <x:v>2021</x:v>
      </x:c>
      <x:c r="D1576" s="8" t="str">
        <x:v>RAINBOW TROUT</x:v>
      </x:c>
      <x:c r="E1576" s="13" t="n">
        <x:f>SUMIFS('Stocking details'!$F$6:$F$3307,'Stocking details'!$I$6:$I$3307,G1576)</x:f>
        <x:v>10100</x:v>
      </x:c>
      <x:c r="F1576" s="13" t="n">
        <x:f>COUNTIFS('Stocking details'!$I$6:$I$3307,G1576)</x:f>
        <x:v>4</x:v>
      </x:c>
      <x:c r="G1576" s="8" t="str">
        <x:f>B1576&amp;" / "&amp;C1576&amp;" / "&amp;D1576</x:f>
        <x:v>5569 / 2021 / RAINBOW TROUT</x:v>
      </x:c>
    </x:row>
    <x:row r="1577" ht="23" customHeight="1">
      <x:c r="A1577" s="8" t="str">
        <x:v>Pine Coulee Reservoir</x:v>
      </x:c>
      <x:c r="B1577" s="8" t="str">
        <x:v>18007</x:v>
      </x:c>
      <x:c r="C1577" s="17" t="n">
        <x:v>2026</x:v>
      </x:c>
      <x:c r="D1577" s="8" t="str">
        <x:v>RAINBOW TROUT</x:v>
      </x:c>
      <x:c r="E1577" s="13" t="n">
        <x:f>SUMIFS('Stocking details'!$F$6:$F$3307,'Stocking details'!$I$6:$I$3307,G1577)</x:f>
        <x:v>5000</x:v>
      </x:c>
      <x:c r="F1577" s="13" t="n">
        <x:f>COUNTIFS('Stocking details'!$I$6:$I$3307,G1577)</x:f>
        <x:v>1</x:v>
      </x:c>
      <x:c r="G1577" s="8" t="str">
        <x:f>B1577&amp;" / "&amp;C1577&amp;" / "&amp;D1577</x:f>
        <x:v>18007 / 2026 / RAINBOW TROUT</x:v>
      </x:c>
    </x:row>
    <x:row r="1578" ht="23" customHeight="1">
      <x:c r="A1578" s="8" t="str">
        <x:v>Pine Coulee Reservoir</x:v>
      </x:c>
      <x:c r="B1578" s="8" t="str">
        <x:v>18007</x:v>
      </x:c>
      <x:c r="C1578" s="17" t="n">
        <x:v>2025</x:v>
      </x:c>
      <x:c r="D1578" s="8" t="str">
        <x:v>RAINBOW TROUT</x:v>
      </x:c>
      <x:c r="E1578" s="13" t="n">
        <x:f>SUMIFS('Stocking details'!$F$6:$F$3307,'Stocking details'!$I$6:$I$3307,G1578)</x:f>
        <x:v>10000</x:v>
      </x:c>
      <x:c r="F1578" s="13" t="n">
        <x:f>COUNTIFS('Stocking details'!$I$6:$I$3307,G1578)</x:f>
        <x:v>2</x:v>
      </x:c>
      <x:c r="G1578" s="8" t="str">
        <x:f>B1578&amp;" / "&amp;C1578&amp;" / "&amp;D1578</x:f>
        <x:v>18007 / 2025 / RAINBOW TROUT</x:v>
      </x:c>
    </x:row>
    <x:row r="1579" ht="23" customHeight="1">
      <x:c r="A1579" s="8" t="str">
        <x:v>Pine Coulee Reservoir</x:v>
      </x:c>
      <x:c r="B1579" s="8" t="str">
        <x:v>18007</x:v>
      </x:c>
      <x:c r="C1579" s="17" t="n">
        <x:v>2024</x:v>
      </x:c>
      <x:c r="D1579" s="8" t="str">
        <x:v>RAINBOW TROUT</x:v>
      </x:c>
      <x:c r="E1579" s="13" t="n">
        <x:f>SUMIFS('Stocking details'!$F$6:$F$3307,'Stocking details'!$I$6:$I$3307,G1579)</x:f>
        <x:v>35709</x:v>
      </x:c>
      <x:c r="F1579" s="13" t="n">
        <x:f>COUNTIFS('Stocking details'!$I$6:$I$3307,G1579)</x:f>
        <x:v>2</x:v>
      </x:c>
      <x:c r="G1579" s="8" t="str">
        <x:f>B1579&amp;" / "&amp;C1579&amp;" / "&amp;D1579</x:f>
        <x:v>18007 / 2024 / RAINBOW TROUT</x:v>
      </x:c>
    </x:row>
    <x:row r="1580" ht="23" customHeight="1">
      <x:c r="A1580" s="8" t="str">
        <x:v>Pine Coulee Reservoir</x:v>
      </x:c>
      <x:c r="B1580" s="8" t="str">
        <x:v>18007</x:v>
      </x:c>
      <x:c r="C1580" s="17" t="n">
        <x:v>2023</x:v>
      </x:c>
      <x:c r="D1580" s="8" t="str">
        <x:v>RAINBOW TROUT</x:v>
      </x:c>
      <x:c r="E1580" s="13" t="n">
        <x:f>SUMIFS('Stocking details'!$F$6:$F$3307,'Stocking details'!$I$6:$I$3307,G1580)</x:f>
        <x:v>33765</x:v>
      </x:c>
      <x:c r="F1580" s="13" t="n">
        <x:f>COUNTIFS('Stocking details'!$I$6:$I$3307,G1580)</x:f>
        <x:v>2</x:v>
      </x:c>
      <x:c r="G1580" s="8" t="str">
        <x:f>B1580&amp;" / "&amp;C1580&amp;" / "&amp;D1580</x:f>
        <x:v>18007 / 2023 / RAINBOW TROUT</x:v>
      </x:c>
    </x:row>
    <x:row r="1581" ht="23" customHeight="1">
      <x:c r="A1581" s="8" t="str">
        <x:v>Pine Coulee Reservoir</x:v>
      </x:c>
      <x:c r="B1581" s="8" t="str">
        <x:v>18007</x:v>
      </x:c>
      <x:c r="C1581" s="17" t="n">
        <x:v>2022</x:v>
      </x:c>
      <x:c r="D1581" s="8" t="str">
        <x:v>RAINBOW TROUT</x:v>
      </x:c>
      <x:c r="E1581" s="13" t="n">
        <x:f>SUMIFS('Stocking details'!$F$6:$F$3307,'Stocking details'!$I$6:$I$3307,G1581)</x:f>
        <x:v>7500</x:v>
      </x:c>
      <x:c r="F1581" s="13" t="n">
        <x:f>COUNTIFS('Stocking details'!$I$6:$I$3307,G1581)</x:f>
        <x:v>1</x:v>
      </x:c>
      <x:c r="G1581" s="8" t="str">
        <x:f>B1581&amp;" / "&amp;C1581&amp;" / "&amp;D1581</x:f>
        <x:v>18007 / 2022 / RAINBOW TROUT</x:v>
      </x:c>
    </x:row>
    <x:row r="1582" ht="23" customHeight="1">
      <x:c r="A1582" s="8" t="str">
        <x:v>Pine Coulee Reservoir</x:v>
      </x:c>
      <x:c r="B1582" s="8" t="str">
        <x:v>18007</x:v>
      </x:c>
      <x:c r="C1582" s="17" t="n">
        <x:v>2021</x:v>
      </x:c>
      <x:c r="D1582" s="8" t="str">
        <x:v>RAINBOW TROUT</x:v>
      </x:c>
      <x:c r="E1582" s="13" t="n">
        <x:f>SUMIFS('Stocking details'!$F$6:$F$3307,'Stocking details'!$I$6:$I$3307,G1582)</x:f>
        <x:v>39096</x:v>
      </x:c>
      <x:c r="F1582" s="13" t="n">
        <x:f>COUNTIFS('Stocking details'!$I$6:$I$3307,G1582)</x:f>
        <x:v>2</x:v>
      </x:c>
      <x:c r="G1582" s="8" t="str">
        <x:f>B1582&amp;" / "&amp;C1582&amp;" / "&amp;D1582</x:f>
        <x:v>18007 / 2021 / RAINBOW TROUT</x:v>
      </x:c>
    </x:row>
    <x:row r="1583" ht="23" customHeight="1">
      <x:c r="A1583" s="8" t="str">
        <x:v>Pinehurst Lake</x:v>
      </x:c>
      <x:c r="B1583" s="8" t="str">
        <x:v>5581</x:v>
      </x:c>
      <x:c r="C1583" s="17" t="n">
        <x:v>2025</x:v>
      </x:c>
      <x:c r="D1583" s="8" t="str">
        <x:v>WALLEYE</x:v>
      </x:c>
      <x:c r="E1583" s="13" t="n">
        <x:f>SUMIFS('Stocking details'!$F$6:$F$3307,'Stocking details'!$I$6:$I$3307,G1583)</x:f>
        <x:v>2485015</x:v>
      </x:c>
      <x:c r="F1583" s="13" t="n">
        <x:f>COUNTIFS('Stocking details'!$I$6:$I$3307,G1583)</x:f>
        <x:v>4</x:v>
      </x:c>
      <x:c r="G1583" s="8" t="str">
        <x:f>B1583&amp;" / "&amp;C1583&amp;" / "&amp;D1583</x:f>
        <x:v>5581 / 2025 / WALLEYE</x:v>
      </x:c>
    </x:row>
    <x:row r="1584" ht="23" customHeight="1">
      <x:c r="A1584" s="8" t="str">
        <x:v>Pit 24</x:v>
      </x:c>
      <x:c r="B1584" s="8" t="str">
        <x:v>23789</x:v>
      </x:c>
      <x:c r="C1584" s="17" t="n">
        <x:v>2026</x:v>
      </x:c>
      <x:c r="D1584" s="8" t="str">
        <x:v>BROWN TROUT</x:v>
      </x:c>
      <x:c r="E1584" s="13" t="n">
        <x:f>SUMIFS('Stocking details'!$F$6:$F$3307,'Stocking details'!$I$6:$I$3307,G1584)</x:f>
        <x:v>250</x:v>
      </x:c>
      <x:c r="F1584" s="13" t="n">
        <x:f>COUNTIFS('Stocking details'!$I$6:$I$3307,G1584)</x:f>
        <x:v>1</x:v>
      </x:c>
      <x:c r="G1584" s="8" t="str">
        <x:f>B1584&amp;" / "&amp;C1584&amp;" / "&amp;D1584</x:f>
        <x:v>23789 / 2026 / BROWN TROUT</x:v>
      </x:c>
    </x:row>
    <x:row r="1585" ht="23" customHeight="1">
      <x:c r="A1585" s="8" t="str">
        <x:v>Pit 24</x:v>
      </x:c>
      <x:c r="B1585" s="8" t="str">
        <x:v>23789</x:v>
      </x:c>
      <x:c r="C1585" s="17" t="n">
        <x:v>2026</x:v>
      </x:c>
      <x:c r="D1585" s="8" t="str">
        <x:v>RAINBOW TROUT</x:v>
      </x:c>
      <x:c r="E1585" s="13" t="n">
        <x:f>SUMIFS('Stocking details'!$F$6:$F$3307,'Stocking details'!$I$6:$I$3307,G1585)</x:f>
        <x:v>750</x:v>
      </x:c>
      <x:c r="F1585" s="13" t="n">
        <x:f>COUNTIFS('Stocking details'!$I$6:$I$3307,G1585)</x:f>
        <x:v>1</x:v>
      </x:c>
      <x:c r="G1585" s="8" t="str">
        <x:f>B1585&amp;" / "&amp;C1585&amp;" / "&amp;D1585</x:f>
        <x:v>23789 / 2026 / RAINBOW TROUT</x:v>
      </x:c>
    </x:row>
    <x:row r="1586" ht="23" customHeight="1">
      <x:c r="A1586" s="8" t="str">
        <x:v>Pit 24</x:v>
      </x:c>
      <x:c r="B1586" s="8" t="str">
        <x:v>23789</x:v>
      </x:c>
      <x:c r="C1586" s="17" t="n">
        <x:v>2025</x:v>
      </x:c>
      <x:c r="D1586" s="8" t="str">
        <x:v>RAINBOW TROUT</x:v>
      </x:c>
      <x:c r="E1586" s="13" t="n">
        <x:f>SUMIFS('Stocking details'!$F$6:$F$3307,'Stocking details'!$I$6:$I$3307,G1586)</x:f>
        <x:v>750</x:v>
      </x:c>
      <x:c r="F1586" s="13" t="n">
        <x:f>COUNTIFS('Stocking details'!$I$6:$I$3307,G1586)</x:f>
        <x:v>1</x:v>
      </x:c>
      <x:c r="G1586" s="8" t="str">
        <x:f>B1586&amp;" / "&amp;C1586&amp;" / "&amp;D1586</x:f>
        <x:v>23789 / 2025 / RAINBOW TROUT</x:v>
      </x:c>
    </x:row>
    <x:row r="1587" ht="23" customHeight="1">
      <x:c r="A1587" s="8" t="str">
        <x:v>Pit 24</x:v>
      </x:c>
      <x:c r="B1587" s="8" t="str">
        <x:v>23789</x:v>
      </x:c>
      <x:c r="C1587" s="17" t="n">
        <x:v>2024</x:v>
      </x:c>
      <x:c r="D1587" s="8" t="str">
        <x:v>BROWN TROUT</x:v>
      </x:c>
      <x:c r="E1587" s="13" t="n">
        <x:f>SUMIFS('Stocking details'!$F$6:$F$3307,'Stocking details'!$I$6:$I$3307,G1587)</x:f>
        <x:v>250</x:v>
      </x:c>
      <x:c r="F1587" s="13" t="n">
        <x:f>COUNTIFS('Stocking details'!$I$6:$I$3307,G1587)</x:f>
        <x:v>1</x:v>
      </x:c>
      <x:c r="G1587" s="8" t="str">
        <x:f>B1587&amp;" / "&amp;C1587&amp;" / "&amp;D1587</x:f>
        <x:v>23789 / 2024 / BROWN TROUT</x:v>
      </x:c>
    </x:row>
    <x:row r="1588" ht="23" customHeight="1">
      <x:c r="A1588" s="8" t="str">
        <x:v>Pit 24</x:v>
      </x:c>
      <x:c r="B1588" s="8" t="str">
        <x:v>23789</x:v>
      </x:c>
      <x:c r="C1588" s="17" t="n">
        <x:v>2024</x:v>
      </x:c>
      <x:c r="D1588" s="8" t="str">
        <x:v>RAINBOW TROUT</x:v>
      </x:c>
      <x:c r="E1588" s="13" t="n">
        <x:f>SUMIFS('Stocking details'!$F$6:$F$3307,'Stocking details'!$I$6:$I$3307,G1588)</x:f>
        <x:v>375</x:v>
      </x:c>
      <x:c r="F1588" s="13" t="n">
        <x:f>COUNTIFS('Stocking details'!$I$6:$I$3307,G1588)</x:f>
        <x:v>1</x:v>
      </x:c>
      <x:c r="G1588" s="8" t="str">
        <x:f>B1588&amp;" / "&amp;C1588&amp;" / "&amp;D1588</x:f>
        <x:v>23789 / 2024 / RAINBOW TROUT</x:v>
      </x:c>
    </x:row>
    <x:row r="1589" ht="23" customHeight="1">
      <x:c r="A1589" s="8" t="str">
        <x:v>Pit 24</x:v>
      </x:c>
      <x:c r="B1589" s="8" t="str">
        <x:v>23789</x:v>
      </x:c>
      <x:c r="C1589" s="17" t="n">
        <x:v>2023</x:v>
      </x:c>
      <x:c r="D1589" s="8" t="str">
        <x:v>BROWN TROUT</x:v>
      </x:c>
      <x:c r="E1589" s="13" t="n">
        <x:f>SUMIFS('Stocking details'!$F$6:$F$3307,'Stocking details'!$I$6:$I$3307,G1589)</x:f>
        <x:v>250</x:v>
      </x:c>
      <x:c r="F1589" s="13" t="n">
        <x:f>COUNTIFS('Stocking details'!$I$6:$I$3307,G1589)</x:f>
        <x:v>1</x:v>
      </x:c>
      <x:c r="G1589" s="8" t="str">
        <x:f>B1589&amp;" / "&amp;C1589&amp;" / "&amp;D1589</x:f>
        <x:v>23789 / 2023 / BROWN TROUT</x:v>
      </x:c>
    </x:row>
    <x:row r="1590" ht="23" customHeight="1">
      <x:c r="A1590" s="8" t="str">
        <x:v>Pit 24</x:v>
      </x:c>
      <x:c r="B1590" s="8" t="str">
        <x:v>23789</x:v>
      </x:c>
      <x:c r="C1590" s="17" t="n">
        <x:v>2023</x:v>
      </x:c>
      <x:c r="D1590" s="8" t="str">
        <x:v>RAINBOW TROUT</x:v>
      </x:c>
      <x:c r="E1590" s="13" t="n">
        <x:f>SUMIFS('Stocking details'!$F$6:$F$3307,'Stocking details'!$I$6:$I$3307,G1590)</x:f>
        <x:v>377</x:v>
      </x:c>
      <x:c r="F1590" s="13" t="n">
        <x:f>COUNTIFS('Stocking details'!$I$6:$I$3307,G1590)</x:f>
        <x:v>1</x:v>
      </x:c>
      <x:c r="G1590" s="8" t="str">
        <x:f>B1590&amp;" / "&amp;C1590&amp;" / "&amp;D1590</x:f>
        <x:v>23789 / 2023 / RAINBOW TROUT</x:v>
      </x:c>
    </x:row>
    <x:row r="1591" ht="23" customHeight="1">
      <x:c r="A1591" s="8" t="str">
        <x:v>Pit 24</x:v>
      </x:c>
      <x:c r="B1591" s="8" t="str">
        <x:v>23789</x:v>
      </x:c>
      <x:c r="C1591" s="17" t="n">
        <x:v>2022</x:v>
      </x:c>
      <x:c r="D1591" s="8" t="str">
        <x:v>RAINBOW TROUT</x:v>
      </x:c>
      <x:c r="E1591" s="13" t="n">
        <x:f>SUMIFS('Stocking details'!$F$6:$F$3307,'Stocking details'!$I$6:$I$3307,G1591)</x:f>
        <x:v>750</x:v>
      </x:c>
      <x:c r="F1591" s="13" t="n">
        <x:f>COUNTIFS('Stocking details'!$I$6:$I$3307,G1591)</x:f>
        <x:v>1</x:v>
      </x:c>
      <x:c r="G1591" s="8" t="str">
        <x:f>B1591&amp;" / "&amp;C1591&amp;" / "&amp;D1591</x:f>
        <x:v>23789 / 2022 / RAINBOW TROUT</x:v>
      </x:c>
    </x:row>
    <x:row r="1592" ht="23" customHeight="1">
      <x:c r="A1592" s="8" t="str">
        <x:v>Pit 24</x:v>
      </x:c>
      <x:c r="B1592" s="8" t="str">
        <x:v>23789</x:v>
      </x:c>
      <x:c r="C1592" s="17" t="n">
        <x:v>2021</x:v>
      </x:c>
      <x:c r="D1592" s="8" t="str">
        <x:v>BROWN TROUT</x:v>
      </x:c>
      <x:c r="E1592" s="13" t="n">
        <x:f>SUMIFS('Stocking details'!$F$6:$F$3307,'Stocking details'!$I$6:$I$3307,G1592)</x:f>
        <x:v>250</x:v>
      </x:c>
      <x:c r="F1592" s="13" t="n">
        <x:f>COUNTIFS('Stocking details'!$I$6:$I$3307,G1592)</x:f>
        <x:v>1</x:v>
      </x:c>
      <x:c r="G1592" s="8" t="str">
        <x:f>B1592&amp;" / "&amp;C1592&amp;" / "&amp;D1592</x:f>
        <x:v>23789 / 2021 / BROWN TROUT</x:v>
      </x:c>
    </x:row>
    <x:row r="1593" ht="23" customHeight="1">
      <x:c r="A1593" s="8" t="str">
        <x:v>Pit 24</x:v>
      </x:c>
      <x:c r="B1593" s="8" t="str">
        <x:v>23789</x:v>
      </x:c>
      <x:c r="C1593" s="17" t="n">
        <x:v>2021</x:v>
      </x:c>
      <x:c r="D1593" s="8" t="str">
        <x:v>RAINBOW TROUT</x:v>
      </x:c>
      <x:c r="E1593" s="13" t="n">
        <x:f>SUMIFS('Stocking details'!$F$6:$F$3307,'Stocking details'!$I$6:$I$3307,G1593)</x:f>
        <x:v>750</x:v>
      </x:c>
      <x:c r="F1593" s="13" t="n">
        <x:f>COUNTIFS('Stocking details'!$I$6:$I$3307,G1593)</x:f>
        <x:v>1</x:v>
      </x:c>
      <x:c r="G1593" s="8" t="str">
        <x:f>B1593&amp;" / "&amp;C1593&amp;" / "&amp;D1593</x:f>
        <x:v>23789 / 2021 / RAINBOW TROUT</x:v>
      </x:c>
    </x:row>
    <x:row r="1594" ht="23" customHeight="1">
      <x:c r="A1594" s="8" t="str">
        <x:v>Pit 35</x:v>
      </x:c>
      <x:c r="B1594" s="8" t="str">
        <x:v>23790</x:v>
      </x:c>
      <x:c r="C1594" s="17" t="n">
        <x:v>2026</x:v>
      </x:c>
      <x:c r="D1594" s="8" t="str">
        <x:v>RAINBOW TROUT</x:v>
      </x:c>
      <x:c r="E1594" s="13" t="n">
        <x:f>SUMIFS('Stocking details'!$F$6:$F$3307,'Stocking details'!$I$6:$I$3307,G1594)</x:f>
        <x:v>390</x:v>
      </x:c>
      <x:c r="F1594" s="13" t="n">
        <x:f>COUNTIFS('Stocking details'!$I$6:$I$3307,G1594)</x:f>
        <x:v>1</x:v>
      </x:c>
      <x:c r="G1594" s="8" t="str">
        <x:f>B1594&amp;" / "&amp;C1594&amp;" / "&amp;D1594</x:f>
        <x:v>23790 / 2026 / RAINBOW TROUT</x:v>
      </x:c>
    </x:row>
    <x:row r="1595" ht="23" customHeight="1">
      <x:c r="A1595" s="8" t="str">
        <x:v>Pit 35</x:v>
      </x:c>
      <x:c r="B1595" s="8" t="str">
        <x:v>23790</x:v>
      </x:c>
      <x:c r="C1595" s="17" t="n">
        <x:v>2025</x:v>
      </x:c>
      <x:c r="D1595" s="8" t="str">
        <x:v>RAINBOW TROUT</x:v>
      </x:c>
      <x:c r="E1595" s="13" t="n">
        <x:f>SUMIFS('Stocking details'!$F$6:$F$3307,'Stocking details'!$I$6:$I$3307,G1595)</x:f>
        <x:v>390</x:v>
      </x:c>
      <x:c r="F1595" s="13" t="n">
        <x:f>COUNTIFS('Stocking details'!$I$6:$I$3307,G1595)</x:f>
        <x:v>1</x:v>
      </x:c>
      <x:c r="G1595" s="8" t="str">
        <x:f>B1595&amp;" / "&amp;C1595&amp;" / "&amp;D1595</x:f>
        <x:v>23790 / 2025 / RAINBOW TROUT</x:v>
      </x:c>
    </x:row>
    <x:row r="1596" ht="23" customHeight="1">
      <x:c r="A1596" s="8" t="str">
        <x:v>Pit 35</x:v>
      </x:c>
      <x:c r="B1596" s="8" t="str">
        <x:v>23790</x:v>
      </x:c>
      <x:c r="C1596" s="17" t="n">
        <x:v>2024</x:v>
      </x:c>
      <x:c r="D1596" s="8" t="str">
        <x:v>RAINBOW TROUT</x:v>
      </x:c>
      <x:c r="E1596" s="13" t="n">
        <x:f>SUMIFS('Stocking details'!$F$6:$F$3307,'Stocking details'!$I$6:$I$3307,G1596)</x:f>
        <x:v>195</x:v>
      </x:c>
      <x:c r="F1596" s="13" t="n">
        <x:f>COUNTIFS('Stocking details'!$I$6:$I$3307,G1596)</x:f>
        <x:v>1</x:v>
      </x:c>
      <x:c r="G1596" s="8" t="str">
        <x:f>B1596&amp;" / "&amp;C1596&amp;" / "&amp;D1596</x:f>
        <x:v>23790 / 2024 / RAINBOW TROUT</x:v>
      </x:c>
    </x:row>
    <x:row r="1597" ht="23" customHeight="1">
      <x:c r="A1597" s="8" t="str">
        <x:v>Pit 35</x:v>
      </x:c>
      <x:c r="B1597" s="8" t="str">
        <x:v>23790</x:v>
      </x:c>
      <x:c r="C1597" s="17" t="n">
        <x:v>2023</x:v>
      </x:c>
      <x:c r="D1597" s="8" t="str">
        <x:v>RAINBOW TROUT</x:v>
      </x:c>
      <x:c r="E1597" s="13" t="n">
        <x:f>SUMIFS('Stocking details'!$F$6:$F$3307,'Stocking details'!$I$6:$I$3307,G1597)</x:f>
        <x:v>196</x:v>
      </x:c>
      <x:c r="F1597" s="13" t="n">
        <x:f>COUNTIFS('Stocking details'!$I$6:$I$3307,G1597)</x:f>
        <x:v>1</x:v>
      </x:c>
      <x:c r="G1597" s="8" t="str">
        <x:f>B1597&amp;" / "&amp;C1597&amp;" / "&amp;D1597</x:f>
        <x:v>23790 / 2023 / RAINBOW TROUT</x:v>
      </x:c>
    </x:row>
    <x:row r="1598" ht="23" customHeight="1">
      <x:c r="A1598" s="8" t="str">
        <x:v>Pit 35</x:v>
      </x:c>
      <x:c r="B1598" s="8" t="str">
        <x:v>23790</x:v>
      </x:c>
      <x:c r="C1598" s="17" t="n">
        <x:v>2022</x:v>
      </x:c>
      <x:c r="D1598" s="8" t="str">
        <x:v>RAINBOW TROUT</x:v>
      </x:c>
      <x:c r="E1598" s="13" t="n">
        <x:f>SUMIFS('Stocking details'!$F$6:$F$3307,'Stocking details'!$I$6:$I$3307,G1598)</x:f>
        <x:v>390</x:v>
      </x:c>
      <x:c r="F1598" s="13" t="n">
        <x:f>COUNTIFS('Stocking details'!$I$6:$I$3307,G1598)</x:f>
        <x:v>1</x:v>
      </x:c>
      <x:c r="G1598" s="8" t="str">
        <x:f>B1598&amp;" / "&amp;C1598&amp;" / "&amp;D1598</x:f>
        <x:v>23790 / 2022 / RAINBOW TROUT</x:v>
      </x:c>
    </x:row>
    <x:row r="1599" ht="23" customHeight="1">
      <x:c r="A1599" s="8" t="str">
        <x:v>Pit 35</x:v>
      </x:c>
      <x:c r="B1599" s="8" t="str">
        <x:v>23790</x:v>
      </x:c>
      <x:c r="C1599" s="17" t="n">
        <x:v>2021</x:v>
      </x:c>
      <x:c r="D1599" s="8" t="str">
        <x:v>RAINBOW TROUT</x:v>
      </x:c>
      <x:c r="E1599" s="13" t="n">
        <x:f>SUMIFS('Stocking details'!$F$6:$F$3307,'Stocking details'!$I$6:$I$3307,G1599)</x:f>
        <x:v>390</x:v>
      </x:c>
      <x:c r="F1599" s="13" t="n">
        <x:f>COUNTIFS('Stocking details'!$I$6:$I$3307,G1599)</x:f>
        <x:v>1</x:v>
      </x:c>
      <x:c r="G1599" s="8" t="str">
        <x:f>B1599&amp;" / "&amp;C1599&amp;" / "&amp;D1599</x:f>
        <x:v>23790 / 2021 / RAINBOW TROUT</x:v>
      </x:c>
    </x:row>
    <x:row r="1600" ht="23" customHeight="1">
      <x:c r="A1600" s="8" t="str">
        <x:v>Pit 44</x:v>
      </x:c>
      <x:c r="B1600" s="8" t="str">
        <x:v>24312</x:v>
      </x:c>
      <x:c r="C1600" s="17" t="n">
        <x:v>2026</x:v>
      </x:c>
      <x:c r="D1600" s="8" t="str">
        <x:v>RAINBOW TROUT</x:v>
      </x:c>
      <x:c r="E1600" s="13" t="n">
        <x:f>SUMIFS('Stocking details'!$F$6:$F$3307,'Stocking details'!$I$6:$I$3307,G1600)</x:f>
        <x:v>1100</x:v>
      </x:c>
      <x:c r="F1600" s="13" t="n">
        <x:f>COUNTIFS('Stocking details'!$I$6:$I$3307,G1600)</x:f>
        <x:v>1</x:v>
      </x:c>
      <x:c r="G1600" s="8" t="str">
        <x:f>B1600&amp;" / "&amp;C1600&amp;" / "&amp;D1600</x:f>
        <x:v>24312 / 2026 / RAINBOW TROUT</x:v>
      </x:c>
    </x:row>
    <x:row r="1601" ht="23" customHeight="1">
      <x:c r="A1601" s="8" t="str">
        <x:v>Pit 44</x:v>
      </x:c>
      <x:c r="B1601" s="8" t="str">
        <x:v>24312</x:v>
      </x:c>
      <x:c r="C1601" s="17" t="n">
        <x:v>2025</x:v>
      </x:c>
      <x:c r="D1601" s="8" t="str">
        <x:v>RAINBOW TROUT</x:v>
      </x:c>
      <x:c r="E1601" s="13" t="n">
        <x:f>SUMIFS('Stocking details'!$F$6:$F$3307,'Stocking details'!$I$6:$I$3307,G1601)</x:f>
        <x:v>1100</x:v>
      </x:c>
      <x:c r="F1601" s="13" t="n">
        <x:f>COUNTIFS('Stocking details'!$I$6:$I$3307,G1601)</x:f>
        <x:v>1</x:v>
      </x:c>
      <x:c r="G1601" s="8" t="str">
        <x:f>B1601&amp;" / "&amp;C1601&amp;" / "&amp;D1601</x:f>
        <x:v>24312 / 2025 / RAINBOW TROUT</x:v>
      </x:c>
    </x:row>
    <x:row r="1602" ht="23" customHeight="1">
      <x:c r="A1602" s="8" t="str">
        <x:v>Pit 44</x:v>
      </x:c>
      <x:c r="B1602" s="8" t="str">
        <x:v>24312</x:v>
      </x:c>
      <x:c r="C1602" s="17" t="n">
        <x:v>2024</x:v>
      </x:c>
      <x:c r="D1602" s="8" t="str">
        <x:v>RAINBOW TROUT</x:v>
      </x:c>
      <x:c r="E1602" s="13" t="n">
        <x:f>SUMIFS('Stocking details'!$F$6:$F$3307,'Stocking details'!$I$6:$I$3307,G1602)</x:f>
        <x:v>550</x:v>
      </x:c>
      <x:c r="F1602" s="13" t="n">
        <x:f>COUNTIFS('Stocking details'!$I$6:$I$3307,G1602)</x:f>
        <x:v>1</x:v>
      </x:c>
      <x:c r="G1602" s="8" t="str">
        <x:f>B1602&amp;" / "&amp;C1602&amp;" / "&amp;D1602</x:f>
        <x:v>24312 / 2024 / RAINBOW TROUT</x:v>
      </x:c>
    </x:row>
    <x:row r="1603" ht="23" customHeight="1">
      <x:c r="A1603" s="8" t="str">
        <x:v>Pit 44</x:v>
      </x:c>
      <x:c r="B1603" s="8" t="str">
        <x:v>24312</x:v>
      </x:c>
      <x:c r="C1603" s="17" t="n">
        <x:v>2023</x:v>
      </x:c>
      <x:c r="D1603" s="8" t="str">
        <x:v>RAINBOW TROUT</x:v>
      </x:c>
      <x:c r="E1603" s="13" t="n">
        <x:f>SUMIFS('Stocking details'!$F$6:$F$3307,'Stocking details'!$I$6:$I$3307,G1603)</x:f>
        <x:v>552</x:v>
      </x:c>
      <x:c r="F1603" s="13" t="n">
        <x:f>COUNTIFS('Stocking details'!$I$6:$I$3307,G1603)</x:f>
        <x:v>1</x:v>
      </x:c>
      <x:c r="G1603" s="8" t="str">
        <x:f>B1603&amp;" / "&amp;C1603&amp;" / "&amp;D1603</x:f>
        <x:v>24312 / 2023 / RAINBOW TROUT</x:v>
      </x:c>
    </x:row>
    <x:row r="1604" ht="23" customHeight="1">
      <x:c r="A1604" s="8" t="str">
        <x:v>Pit 44</x:v>
      </x:c>
      <x:c r="B1604" s="8" t="str">
        <x:v>24312</x:v>
      </x:c>
      <x:c r="C1604" s="17" t="n">
        <x:v>2022</x:v>
      </x:c>
      <x:c r="D1604" s="8" t="str">
        <x:v>RAINBOW TROUT</x:v>
      </x:c>
      <x:c r="E1604" s="13" t="n">
        <x:f>SUMIFS('Stocking details'!$F$6:$F$3307,'Stocking details'!$I$6:$I$3307,G1604)</x:f>
        <x:v>1100</x:v>
      </x:c>
      <x:c r="F1604" s="13" t="n">
        <x:f>COUNTIFS('Stocking details'!$I$6:$I$3307,G1604)</x:f>
        <x:v>1</x:v>
      </x:c>
      <x:c r="G1604" s="8" t="str">
        <x:f>B1604&amp;" / "&amp;C1604&amp;" / "&amp;D1604</x:f>
        <x:v>24312 / 2022 / RAINBOW TROUT</x:v>
      </x:c>
    </x:row>
    <x:row r="1605" ht="23" customHeight="1">
      <x:c r="A1605" s="8" t="str">
        <x:v>Pit 44</x:v>
      </x:c>
      <x:c r="B1605" s="8" t="str">
        <x:v>24312</x:v>
      </x:c>
      <x:c r="C1605" s="17" t="n">
        <x:v>2021</x:v>
      </x:c>
      <x:c r="D1605" s="8" t="str">
        <x:v>RAINBOW TROUT</x:v>
      </x:c>
      <x:c r="E1605" s="13" t="n">
        <x:f>SUMIFS('Stocking details'!$F$6:$F$3307,'Stocking details'!$I$6:$I$3307,G1605)</x:f>
        <x:v>1100</x:v>
      </x:c>
      <x:c r="F1605" s="13" t="n">
        <x:f>COUNTIFS('Stocking details'!$I$6:$I$3307,G1605)</x:f>
        <x:v>1</x:v>
      </x:c>
      <x:c r="G1605" s="8" t="str">
        <x:f>B1605&amp;" / "&amp;C1605&amp;" / "&amp;D1605</x:f>
        <x:v>24312 / 2021 / RAINBOW TROUT</x:v>
      </x:c>
    </x:row>
    <x:row r="1606" ht="23" customHeight="1">
      <x:c r="A1606" s="8" t="str">
        <x:v>Pit 45</x:v>
      </x:c>
      <x:c r="B1606" s="8" t="str">
        <x:v>23791</x:v>
      </x:c>
      <x:c r="C1606" s="17" t="n">
        <x:v>2026</x:v>
      </x:c>
      <x:c r="D1606" s="8" t="str">
        <x:v>RAINBOW TROUT</x:v>
      </x:c>
      <x:c r="E1606" s="13" t="n">
        <x:f>SUMIFS('Stocking details'!$F$6:$F$3307,'Stocking details'!$I$6:$I$3307,G1606)</x:f>
        <x:v>1100</x:v>
      </x:c>
      <x:c r="F1606" s="13" t="n">
        <x:f>COUNTIFS('Stocking details'!$I$6:$I$3307,G1606)</x:f>
        <x:v>1</x:v>
      </x:c>
      <x:c r="G1606" s="8" t="str">
        <x:f>B1606&amp;" / "&amp;C1606&amp;" / "&amp;D1606</x:f>
        <x:v>23791 / 2026 / RAINBOW TROUT</x:v>
      </x:c>
    </x:row>
    <x:row r="1607" ht="23" customHeight="1">
      <x:c r="A1607" s="8" t="str">
        <x:v>Pit 45</x:v>
      </x:c>
      <x:c r="B1607" s="8" t="str">
        <x:v>23791</x:v>
      </x:c>
      <x:c r="C1607" s="17" t="n">
        <x:v>2025</x:v>
      </x:c>
      <x:c r="D1607" s="8" t="str">
        <x:v>RAINBOW TROUT</x:v>
      </x:c>
      <x:c r="E1607" s="13" t="n">
        <x:f>SUMIFS('Stocking details'!$F$6:$F$3307,'Stocking details'!$I$6:$I$3307,G1607)</x:f>
        <x:v>1100</x:v>
      </x:c>
      <x:c r="F1607" s="13" t="n">
        <x:f>COUNTIFS('Stocking details'!$I$6:$I$3307,G1607)</x:f>
        <x:v>1</x:v>
      </x:c>
      <x:c r="G1607" s="8" t="str">
        <x:f>B1607&amp;" / "&amp;C1607&amp;" / "&amp;D1607</x:f>
        <x:v>23791 / 2025 / RAINBOW TROUT</x:v>
      </x:c>
    </x:row>
    <x:row r="1608" ht="23" customHeight="1">
      <x:c r="A1608" s="8" t="str">
        <x:v>Pit 45</x:v>
      </x:c>
      <x:c r="B1608" s="8" t="str">
        <x:v>23791</x:v>
      </x:c>
      <x:c r="C1608" s="17" t="n">
        <x:v>2024</x:v>
      </x:c>
      <x:c r="D1608" s="8" t="str">
        <x:v>RAINBOW TROUT</x:v>
      </x:c>
      <x:c r="E1608" s="13" t="n">
        <x:f>SUMIFS('Stocking details'!$F$6:$F$3307,'Stocking details'!$I$6:$I$3307,G1608)</x:f>
        <x:v>550</x:v>
      </x:c>
      <x:c r="F1608" s="13" t="n">
        <x:f>COUNTIFS('Stocking details'!$I$6:$I$3307,G1608)</x:f>
        <x:v>1</x:v>
      </x:c>
      <x:c r="G1608" s="8" t="str">
        <x:f>B1608&amp;" / "&amp;C1608&amp;" / "&amp;D1608</x:f>
        <x:v>23791 / 2024 / RAINBOW TROUT</x:v>
      </x:c>
    </x:row>
    <x:row r="1609" ht="23" customHeight="1">
      <x:c r="A1609" s="8" t="str">
        <x:v>Pit 45</x:v>
      </x:c>
      <x:c r="B1609" s="8" t="str">
        <x:v>23791</x:v>
      </x:c>
      <x:c r="C1609" s="17" t="n">
        <x:v>2023</x:v>
      </x:c>
      <x:c r="D1609" s="8" t="str">
        <x:v>RAINBOW TROUT</x:v>
      </x:c>
      <x:c r="E1609" s="13" t="n">
        <x:f>SUMIFS('Stocking details'!$F$6:$F$3307,'Stocking details'!$I$6:$I$3307,G1609)</x:f>
        <x:v>552</x:v>
      </x:c>
      <x:c r="F1609" s="13" t="n">
        <x:f>COUNTIFS('Stocking details'!$I$6:$I$3307,G1609)</x:f>
        <x:v>1</x:v>
      </x:c>
      <x:c r="G1609" s="8" t="str">
        <x:f>B1609&amp;" / "&amp;C1609&amp;" / "&amp;D1609</x:f>
        <x:v>23791 / 2023 / RAINBOW TROUT</x:v>
      </x:c>
    </x:row>
    <x:row r="1610" ht="23" customHeight="1">
      <x:c r="A1610" s="8" t="str">
        <x:v>Pit 45</x:v>
      </x:c>
      <x:c r="B1610" s="8" t="str">
        <x:v>23791</x:v>
      </x:c>
      <x:c r="C1610" s="17" t="n">
        <x:v>2022</x:v>
      </x:c>
      <x:c r="D1610" s="8" t="str">
        <x:v>RAINBOW TROUT</x:v>
      </x:c>
      <x:c r="E1610" s="13" t="n">
        <x:f>SUMIFS('Stocking details'!$F$6:$F$3307,'Stocking details'!$I$6:$I$3307,G1610)</x:f>
        <x:v>1100</x:v>
      </x:c>
      <x:c r="F1610" s="13" t="n">
        <x:f>COUNTIFS('Stocking details'!$I$6:$I$3307,G1610)</x:f>
        <x:v>1</x:v>
      </x:c>
      <x:c r="G1610" s="8" t="str">
        <x:f>B1610&amp;" / "&amp;C1610&amp;" / "&amp;D1610</x:f>
        <x:v>23791 / 2022 / RAINBOW TROUT</x:v>
      </x:c>
    </x:row>
    <x:row r="1611" ht="23" customHeight="1">
      <x:c r="A1611" s="8" t="str">
        <x:v>Pit 45</x:v>
      </x:c>
      <x:c r="B1611" s="8" t="str">
        <x:v>23791</x:v>
      </x:c>
      <x:c r="C1611" s="17" t="n">
        <x:v>2021</x:v>
      </x:c>
      <x:c r="D1611" s="8" t="str">
        <x:v>RAINBOW TROUT</x:v>
      </x:c>
      <x:c r="E1611" s="13" t="n">
        <x:f>SUMIFS('Stocking details'!$F$6:$F$3307,'Stocking details'!$I$6:$I$3307,G1611)</x:f>
        <x:v>1100</x:v>
      </x:c>
      <x:c r="F1611" s="13" t="n">
        <x:f>COUNTIFS('Stocking details'!$I$6:$I$3307,G1611)</x:f>
        <x:v>1</x:v>
      </x:c>
      <x:c r="G1611" s="8" t="str">
        <x:f>B1611&amp;" / "&amp;C1611&amp;" / "&amp;D1611</x:f>
        <x:v>23791 / 2021 / RAINBOW TROUT</x:v>
      </x:c>
    </x:row>
    <x:row r="1612" ht="23" customHeight="1">
      <x:c r="A1612" s="8" t="str">
        <x:v>Pleasure Island Reservoir</x:v>
      </x:c>
      <x:c r="B1612" s="8" t="str">
        <x:v>6706</x:v>
      </x:c>
      <x:c r="C1612" s="17" t="n">
        <x:v>2026</x:v>
      </x:c>
      <x:c r="D1612" s="8" t="str">
        <x:v>BROOK TROUT</x:v>
      </x:c>
      <x:c r="E1612" s="13" t="n">
        <x:f>SUMIFS('Stocking details'!$F$6:$F$3307,'Stocking details'!$I$6:$I$3307,G1612)</x:f>
        <x:v>1070</x:v>
      </x:c>
      <x:c r="F1612" s="13" t="n">
        <x:f>COUNTIFS('Stocking details'!$I$6:$I$3307,G1612)</x:f>
        <x:v>1</x:v>
      </x:c>
      <x:c r="G1612" s="8" t="str">
        <x:f>B1612&amp;" / "&amp;C1612&amp;" / "&amp;D1612</x:f>
        <x:v>6706 / 2026 / BROOK TROUT</x:v>
      </x:c>
    </x:row>
    <x:row r="1613" ht="23" customHeight="1">
      <x:c r="A1613" s="8" t="str">
        <x:v>Pleasure Island Reservoir</x:v>
      </x:c>
      <x:c r="B1613" s="8" t="str">
        <x:v>6706</x:v>
      </x:c>
      <x:c r="C1613" s="17" t="n">
        <x:v>2026</x:v>
      </x:c>
      <x:c r="D1613" s="8" t="str">
        <x:v>BROWN TROUT</x:v>
      </x:c>
      <x:c r="E1613" s="13" t="n">
        <x:f>SUMIFS('Stocking details'!$F$6:$F$3307,'Stocking details'!$I$6:$I$3307,G1613)</x:f>
        <x:v>160</x:v>
      </x:c>
      <x:c r="F1613" s="13" t="n">
        <x:f>COUNTIFS('Stocking details'!$I$6:$I$3307,G1613)</x:f>
        <x:v>1</x:v>
      </x:c>
      <x:c r="G1613" s="8" t="str">
        <x:f>B1613&amp;" / "&amp;C1613&amp;" / "&amp;D1613</x:f>
        <x:v>6706 / 2026 / BROWN TROUT</x:v>
      </x:c>
    </x:row>
    <x:row r="1614" ht="23" customHeight="1">
      <x:c r="A1614" s="8" t="str">
        <x:v>Pleasure Island Reservoir</x:v>
      </x:c>
      <x:c r="B1614" s="8" t="str">
        <x:v>6706</x:v>
      </x:c>
      <x:c r="C1614" s="17" t="n">
        <x:v>2026</x:v>
      </x:c>
      <x:c r="D1614" s="8" t="str">
        <x:v>RAINBOW TROUT</x:v>
      </x:c>
      <x:c r="E1614" s="13" t="n">
        <x:f>SUMIFS('Stocking details'!$F$6:$F$3307,'Stocking details'!$I$6:$I$3307,G1614)</x:f>
        <x:v>1380</x:v>
      </x:c>
      <x:c r="F1614" s="13" t="n">
        <x:f>COUNTIFS('Stocking details'!$I$6:$I$3307,G1614)</x:f>
        <x:v>2</x:v>
      </x:c>
      <x:c r="G1614" s="8" t="str">
        <x:f>B1614&amp;" / "&amp;C1614&amp;" / "&amp;D1614</x:f>
        <x:v>6706 / 2026 / RAINBOW TROUT</x:v>
      </x:c>
    </x:row>
    <x:row r="1615" ht="23" customHeight="1">
      <x:c r="A1615" s="8" t="str">
        <x:v>Pleasure Island Reservoir</x:v>
      </x:c>
      <x:c r="B1615" s="8" t="str">
        <x:v>6706</x:v>
      </x:c>
      <x:c r="C1615" s="17" t="n">
        <x:v>2026</x:v>
      </x:c>
      <x:c r="D1615" s="8" t="str">
        <x:v>TIGER TROUT</x:v>
      </x:c>
      <x:c r="E1615" s="13" t="n">
        <x:f>SUMIFS('Stocking details'!$F$6:$F$3307,'Stocking details'!$I$6:$I$3307,G1615)</x:f>
        <x:v>200</x:v>
      </x:c>
      <x:c r="F1615" s="13" t="n">
        <x:f>COUNTIFS('Stocking details'!$I$6:$I$3307,G1615)</x:f>
        <x:v>1</x:v>
      </x:c>
      <x:c r="G1615" s="8" t="str">
        <x:f>B1615&amp;" / "&amp;C1615&amp;" / "&amp;D1615</x:f>
        <x:v>6706 / 2026 / TIGER TROUT</x:v>
      </x:c>
    </x:row>
    <x:row r="1616" ht="23" customHeight="1">
      <x:c r="A1616" s="8" t="str">
        <x:v>Pleasure Island Reservoir</x:v>
      </x:c>
      <x:c r="B1616" s="8" t="str">
        <x:v>6706</x:v>
      </x:c>
      <x:c r="C1616" s="17" t="n">
        <x:v>2025</x:v>
      </x:c>
      <x:c r="D1616" s="8" t="str">
        <x:v>BROOK TROUT</x:v>
      </x:c>
      <x:c r="E1616" s="13" t="n">
        <x:f>SUMIFS('Stocking details'!$F$6:$F$3307,'Stocking details'!$I$6:$I$3307,G1616)</x:f>
        <x:v>1070</x:v>
      </x:c>
      <x:c r="F1616" s="13" t="n">
        <x:f>COUNTIFS('Stocking details'!$I$6:$I$3307,G1616)</x:f>
        <x:v>1</x:v>
      </x:c>
      <x:c r="G1616" s="8" t="str">
        <x:f>B1616&amp;" / "&amp;C1616&amp;" / "&amp;D1616</x:f>
        <x:v>6706 / 2025 / BROOK TROUT</x:v>
      </x:c>
    </x:row>
    <x:row r="1617" ht="23" customHeight="1">
      <x:c r="A1617" s="8" t="str">
        <x:v>Pleasure Island Reservoir</x:v>
      </x:c>
      <x:c r="B1617" s="8" t="str">
        <x:v>6706</x:v>
      </x:c>
      <x:c r="C1617" s="17" t="n">
        <x:v>2025</x:v>
      </x:c>
      <x:c r="D1617" s="8" t="str">
        <x:v>BROWN TROUT</x:v>
      </x:c>
      <x:c r="E1617" s="13" t="n">
        <x:f>SUMIFS('Stocking details'!$F$6:$F$3307,'Stocking details'!$I$6:$I$3307,G1617)</x:f>
        <x:v>160</x:v>
      </x:c>
      <x:c r="F1617" s="13" t="n">
        <x:f>COUNTIFS('Stocking details'!$I$6:$I$3307,G1617)</x:f>
        <x:v>1</x:v>
      </x:c>
      <x:c r="G1617" s="8" t="str">
        <x:f>B1617&amp;" / "&amp;C1617&amp;" / "&amp;D1617</x:f>
        <x:v>6706 / 2025 / BROWN TROUT</x:v>
      </x:c>
    </x:row>
    <x:row r="1618" ht="23" customHeight="1">
      <x:c r="A1618" s="8" t="str">
        <x:v>Pleasure Island Reservoir</x:v>
      </x:c>
      <x:c r="B1618" s="8" t="str">
        <x:v>6706</x:v>
      </x:c>
      <x:c r="C1618" s="17" t="n">
        <x:v>2025</x:v>
      </x:c>
      <x:c r="D1618" s="8" t="str">
        <x:v>RAINBOW TROUT</x:v>
      </x:c>
      <x:c r="E1618" s="13" t="n">
        <x:f>SUMIFS('Stocking details'!$F$6:$F$3307,'Stocking details'!$I$6:$I$3307,G1618)</x:f>
        <x:v>2400</x:v>
      </x:c>
      <x:c r="F1618" s="13" t="n">
        <x:f>COUNTIFS('Stocking details'!$I$6:$I$3307,G1618)</x:f>
        <x:v>3</x:v>
      </x:c>
      <x:c r="G1618" s="8" t="str">
        <x:f>B1618&amp;" / "&amp;C1618&amp;" / "&amp;D1618</x:f>
        <x:v>6706 / 2025 / RAINBOW TROUT</x:v>
      </x:c>
    </x:row>
    <x:row r="1619" ht="23" customHeight="1">
      <x:c r="A1619" s="8" t="str">
        <x:v>Pleasure Island Reservoir</x:v>
      </x:c>
      <x:c r="B1619" s="8" t="str">
        <x:v>6706</x:v>
      </x:c>
      <x:c r="C1619" s="17" t="n">
        <x:v>2025</x:v>
      </x:c>
      <x:c r="D1619" s="8" t="str">
        <x:v>TIGER TROUT</x:v>
      </x:c>
      <x:c r="E1619" s="13" t="n">
        <x:f>SUMIFS('Stocking details'!$F$6:$F$3307,'Stocking details'!$I$6:$I$3307,G1619)</x:f>
        <x:v>200</x:v>
      </x:c>
      <x:c r="F1619" s="13" t="n">
        <x:f>COUNTIFS('Stocking details'!$I$6:$I$3307,G1619)</x:f>
        <x:v>1</x:v>
      </x:c>
      <x:c r="G1619" s="8" t="str">
        <x:f>B1619&amp;" / "&amp;C1619&amp;" / "&amp;D1619</x:f>
        <x:v>6706 / 2025 / TIGER TROUT</x:v>
      </x:c>
    </x:row>
    <x:row r="1620" ht="23" customHeight="1">
      <x:c r="A1620" s="8" t="str">
        <x:v>Pleasure Island Reservoir</x:v>
      </x:c>
      <x:c r="B1620" s="8" t="str">
        <x:v>6706</x:v>
      </x:c>
      <x:c r="C1620" s="17" t="n">
        <x:v>2024</x:v>
      </x:c>
      <x:c r="D1620" s="8" t="str">
        <x:v>BROOK TROUT</x:v>
      </x:c>
      <x:c r="E1620" s="13" t="n">
        <x:f>SUMIFS('Stocking details'!$F$6:$F$3307,'Stocking details'!$I$6:$I$3307,G1620)</x:f>
        <x:v>750</x:v>
      </x:c>
      <x:c r="F1620" s="13" t="n">
        <x:f>COUNTIFS('Stocking details'!$I$6:$I$3307,G1620)</x:f>
        <x:v>1</x:v>
      </x:c>
      <x:c r="G1620" s="8" t="str">
        <x:f>B1620&amp;" / "&amp;C1620&amp;" / "&amp;D1620</x:f>
        <x:v>6706 / 2024 / BROOK TROUT</x:v>
      </x:c>
    </x:row>
    <x:row r="1621" ht="23" customHeight="1">
      <x:c r="A1621" s="8" t="str">
        <x:v>Pleasure Island Reservoir</x:v>
      </x:c>
      <x:c r="B1621" s="8" t="str">
        <x:v>6706</x:v>
      </x:c>
      <x:c r="C1621" s="17" t="n">
        <x:v>2024</x:v>
      </x:c>
      <x:c r="D1621" s="8" t="str">
        <x:v>BROWN TROUT</x:v>
      </x:c>
      <x:c r="E1621" s="13" t="n">
        <x:f>SUMIFS('Stocking details'!$F$6:$F$3307,'Stocking details'!$I$6:$I$3307,G1621)</x:f>
        <x:v>193</x:v>
      </x:c>
      <x:c r="F1621" s="13" t="n">
        <x:f>COUNTIFS('Stocking details'!$I$6:$I$3307,G1621)</x:f>
        <x:v>1</x:v>
      </x:c>
      <x:c r="G1621" s="8" t="str">
        <x:f>B1621&amp;" / "&amp;C1621&amp;" / "&amp;D1621</x:f>
        <x:v>6706 / 2024 / BROWN TROUT</x:v>
      </x:c>
    </x:row>
    <x:row r="1622" ht="23" customHeight="1">
      <x:c r="A1622" s="8" t="str">
        <x:v>Pleasure Island Reservoir</x:v>
      </x:c>
      <x:c r="B1622" s="8" t="str">
        <x:v>6706</x:v>
      </x:c>
      <x:c r="C1622" s="17" t="n">
        <x:v>2024</x:v>
      </x:c>
      <x:c r="D1622" s="8" t="str">
        <x:v>RAINBOW TROUT</x:v>
      </x:c>
      <x:c r="E1622" s="13" t="n">
        <x:f>SUMIFS('Stocking details'!$F$6:$F$3307,'Stocking details'!$I$6:$I$3307,G1622)</x:f>
        <x:v>4213</x:v>
      </x:c>
      <x:c r="F1622" s="13" t="n">
        <x:f>COUNTIFS('Stocking details'!$I$6:$I$3307,G1622)</x:f>
        <x:v>4</x:v>
      </x:c>
      <x:c r="G1622" s="8" t="str">
        <x:f>B1622&amp;" / "&amp;C1622&amp;" / "&amp;D1622</x:f>
        <x:v>6706 / 2024 / RAINBOW TROUT</x:v>
      </x:c>
    </x:row>
    <x:row r="1623" ht="23" customHeight="1">
      <x:c r="A1623" s="8" t="str">
        <x:v>Pleasure Island Reservoir</x:v>
      </x:c>
      <x:c r="B1623" s="8" t="str">
        <x:v>6706</x:v>
      </x:c>
      <x:c r="C1623" s="17" t="n">
        <x:v>2024</x:v>
      </x:c>
      <x:c r="D1623" s="8" t="str">
        <x:v>TIGER TROUT</x:v>
      </x:c>
      <x:c r="E1623" s="13" t="n">
        <x:f>SUMIFS('Stocking details'!$F$6:$F$3307,'Stocking details'!$I$6:$I$3307,G1623)</x:f>
        <x:v>200</x:v>
      </x:c>
      <x:c r="F1623" s="13" t="n">
        <x:f>COUNTIFS('Stocking details'!$I$6:$I$3307,G1623)</x:f>
        <x:v>1</x:v>
      </x:c>
      <x:c r="G1623" s="8" t="str">
        <x:f>B1623&amp;" / "&amp;C1623&amp;" / "&amp;D1623</x:f>
        <x:v>6706 / 2024 / TIGER TROUT</x:v>
      </x:c>
    </x:row>
    <x:row r="1624" ht="23" customHeight="1">
      <x:c r="A1624" s="8" t="str">
        <x:v>Pleasure Island Reservoir</x:v>
      </x:c>
      <x:c r="B1624" s="8" t="str">
        <x:v>6706</x:v>
      </x:c>
      <x:c r="C1624" s="17" t="n">
        <x:v>2023</x:v>
      </x:c>
      <x:c r="D1624" s="8" t="str">
        <x:v>BROOK TROUT</x:v>
      </x:c>
      <x:c r="E1624" s="13" t="n">
        <x:f>SUMIFS('Stocking details'!$F$6:$F$3307,'Stocking details'!$I$6:$I$3307,G1624)</x:f>
        <x:v>750</x:v>
      </x:c>
      <x:c r="F1624" s="13" t="n">
        <x:f>COUNTIFS('Stocking details'!$I$6:$I$3307,G1624)</x:f>
        <x:v>1</x:v>
      </x:c>
      <x:c r="G1624" s="8" t="str">
        <x:f>B1624&amp;" / "&amp;C1624&amp;" / "&amp;D1624</x:f>
        <x:v>6706 / 2023 / BROOK TROUT</x:v>
      </x:c>
    </x:row>
    <x:row r="1625" ht="23" customHeight="1">
      <x:c r="A1625" s="8" t="str">
        <x:v>Pleasure Island Reservoir</x:v>
      </x:c>
      <x:c r="B1625" s="8" t="str">
        <x:v>6706</x:v>
      </x:c>
      <x:c r="C1625" s="17" t="n">
        <x:v>2023</x:v>
      </x:c>
      <x:c r="D1625" s="8" t="str">
        <x:v>BROWN TROUT</x:v>
      </x:c>
      <x:c r="E1625" s="13" t="n">
        <x:f>SUMIFS('Stocking details'!$F$6:$F$3307,'Stocking details'!$I$6:$I$3307,G1625)</x:f>
        <x:v>160</x:v>
      </x:c>
      <x:c r="F1625" s="13" t="n">
        <x:f>COUNTIFS('Stocking details'!$I$6:$I$3307,G1625)</x:f>
        <x:v>1</x:v>
      </x:c>
      <x:c r="G1625" s="8" t="str">
        <x:f>B1625&amp;" / "&amp;C1625&amp;" / "&amp;D1625</x:f>
        <x:v>6706 / 2023 / BROWN TROUT</x:v>
      </x:c>
    </x:row>
    <x:row r="1626" ht="23" customHeight="1">
      <x:c r="A1626" s="8" t="str">
        <x:v>Pleasure Island Reservoir</x:v>
      </x:c>
      <x:c r="B1626" s="8" t="str">
        <x:v>6706</x:v>
      </x:c>
      <x:c r="C1626" s="17" t="n">
        <x:v>2023</x:v>
      </x:c>
      <x:c r="D1626" s="8" t="str">
        <x:v>RAINBOW TROUT</x:v>
      </x:c>
      <x:c r="E1626" s="13" t="n">
        <x:f>SUMIFS('Stocking details'!$F$6:$F$3307,'Stocking details'!$I$6:$I$3307,G1626)</x:f>
        <x:v>1905</x:v>
      </x:c>
      <x:c r="F1626" s="13" t="n">
        <x:f>COUNTIFS('Stocking details'!$I$6:$I$3307,G1626)</x:f>
        <x:v>3</x:v>
      </x:c>
      <x:c r="G1626" s="8" t="str">
        <x:f>B1626&amp;" / "&amp;C1626&amp;" / "&amp;D1626</x:f>
        <x:v>6706 / 2023 / RAINBOW TROUT</x:v>
      </x:c>
    </x:row>
    <x:row r="1627" ht="23" customHeight="1">
      <x:c r="A1627" s="8" t="str">
        <x:v>Pleasure Island Reservoir</x:v>
      </x:c>
      <x:c r="B1627" s="8" t="str">
        <x:v>6706</x:v>
      </x:c>
      <x:c r="C1627" s="17" t="n">
        <x:v>2023</x:v>
      </x:c>
      <x:c r="D1627" s="8" t="str">
        <x:v>TIGER TROUT</x:v>
      </x:c>
      <x:c r="E1627" s="13" t="n">
        <x:f>SUMIFS('Stocking details'!$F$6:$F$3307,'Stocking details'!$I$6:$I$3307,G1627)</x:f>
        <x:v>200</x:v>
      </x:c>
      <x:c r="F1627" s="13" t="n">
        <x:f>COUNTIFS('Stocking details'!$I$6:$I$3307,G1627)</x:f>
        <x:v>1</x:v>
      </x:c>
      <x:c r="G1627" s="8" t="str">
        <x:f>B1627&amp;" / "&amp;C1627&amp;" / "&amp;D1627</x:f>
        <x:v>6706 / 2023 / TIGER TROUT</x:v>
      </x:c>
    </x:row>
    <x:row r="1628" ht="23" customHeight="1">
      <x:c r="A1628" s="8" t="str">
        <x:v>Pleasure Island Reservoir</x:v>
      </x:c>
      <x:c r="B1628" s="8" t="str">
        <x:v>6706</x:v>
      </x:c>
      <x:c r="C1628" s="17" t="n">
        <x:v>2022</x:v>
      </x:c>
      <x:c r="D1628" s="8" t="str">
        <x:v>BROOK TROUT</x:v>
      </x:c>
      <x:c r="E1628" s="13" t="n">
        <x:f>SUMIFS('Stocking details'!$F$6:$F$3307,'Stocking details'!$I$6:$I$3307,G1628)</x:f>
        <x:v>1070</x:v>
      </x:c>
      <x:c r="F1628" s="13" t="n">
        <x:f>COUNTIFS('Stocking details'!$I$6:$I$3307,G1628)</x:f>
        <x:v>1</x:v>
      </x:c>
      <x:c r="G1628" s="8" t="str">
        <x:f>B1628&amp;" / "&amp;C1628&amp;" / "&amp;D1628</x:f>
        <x:v>6706 / 2022 / BROOK TROUT</x:v>
      </x:c>
    </x:row>
    <x:row r="1629" ht="23" customHeight="1">
      <x:c r="A1629" s="8" t="str">
        <x:v>Pleasure Island Reservoir</x:v>
      </x:c>
      <x:c r="B1629" s="8" t="str">
        <x:v>6706</x:v>
      </x:c>
      <x:c r="C1629" s="17" t="n">
        <x:v>2022</x:v>
      </x:c>
      <x:c r="D1629" s="8" t="str">
        <x:v>BROWN TROUT</x:v>
      </x:c>
      <x:c r="E1629" s="13" t="n">
        <x:f>SUMIFS('Stocking details'!$F$6:$F$3307,'Stocking details'!$I$6:$I$3307,G1629)</x:f>
        <x:v>160</x:v>
      </x:c>
      <x:c r="F1629" s="13" t="n">
        <x:f>COUNTIFS('Stocking details'!$I$6:$I$3307,G1629)</x:f>
        <x:v>1</x:v>
      </x:c>
      <x:c r="G1629" s="8" t="str">
        <x:f>B1629&amp;" / "&amp;C1629&amp;" / "&amp;D1629</x:f>
        <x:v>6706 / 2022 / BROWN TROUT</x:v>
      </x:c>
    </x:row>
    <x:row r="1630" ht="23" customHeight="1">
      <x:c r="A1630" s="8" t="str">
        <x:v>Pleasure Island Reservoir</x:v>
      </x:c>
      <x:c r="B1630" s="8" t="str">
        <x:v>6706</x:v>
      </x:c>
      <x:c r="C1630" s="17" t="n">
        <x:v>2022</x:v>
      </x:c>
      <x:c r="D1630" s="8" t="str">
        <x:v>RAINBOW TROUT</x:v>
      </x:c>
      <x:c r="E1630" s="13" t="n">
        <x:f>SUMIFS('Stocking details'!$F$6:$F$3307,'Stocking details'!$I$6:$I$3307,G1630)</x:f>
        <x:v>3400</x:v>
      </x:c>
      <x:c r="F1630" s="13" t="n">
        <x:f>COUNTIFS('Stocking details'!$I$6:$I$3307,G1630)</x:f>
        <x:v>3</x:v>
      </x:c>
      <x:c r="G1630" s="8" t="str">
        <x:f>B1630&amp;" / "&amp;C1630&amp;" / "&amp;D1630</x:f>
        <x:v>6706 / 2022 / RAINBOW TROUT</x:v>
      </x:c>
    </x:row>
    <x:row r="1631" ht="23" customHeight="1">
      <x:c r="A1631" s="8" t="str">
        <x:v>Pleasure Island Reservoir</x:v>
      </x:c>
      <x:c r="B1631" s="8" t="str">
        <x:v>6706</x:v>
      </x:c>
      <x:c r="C1631" s="17" t="n">
        <x:v>2021</x:v>
      </x:c>
      <x:c r="D1631" s="8" t="str">
        <x:v>BROOK TROUT</x:v>
      </x:c>
      <x:c r="E1631" s="13" t="n">
        <x:f>SUMIFS('Stocking details'!$F$6:$F$3307,'Stocking details'!$I$6:$I$3307,G1631)</x:f>
        <x:v>1070</x:v>
      </x:c>
      <x:c r="F1631" s="13" t="n">
        <x:f>COUNTIFS('Stocking details'!$I$6:$I$3307,G1631)</x:f>
        <x:v>1</x:v>
      </x:c>
      <x:c r="G1631" s="8" t="str">
        <x:f>B1631&amp;" / "&amp;C1631&amp;" / "&amp;D1631</x:f>
        <x:v>6706 / 2021 / BROOK TROUT</x:v>
      </x:c>
    </x:row>
    <x:row r="1632" ht="23" customHeight="1">
      <x:c r="A1632" s="8" t="str">
        <x:v>Pleasure Island Reservoir</x:v>
      </x:c>
      <x:c r="B1632" s="8" t="str">
        <x:v>6706</x:v>
      </x:c>
      <x:c r="C1632" s="17" t="n">
        <x:v>2021</x:v>
      </x:c>
      <x:c r="D1632" s="8" t="str">
        <x:v>BROWN TROUT</x:v>
      </x:c>
      <x:c r="E1632" s="13" t="n">
        <x:f>SUMIFS('Stocking details'!$F$6:$F$3307,'Stocking details'!$I$6:$I$3307,G1632)</x:f>
        <x:v>160</x:v>
      </x:c>
      <x:c r="F1632" s="13" t="n">
        <x:f>COUNTIFS('Stocking details'!$I$6:$I$3307,G1632)</x:f>
        <x:v>1</x:v>
      </x:c>
      <x:c r="G1632" s="8" t="str">
        <x:f>B1632&amp;" / "&amp;C1632&amp;" / "&amp;D1632</x:f>
        <x:v>6706 / 2021 / BROWN TROUT</x:v>
      </x:c>
    </x:row>
    <x:row r="1633" ht="23" customHeight="1">
      <x:c r="A1633" s="8" t="str">
        <x:v>Pleasure Island Reservoir</x:v>
      </x:c>
      <x:c r="B1633" s="8" t="str">
        <x:v>6706</x:v>
      </x:c>
      <x:c r="C1633" s="17" t="n">
        <x:v>2021</x:v>
      </x:c>
      <x:c r="D1633" s="8" t="str">
        <x:v>RAINBOW TROUT</x:v>
      </x:c>
      <x:c r="E1633" s="13" t="n">
        <x:f>SUMIFS('Stocking details'!$F$6:$F$3307,'Stocking details'!$I$6:$I$3307,G1633)</x:f>
        <x:v>1400</x:v>
      </x:c>
      <x:c r="F1633" s="13" t="n">
        <x:f>COUNTIFS('Stocking details'!$I$6:$I$3307,G1633)</x:f>
        <x:v>2</x:v>
      </x:c>
      <x:c r="G1633" s="8" t="str">
        <x:f>B1633&amp;" / "&amp;C1633&amp;" / "&amp;D1633</x:f>
        <x:v>6706 / 2021 / RAINBOW TROUT</x:v>
      </x:c>
    </x:row>
    <x:row r="1634" ht="23" customHeight="1">
      <x:c r="A1634" s="8" t="str">
        <x:v>Police Lake</x:v>
      </x:c>
      <x:c r="B1634" s="8" t="str">
        <x:v>5504</x:v>
      </x:c>
      <x:c r="C1634" s="17" t="n">
        <x:v>2026</x:v>
      </x:c>
      <x:c r="D1634" s="8" t="str">
        <x:v>RAINBOW TROUT</x:v>
      </x:c>
      <x:c r="E1634" s="13" t="n">
        <x:f>SUMIFS('Stocking details'!$F$6:$F$3307,'Stocking details'!$I$6:$I$3307,G1634)</x:f>
        <x:v>7500</x:v>
      </x:c>
      <x:c r="F1634" s="13" t="n">
        <x:f>COUNTIFS('Stocking details'!$I$6:$I$3307,G1634)</x:f>
        <x:v>3</x:v>
      </x:c>
      <x:c r="G1634" s="8" t="str">
        <x:f>B1634&amp;" / "&amp;C1634&amp;" / "&amp;D1634</x:f>
        <x:v>5504 / 2026 / RAINBOW TROUT</x:v>
      </x:c>
    </x:row>
    <x:row r="1635" ht="23" customHeight="1">
      <x:c r="A1635" s="8" t="str">
        <x:v>Police Lake</x:v>
      </x:c>
      <x:c r="B1635" s="8" t="str">
        <x:v>5504</x:v>
      </x:c>
      <x:c r="C1635" s="17" t="n">
        <x:v>2025</x:v>
      </x:c>
      <x:c r="D1635" s="8" t="str">
        <x:v>RAINBOW TROUT</x:v>
      </x:c>
      <x:c r="E1635" s="13" t="n">
        <x:f>SUMIFS('Stocking details'!$F$6:$F$3307,'Stocking details'!$I$6:$I$3307,G1635)</x:f>
        <x:v>5000</x:v>
      </x:c>
      <x:c r="F1635" s="13" t="n">
        <x:f>COUNTIFS('Stocking details'!$I$6:$I$3307,G1635)</x:f>
        <x:v>2</x:v>
      </x:c>
      <x:c r="G1635" s="8" t="str">
        <x:f>B1635&amp;" / "&amp;C1635&amp;" / "&amp;D1635</x:f>
        <x:v>5504 / 2025 / RAINBOW TROUT</x:v>
      </x:c>
    </x:row>
    <x:row r="1636" ht="23" customHeight="1">
      <x:c r="A1636" s="8" t="str">
        <x:v>Police Lake</x:v>
      </x:c>
      <x:c r="B1636" s="8" t="str">
        <x:v>5504</x:v>
      </x:c>
      <x:c r="C1636" s="17" t="n">
        <x:v>2024</x:v>
      </x:c>
      <x:c r="D1636" s="8" t="str">
        <x:v>RAINBOW TROUT</x:v>
      </x:c>
      <x:c r="E1636" s="13" t="n">
        <x:f>SUMIFS('Stocking details'!$F$6:$F$3307,'Stocking details'!$I$6:$I$3307,G1636)</x:f>
        <x:v>5040</x:v>
      </x:c>
      <x:c r="F1636" s="13" t="n">
        <x:f>COUNTIFS('Stocking details'!$I$6:$I$3307,G1636)</x:f>
        <x:v>3</x:v>
      </x:c>
      <x:c r="G1636" s="8" t="str">
        <x:f>B1636&amp;" / "&amp;C1636&amp;" / "&amp;D1636</x:f>
        <x:v>5504 / 2024 / RAINBOW TROUT</x:v>
      </x:c>
    </x:row>
    <x:row r="1637" ht="23" customHeight="1">
      <x:c r="A1637" s="8" t="str">
        <x:v>Police Lake</x:v>
      </x:c>
      <x:c r="B1637" s="8" t="str">
        <x:v>5504</x:v>
      </x:c>
      <x:c r="C1637" s="17" t="n">
        <x:v>2023</x:v>
      </x:c>
      <x:c r="D1637" s="8" t="str">
        <x:v>RAINBOW TROUT</x:v>
      </x:c>
      <x:c r="E1637" s="13" t="n">
        <x:f>SUMIFS('Stocking details'!$F$6:$F$3307,'Stocking details'!$I$6:$I$3307,G1637)</x:f>
        <x:v>7880</x:v>
      </x:c>
      <x:c r="F1637" s="13" t="n">
        <x:f>COUNTIFS('Stocking details'!$I$6:$I$3307,G1637)</x:f>
        <x:v>5</x:v>
      </x:c>
      <x:c r="G1637" s="8" t="str">
        <x:f>B1637&amp;" / "&amp;C1637&amp;" / "&amp;D1637</x:f>
        <x:v>5504 / 2023 / RAINBOW TROUT</x:v>
      </x:c>
    </x:row>
    <x:row r="1638" ht="23" customHeight="1">
      <x:c r="A1638" s="8" t="str">
        <x:v>Police Lake</x:v>
      </x:c>
      <x:c r="B1638" s="8" t="str">
        <x:v>5504</x:v>
      </x:c>
      <x:c r="C1638" s="17" t="n">
        <x:v>2022</x:v>
      </x:c>
      <x:c r="D1638" s="8" t="str">
        <x:v>RAINBOW TROUT</x:v>
      </x:c>
      <x:c r="E1638" s="13" t="n">
        <x:f>SUMIFS('Stocking details'!$F$6:$F$3307,'Stocking details'!$I$6:$I$3307,G1638)</x:f>
        <x:v>5000</x:v>
      </x:c>
      <x:c r="F1638" s="13" t="n">
        <x:f>COUNTIFS('Stocking details'!$I$6:$I$3307,G1638)</x:f>
        <x:v>1</x:v>
      </x:c>
      <x:c r="G1638" s="8" t="str">
        <x:f>B1638&amp;" / "&amp;C1638&amp;" / "&amp;D1638</x:f>
        <x:v>5504 / 2022 / RAINBOW TROUT</x:v>
      </x:c>
    </x:row>
    <x:row r="1639" ht="23" customHeight="1">
      <x:c r="A1639" s="8" t="str">
        <x:v>Police Lake</x:v>
      </x:c>
      <x:c r="B1639" s="8" t="str">
        <x:v>5504</x:v>
      </x:c>
      <x:c r="C1639" s="17" t="n">
        <x:v>2021</x:v>
      </x:c>
      <x:c r="D1639" s="8" t="str">
        <x:v>RAINBOW TROUT</x:v>
      </x:c>
      <x:c r="E1639" s="13" t="n">
        <x:f>SUMIFS('Stocking details'!$F$6:$F$3307,'Stocking details'!$I$6:$I$3307,G1639)</x:f>
        <x:v>5000</x:v>
      </x:c>
      <x:c r="F1639" s="13" t="n">
        <x:f>COUNTIFS('Stocking details'!$I$6:$I$3307,G1639)</x:f>
        <x:v>1</x:v>
      </x:c>
      <x:c r="G1639" s="8" t="str">
        <x:f>B1639&amp;" / "&amp;C1639&amp;" / "&amp;D1639</x:f>
        <x:v>5504 / 2021 / RAINBOW TROUT</x:v>
      </x:c>
    </x:row>
    <x:row r="1640" ht="23" customHeight="1">
      <x:c r="A1640" s="8" t="str">
        <x:v>Ponoka Centennial Park Pond</x:v>
      </x:c>
      <x:c r="B1640" s="8" t="str">
        <x:v>6871</x:v>
      </x:c>
      <x:c r="C1640" s="17" t="n">
        <x:v>2026</x:v>
      </x:c>
      <x:c r="D1640" s="8" t="str">
        <x:v>RAINBOW TROUT</x:v>
      </x:c>
      <x:c r="E1640" s="13" t="n">
        <x:f>SUMIFS('Stocking details'!$F$6:$F$3307,'Stocking details'!$I$6:$I$3307,G1640)</x:f>
        <x:v>1000</x:v>
      </x:c>
      <x:c r="F1640" s="13" t="n">
        <x:f>COUNTIFS('Stocking details'!$I$6:$I$3307,G1640)</x:f>
        <x:v>1</x:v>
      </x:c>
      <x:c r="G1640" s="8" t="str">
        <x:f>B1640&amp;" / "&amp;C1640&amp;" / "&amp;D1640</x:f>
        <x:v>6871 / 2026 / RAINBOW TROUT</x:v>
      </x:c>
    </x:row>
    <x:row r="1641" ht="23" customHeight="1">
      <x:c r="A1641" s="8" t="str">
        <x:v>Ponoka Centennial Park Pond</x:v>
      </x:c>
      <x:c r="B1641" s="8" t="str">
        <x:v>6871</x:v>
      </x:c>
      <x:c r="C1641" s="17" t="n">
        <x:v>2026</x:v>
      </x:c>
      <x:c r="D1641" s="8" t="str">
        <x:v>TIGER TROUT</x:v>
      </x:c>
      <x:c r="E1641" s="13" t="n">
        <x:f>SUMIFS('Stocking details'!$F$6:$F$3307,'Stocking details'!$I$6:$I$3307,G1641)</x:f>
        <x:v>100</x:v>
      </x:c>
      <x:c r="F1641" s="13" t="n">
        <x:f>COUNTIFS('Stocking details'!$I$6:$I$3307,G1641)</x:f>
        <x:v>1</x:v>
      </x:c>
      <x:c r="G1641" s="8" t="str">
        <x:f>B1641&amp;" / "&amp;C1641&amp;" / "&amp;D1641</x:f>
        <x:v>6871 / 2026 / TIGER TROUT</x:v>
      </x:c>
    </x:row>
    <x:row r="1642" ht="23" customHeight="1">
      <x:c r="A1642" s="8" t="str">
        <x:v>Ponoka Centennial Park Pond</x:v>
      </x:c>
      <x:c r="B1642" s="8" t="str">
        <x:v>6871</x:v>
      </x:c>
      <x:c r="C1642" s="17" t="n">
        <x:v>2025</x:v>
      </x:c>
      <x:c r="D1642" s="8" t="str">
        <x:v>RAINBOW TROUT</x:v>
      </x:c>
      <x:c r="E1642" s="13" t="n">
        <x:f>SUMIFS('Stocking details'!$F$6:$F$3307,'Stocking details'!$I$6:$I$3307,G1642)</x:f>
        <x:v>1000</x:v>
      </x:c>
      <x:c r="F1642" s="13" t="n">
        <x:f>COUNTIFS('Stocking details'!$I$6:$I$3307,G1642)</x:f>
        <x:v>1</x:v>
      </x:c>
      <x:c r="G1642" s="8" t="str">
        <x:f>B1642&amp;" / "&amp;C1642&amp;" / "&amp;D1642</x:f>
        <x:v>6871 / 2025 / RAINBOW TROUT</x:v>
      </x:c>
    </x:row>
    <x:row r="1643" ht="23" customHeight="1">
      <x:c r="A1643" s="8" t="str">
        <x:v>Ponoka Centennial Park Pond</x:v>
      </x:c>
      <x:c r="B1643" s="8" t="str">
        <x:v>6871</x:v>
      </x:c>
      <x:c r="C1643" s="17" t="n">
        <x:v>2025</x:v>
      </x:c>
      <x:c r="D1643" s="8" t="str">
        <x:v>TIGER TROUT</x:v>
      </x:c>
      <x:c r="E1643" s="13" t="n">
        <x:f>SUMIFS('Stocking details'!$F$6:$F$3307,'Stocking details'!$I$6:$I$3307,G1643)</x:f>
        <x:v>100</x:v>
      </x:c>
      <x:c r="F1643" s="13" t="n">
        <x:f>COUNTIFS('Stocking details'!$I$6:$I$3307,G1643)</x:f>
        <x:v>1</x:v>
      </x:c>
      <x:c r="G1643" s="8" t="str">
        <x:f>B1643&amp;" / "&amp;C1643&amp;" / "&amp;D1643</x:f>
        <x:v>6871 / 2025 / TIGER TROUT</x:v>
      </x:c>
    </x:row>
    <x:row r="1644" ht="23" customHeight="1">
      <x:c r="A1644" s="8" t="str">
        <x:v>Ponoka Centennial Park Pond</x:v>
      </x:c>
      <x:c r="B1644" s="8" t="str">
        <x:v>6871</x:v>
      </x:c>
      <x:c r="C1644" s="17" t="n">
        <x:v>2024</x:v>
      </x:c>
      <x:c r="D1644" s="8" t="str">
        <x:v>RAINBOW TROUT</x:v>
      </x:c>
      <x:c r="E1644" s="13" t="n">
        <x:f>SUMIFS('Stocking details'!$F$6:$F$3307,'Stocking details'!$I$6:$I$3307,G1644)</x:f>
        <x:v>1000</x:v>
      </x:c>
      <x:c r="F1644" s="13" t="n">
        <x:f>COUNTIFS('Stocking details'!$I$6:$I$3307,G1644)</x:f>
        <x:v>1</x:v>
      </x:c>
      <x:c r="G1644" s="8" t="str">
        <x:f>B1644&amp;" / "&amp;C1644&amp;" / "&amp;D1644</x:f>
        <x:v>6871 / 2024 / RAINBOW TROUT</x:v>
      </x:c>
    </x:row>
    <x:row r="1645" ht="23" customHeight="1">
      <x:c r="A1645" s="8" t="str">
        <x:v>Ponoka Centennial Park Pond</x:v>
      </x:c>
      <x:c r="B1645" s="8" t="str">
        <x:v>6871</x:v>
      </x:c>
      <x:c r="C1645" s="17" t="n">
        <x:v>2024</x:v>
      </x:c>
      <x:c r="D1645" s="8" t="str">
        <x:v>TIGER TROUT</x:v>
      </x:c>
      <x:c r="E1645" s="13" t="n">
        <x:f>SUMIFS('Stocking details'!$F$6:$F$3307,'Stocking details'!$I$6:$I$3307,G1645)</x:f>
        <x:v>100</x:v>
      </x:c>
      <x:c r="F1645" s="13" t="n">
        <x:f>COUNTIFS('Stocking details'!$I$6:$I$3307,G1645)</x:f>
        <x:v>1</x:v>
      </x:c>
      <x:c r="G1645" s="8" t="str">
        <x:f>B1645&amp;" / "&amp;C1645&amp;" / "&amp;D1645</x:f>
        <x:v>6871 / 2024 / TIGER TROUT</x:v>
      </x:c>
    </x:row>
    <x:row r="1646" ht="23" customHeight="1">
      <x:c r="A1646" s="8" t="str">
        <x:v>Ponoka Centennial Park Pond</x:v>
      </x:c>
      <x:c r="B1646" s="8" t="str">
        <x:v>6871</x:v>
      </x:c>
      <x:c r="C1646" s="17" t="n">
        <x:v>2023</x:v>
      </x:c>
      <x:c r="D1646" s="8" t="str">
        <x:v>RAINBOW TROUT</x:v>
      </x:c>
      <x:c r="E1646" s="13" t="n">
        <x:f>SUMIFS('Stocking details'!$F$6:$F$3307,'Stocking details'!$I$6:$I$3307,G1646)</x:f>
        <x:v>1000</x:v>
      </x:c>
      <x:c r="F1646" s="13" t="n">
        <x:f>COUNTIFS('Stocking details'!$I$6:$I$3307,G1646)</x:f>
        <x:v>1</x:v>
      </x:c>
      <x:c r="G1646" s="8" t="str">
        <x:f>B1646&amp;" / "&amp;C1646&amp;" / "&amp;D1646</x:f>
        <x:v>6871 / 2023 / RAINBOW TROUT</x:v>
      </x:c>
    </x:row>
    <x:row r="1647" ht="23" customHeight="1">
      <x:c r="A1647" s="8" t="str">
        <x:v>Ponoka Centennial Park Pond</x:v>
      </x:c>
      <x:c r="B1647" s="8" t="str">
        <x:v>6871</x:v>
      </x:c>
      <x:c r="C1647" s="17" t="n">
        <x:v>2023</x:v>
      </x:c>
      <x:c r="D1647" s="8" t="str">
        <x:v>TIGER TROUT</x:v>
      </x:c>
      <x:c r="E1647" s="13" t="n">
        <x:f>SUMIFS('Stocking details'!$F$6:$F$3307,'Stocking details'!$I$6:$I$3307,G1647)</x:f>
        <x:v>100</x:v>
      </x:c>
      <x:c r="F1647" s="13" t="n">
        <x:f>COUNTIFS('Stocking details'!$I$6:$I$3307,G1647)</x:f>
        <x:v>1</x:v>
      </x:c>
      <x:c r="G1647" s="8" t="str">
        <x:f>B1647&amp;" / "&amp;C1647&amp;" / "&amp;D1647</x:f>
        <x:v>6871 / 2023 / TIGER TROUT</x:v>
      </x:c>
    </x:row>
    <x:row r="1648" ht="23" customHeight="1">
      <x:c r="A1648" s="8" t="str">
        <x:v>Ponoka Centennial Park Pond</x:v>
      </x:c>
      <x:c r="B1648" s="8" t="str">
        <x:v>6871</x:v>
      </x:c>
      <x:c r="C1648" s="17" t="n">
        <x:v>2022</x:v>
      </x:c>
      <x:c r="D1648" s="8" t="str">
        <x:v>RAINBOW TROUT</x:v>
      </x:c>
      <x:c r="E1648" s="13" t="n">
        <x:f>SUMIFS('Stocking details'!$F$6:$F$3307,'Stocking details'!$I$6:$I$3307,G1648)</x:f>
        <x:v>1000</x:v>
      </x:c>
      <x:c r="F1648" s="13" t="n">
        <x:f>COUNTIFS('Stocking details'!$I$6:$I$3307,G1648)</x:f>
        <x:v>1</x:v>
      </x:c>
      <x:c r="G1648" s="8" t="str">
        <x:f>B1648&amp;" / "&amp;C1648&amp;" / "&amp;D1648</x:f>
        <x:v>6871 / 2022 / RAINBOW TROUT</x:v>
      </x:c>
    </x:row>
    <x:row r="1649" ht="23" customHeight="1">
      <x:c r="A1649" s="8" t="str">
        <x:v>Ponoka Centennial Park Pond</x:v>
      </x:c>
      <x:c r="B1649" s="8" t="str">
        <x:v>6871</x:v>
      </x:c>
      <x:c r="C1649" s="17" t="n">
        <x:v>2022</x:v>
      </x:c>
      <x:c r="D1649" s="8" t="str">
        <x:v>TIGER TROUT</x:v>
      </x:c>
      <x:c r="E1649" s="13" t="n">
        <x:f>SUMIFS('Stocking details'!$F$6:$F$3307,'Stocking details'!$I$6:$I$3307,G1649)</x:f>
        <x:v>100</x:v>
      </x:c>
      <x:c r="F1649" s="13" t="n">
        <x:f>COUNTIFS('Stocking details'!$I$6:$I$3307,G1649)</x:f>
        <x:v>1</x:v>
      </x:c>
      <x:c r="G1649" s="8" t="str">
        <x:f>B1649&amp;" / "&amp;C1649&amp;" / "&amp;D1649</x:f>
        <x:v>6871 / 2022 / TIGER TROUT</x:v>
      </x:c>
    </x:row>
    <x:row r="1650" ht="23" customHeight="1">
      <x:c r="A1650" s="8" t="str">
        <x:v>Ponoka Centennial Park Pond</x:v>
      </x:c>
      <x:c r="B1650" s="8" t="str">
        <x:v>6871</x:v>
      </x:c>
      <x:c r="C1650" s="17" t="n">
        <x:v>2021</x:v>
      </x:c>
      <x:c r="D1650" s="8" t="str">
        <x:v>RAINBOW TROUT</x:v>
      </x:c>
      <x:c r="E1650" s="13" t="n">
        <x:f>SUMIFS('Stocking details'!$F$6:$F$3307,'Stocking details'!$I$6:$I$3307,G1650)</x:f>
        <x:v>1650</x:v>
      </x:c>
      <x:c r="F1650" s="13" t="n">
        <x:f>COUNTIFS('Stocking details'!$I$6:$I$3307,G1650)</x:f>
        <x:v>2</x:v>
      </x:c>
      <x:c r="G1650" s="8" t="str">
        <x:f>B1650&amp;" / "&amp;C1650&amp;" / "&amp;D1650</x:f>
        <x:v>6871 / 2021 / RAINBOW TROUT</x:v>
      </x:c>
    </x:row>
    <x:row r="1651" ht="23" customHeight="1">
      <x:c r="A1651" s="8" t="str">
        <x:v>Ponoka Centennial Park Pond</x:v>
      </x:c>
      <x:c r="B1651" s="8" t="str">
        <x:v>6871</x:v>
      </x:c>
      <x:c r="C1651" s="17" t="n">
        <x:v>2021</x:v>
      </x:c>
      <x:c r="D1651" s="8" t="str">
        <x:v>TIGER TROUT</x:v>
      </x:c>
      <x:c r="E1651" s="13" t="n">
        <x:f>SUMIFS('Stocking details'!$F$6:$F$3307,'Stocking details'!$I$6:$I$3307,G1651)</x:f>
        <x:v>100</x:v>
      </x:c>
      <x:c r="F1651" s="13" t="n">
        <x:f>COUNTIFS('Stocking details'!$I$6:$I$3307,G1651)</x:f>
        <x:v>1</x:v>
      </x:c>
      <x:c r="G1651" s="8" t="str">
        <x:f>B1651&amp;" / "&amp;C1651&amp;" / "&amp;D1651</x:f>
        <x:v>6871 / 2021 / TIGER TROUT</x:v>
      </x:c>
    </x:row>
    <x:row r="1652" ht="23" customHeight="1">
      <x:c r="A1652" s="8" t="str">
        <x:v>Radway Fish Pond</x:v>
      </x:c>
      <x:c r="B1652" s="8" t="str">
        <x:v>26047</x:v>
      </x:c>
      <x:c r="C1652" s="17" t="n">
        <x:v>2026</x:v>
      </x:c>
      <x:c r="D1652" s="8" t="str">
        <x:v>RAINBOW TROUT</x:v>
      </x:c>
      <x:c r="E1652" s="13" t="n">
        <x:f>SUMIFS('Stocking details'!$F$6:$F$3307,'Stocking details'!$I$6:$I$3307,G1652)</x:f>
        <x:v>1040</x:v>
      </x:c>
      <x:c r="F1652" s="13" t="n">
        <x:f>COUNTIFS('Stocking details'!$I$6:$I$3307,G1652)</x:f>
        <x:v>1</x:v>
      </x:c>
      <x:c r="G1652" s="8" t="str">
        <x:f>B1652&amp;" / "&amp;C1652&amp;" / "&amp;D1652</x:f>
        <x:v>26047 / 2026 / RAINBOW TROUT</x:v>
      </x:c>
    </x:row>
    <x:row r="1653" ht="23" customHeight="1">
      <x:c r="A1653" s="8" t="str">
        <x:v>Radway Fish Pond</x:v>
      </x:c>
      <x:c r="B1653" s="8" t="str">
        <x:v>26047</x:v>
      </x:c>
      <x:c r="C1653" s="17" t="n">
        <x:v>2025</x:v>
      </x:c>
      <x:c r="D1653" s="8" t="str">
        <x:v>RAINBOW TROUT</x:v>
      </x:c>
      <x:c r="E1653" s="13" t="n">
        <x:f>SUMIFS('Stocking details'!$F$6:$F$3307,'Stocking details'!$I$6:$I$3307,G1653)</x:f>
        <x:v>1040</x:v>
      </x:c>
      <x:c r="F1653" s="13" t="n">
        <x:f>COUNTIFS('Stocking details'!$I$6:$I$3307,G1653)</x:f>
        <x:v>1</x:v>
      </x:c>
      <x:c r="G1653" s="8" t="str">
        <x:f>B1653&amp;" / "&amp;C1653&amp;" / "&amp;D1653</x:f>
        <x:v>26047 / 2025 / RAINBOW TROUT</x:v>
      </x:c>
    </x:row>
    <x:row r="1654" ht="23" customHeight="1">
      <x:c r="A1654" s="8" t="str">
        <x:v>Radway Fish Pond</x:v>
      </x:c>
      <x:c r="B1654" s="8" t="str">
        <x:v>26047</x:v>
      </x:c>
      <x:c r="C1654" s="17" t="n">
        <x:v>2024</x:v>
      </x:c>
      <x:c r="D1654" s="8" t="str">
        <x:v>RAINBOW TROUT</x:v>
      </x:c>
      <x:c r="E1654" s="13" t="n">
        <x:f>SUMIFS('Stocking details'!$F$6:$F$3307,'Stocking details'!$I$6:$I$3307,G1654)</x:f>
        <x:v>1040</x:v>
      </x:c>
      <x:c r="F1654" s="13" t="n">
        <x:f>COUNTIFS('Stocking details'!$I$6:$I$3307,G1654)</x:f>
        <x:v>1</x:v>
      </x:c>
      <x:c r="G1654" s="8" t="str">
        <x:f>B1654&amp;" / "&amp;C1654&amp;" / "&amp;D1654</x:f>
        <x:v>26047 / 2024 / RAINBOW TROUT</x:v>
      </x:c>
    </x:row>
    <x:row r="1655" ht="23" customHeight="1">
      <x:c r="A1655" s="8" t="str">
        <x:v>Radway Fish Pond</x:v>
      </x:c>
      <x:c r="B1655" s="8" t="str">
        <x:v>26047</x:v>
      </x:c>
      <x:c r="C1655" s="17" t="n">
        <x:v>2023</x:v>
      </x:c>
      <x:c r="D1655" s="8" t="str">
        <x:v>RAINBOW TROUT</x:v>
      </x:c>
      <x:c r="E1655" s="13" t="n">
        <x:f>SUMIFS('Stocking details'!$F$6:$F$3307,'Stocking details'!$I$6:$I$3307,G1655)</x:f>
        <x:v>1000</x:v>
      </x:c>
      <x:c r="F1655" s="13" t="n">
        <x:f>COUNTIFS('Stocking details'!$I$6:$I$3307,G1655)</x:f>
        <x:v>1</x:v>
      </x:c>
      <x:c r="G1655" s="8" t="str">
        <x:f>B1655&amp;" / "&amp;C1655&amp;" / "&amp;D1655</x:f>
        <x:v>26047 / 2023 / RAINBOW TROUT</x:v>
      </x:c>
    </x:row>
    <x:row r="1656" ht="23" customHeight="1">
      <x:c r="A1656" s="8" t="str">
        <x:v>Radway Fish Pond</x:v>
      </x:c>
      <x:c r="B1656" s="8" t="str">
        <x:v>26047</x:v>
      </x:c>
      <x:c r="C1656" s="17" t="n">
        <x:v>2022</x:v>
      </x:c>
      <x:c r="D1656" s="8" t="str">
        <x:v>RAINBOW TROUT</x:v>
      </x:c>
      <x:c r="E1656" s="13" t="n">
        <x:f>SUMIFS('Stocking details'!$F$6:$F$3307,'Stocking details'!$I$6:$I$3307,G1656)</x:f>
        <x:v>1040</x:v>
      </x:c>
      <x:c r="F1656" s="13" t="n">
        <x:f>COUNTIFS('Stocking details'!$I$6:$I$3307,G1656)</x:f>
        <x:v>1</x:v>
      </x:c>
      <x:c r="G1656" s="8" t="str">
        <x:f>B1656&amp;" / "&amp;C1656&amp;" / "&amp;D1656</x:f>
        <x:v>26047 / 2022 / RAINBOW TROUT</x:v>
      </x:c>
    </x:row>
    <x:row r="1657" ht="23" customHeight="1">
      <x:c r="A1657" s="8" t="str">
        <x:v>Radway Fish Pond</x:v>
      </x:c>
      <x:c r="B1657" s="8" t="str">
        <x:v>26047</x:v>
      </x:c>
      <x:c r="C1657" s="17" t="n">
        <x:v>2021</x:v>
      </x:c>
      <x:c r="D1657" s="8" t="str">
        <x:v>RAINBOW TROUT</x:v>
      </x:c>
      <x:c r="E1657" s="13" t="n">
        <x:f>SUMIFS('Stocking details'!$F$6:$F$3307,'Stocking details'!$I$6:$I$3307,G1657)</x:f>
        <x:v>1040</x:v>
      </x:c>
      <x:c r="F1657" s="13" t="n">
        <x:f>COUNTIFS('Stocking details'!$I$6:$I$3307,G1657)</x:f>
        <x:v>1</x:v>
      </x:c>
      <x:c r="G1657" s="8" t="str">
        <x:f>B1657&amp;" / "&amp;C1657&amp;" / "&amp;D1657</x:f>
        <x:v>26047 / 2021 / RAINBOW TROUT</x:v>
      </x:c>
    </x:row>
    <x:row r="1658" ht="23" customHeight="1">
      <x:c r="A1658" s="8" t="str">
        <x:v>Rainbow Lake Pond</x:v>
      </x:c>
      <x:c r="B1658" s="8" t="str">
        <x:v>6705</x:v>
      </x:c>
      <x:c r="C1658" s="17" t="n">
        <x:v>2026</x:v>
      </x:c>
      <x:c r="D1658" s="8" t="str">
        <x:v>RAINBOW TROUT</x:v>
      </x:c>
      <x:c r="E1658" s="13" t="n">
        <x:f>SUMIFS('Stocking details'!$F$6:$F$3307,'Stocking details'!$I$6:$I$3307,G1658)</x:f>
        <x:v>500</x:v>
      </x:c>
      <x:c r="F1658" s="13" t="n">
        <x:f>COUNTIFS('Stocking details'!$I$6:$I$3307,G1658)</x:f>
        <x:v>1</x:v>
      </x:c>
      <x:c r="G1658" s="8" t="str">
        <x:f>B1658&amp;" / "&amp;C1658&amp;" / "&amp;D1658</x:f>
        <x:v>6705 / 2026 / RAINBOW TROUT</x:v>
      </x:c>
    </x:row>
    <x:row r="1659" ht="23" customHeight="1">
      <x:c r="A1659" s="8" t="str">
        <x:v>Rainbow Lake Pond</x:v>
      </x:c>
      <x:c r="B1659" s="8" t="str">
        <x:v>6705</x:v>
      </x:c>
      <x:c r="C1659" s="17" t="n">
        <x:v>2025</x:v>
      </x:c>
      <x:c r="D1659" s="8" t="str">
        <x:v>RAINBOW TROUT</x:v>
      </x:c>
      <x:c r="E1659" s="13" t="n">
        <x:f>SUMIFS('Stocking details'!$F$6:$F$3307,'Stocking details'!$I$6:$I$3307,G1659)</x:f>
        <x:v>500</x:v>
      </x:c>
      <x:c r="F1659" s="13" t="n">
        <x:f>COUNTIFS('Stocking details'!$I$6:$I$3307,G1659)</x:f>
        <x:v>1</x:v>
      </x:c>
      <x:c r="G1659" s="8" t="str">
        <x:f>B1659&amp;" / "&amp;C1659&amp;" / "&amp;D1659</x:f>
        <x:v>6705 / 2025 / RAINBOW TROUT</x:v>
      </x:c>
    </x:row>
    <x:row r="1660" ht="23" customHeight="1">
      <x:c r="A1660" s="8" t="str">
        <x:v>Rainbow Lake Pond</x:v>
      </x:c>
      <x:c r="B1660" s="8" t="str">
        <x:v>6705</x:v>
      </x:c>
      <x:c r="C1660" s="17" t="n">
        <x:v>2024</x:v>
      </x:c>
      <x:c r="D1660" s="8" t="str">
        <x:v>RAINBOW TROUT</x:v>
      </x:c>
      <x:c r="E1660" s="13" t="n">
        <x:f>SUMIFS('Stocking details'!$F$6:$F$3307,'Stocking details'!$I$6:$I$3307,G1660)</x:f>
        <x:v>500</x:v>
      </x:c>
      <x:c r="F1660" s="13" t="n">
        <x:f>COUNTIFS('Stocking details'!$I$6:$I$3307,G1660)</x:f>
        <x:v>1</x:v>
      </x:c>
      <x:c r="G1660" s="8" t="str">
        <x:f>B1660&amp;" / "&amp;C1660&amp;" / "&amp;D1660</x:f>
        <x:v>6705 / 2024 / RAINBOW TROUT</x:v>
      </x:c>
    </x:row>
    <x:row r="1661" ht="23" customHeight="1">
      <x:c r="A1661" s="8" t="str">
        <x:v>Rainbow Lake Pond</x:v>
      </x:c>
      <x:c r="B1661" s="8" t="str">
        <x:v>6705</x:v>
      </x:c>
      <x:c r="C1661" s="17" t="n">
        <x:v>2023</x:v>
      </x:c>
      <x:c r="D1661" s="8" t="str">
        <x:v>RAINBOW TROUT</x:v>
      </x:c>
      <x:c r="E1661" s="13" t="n">
        <x:f>SUMIFS('Stocking details'!$F$6:$F$3307,'Stocking details'!$I$6:$I$3307,G1661)</x:f>
        <x:v>251</x:v>
      </x:c>
      <x:c r="F1661" s="13" t="n">
        <x:f>COUNTIFS('Stocking details'!$I$6:$I$3307,G1661)</x:f>
        <x:v>1</x:v>
      </x:c>
      <x:c r="G1661" s="8" t="str">
        <x:f>B1661&amp;" / "&amp;C1661&amp;" / "&amp;D1661</x:f>
        <x:v>6705 / 2023 / RAINBOW TROUT</x:v>
      </x:c>
    </x:row>
    <x:row r="1662" ht="23" customHeight="1">
      <x:c r="A1662" s="8" t="str">
        <x:v>Rainbow Lake Pond</x:v>
      </x:c>
      <x:c r="B1662" s="8" t="str">
        <x:v>6705</x:v>
      </x:c>
      <x:c r="C1662" s="17" t="n">
        <x:v>2021</x:v>
      </x:c>
      <x:c r="D1662" s="8" t="str">
        <x:v>RAINBOW TROUT</x:v>
      </x:c>
      <x:c r="E1662" s="13" t="n">
        <x:f>SUMIFS('Stocking details'!$F$6:$F$3307,'Stocking details'!$I$6:$I$3307,G1662)</x:f>
        <x:v>500</x:v>
      </x:c>
      <x:c r="F1662" s="13" t="n">
        <x:f>COUNTIFS('Stocking details'!$I$6:$I$3307,G1662)</x:f>
        <x:v>1</x:v>
      </x:c>
      <x:c r="G1662" s="8" t="str">
        <x:f>B1662&amp;" / "&amp;C1662&amp;" / "&amp;D1662</x:f>
        <x:v>6705 / 2021 / RAINBOW TROUT</x:v>
      </x:c>
    </x:row>
    <x:row r="1663" ht="23" customHeight="1">
      <x:c r="A1663" s="8" t="str">
        <x:v>Rat Lake</x:v>
      </x:c>
      <x:c r="B1663" s="8" t="str">
        <x:v>6702</x:v>
      </x:c>
      <x:c r="C1663" s="17" t="n">
        <x:v>2026</x:v>
      </x:c>
      <x:c r="D1663" s="8" t="str">
        <x:v>BROOK TROUT</x:v>
      </x:c>
      <x:c r="E1663" s="13" t="n">
        <x:f>SUMIFS('Stocking details'!$F$6:$F$3307,'Stocking details'!$I$6:$I$3307,G1663)</x:f>
        <x:v>2500</x:v>
      </x:c>
      <x:c r="F1663" s="13" t="n">
        <x:f>COUNTIFS('Stocking details'!$I$6:$I$3307,G1663)</x:f>
        <x:v>1</x:v>
      </x:c>
      <x:c r="G1663" s="8" t="str">
        <x:f>B1663&amp;" / "&amp;C1663&amp;" / "&amp;D1663</x:f>
        <x:v>6702 / 2026 / BROOK TROUT</x:v>
      </x:c>
    </x:row>
    <x:row r="1664" ht="23" customHeight="1">
      <x:c r="A1664" s="8" t="str">
        <x:v>Rat Lake</x:v>
      </x:c>
      <x:c r="B1664" s="8" t="str">
        <x:v>6702</x:v>
      </x:c>
      <x:c r="C1664" s="17" t="n">
        <x:v>2025</x:v>
      </x:c>
      <x:c r="D1664" s="8" t="str">
        <x:v>TIGER TROUT</x:v>
      </x:c>
      <x:c r="E1664" s="13" t="n">
        <x:f>SUMIFS('Stocking details'!$F$6:$F$3307,'Stocking details'!$I$6:$I$3307,G1664)</x:f>
        <x:v>1200</x:v>
      </x:c>
      <x:c r="F1664" s="13" t="n">
        <x:f>COUNTIFS('Stocking details'!$I$6:$I$3307,G1664)</x:f>
        <x:v>2</x:v>
      </x:c>
      <x:c r="G1664" s="8" t="str">
        <x:f>B1664&amp;" / "&amp;C1664&amp;" / "&amp;D1664</x:f>
        <x:v>6702 / 2025 / TIGER TROUT</x:v>
      </x:c>
    </x:row>
    <x:row r="1665" ht="23" customHeight="1">
      <x:c r="A1665" s="8" t="str">
        <x:v>Rat Lake</x:v>
      </x:c>
      <x:c r="B1665" s="8" t="str">
        <x:v>6702</x:v>
      </x:c>
      <x:c r="C1665" s="17" t="n">
        <x:v>2024</x:v>
      </x:c>
      <x:c r="D1665" s="8" t="str">
        <x:v>BROOK TROUT</x:v>
      </x:c>
      <x:c r="E1665" s="13" t="n">
        <x:f>SUMIFS('Stocking details'!$F$6:$F$3307,'Stocking details'!$I$6:$I$3307,G1665)</x:f>
        <x:v>5000</x:v>
      </x:c>
      <x:c r="F1665" s="13" t="n">
        <x:f>COUNTIFS('Stocking details'!$I$6:$I$3307,G1665)</x:f>
        <x:v>2</x:v>
      </x:c>
      <x:c r="G1665" s="8" t="str">
        <x:f>B1665&amp;" / "&amp;C1665&amp;" / "&amp;D1665</x:f>
        <x:v>6702 / 2024 / BROOK TROUT</x:v>
      </x:c>
    </x:row>
    <x:row r="1666" ht="23" customHeight="1">
      <x:c r="A1666" s="8" t="str">
        <x:v>Rat Lake</x:v>
      </x:c>
      <x:c r="B1666" s="8" t="str">
        <x:v>6702</x:v>
      </x:c>
      <x:c r="C1666" s="17" t="n">
        <x:v>2024</x:v>
      </x:c>
      <x:c r="D1666" s="8" t="str">
        <x:v>TIGER TROUT</x:v>
      </x:c>
      <x:c r="E1666" s="13" t="n">
        <x:f>SUMIFS('Stocking details'!$F$6:$F$3307,'Stocking details'!$I$6:$I$3307,G1666)</x:f>
        <x:v>700</x:v>
      </x:c>
      <x:c r="F1666" s="13" t="n">
        <x:f>COUNTIFS('Stocking details'!$I$6:$I$3307,G1666)</x:f>
        <x:v>1</x:v>
      </x:c>
      <x:c r="G1666" s="8" t="str">
        <x:f>B1666&amp;" / "&amp;C1666&amp;" / "&amp;D1666</x:f>
        <x:v>6702 / 2024 / TIGER TROUT</x:v>
      </x:c>
    </x:row>
    <x:row r="1667" ht="23" customHeight="1">
      <x:c r="A1667" s="8" t="str">
        <x:v>Rat Lake</x:v>
      </x:c>
      <x:c r="B1667" s="8" t="str">
        <x:v>6702</x:v>
      </x:c>
      <x:c r="C1667" s="17" t="n">
        <x:v>2023</x:v>
      </x:c>
      <x:c r="D1667" s="8" t="str">
        <x:v>TIGER TROUT</x:v>
      </x:c>
      <x:c r="E1667" s="13" t="n">
        <x:f>SUMIFS('Stocking details'!$F$6:$F$3307,'Stocking details'!$I$6:$I$3307,G1667)</x:f>
        <x:v>900</x:v>
      </x:c>
      <x:c r="F1667" s="13" t="n">
        <x:f>COUNTIFS('Stocking details'!$I$6:$I$3307,G1667)</x:f>
        <x:v>2</x:v>
      </x:c>
      <x:c r="G1667" s="8" t="str">
        <x:f>B1667&amp;" / "&amp;C1667&amp;" / "&amp;D1667</x:f>
        <x:v>6702 / 2023 / TIGER TROUT</x:v>
      </x:c>
    </x:row>
    <x:row r="1668" ht="23" customHeight="1">
      <x:c r="A1668" s="8" t="str">
        <x:v>Rat Lake</x:v>
      </x:c>
      <x:c r="B1668" s="8" t="str">
        <x:v>6702</x:v>
      </x:c>
      <x:c r="C1668" s="17" t="n">
        <x:v>2022</x:v>
      </x:c>
      <x:c r="D1668" s="8" t="str">
        <x:v>BROOK TROUT</x:v>
      </x:c>
      <x:c r="E1668" s="13" t="n">
        <x:f>SUMIFS('Stocking details'!$F$6:$F$3307,'Stocking details'!$I$6:$I$3307,G1668)</x:f>
        <x:v>2500</x:v>
      </x:c>
      <x:c r="F1668" s="13" t="n">
        <x:f>COUNTIFS('Stocking details'!$I$6:$I$3307,G1668)</x:f>
        <x:v>1</x:v>
      </x:c>
      <x:c r="G1668" s="8" t="str">
        <x:f>B1668&amp;" / "&amp;C1668&amp;" / "&amp;D1668</x:f>
        <x:v>6702 / 2022 / BROOK TROUT</x:v>
      </x:c>
    </x:row>
    <x:row r="1669" ht="23" customHeight="1">
      <x:c r="A1669" s="8" t="str">
        <x:v>Rat Lake</x:v>
      </x:c>
      <x:c r="B1669" s="8" t="str">
        <x:v>6702</x:v>
      </x:c>
      <x:c r="C1669" s="17" t="n">
        <x:v>2022</x:v>
      </x:c>
      <x:c r="D1669" s="8" t="str">
        <x:v>TIGER TROUT</x:v>
      </x:c>
      <x:c r="E1669" s="13" t="n">
        <x:f>SUMIFS('Stocking details'!$F$6:$F$3307,'Stocking details'!$I$6:$I$3307,G1669)</x:f>
        <x:v>700</x:v>
      </x:c>
      <x:c r="F1669" s="13" t="n">
        <x:f>COUNTIFS('Stocking details'!$I$6:$I$3307,G1669)</x:f>
        <x:v>1</x:v>
      </x:c>
      <x:c r="G1669" s="8" t="str">
        <x:f>B1669&amp;" / "&amp;C1669&amp;" / "&amp;D1669</x:f>
        <x:v>6702 / 2022 / TIGER TROUT</x:v>
      </x:c>
    </x:row>
    <x:row r="1670" ht="23" customHeight="1">
      <x:c r="A1670" s="8" t="str">
        <x:v>Rat Lake</x:v>
      </x:c>
      <x:c r="B1670" s="8" t="str">
        <x:v>6702</x:v>
      </x:c>
      <x:c r="C1670" s="17" t="n">
        <x:v>2021</x:v>
      </x:c>
      <x:c r="D1670" s="8" t="str">
        <x:v>TIGER TROUT</x:v>
      </x:c>
      <x:c r="E1670" s="13" t="n">
        <x:f>SUMIFS('Stocking details'!$F$6:$F$3307,'Stocking details'!$I$6:$I$3307,G1670)</x:f>
        <x:v>700</x:v>
      </x:c>
      <x:c r="F1670" s="13" t="n">
        <x:f>COUNTIFS('Stocking details'!$I$6:$I$3307,G1670)</x:f>
        <x:v>1</x:v>
      </x:c>
      <x:c r="G1670" s="8" t="str">
        <x:f>B1670&amp;" / "&amp;C1670&amp;" / "&amp;D1670</x:f>
        <x:v>6702 / 2021 / TIGER TROUT</x:v>
      </x:c>
    </x:row>
    <x:row r="1671" ht="23" customHeight="1">
      <x:c r="A1671" s="8" t="str">
        <x:v>Rawson Lake</x:v>
      </x:c>
      <x:c r="B1671" s="8" t="str">
        <x:v>5649</x:v>
      </x:c>
      <x:c r="C1671" s="17" t="n">
        <x:v>2023</x:v>
      </x:c>
      <x:c r="D1671" s="8" t="str">
        <x:v>WESTSLOPE CUTTHROAT TROUT</x:v>
      </x:c>
      <x:c r="E1671" s="13" t="n">
        <x:f>SUMIFS('Stocking details'!$F$6:$F$3307,'Stocking details'!$I$6:$I$3307,G1671)</x:f>
        <x:v>1500</x:v>
      </x:c>
      <x:c r="F1671" s="13" t="n">
        <x:f>COUNTIFS('Stocking details'!$I$6:$I$3307,G1671)</x:f>
        <x:v>2</x:v>
      </x:c>
      <x:c r="G1671" s="8" t="str">
        <x:f>B1671&amp;" / "&amp;C1671&amp;" / "&amp;D1671</x:f>
        <x:v>5649 / 2023 / WESTSLOPE CUTTHROAT TROUT</x:v>
      </x:c>
    </x:row>
    <x:row r="1672" ht="23" customHeight="1">
      <x:c r="A1672" s="8" t="str">
        <x:v>Ray's Pond</x:v>
      </x:c>
      <x:c r="B1672" s="8" t="str">
        <x:v>6735</x:v>
      </x:c>
      <x:c r="C1672" s="17" t="n">
        <x:v>2026</x:v>
      </x:c>
      <x:c r="D1672" s="8" t="str">
        <x:v>RAINBOW TROUT</x:v>
      </x:c>
      <x:c r="E1672" s="13" t="n">
        <x:f>SUMIFS('Stocking details'!$F$6:$F$3307,'Stocking details'!$I$6:$I$3307,G1672)</x:f>
        <x:v>2400</x:v>
      </x:c>
      <x:c r="F1672" s="13" t="n">
        <x:f>COUNTIFS('Stocking details'!$I$6:$I$3307,G1672)</x:f>
        <x:v>2</x:v>
      </x:c>
      <x:c r="G1672" s="8" t="str">
        <x:f>B1672&amp;" / "&amp;C1672&amp;" / "&amp;D1672</x:f>
        <x:v>6735 / 2026 / RAINBOW TROUT</x:v>
      </x:c>
    </x:row>
    <x:row r="1673" ht="23" customHeight="1">
      <x:c r="A1673" s="8" t="str">
        <x:v>Ray's Pond</x:v>
      </x:c>
      <x:c r="B1673" s="8" t="str">
        <x:v>6735</x:v>
      </x:c>
      <x:c r="C1673" s="17" t="n">
        <x:v>2026</x:v>
      </x:c>
      <x:c r="D1673" s="8" t="str">
        <x:v>TIGER TROUT</x:v>
      </x:c>
      <x:c r="E1673" s="13" t="n">
        <x:f>SUMIFS('Stocking details'!$F$6:$F$3307,'Stocking details'!$I$6:$I$3307,G1673)</x:f>
        <x:v>250</x:v>
      </x:c>
      <x:c r="F1673" s="13" t="n">
        <x:f>COUNTIFS('Stocking details'!$I$6:$I$3307,G1673)</x:f>
        <x:v>1</x:v>
      </x:c>
      <x:c r="G1673" s="8" t="str">
        <x:f>B1673&amp;" / "&amp;C1673&amp;" / "&amp;D1673</x:f>
        <x:v>6735 / 2026 / TIGER TROUT</x:v>
      </x:c>
    </x:row>
    <x:row r="1674" ht="23" customHeight="1">
      <x:c r="A1674" s="8" t="str">
        <x:v>Ray's Pond</x:v>
      </x:c>
      <x:c r="B1674" s="8" t="str">
        <x:v>6735</x:v>
      </x:c>
      <x:c r="C1674" s="17" t="n">
        <x:v>2025</x:v>
      </x:c>
      <x:c r="D1674" s="8" t="str">
        <x:v>RAINBOW TROUT</x:v>
      </x:c>
      <x:c r="E1674" s="13" t="n">
        <x:f>SUMIFS('Stocking details'!$F$6:$F$3307,'Stocking details'!$I$6:$I$3307,G1674)</x:f>
        <x:v>500</x:v>
      </x:c>
      <x:c r="F1674" s="13" t="n">
        <x:f>COUNTIFS('Stocking details'!$I$6:$I$3307,G1674)</x:f>
        <x:v>1</x:v>
      </x:c>
      <x:c r="G1674" s="8" t="str">
        <x:f>B1674&amp;" / "&amp;C1674&amp;" / "&amp;D1674</x:f>
        <x:v>6735 / 2025 / RAINBOW TROUT</x:v>
      </x:c>
    </x:row>
    <x:row r="1675" ht="23" customHeight="1">
      <x:c r="A1675" s="8" t="str">
        <x:v>Ray's Pond</x:v>
      </x:c>
      <x:c r="B1675" s="8" t="str">
        <x:v>6735</x:v>
      </x:c>
      <x:c r="C1675" s="17" t="n">
        <x:v>2025</x:v>
      </x:c>
      <x:c r="D1675" s="8" t="str">
        <x:v>TIGER TROUT</x:v>
      </x:c>
      <x:c r="E1675" s="13" t="n">
        <x:f>SUMIFS('Stocking details'!$F$6:$F$3307,'Stocking details'!$I$6:$I$3307,G1675)</x:f>
        <x:v>250</x:v>
      </x:c>
      <x:c r="F1675" s="13" t="n">
        <x:f>COUNTIFS('Stocking details'!$I$6:$I$3307,G1675)</x:f>
        <x:v>1</x:v>
      </x:c>
      <x:c r="G1675" s="8" t="str">
        <x:f>B1675&amp;" / "&amp;C1675&amp;" / "&amp;D1675</x:f>
        <x:v>6735 / 2025 / TIGER TROUT</x:v>
      </x:c>
    </x:row>
    <x:row r="1676" ht="23" customHeight="1">
      <x:c r="A1676" s="8" t="str">
        <x:v>Ray's Pond</x:v>
      </x:c>
      <x:c r="B1676" s="8" t="str">
        <x:v>6735</x:v>
      </x:c>
      <x:c r="C1676" s="17" t="n">
        <x:v>2024</x:v>
      </x:c>
      <x:c r="D1676" s="8" t="str">
        <x:v>RAINBOW TROUT</x:v>
      </x:c>
      <x:c r="E1676" s="13" t="n">
        <x:f>SUMIFS('Stocking details'!$F$6:$F$3307,'Stocking details'!$I$6:$I$3307,G1676)</x:f>
        <x:v>2300</x:v>
      </x:c>
      <x:c r="F1676" s="13" t="n">
        <x:f>COUNTIFS('Stocking details'!$I$6:$I$3307,G1676)</x:f>
        <x:v>2</x:v>
      </x:c>
      <x:c r="G1676" s="8" t="str">
        <x:f>B1676&amp;" / "&amp;C1676&amp;" / "&amp;D1676</x:f>
        <x:v>6735 / 2024 / RAINBOW TROUT</x:v>
      </x:c>
    </x:row>
    <x:row r="1677" ht="23" customHeight="1">
      <x:c r="A1677" s="8" t="str">
        <x:v>Ray's Pond</x:v>
      </x:c>
      <x:c r="B1677" s="8" t="str">
        <x:v>6735</x:v>
      </x:c>
      <x:c r="C1677" s="17" t="n">
        <x:v>2024</x:v>
      </x:c>
      <x:c r="D1677" s="8" t="str">
        <x:v>TIGER TROUT</x:v>
      </x:c>
      <x:c r="E1677" s="13" t="n">
        <x:f>SUMIFS('Stocking details'!$F$6:$F$3307,'Stocking details'!$I$6:$I$3307,G1677)</x:f>
        <x:v>250</x:v>
      </x:c>
      <x:c r="F1677" s="13" t="n">
        <x:f>COUNTIFS('Stocking details'!$I$6:$I$3307,G1677)</x:f>
        <x:v>1</x:v>
      </x:c>
      <x:c r="G1677" s="8" t="str">
        <x:f>B1677&amp;" / "&amp;C1677&amp;" / "&amp;D1677</x:f>
        <x:v>6735 / 2024 / TIGER TROUT</x:v>
      </x:c>
    </x:row>
    <x:row r="1678" ht="23" customHeight="1">
      <x:c r="A1678" s="8" t="str">
        <x:v>Ray's Pond</x:v>
      </x:c>
      <x:c r="B1678" s="8" t="str">
        <x:v>6735</x:v>
      </x:c>
      <x:c r="C1678" s="17" t="n">
        <x:v>2023</x:v>
      </x:c>
      <x:c r="D1678" s="8" t="str">
        <x:v>RAINBOW TROUT</x:v>
      </x:c>
      <x:c r="E1678" s="13" t="n">
        <x:f>SUMIFS('Stocking details'!$F$6:$F$3307,'Stocking details'!$I$6:$I$3307,G1678)</x:f>
        <x:v>2570</x:v>
      </x:c>
      <x:c r="F1678" s="13" t="n">
        <x:f>COUNTIFS('Stocking details'!$I$6:$I$3307,G1678)</x:f>
        <x:v>1</x:v>
      </x:c>
      <x:c r="G1678" s="8" t="str">
        <x:f>B1678&amp;" / "&amp;C1678&amp;" / "&amp;D1678</x:f>
        <x:v>6735 / 2023 / RAINBOW TROUT</x:v>
      </x:c>
    </x:row>
    <x:row r="1679" ht="23" customHeight="1">
      <x:c r="A1679" s="8" t="str">
        <x:v>Ray's Pond</x:v>
      </x:c>
      <x:c r="B1679" s="8" t="str">
        <x:v>6735</x:v>
      </x:c>
      <x:c r="C1679" s="17" t="n">
        <x:v>2023</x:v>
      </x:c>
      <x:c r="D1679" s="8" t="str">
        <x:v>TIGER TROUT</x:v>
      </x:c>
      <x:c r="E1679" s="13" t="n">
        <x:f>SUMIFS('Stocking details'!$F$6:$F$3307,'Stocking details'!$I$6:$I$3307,G1679)</x:f>
        <x:v>250</x:v>
      </x:c>
      <x:c r="F1679" s="13" t="n">
        <x:f>COUNTIFS('Stocking details'!$I$6:$I$3307,G1679)</x:f>
        <x:v>1</x:v>
      </x:c>
      <x:c r="G1679" s="8" t="str">
        <x:f>B1679&amp;" / "&amp;C1679&amp;" / "&amp;D1679</x:f>
        <x:v>6735 / 2023 / TIGER TROUT</x:v>
      </x:c>
    </x:row>
    <x:row r="1680" ht="23" customHeight="1">
      <x:c r="A1680" s="8" t="str">
        <x:v>Ray's Pond</x:v>
      </x:c>
      <x:c r="B1680" s="8" t="str">
        <x:v>6735</x:v>
      </x:c>
      <x:c r="C1680" s="17" t="n">
        <x:v>2022</x:v>
      </x:c>
      <x:c r="D1680" s="8" t="str">
        <x:v>TIGER TROUT</x:v>
      </x:c>
      <x:c r="E1680" s="13" t="n">
        <x:f>SUMIFS('Stocking details'!$F$6:$F$3307,'Stocking details'!$I$6:$I$3307,G1680)</x:f>
        <x:v>250</x:v>
      </x:c>
      <x:c r="F1680" s="13" t="n">
        <x:f>COUNTIFS('Stocking details'!$I$6:$I$3307,G1680)</x:f>
        <x:v>1</x:v>
      </x:c>
      <x:c r="G1680" s="8" t="str">
        <x:f>B1680&amp;" / "&amp;C1680&amp;" / "&amp;D1680</x:f>
        <x:v>6735 / 2022 / TIGER TROUT</x:v>
      </x:c>
    </x:row>
    <x:row r="1681" ht="23" customHeight="1">
      <x:c r="A1681" s="8" t="str">
        <x:v>Ray's Pond</x:v>
      </x:c>
      <x:c r="B1681" s="8" t="str">
        <x:v>6735</x:v>
      </x:c>
      <x:c r="C1681" s="17" t="n">
        <x:v>2021</x:v>
      </x:c>
      <x:c r="D1681" s="8" t="str">
        <x:v>RAINBOW TROUT</x:v>
      </x:c>
      <x:c r="E1681" s="13" t="n">
        <x:f>SUMIFS('Stocking details'!$F$6:$F$3307,'Stocking details'!$I$6:$I$3307,G1681)</x:f>
        <x:v>2250</x:v>
      </x:c>
      <x:c r="F1681" s="13" t="n">
        <x:f>COUNTIFS('Stocking details'!$I$6:$I$3307,G1681)</x:f>
        <x:v>2</x:v>
      </x:c>
      <x:c r="G1681" s="8" t="str">
        <x:f>B1681&amp;" / "&amp;C1681&amp;" / "&amp;D1681</x:f>
        <x:v>6735 / 2021 / RAINBOW TROUT</x:v>
      </x:c>
    </x:row>
    <x:row r="1682" ht="23" customHeight="1">
      <x:c r="A1682" s="8" t="str">
        <x:v>Ray's Pond</x:v>
      </x:c>
      <x:c r="B1682" s="8" t="str">
        <x:v>6735</x:v>
      </x:c>
      <x:c r="C1682" s="17" t="n">
        <x:v>2021</x:v>
      </x:c>
      <x:c r="D1682" s="8" t="str">
        <x:v>TIGER TROUT</x:v>
      </x:c>
      <x:c r="E1682" s="13" t="n">
        <x:f>SUMIFS('Stocking details'!$F$6:$F$3307,'Stocking details'!$I$6:$I$3307,G1682)</x:f>
        <x:v>250</x:v>
      </x:c>
      <x:c r="F1682" s="13" t="n">
        <x:f>COUNTIFS('Stocking details'!$I$6:$I$3307,G1682)</x:f>
        <x:v>1</x:v>
      </x:c>
      <x:c r="G1682" s="8" t="str">
        <x:f>B1682&amp;" / "&amp;C1682&amp;" / "&amp;D1682</x:f>
        <x:v>6735 / 2021 / TIGER TROUT</x:v>
      </x:c>
    </x:row>
    <x:row r="1683" ht="23" customHeight="1">
      <x:c r="A1683" s="8" t="str">
        <x:v>Reesor Lake</x:v>
      </x:c>
      <x:c r="B1683" s="8" t="str">
        <x:v>5661</x:v>
      </x:c>
      <x:c r="C1683" s="17" t="n">
        <x:v>2026</x:v>
      </x:c>
      <x:c r="D1683" s="8" t="str">
        <x:v>RAINBOW TROUT</x:v>
      </x:c>
      <x:c r="E1683" s="13" t="n">
        <x:f>SUMIFS('Stocking details'!$F$6:$F$3307,'Stocking details'!$I$6:$I$3307,G1683)</x:f>
        <x:v>15994</x:v>
      </x:c>
      <x:c r="F1683" s="13" t="n">
        <x:f>COUNTIFS('Stocking details'!$I$6:$I$3307,G1683)</x:f>
        <x:v>3</x:v>
      </x:c>
      <x:c r="G1683" s="8" t="str">
        <x:f>B1683&amp;" / "&amp;C1683&amp;" / "&amp;D1683</x:f>
        <x:v>5661 / 2026 / RAINBOW TROUT</x:v>
      </x:c>
    </x:row>
    <x:row r="1684" ht="23" customHeight="1">
      <x:c r="A1684" s="8" t="str">
        <x:v>Reesor Lake</x:v>
      </x:c>
      <x:c r="B1684" s="8" t="str">
        <x:v>5661</x:v>
      </x:c>
      <x:c r="C1684" s="17" t="n">
        <x:v>2026</x:v>
      </x:c>
      <x:c r="D1684" s="8" t="str">
        <x:v>TIGER TROUT</x:v>
      </x:c>
      <x:c r="E1684" s="13" t="n">
        <x:f>SUMIFS('Stocking details'!$F$6:$F$3307,'Stocking details'!$I$6:$I$3307,G1684)</x:f>
        <x:v>3500</x:v>
      </x:c>
      <x:c r="F1684" s="13" t="n">
        <x:f>COUNTIFS('Stocking details'!$I$6:$I$3307,G1684)</x:f>
        <x:v>1</x:v>
      </x:c>
      <x:c r="G1684" s="8" t="str">
        <x:f>B1684&amp;" / "&amp;C1684&amp;" / "&amp;D1684</x:f>
        <x:v>5661 / 2026 / TIGER TROUT</x:v>
      </x:c>
    </x:row>
    <x:row r="1685" ht="23" customHeight="1">
      <x:c r="A1685" s="8" t="str">
        <x:v>Reesor Lake</x:v>
      </x:c>
      <x:c r="B1685" s="8" t="str">
        <x:v>5661</x:v>
      </x:c>
      <x:c r="C1685" s="17" t="n">
        <x:v>2025</x:v>
      </x:c>
      <x:c r="D1685" s="8" t="str">
        <x:v>RAINBOW TROUT</x:v>
      </x:c>
      <x:c r="E1685" s="13" t="n">
        <x:f>SUMIFS('Stocking details'!$F$6:$F$3307,'Stocking details'!$I$6:$I$3307,G1685)</x:f>
        <x:v>28200</x:v>
      </x:c>
      <x:c r="F1685" s="13" t="n">
        <x:f>COUNTIFS('Stocking details'!$I$6:$I$3307,G1685)</x:f>
        <x:v>5</x:v>
      </x:c>
      <x:c r="G1685" s="8" t="str">
        <x:f>B1685&amp;" / "&amp;C1685&amp;" / "&amp;D1685</x:f>
        <x:v>5661 / 2025 / RAINBOW TROUT</x:v>
      </x:c>
    </x:row>
    <x:row r="1686" ht="23" customHeight="1">
      <x:c r="A1686" s="8" t="str">
        <x:v>Reesor Lake</x:v>
      </x:c>
      <x:c r="B1686" s="8" t="str">
        <x:v>5661</x:v>
      </x:c>
      <x:c r="C1686" s="17" t="n">
        <x:v>2024</x:v>
      </x:c>
      <x:c r="D1686" s="8" t="str">
        <x:v>RAINBOW TROUT</x:v>
      </x:c>
      <x:c r="E1686" s="13" t="n">
        <x:f>SUMIFS('Stocking details'!$F$6:$F$3307,'Stocking details'!$I$6:$I$3307,G1686)</x:f>
        <x:v>6400</x:v>
      </x:c>
      <x:c r="F1686" s="13" t="n">
        <x:f>COUNTIFS('Stocking details'!$I$6:$I$3307,G1686)</x:f>
        <x:v>1</x:v>
      </x:c>
      <x:c r="G1686" s="8" t="str">
        <x:f>B1686&amp;" / "&amp;C1686&amp;" / "&amp;D1686</x:f>
        <x:v>5661 / 2024 / RAINBOW TROUT</x:v>
      </x:c>
    </x:row>
    <x:row r="1687" ht="23" customHeight="1">
      <x:c r="A1687" s="8" t="str">
        <x:v>Reesor Lake</x:v>
      </x:c>
      <x:c r="B1687" s="8" t="str">
        <x:v>5661</x:v>
      </x:c>
      <x:c r="C1687" s="17" t="n">
        <x:v>2024</x:v>
      </x:c>
      <x:c r="D1687" s="8" t="str">
        <x:v>TIGER TROUT</x:v>
      </x:c>
      <x:c r="E1687" s="13" t="n">
        <x:f>SUMIFS('Stocking details'!$F$6:$F$3307,'Stocking details'!$I$6:$I$3307,G1687)</x:f>
        <x:v>3500</x:v>
      </x:c>
      <x:c r="F1687" s="13" t="n">
        <x:f>COUNTIFS('Stocking details'!$I$6:$I$3307,G1687)</x:f>
        <x:v>1</x:v>
      </x:c>
      <x:c r="G1687" s="8" t="str">
        <x:f>B1687&amp;" / "&amp;C1687&amp;" / "&amp;D1687</x:f>
        <x:v>5661 / 2024 / TIGER TROUT</x:v>
      </x:c>
    </x:row>
    <x:row r="1688" ht="23" customHeight="1">
      <x:c r="A1688" s="8" t="str">
        <x:v>Reesor Lake</x:v>
      </x:c>
      <x:c r="B1688" s="8" t="str">
        <x:v>5661</x:v>
      </x:c>
      <x:c r="C1688" s="17" t="n">
        <x:v>2023</x:v>
      </x:c>
      <x:c r="D1688" s="8" t="str">
        <x:v>RAINBOW TROUT</x:v>
      </x:c>
      <x:c r="E1688" s="13" t="n">
        <x:f>SUMIFS('Stocking details'!$F$6:$F$3307,'Stocking details'!$I$6:$I$3307,G1688)</x:f>
        <x:v>29524</x:v>
      </x:c>
      <x:c r="F1688" s="13" t="n">
        <x:f>COUNTIFS('Stocking details'!$I$6:$I$3307,G1688)</x:f>
        <x:v>5</x:v>
      </x:c>
      <x:c r="G1688" s="8" t="str">
        <x:f>B1688&amp;" / "&amp;C1688&amp;" / "&amp;D1688</x:f>
        <x:v>5661 / 2023 / RAINBOW TROUT</x:v>
      </x:c>
    </x:row>
    <x:row r="1689" ht="23" customHeight="1">
      <x:c r="A1689" s="8" t="str">
        <x:v>Reesor Lake</x:v>
      </x:c>
      <x:c r="B1689" s="8" t="str">
        <x:v>5661</x:v>
      </x:c>
      <x:c r="C1689" s="17" t="n">
        <x:v>2023</x:v>
      </x:c>
      <x:c r="D1689" s="8" t="str">
        <x:v>TIGER TROUT</x:v>
      </x:c>
      <x:c r="E1689" s="13" t="n">
        <x:f>SUMIFS('Stocking details'!$F$6:$F$3307,'Stocking details'!$I$6:$I$3307,G1689)</x:f>
        <x:v>3280</x:v>
      </x:c>
      <x:c r="F1689" s="13" t="n">
        <x:f>COUNTIFS('Stocking details'!$I$6:$I$3307,G1689)</x:f>
        <x:v>2</x:v>
      </x:c>
      <x:c r="G1689" s="8" t="str">
        <x:f>B1689&amp;" / "&amp;C1689&amp;" / "&amp;D1689</x:f>
        <x:v>5661 / 2023 / TIGER TROUT</x:v>
      </x:c>
    </x:row>
    <x:row r="1690" ht="23" customHeight="1">
      <x:c r="A1690" s="8" t="str">
        <x:v>Reesor Lake</x:v>
      </x:c>
      <x:c r="B1690" s="8" t="str">
        <x:v>5661</x:v>
      </x:c>
      <x:c r="C1690" s="17" t="n">
        <x:v>2022</x:v>
      </x:c>
      <x:c r="D1690" s="8" t="str">
        <x:v>RAINBOW TROUT</x:v>
      </x:c>
      <x:c r="E1690" s="13" t="n">
        <x:f>SUMIFS('Stocking details'!$F$6:$F$3307,'Stocking details'!$I$6:$I$3307,G1690)</x:f>
        <x:v>24449</x:v>
      </x:c>
      <x:c r="F1690" s="13" t="n">
        <x:f>COUNTIFS('Stocking details'!$I$6:$I$3307,G1690)</x:f>
        <x:v>4</x:v>
      </x:c>
      <x:c r="G1690" s="8" t="str">
        <x:f>B1690&amp;" / "&amp;C1690&amp;" / "&amp;D1690</x:f>
        <x:v>5661 / 2022 / RAINBOW TROUT</x:v>
      </x:c>
    </x:row>
    <x:row r="1691" ht="23" customHeight="1">
      <x:c r="A1691" s="8" t="str">
        <x:v>Reesor Lake</x:v>
      </x:c>
      <x:c r="B1691" s="8" t="str">
        <x:v>5661</x:v>
      </x:c>
      <x:c r="C1691" s="17" t="n">
        <x:v>2022</x:v>
      </x:c>
      <x:c r="D1691" s="8" t="str">
        <x:v>TIGER TROUT</x:v>
      </x:c>
      <x:c r="E1691" s="13" t="n">
        <x:f>SUMIFS('Stocking details'!$F$6:$F$3307,'Stocking details'!$I$6:$I$3307,G1691)</x:f>
        <x:v>8500</x:v>
      </x:c>
      <x:c r="F1691" s="13" t="n">
        <x:f>COUNTIFS('Stocking details'!$I$6:$I$3307,G1691)</x:f>
        <x:v>3</x:v>
      </x:c>
      <x:c r="G1691" s="8" t="str">
        <x:f>B1691&amp;" / "&amp;C1691&amp;" / "&amp;D1691</x:f>
        <x:v>5661 / 2022 / TIGER TROUT</x:v>
      </x:c>
    </x:row>
    <x:row r="1692" ht="23" customHeight="1">
      <x:c r="A1692" s="8" t="str">
        <x:v>Reesor Lake</x:v>
      </x:c>
      <x:c r="B1692" s="8" t="str">
        <x:v>5661</x:v>
      </x:c>
      <x:c r="C1692" s="17" t="n">
        <x:v>2021</x:v>
      </x:c>
      <x:c r="D1692" s="8" t="str">
        <x:v>RAINBOW TROUT</x:v>
      </x:c>
      <x:c r="E1692" s="13" t="n">
        <x:f>SUMIFS('Stocking details'!$F$6:$F$3307,'Stocking details'!$I$6:$I$3307,G1692)</x:f>
        <x:v>17000</x:v>
      </x:c>
      <x:c r="F1692" s="13" t="n">
        <x:f>COUNTIFS('Stocking details'!$I$6:$I$3307,G1692)</x:f>
        <x:v>1</x:v>
      </x:c>
      <x:c r="G1692" s="8" t="str">
        <x:f>B1692&amp;" / "&amp;C1692&amp;" / "&amp;D1692</x:f>
        <x:v>5661 / 2021 / RAINBOW TROUT</x:v>
      </x:c>
    </x:row>
    <x:row r="1693" ht="23" customHeight="1">
      <x:c r="A1693" s="8" t="str">
        <x:v>Ribbon Lake</x:v>
      </x:c>
      <x:c r="B1693" s="8" t="str">
        <x:v>5667</x:v>
      </x:c>
      <x:c r="C1693" s="17" t="n">
        <x:v>2021</x:v>
      </x:c>
      <x:c r="D1693" s="8" t="str">
        <x:v>CUTTHROAT TROUT</x:v>
      </x:c>
      <x:c r="E1693" s="13" t="n">
        <x:f>SUMIFS('Stocking details'!$F$6:$F$3307,'Stocking details'!$I$6:$I$3307,G1693)</x:f>
        <x:v>1900</x:v>
      </x:c>
      <x:c r="F1693" s="13" t="n">
        <x:f>COUNTIFS('Stocking details'!$I$6:$I$3307,G1693)</x:f>
        <x:v>1</x:v>
      </x:c>
      <x:c r="G1693" s="8" t="str">
        <x:f>B1693&amp;" / "&amp;C1693&amp;" / "&amp;D1693</x:f>
        <x:v>5667 / 2021 / CUTTHROAT TROUT</x:v>
      </x:c>
    </x:row>
    <x:row r="1694" ht="23" customHeight="1">
      <x:c r="A1694" s="8" t="str">
        <x:v>Riverstone Pond</x:v>
      </x:c>
      <x:c r="B1694" s="8" t="str">
        <x:v>22504</x:v>
      </x:c>
      <x:c r="C1694" s="17" t="n">
        <x:v>2026</x:v>
      </x:c>
      <x:c r="D1694" s="8" t="str">
        <x:v>RAINBOW TROUT</x:v>
      </x:c>
      <x:c r="E1694" s="13" t="n">
        <x:f>SUMIFS('Stocking details'!$F$6:$F$3307,'Stocking details'!$I$6:$I$3307,G1694)</x:f>
        <x:v>1830</x:v>
      </x:c>
      <x:c r="F1694" s="13" t="n">
        <x:f>COUNTIFS('Stocking details'!$I$6:$I$3307,G1694)</x:f>
        <x:v>1</x:v>
      </x:c>
      <x:c r="G1694" s="8" t="str">
        <x:f>B1694&amp;" / "&amp;C1694&amp;" / "&amp;D1694</x:f>
        <x:v>22504 / 2026 / RAINBOW TROUT</x:v>
      </x:c>
    </x:row>
    <x:row r="1695" ht="23" customHeight="1">
      <x:c r="A1695" s="8" t="str">
        <x:v>Riverstone Pond</x:v>
      </x:c>
      <x:c r="B1695" s="8" t="str">
        <x:v>22504</x:v>
      </x:c>
      <x:c r="C1695" s="17" t="n">
        <x:v>2025</x:v>
      </x:c>
      <x:c r="D1695" s="8" t="str">
        <x:v>RAINBOW TROUT</x:v>
      </x:c>
      <x:c r="E1695" s="13" t="n">
        <x:f>SUMIFS('Stocking details'!$F$6:$F$3307,'Stocking details'!$I$6:$I$3307,G1695)</x:f>
        <x:v>4330</x:v>
      </x:c>
      <x:c r="F1695" s="13" t="n">
        <x:f>COUNTIFS('Stocking details'!$I$6:$I$3307,G1695)</x:f>
        <x:v>3</x:v>
      </x:c>
      <x:c r="G1695" s="8" t="str">
        <x:f>B1695&amp;" / "&amp;C1695&amp;" / "&amp;D1695</x:f>
        <x:v>22504 / 2025 / RAINBOW TROUT</x:v>
      </x:c>
    </x:row>
    <x:row r="1696" ht="23" customHeight="1">
      <x:c r="A1696" s="8" t="str">
        <x:v>Riverstone Pond</x:v>
      </x:c>
      <x:c r="B1696" s="8" t="str">
        <x:v>22504</x:v>
      </x:c>
      <x:c r="C1696" s="17" t="n">
        <x:v>2024</x:v>
      </x:c>
      <x:c r="D1696" s="8" t="str">
        <x:v>RAINBOW TROUT</x:v>
      </x:c>
      <x:c r="E1696" s="13" t="n">
        <x:f>SUMIFS('Stocking details'!$F$6:$F$3307,'Stocking details'!$I$6:$I$3307,G1696)</x:f>
        <x:v>919</x:v>
      </x:c>
      <x:c r="F1696" s="13" t="n">
        <x:f>COUNTIFS('Stocking details'!$I$6:$I$3307,G1696)</x:f>
        <x:v>1</x:v>
      </x:c>
      <x:c r="G1696" s="8" t="str">
        <x:f>B1696&amp;" / "&amp;C1696&amp;" / "&amp;D1696</x:f>
        <x:v>22504 / 2024 / RAINBOW TROUT</x:v>
      </x:c>
    </x:row>
    <x:row r="1697" ht="23" customHeight="1">
      <x:c r="A1697" s="8" t="str">
        <x:v>Riverstone Pond</x:v>
      </x:c>
      <x:c r="B1697" s="8" t="str">
        <x:v>22504</x:v>
      </x:c>
      <x:c r="C1697" s="17" t="n">
        <x:v>2023</x:v>
      </x:c>
      <x:c r="D1697" s="8" t="str">
        <x:v>RAINBOW TROUT</x:v>
      </x:c>
      <x:c r="E1697" s="13" t="n">
        <x:f>SUMIFS('Stocking details'!$F$6:$F$3307,'Stocking details'!$I$6:$I$3307,G1697)</x:f>
        <x:v>1943</x:v>
      </x:c>
      <x:c r="F1697" s="13" t="n">
        <x:f>COUNTIFS('Stocking details'!$I$6:$I$3307,G1697)</x:f>
        <x:v>3</x:v>
      </x:c>
      <x:c r="G1697" s="8" t="str">
        <x:f>B1697&amp;" / "&amp;C1697&amp;" / "&amp;D1697</x:f>
        <x:v>22504 / 2023 / RAINBOW TROUT</x:v>
      </x:c>
    </x:row>
    <x:row r="1698" ht="23" customHeight="1">
      <x:c r="A1698" s="8" t="str">
        <x:v>Riverstone Pond</x:v>
      </x:c>
      <x:c r="B1698" s="8" t="str">
        <x:v>22504</x:v>
      </x:c>
      <x:c r="C1698" s="17" t="n">
        <x:v>2022</x:v>
      </x:c>
      <x:c r="D1698" s="8" t="str">
        <x:v>RAINBOW TROUT</x:v>
      </x:c>
      <x:c r="E1698" s="13" t="n">
        <x:f>SUMIFS('Stocking details'!$F$6:$F$3307,'Stocking details'!$I$6:$I$3307,G1698)</x:f>
        <x:v>2830</x:v>
      </x:c>
      <x:c r="F1698" s="13" t="n">
        <x:f>COUNTIFS('Stocking details'!$I$6:$I$3307,G1698)</x:f>
        <x:v>2</x:v>
      </x:c>
      <x:c r="G1698" s="8" t="str">
        <x:f>B1698&amp;" / "&amp;C1698&amp;" / "&amp;D1698</x:f>
        <x:v>22504 / 2022 / RAINBOW TROUT</x:v>
      </x:c>
    </x:row>
    <x:row r="1699" ht="23" customHeight="1">
      <x:c r="A1699" s="8" t="str">
        <x:v>Riverstone Pond</x:v>
      </x:c>
      <x:c r="B1699" s="8" t="str">
        <x:v>22504</x:v>
      </x:c>
      <x:c r="C1699" s="17" t="n">
        <x:v>2021</x:v>
      </x:c>
      <x:c r="D1699" s="8" t="str">
        <x:v>RAINBOW TROUT</x:v>
      </x:c>
      <x:c r="E1699" s="13" t="n">
        <x:f>SUMIFS('Stocking details'!$F$6:$F$3307,'Stocking details'!$I$6:$I$3307,G1699)</x:f>
        <x:v>3080</x:v>
      </x:c>
      <x:c r="F1699" s="13" t="n">
        <x:f>COUNTIFS('Stocking details'!$I$6:$I$3307,G1699)</x:f>
        <x:v>4</x:v>
      </x:c>
      <x:c r="G1699" s="8" t="str">
        <x:f>B1699&amp;" / "&amp;C1699&amp;" / "&amp;D1699</x:f>
        <x:v>22504 / 2021 / RAINBOW TROUT</x:v>
      </x:c>
    </x:row>
    <x:row r="1700" ht="23" customHeight="1">
      <x:c r="A1700" s="8" t="str">
        <x:v>Rocky Children's Pond</x:v>
      </x:c>
      <x:c r="B1700" s="8" t="str">
        <x:v>3485</x:v>
      </x:c>
      <x:c r="C1700" s="17" t="n">
        <x:v>2026</x:v>
      </x:c>
      <x:c r="D1700" s="8" t="str">
        <x:v>RAINBOW TROUT</x:v>
      </x:c>
      <x:c r="E1700" s="13" t="n">
        <x:f>SUMIFS('Stocking details'!$F$6:$F$3307,'Stocking details'!$I$6:$I$3307,G1700)</x:f>
        <x:v>500</x:v>
      </x:c>
      <x:c r="F1700" s="13" t="n">
        <x:f>COUNTIFS('Stocking details'!$I$6:$I$3307,G1700)</x:f>
        <x:v>1</x:v>
      </x:c>
      <x:c r="G1700" s="8" t="str">
        <x:f>B1700&amp;" / "&amp;C1700&amp;" / "&amp;D1700</x:f>
        <x:v>3485 / 2026 / RAINBOW TROUT</x:v>
      </x:c>
    </x:row>
    <x:row r="1701" ht="23" customHeight="1">
      <x:c r="A1701" s="8" t="str">
        <x:v>Rocky Children's Pond</x:v>
      </x:c>
      <x:c r="B1701" s="8" t="str">
        <x:v>3485</x:v>
      </x:c>
      <x:c r="C1701" s="17" t="n">
        <x:v>2025</x:v>
      </x:c>
      <x:c r="D1701" s="8" t="str">
        <x:v>RAINBOW TROUT</x:v>
      </x:c>
      <x:c r="E1701" s="13" t="n">
        <x:f>SUMIFS('Stocking details'!$F$6:$F$3307,'Stocking details'!$I$6:$I$3307,G1701)</x:f>
        <x:v>1050</x:v>
      </x:c>
      <x:c r="F1701" s="13" t="n">
        <x:f>COUNTIFS('Stocking details'!$I$6:$I$3307,G1701)</x:f>
        <x:v>2</x:v>
      </x:c>
      <x:c r="G1701" s="8" t="str">
        <x:f>B1701&amp;" / "&amp;C1701&amp;" / "&amp;D1701</x:f>
        <x:v>3485 / 2025 / RAINBOW TROUT</x:v>
      </x:c>
    </x:row>
    <x:row r="1702" ht="23" customHeight="1">
      <x:c r="A1702" s="8" t="str">
        <x:v>Rocky Children's Pond</x:v>
      </x:c>
      <x:c r="B1702" s="8" t="str">
        <x:v>3485</x:v>
      </x:c>
      <x:c r="C1702" s="17" t="n">
        <x:v>2024</x:v>
      </x:c>
      <x:c r="D1702" s="8" t="str">
        <x:v>RAINBOW TROUT</x:v>
      </x:c>
      <x:c r="E1702" s="13" t="n">
        <x:f>SUMIFS('Stocking details'!$F$6:$F$3307,'Stocking details'!$I$6:$I$3307,G1702)</x:f>
        <x:v>1260</x:v>
      </x:c>
      <x:c r="F1702" s="13" t="n">
        <x:f>COUNTIFS('Stocking details'!$I$6:$I$3307,G1702)</x:f>
        <x:v>4</x:v>
      </x:c>
      <x:c r="G1702" s="8" t="str">
        <x:f>B1702&amp;" / "&amp;C1702&amp;" / "&amp;D1702</x:f>
        <x:v>3485 / 2024 / RAINBOW TROUT</x:v>
      </x:c>
    </x:row>
    <x:row r="1703" ht="23" customHeight="1">
      <x:c r="A1703" s="8" t="str">
        <x:v>Rocky Children's Pond</x:v>
      </x:c>
      <x:c r="B1703" s="8" t="str">
        <x:v>3485</x:v>
      </x:c>
      <x:c r="C1703" s="17" t="n">
        <x:v>2023</x:v>
      </x:c>
      <x:c r="D1703" s="8" t="str">
        <x:v>RAINBOW TROUT</x:v>
      </x:c>
      <x:c r="E1703" s="13" t="n">
        <x:f>SUMIFS('Stocking details'!$F$6:$F$3307,'Stocking details'!$I$6:$I$3307,G1703)</x:f>
        <x:v>1250</x:v>
      </x:c>
      <x:c r="F1703" s="13" t="n">
        <x:f>COUNTIFS('Stocking details'!$I$6:$I$3307,G1703)</x:f>
        <x:v>3</x:v>
      </x:c>
      <x:c r="G1703" s="8" t="str">
        <x:f>B1703&amp;" / "&amp;C1703&amp;" / "&amp;D1703</x:f>
        <x:v>3485 / 2023 / RAINBOW TROUT</x:v>
      </x:c>
    </x:row>
    <x:row r="1704" ht="23" customHeight="1">
      <x:c r="A1704" s="8" t="str">
        <x:v>Rocky Children's Pond</x:v>
      </x:c>
      <x:c r="B1704" s="8" t="str">
        <x:v>3485</x:v>
      </x:c>
      <x:c r="C1704" s="17" t="n">
        <x:v>2022</x:v>
      </x:c>
      <x:c r="D1704" s="8" t="str">
        <x:v>RAINBOW TROUT</x:v>
      </x:c>
      <x:c r="E1704" s="13" t="n">
        <x:f>SUMIFS('Stocking details'!$F$6:$F$3307,'Stocking details'!$I$6:$I$3307,G1704)</x:f>
        <x:v>604</x:v>
      </x:c>
      <x:c r="F1704" s="13" t="n">
        <x:f>COUNTIFS('Stocking details'!$I$6:$I$3307,G1704)</x:f>
        <x:v>1</x:v>
      </x:c>
      <x:c r="G1704" s="8" t="str">
        <x:f>B1704&amp;" / "&amp;C1704&amp;" / "&amp;D1704</x:f>
        <x:v>3485 / 2022 / RAINBOW TROUT</x:v>
      </x:c>
    </x:row>
    <x:row r="1705" ht="23" customHeight="1">
      <x:c r="A1705" s="8" t="str">
        <x:v>Rocky Children's Pond</x:v>
      </x:c>
      <x:c r="B1705" s="8" t="str">
        <x:v>3485</x:v>
      </x:c>
      <x:c r="C1705" s="17" t="n">
        <x:v>2021</x:v>
      </x:c>
      <x:c r="D1705" s="8" t="str">
        <x:v>RAINBOW TROUT</x:v>
      </x:c>
      <x:c r="E1705" s="13" t="n">
        <x:f>SUMIFS('Stocking details'!$F$6:$F$3307,'Stocking details'!$I$6:$I$3307,G1705)</x:f>
        <x:v>500</x:v>
      </x:c>
      <x:c r="F1705" s="13" t="n">
        <x:f>COUNTIFS('Stocking details'!$I$6:$I$3307,G1705)</x:f>
        <x:v>1</x:v>
      </x:c>
      <x:c r="G1705" s="8" t="str">
        <x:f>B1705&amp;" / "&amp;C1705&amp;" / "&amp;D1705</x:f>
        <x:v>3485 / 2021 / RAINBOW TROUT</x:v>
      </x:c>
    </x:row>
    <x:row r="1706" ht="23" customHeight="1">
      <x:c r="A1706" s="8" t="str">
        <x:v>Running Lake</x:v>
      </x:c>
      <x:c r="B1706" s="8" t="str">
        <x:v>5714</x:v>
      </x:c>
      <x:c r="C1706" s="17" t="n">
        <x:v>2026</x:v>
      </x:c>
      <x:c r="D1706" s="8" t="str">
        <x:v>RAINBOW TROUT</x:v>
      </x:c>
      <x:c r="E1706" s="13" t="n">
        <x:f>SUMIFS('Stocking details'!$F$6:$F$3307,'Stocking details'!$I$6:$I$3307,G1706)</x:f>
        <x:v>4350</x:v>
      </x:c>
      <x:c r="F1706" s="13" t="n">
        <x:f>COUNTIFS('Stocking details'!$I$6:$I$3307,G1706)</x:f>
        <x:v>1</x:v>
      </x:c>
      <x:c r="G1706" s="8" t="str">
        <x:f>B1706&amp;" / "&amp;C1706&amp;" / "&amp;D1706</x:f>
        <x:v>5714 / 2026 / RAINBOW TROUT</x:v>
      </x:c>
    </x:row>
    <x:row r="1707" ht="23" customHeight="1">
      <x:c r="A1707" s="8" t="str">
        <x:v>Running Lake</x:v>
      </x:c>
      <x:c r="B1707" s="8" t="str">
        <x:v>5714</x:v>
      </x:c>
      <x:c r="C1707" s="17" t="n">
        <x:v>2025</x:v>
      </x:c>
      <x:c r="D1707" s="8" t="str">
        <x:v>BROOK TROUT</x:v>
      </x:c>
      <x:c r="E1707" s="13" t="n">
        <x:f>SUMIFS('Stocking details'!$F$6:$F$3307,'Stocking details'!$I$6:$I$3307,G1707)</x:f>
        <x:v>3000</x:v>
      </x:c>
      <x:c r="F1707" s="13" t="n">
        <x:f>COUNTIFS('Stocking details'!$I$6:$I$3307,G1707)</x:f>
        <x:v>1</x:v>
      </x:c>
      <x:c r="G1707" s="8" t="str">
        <x:f>B1707&amp;" / "&amp;C1707&amp;" / "&amp;D1707</x:f>
        <x:v>5714 / 2025 / BROOK TROUT</x:v>
      </x:c>
    </x:row>
    <x:row r="1708" ht="23" customHeight="1">
      <x:c r="A1708" s="8" t="str">
        <x:v>Running Lake</x:v>
      </x:c>
      <x:c r="B1708" s="8" t="str">
        <x:v>5714</x:v>
      </x:c>
      <x:c r="C1708" s="17" t="n">
        <x:v>2024</x:v>
      </x:c>
      <x:c r="D1708" s="8" t="str">
        <x:v>RAINBOW TROUT</x:v>
      </x:c>
      <x:c r="E1708" s="13" t="n">
        <x:f>SUMIFS('Stocking details'!$F$6:$F$3307,'Stocking details'!$I$6:$I$3307,G1708)</x:f>
        <x:v>2175</x:v>
      </x:c>
      <x:c r="F1708" s="13" t="n">
        <x:f>COUNTIFS('Stocking details'!$I$6:$I$3307,G1708)</x:f>
        <x:v>2</x:v>
      </x:c>
      <x:c r="G1708" s="8" t="str">
        <x:f>B1708&amp;" / "&amp;C1708&amp;" / "&amp;D1708</x:f>
        <x:v>5714 / 2024 / RAINBOW TROUT</x:v>
      </x:c>
    </x:row>
    <x:row r="1709" ht="23" customHeight="1">
      <x:c r="A1709" s="8" t="str">
        <x:v>Running Lake</x:v>
      </x:c>
      <x:c r="B1709" s="8" t="str">
        <x:v>5714</x:v>
      </x:c>
      <x:c r="C1709" s="17" t="n">
        <x:v>2023</x:v>
      </x:c>
      <x:c r="D1709" s="8" t="str">
        <x:v>BROOK TROUT</x:v>
      </x:c>
      <x:c r="E1709" s="13" t="n">
        <x:f>SUMIFS('Stocking details'!$F$6:$F$3307,'Stocking details'!$I$6:$I$3307,G1709)</x:f>
        <x:v>3000</x:v>
      </x:c>
      <x:c r="F1709" s="13" t="n">
        <x:f>COUNTIFS('Stocking details'!$I$6:$I$3307,G1709)</x:f>
        <x:v>1</x:v>
      </x:c>
      <x:c r="G1709" s="8" t="str">
        <x:f>B1709&amp;" / "&amp;C1709&amp;" / "&amp;D1709</x:f>
        <x:v>5714 / 2023 / BROOK TROUT</x:v>
      </x:c>
    </x:row>
    <x:row r="1710" ht="23" customHeight="1">
      <x:c r="A1710" s="8" t="str">
        <x:v>Running Lake</x:v>
      </x:c>
      <x:c r="B1710" s="8" t="str">
        <x:v>5714</x:v>
      </x:c>
      <x:c r="C1710" s="17" t="n">
        <x:v>2022</x:v>
      </x:c>
      <x:c r="D1710" s="8" t="str">
        <x:v>RAINBOW TROUT</x:v>
      </x:c>
      <x:c r="E1710" s="13" t="n">
        <x:f>SUMIFS('Stocking details'!$F$6:$F$3307,'Stocking details'!$I$6:$I$3307,G1710)</x:f>
        <x:v>4350</x:v>
      </x:c>
      <x:c r="F1710" s="13" t="n">
        <x:f>COUNTIFS('Stocking details'!$I$6:$I$3307,G1710)</x:f>
        <x:v>1</x:v>
      </x:c>
      <x:c r="G1710" s="8" t="str">
        <x:f>B1710&amp;" / "&amp;C1710&amp;" / "&amp;D1710</x:f>
        <x:v>5714 / 2022 / RAINBOW TROUT</x:v>
      </x:c>
    </x:row>
    <x:row r="1711" ht="23" customHeight="1">
      <x:c r="A1711" s="8" t="str">
        <x:v>Running Lake</x:v>
      </x:c>
      <x:c r="B1711" s="8" t="str">
        <x:v>5714</x:v>
      </x:c>
      <x:c r="C1711" s="17" t="n">
        <x:v>2021</x:v>
      </x:c>
      <x:c r="D1711" s="8" t="str">
        <x:v>BROOK TROUT</x:v>
      </x:c>
      <x:c r="E1711" s="13" t="n">
        <x:f>SUMIFS('Stocking details'!$F$6:$F$3307,'Stocking details'!$I$6:$I$3307,G1711)</x:f>
        <x:v>3000</x:v>
      </x:c>
      <x:c r="F1711" s="13" t="n">
        <x:f>COUNTIFS('Stocking details'!$I$6:$I$3307,G1711)</x:f>
        <x:v>1</x:v>
      </x:c>
      <x:c r="G1711" s="8" t="str">
        <x:f>B1711&amp;" / "&amp;C1711&amp;" / "&amp;D1711</x:f>
        <x:v>5714 / 2021 / BROOK TROUT</x:v>
      </x:c>
    </x:row>
    <x:row r="1712" ht="23" customHeight="1">
      <x:c r="A1712" s="8" t="str">
        <x:v>Salter's Lake</x:v>
      </x:c>
      <x:c r="B1712" s="8" t="str">
        <x:v>5729</x:v>
      </x:c>
      <x:c r="C1712" s="17" t="n">
        <x:v>2026</x:v>
      </x:c>
      <x:c r="D1712" s="8" t="str">
        <x:v>RAINBOW TROUT</x:v>
      </x:c>
      <x:c r="E1712" s="13" t="n">
        <x:f>SUMIFS('Stocking details'!$F$6:$F$3307,'Stocking details'!$I$6:$I$3307,G1712)</x:f>
        <x:v>7500</x:v>
      </x:c>
      <x:c r="F1712" s="13" t="n">
        <x:f>COUNTIFS('Stocking details'!$I$6:$I$3307,G1712)</x:f>
        <x:v>2</x:v>
      </x:c>
      <x:c r="G1712" s="8" t="str">
        <x:f>B1712&amp;" / "&amp;C1712&amp;" / "&amp;D1712</x:f>
        <x:v>5729 / 2026 / RAINBOW TROUT</x:v>
      </x:c>
    </x:row>
    <x:row r="1713" ht="23" customHeight="1">
      <x:c r="A1713" s="8" t="str">
        <x:v>Salter's Lake</x:v>
      </x:c>
      <x:c r="B1713" s="8" t="str">
        <x:v>5729</x:v>
      </x:c>
      <x:c r="C1713" s="17" t="n">
        <x:v>2026</x:v>
      </x:c>
      <x:c r="D1713" s="8" t="str">
        <x:v>TIGER TROUT</x:v>
      </x:c>
      <x:c r="E1713" s="13" t="n">
        <x:f>SUMIFS('Stocking details'!$F$6:$F$3307,'Stocking details'!$I$6:$I$3307,G1713)</x:f>
        <x:v>2000</x:v>
      </x:c>
      <x:c r="F1713" s="13" t="n">
        <x:f>COUNTIFS('Stocking details'!$I$6:$I$3307,G1713)</x:f>
        <x:v>1</x:v>
      </x:c>
      <x:c r="G1713" s="8" t="str">
        <x:f>B1713&amp;" / "&amp;C1713&amp;" / "&amp;D1713</x:f>
        <x:v>5729 / 2026 / TIGER TROUT</x:v>
      </x:c>
    </x:row>
    <x:row r="1714" ht="23" customHeight="1">
      <x:c r="A1714" s="8" t="str">
        <x:v>Salter's Lake</x:v>
      </x:c>
      <x:c r="B1714" s="8" t="str">
        <x:v>5729</x:v>
      </x:c>
      <x:c r="C1714" s="17" t="n">
        <x:v>2025</x:v>
      </x:c>
      <x:c r="D1714" s="8" t="str">
        <x:v>RAINBOW TROUT</x:v>
      </x:c>
      <x:c r="E1714" s="13" t="n">
        <x:f>SUMIFS('Stocking details'!$F$6:$F$3307,'Stocking details'!$I$6:$I$3307,G1714)</x:f>
        <x:v>12681</x:v>
      </x:c>
      <x:c r="F1714" s="13" t="n">
        <x:f>COUNTIFS('Stocking details'!$I$6:$I$3307,G1714)</x:f>
        <x:v>3</x:v>
      </x:c>
      <x:c r="G1714" s="8" t="str">
        <x:f>B1714&amp;" / "&amp;C1714&amp;" / "&amp;D1714</x:f>
        <x:v>5729 / 2025 / RAINBOW TROUT</x:v>
      </x:c>
    </x:row>
    <x:row r="1715" ht="23" customHeight="1">
      <x:c r="A1715" s="8" t="str">
        <x:v>Salter's Lake</x:v>
      </x:c>
      <x:c r="B1715" s="8" t="str">
        <x:v>5729</x:v>
      </x:c>
      <x:c r="C1715" s="17" t="n">
        <x:v>2025</x:v>
      </x:c>
      <x:c r="D1715" s="8" t="str">
        <x:v>TIGER TROUT</x:v>
      </x:c>
      <x:c r="E1715" s="13" t="n">
        <x:f>SUMIFS('Stocking details'!$F$6:$F$3307,'Stocking details'!$I$6:$I$3307,G1715)</x:f>
        <x:v>2000</x:v>
      </x:c>
      <x:c r="F1715" s="13" t="n">
        <x:f>COUNTIFS('Stocking details'!$I$6:$I$3307,G1715)</x:f>
        <x:v>1</x:v>
      </x:c>
      <x:c r="G1715" s="8" t="str">
        <x:f>B1715&amp;" / "&amp;C1715&amp;" / "&amp;D1715</x:f>
        <x:v>5729 / 2025 / TIGER TROUT</x:v>
      </x:c>
    </x:row>
    <x:row r="1716" ht="23" customHeight="1">
      <x:c r="A1716" s="8" t="str">
        <x:v>Salter's Lake</x:v>
      </x:c>
      <x:c r="B1716" s="8" t="str">
        <x:v>5729</x:v>
      </x:c>
      <x:c r="C1716" s="17" t="n">
        <x:v>2024</x:v>
      </x:c>
      <x:c r="D1716" s="8" t="str">
        <x:v>RAINBOW TROUT</x:v>
      </x:c>
      <x:c r="E1716" s="13" t="n">
        <x:f>SUMIFS('Stocking details'!$F$6:$F$3307,'Stocking details'!$I$6:$I$3307,G1716)</x:f>
        <x:v>6000</x:v>
      </x:c>
      <x:c r="F1716" s="13" t="n">
        <x:f>COUNTIFS('Stocking details'!$I$6:$I$3307,G1716)</x:f>
        <x:v>3</x:v>
      </x:c>
      <x:c r="G1716" s="8" t="str">
        <x:f>B1716&amp;" / "&amp;C1716&amp;" / "&amp;D1716</x:f>
        <x:v>5729 / 2024 / RAINBOW TROUT</x:v>
      </x:c>
    </x:row>
    <x:row r="1717" ht="23" customHeight="1">
      <x:c r="A1717" s="8" t="str">
        <x:v>Salter's Lake</x:v>
      </x:c>
      <x:c r="B1717" s="8" t="str">
        <x:v>5729</x:v>
      </x:c>
      <x:c r="C1717" s="17" t="n">
        <x:v>2024</x:v>
      </x:c>
      <x:c r="D1717" s="8" t="str">
        <x:v>TIGER TROUT</x:v>
      </x:c>
      <x:c r="E1717" s="13" t="n">
        <x:f>SUMIFS('Stocking details'!$F$6:$F$3307,'Stocking details'!$I$6:$I$3307,G1717)</x:f>
        <x:v>2000</x:v>
      </x:c>
      <x:c r="F1717" s="13" t="n">
        <x:f>COUNTIFS('Stocking details'!$I$6:$I$3307,G1717)</x:f>
        <x:v>1</x:v>
      </x:c>
      <x:c r="G1717" s="8" t="str">
        <x:f>B1717&amp;" / "&amp;C1717&amp;" / "&amp;D1717</x:f>
        <x:v>5729 / 2024 / TIGER TROUT</x:v>
      </x:c>
    </x:row>
    <x:row r="1718" ht="23" customHeight="1">
      <x:c r="A1718" s="8" t="str">
        <x:v>Salter's Lake</x:v>
      </x:c>
      <x:c r="B1718" s="8" t="str">
        <x:v>5729</x:v>
      </x:c>
      <x:c r="C1718" s="17" t="n">
        <x:v>2023</x:v>
      </x:c>
      <x:c r="D1718" s="8" t="str">
        <x:v>RAINBOW TROUT</x:v>
      </x:c>
      <x:c r="E1718" s="13" t="n">
        <x:f>SUMIFS('Stocking details'!$F$6:$F$3307,'Stocking details'!$I$6:$I$3307,G1718)</x:f>
        <x:v>4497</x:v>
      </x:c>
      <x:c r="F1718" s="13" t="n">
        <x:f>COUNTIFS('Stocking details'!$I$6:$I$3307,G1718)</x:f>
        <x:v>2</x:v>
      </x:c>
      <x:c r="G1718" s="8" t="str">
        <x:f>B1718&amp;" / "&amp;C1718&amp;" / "&amp;D1718</x:f>
        <x:v>5729 / 2023 / RAINBOW TROUT</x:v>
      </x:c>
    </x:row>
    <x:row r="1719" ht="23" customHeight="1">
      <x:c r="A1719" s="8" t="str">
        <x:v>Salter's Lake</x:v>
      </x:c>
      <x:c r="B1719" s="8" t="str">
        <x:v>5729</x:v>
      </x:c>
      <x:c r="C1719" s="17" t="n">
        <x:v>2023</x:v>
      </x:c>
      <x:c r="D1719" s="8" t="str">
        <x:v>TIGER TROUT</x:v>
      </x:c>
      <x:c r="E1719" s="13" t="n">
        <x:f>SUMIFS('Stocking details'!$F$6:$F$3307,'Stocking details'!$I$6:$I$3307,G1719)</x:f>
        <x:v>2000</x:v>
      </x:c>
      <x:c r="F1719" s="13" t="n">
        <x:f>COUNTIFS('Stocking details'!$I$6:$I$3307,G1719)</x:f>
        <x:v>1</x:v>
      </x:c>
      <x:c r="G1719" s="8" t="str">
        <x:f>B1719&amp;" / "&amp;C1719&amp;" / "&amp;D1719</x:f>
        <x:v>5729 / 2023 / TIGER TROUT</x:v>
      </x:c>
    </x:row>
    <x:row r="1720" ht="23" customHeight="1">
      <x:c r="A1720" s="8" t="str">
        <x:v>Salter's Lake</x:v>
      </x:c>
      <x:c r="B1720" s="8" t="str">
        <x:v>5729</x:v>
      </x:c>
      <x:c r="C1720" s="17" t="n">
        <x:v>2022</x:v>
      </x:c>
      <x:c r="D1720" s="8" t="str">
        <x:v>RAINBOW TROUT</x:v>
      </x:c>
      <x:c r="E1720" s="13" t="n">
        <x:f>SUMIFS('Stocking details'!$F$6:$F$3307,'Stocking details'!$I$6:$I$3307,G1720)</x:f>
        <x:v>12500</x:v>
      </x:c>
      <x:c r="F1720" s="13" t="n">
        <x:f>COUNTIFS('Stocking details'!$I$6:$I$3307,G1720)</x:f>
        <x:v>2</x:v>
      </x:c>
      <x:c r="G1720" s="8" t="str">
        <x:f>B1720&amp;" / "&amp;C1720&amp;" / "&amp;D1720</x:f>
        <x:v>5729 / 2022 / RAINBOW TROUT</x:v>
      </x:c>
    </x:row>
    <x:row r="1721" ht="23" customHeight="1">
      <x:c r="A1721" s="8" t="str">
        <x:v>Salter's Lake</x:v>
      </x:c>
      <x:c r="B1721" s="8" t="str">
        <x:v>5729</x:v>
      </x:c>
      <x:c r="C1721" s="17" t="n">
        <x:v>2022</x:v>
      </x:c>
      <x:c r="D1721" s="8" t="str">
        <x:v>TIGER TROUT</x:v>
      </x:c>
      <x:c r="E1721" s="13" t="n">
        <x:f>SUMIFS('Stocking details'!$F$6:$F$3307,'Stocking details'!$I$6:$I$3307,G1721)</x:f>
        <x:v>2000</x:v>
      </x:c>
      <x:c r="F1721" s="13" t="n">
        <x:f>COUNTIFS('Stocking details'!$I$6:$I$3307,G1721)</x:f>
        <x:v>1</x:v>
      </x:c>
      <x:c r="G1721" s="8" t="str">
        <x:f>B1721&amp;" / "&amp;C1721&amp;" / "&amp;D1721</x:f>
        <x:v>5729 / 2022 / TIGER TROUT</x:v>
      </x:c>
    </x:row>
    <x:row r="1722" ht="23" customHeight="1">
      <x:c r="A1722" s="8" t="str">
        <x:v>Salter's Lake</x:v>
      </x:c>
      <x:c r="B1722" s="8" t="str">
        <x:v>5729</x:v>
      </x:c>
      <x:c r="C1722" s="17" t="n">
        <x:v>2021</x:v>
      </x:c>
      <x:c r="D1722" s="8" t="str">
        <x:v>RAINBOW TROUT</x:v>
      </x:c>
      <x:c r="E1722" s="13" t="n">
        <x:f>SUMIFS('Stocking details'!$F$6:$F$3307,'Stocking details'!$I$6:$I$3307,G1722)</x:f>
        <x:v>7500</x:v>
      </x:c>
      <x:c r="F1722" s="13" t="n">
        <x:f>COUNTIFS('Stocking details'!$I$6:$I$3307,G1722)</x:f>
        <x:v>2</x:v>
      </x:c>
      <x:c r="G1722" s="8" t="str">
        <x:f>B1722&amp;" / "&amp;C1722&amp;" / "&amp;D1722</x:f>
        <x:v>5729 / 2021 / RAINBOW TROUT</x:v>
      </x:c>
    </x:row>
    <x:row r="1723" ht="23" customHeight="1">
      <x:c r="A1723" s="8" t="str">
        <x:v>Sandy Lake</x:v>
      </x:c>
      <x:c r="B1723" s="8" t="str">
        <x:v>5743</x:v>
      </x:c>
      <x:c r="C1723" s="17" t="n">
        <x:v>2025</x:v>
      </x:c>
      <x:c r="D1723" s="8" t="str">
        <x:v>WALLEYE</x:v>
      </x:c>
      <x:c r="E1723" s="13" t="n">
        <x:f>SUMIFS('Stocking details'!$F$6:$F$3307,'Stocking details'!$I$6:$I$3307,G1723)</x:f>
        <x:v>3208231</x:v>
      </x:c>
      <x:c r="F1723" s="13" t="n">
        <x:f>COUNTIFS('Stocking details'!$I$6:$I$3307,G1723)</x:f>
        <x:v>1</x:v>
      </x:c>
      <x:c r="G1723" s="8" t="str">
        <x:f>B1723&amp;" / "&amp;C1723&amp;" / "&amp;D1723</x:f>
        <x:v>5743 / 2025 / WALLEYE</x:v>
      </x:c>
    </x:row>
    <x:row r="1724" ht="23" customHeight="1">
      <x:c r="A1724" s="8" t="str">
        <x:v>Sardine Lake</x:v>
      </x:c>
      <x:c r="B1724" s="8" t="str">
        <x:v>6695</x:v>
      </x:c>
      <x:c r="C1724" s="17" t="n">
        <x:v>2026</x:v>
      </x:c>
      <x:c r="D1724" s="8" t="str">
        <x:v>RAINBOW TROUT</x:v>
      </x:c>
      <x:c r="E1724" s="13" t="n">
        <x:f>SUMIFS('Stocking details'!$F$6:$F$3307,'Stocking details'!$I$6:$I$3307,G1724)</x:f>
        <x:v>2500</x:v>
      </x:c>
      <x:c r="F1724" s="13" t="n">
        <x:f>COUNTIFS('Stocking details'!$I$6:$I$3307,G1724)</x:f>
        <x:v>1</x:v>
      </x:c>
      <x:c r="G1724" s="8" t="str">
        <x:f>B1724&amp;" / "&amp;C1724&amp;" / "&amp;D1724</x:f>
        <x:v>6695 / 2026 / RAINBOW TROUT</x:v>
      </x:c>
    </x:row>
    <x:row r="1725" ht="23" customHeight="1">
      <x:c r="A1725" s="8" t="str">
        <x:v>Sardine Lake</x:v>
      </x:c>
      <x:c r="B1725" s="8" t="str">
        <x:v>6695</x:v>
      </x:c>
      <x:c r="C1725" s="17" t="n">
        <x:v>2025</x:v>
      </x:c>
      <x:c r="D1725" s="8" t="str">
        <x:v>RAINBOW TROUT</x:v>
      </x:c>
      <x:c r="E1725" s="13" t="n">
        <x:f>SUMIFS('Stocking details'!$F$6:$F$3307,'Stocking details'!$I$6:$I$3307,G1725)</x:f>
        <x:v>2500</x:v>
      </x:c>
      <x:c r="F1725" s="13" t="n">
        <x:f>COUNTIFS('Stocking details'!$I$6:$I$3307,G1725)</x:f>
        <x:v>1</x:v>
      </x:c>
      <x:c r="G1725" s="8" t="str">
        <x:f>B1725&amp;" / "&amp;C1725&amp;" / "&amp;D1725</x:f>
        <x:v>6695 / 2025 / RAINBOW TROUT</x:v>
      </x:c>
    </x:row>
    <x:row r="1726" ht="23" customHeight="1">
      <x:c r="A1726" s="8" t="str">
        <x:v>Sardine Lake</x:v>
      </x:c>
      <x:c r="B1726" s="8" t="str">
        <x:v>6695</x:v>
      </x:c>
      <x:c r="C1726" s="17" t="n">
        <x:v>2024</x:v>
      </x:c>
      <x:c r="D1726" s="8" t="str">
        <x:v>RAINBOW TROUT</x:v>
      </x:c>
      <x:c r="E1726" s="13" t="n">
        <x:f>SUMIFS('Stocking details'!$F$6:$F$3307,'Stocking details'!$I$6:$I$3307,G1726)</x:f>
        <x:v>1250</x:v>
      </x:c>
      <x:c r="F1726" s="13" t="n">
        <x:f>COUNTIFS('Stocking details'!$I$6:$I$3307,G1726)</x:f>
        <x:v>1</x:v>
      </x:c>
      <x:c r="G1726" s="8" t="str">
        <x:f>B1726&amp;" / "&amp;C1726&amp;" / "&amp;D1726</x:f>
        <x:v>6695 / 2024 / RAINBOW TROUT</x:v>
      </x:c>
    </x:row>
    <x:row r="1727" ht="23" customHeight="1">
      <x:c r="A1727" s="8" t="str">
        <x:v>Sardine Lake</x:v>
      </x:c>
      <x:c r="B1727" s="8" t="str">
        <x:v>6695</x:v>
      </x:c>
      <x:c r="C1727" s="17" t="n">
        <x:v>2023</x:v>
      </x:c>
      <x:c r="D1727" s="8" t="str">
        <x:v>RAINBOW TROUT</x:v>
      </x:c>
      <x:c r="E1727" s="13" t="n">
        <x:f>SUMIFS('Stocking details'!$F$6:$F$3307,'Stocking details'!$I$6:$I$3307,G1727)</x:f>
        <x:v>1013</x:v>
      </x:c>
      <x:c r="F1727" s="13" t="n">
        <x:f>COUNTIFS('Stocking details'!$I$6:$I$3307,G1727)</x:f>
        <x:v>1</x:v>
      </x:c>
      <x:c r="G1727" s="8" t="str">
        <x:f>B1727&amp;" / "&amp;C1727&amp;" / "&amp;D1727</x:f>
        <x:v>6695 / 2023 / RAINBOW TROUT</x:v>
      </x:c>
    </x:row>
    <x:row r="1728" ht="23" customHeight="1">
      <x:c r="A1728" s="8" t="str">
        <x:v>Sardine Lake</x:v>
      </x:c>
      <x:c r="B1728" s="8" t="str">
        <x:v>6695</x:v>
      </x:c>
      <x:c r="C1728" s="17" t="n">
        <x:v>2022</x:v>
      </x:c>
      <x:c r="D1728" s="8" t="str">
        <x:v>RAINBOW TROUT</x:v>
      </x:c>
      <x:c r="E1728" s="13" t="n">
        <x:f>SUMIFS('Stocking details'!$F$6:$F$3307,'Stocking details'!$I$6:$I$3307,G1728)</x:f>
        <x:v>2500</x:v>
      </x:c>
      <x:c r="F1728" s="13" t="n">
        <x:f>COUNTIFS('Stocking details'!$I$6:$I$3307,G1728)</x:f>
        <x:v>1</x:v>
      </x:c>
      <x:c r="G1728" s="8" t="str">
        <x:f>B1728&amp;" / "&amp;C1728&amp;" / "&amp;D1728</x:f>
        <x:v>6695 / 2022 / RAINBOW TROUT</x:v>
      </x:c>
    </x:row>
    <x:row r="1729" ht="23" customHeight="1">
      <x:c r="A1729" s="8" t="str">
        <x:v>Sardine Lake</x:v>
      </x:c>
      <x:c r="B1729" s="8" t="str">
        <x:v>6695</x:v>
      </x:c>
      <x:c r="C1729" s="17" t="n">
        <x:v>2021</x:v>
      </x:c>
      <x:c r="D1729" s="8" t="str">
        <x:v>RAINBOW TROUT</x:v>
      </x:c>
      <x:c r="E1729" s="13" t="n">
        <x:f>SUMIFS('Stocking details'!$F$6:$F$3307,'Stocking details'!$I$6:$I$3307,G1729)</x:f>
        <x:v>2500</x:v>
      </x:c>
      <x:c r="F1729" s="13" t="n">
        <x:f>COUNTIFS('Stocking details'!$I$6:$I$3307,G1729)</x:f>
        <x:v>1</x:v>
      </x:c>
      <x:c r="G1729" s="8" t="str">
        <x:f>B1729&amp;" / "&amp;C1729&amp;" / "&amp;D1729</x:f>
        <x:v>6695 / 2021 / RAINBOW TROUT</x:v>
      </x:c>
    </x:row>
    <x:row r="1730" ht="23" customHeight="1">
      <x:c r="A1730" s="8" t="str">
        <x:v>Sauder (Rattlesnake) Reservoir</x:v>
      </x:c>
      <x:c r="B1730" s="8" t="str">
        <x:v>5646</x:v>
      </x:c>
      <x:c r="C1730" s="17" t="n">
        <x:v>2025</x:v>
      </x:c>
      <x:c r="D1730" s="8" t="str">
        <x:v>WALLEYE</x:v>
      </x:c>
      <x:c r="E1730" s="13" t="n">
        <x:f>SUMIFS('Stocking details'!$F$6:$F$3307,'Stocking details'!$I$6:$I$3307,G1730)</x:f>
        <x:v>1250</x:v>
      </x:c>
      <x:c r="F1730" s="13" t="n">
        <x:f>COUNTIFS('Stocking details'!$I$6:$I$3307,G1730)</x:f>
        <x:v>2</x:v>
      </x:c>
      <x:c r="G1730" s="8" t="str">
        <x:f>B1730&amp;" / "&amp;C1730&amp;" / "&amp;D1730</x:f>
        <x:v>5646 / 2025 / WALLEYE</x:v>
      </x:c>
    </x:row>
    <x:row r="1731" ht="23" customHeight="1">
      <x:c r="A1731" s="8" t="str">
        <x:v>Sauder (Rattlesnake) Reservoir</x:v>
      </x:c>
      <x:c r="B1731" s="8" t="str">
        <x:v>5646</x:v>
      </x:c>
      <x:c r="C1731" s="17" t="n">
        <x:v>2023</x:v>
      </x:c>
      <x:c r="D1731" s="8" t="str">
        <x:v>WALLEYE</x:v>
      </x:c>
      <x:c r="E1731" s="13" t="n">
        <x:f>SUMIFS('Stocking details'!$F$6:$F$3307,'Stocking details'!$I$6:$I$3307,G1731)</x:f>
        <x:v>513500</x:v>
      </x:c>
      <x:c r="F1731" s="13" t="n">
        <x:f>COUNTIFS('Stocking details'!$I$6:$I$3307,G1731)</x:f>
        <x:v>1</x:v>
      </x:c>
      <x:c r="G1731" s="8" t="str">
        <x:f>B1731&amp;" / "&amp;C1731&amp;" / "&amp;D1731</x:f>
        <x:v>5646 / 2023 / WALLEYE</x:v>
      </x:c>
    </x:row>
    <x:row r="1732" ht="23" customHeight="1">
      <x:c r="A1732" s="8" t="str">
        <x:v>Sauder (Rattlesnake) Reservoir</x:v>
      </x:c>
      <x:c r="B1732" s="8" t="str">
        <x:v>5646</x:v>
      </x:c>
      <x:c r="C1732" s="17" t="n">
        <x:v>2022</x:v>
      </x:c>
      <x:c r="D1732" s="8" t="str">
        <x:v>WALLEYE</x:v>
      </x:c>
      <x:c r="E1732" s="13" t="n">
        <x:f>SUMIFS('Stocking details'!$F$6:$F$3307,'Stocking details'!$I$6:$I$3307,G1732)</x:f>
        <x:v>139253</x:v>
      </x:c>
      <x:c r="F1732" s="13" t="n">
        <x:f>COUNTIFS('Stocking details'!$I$6:$I$3307,G1732)</x:f>
        <x:v>1</x:v>
      </x:c>
      <x:c r="G1732" s="8" t="str">
        <x:f>B1732&amp;" / "&amp;C1732&amp;" / "&amp;D1732</x:f>
        <x:v>5646 / 2022 / WALLEYE</x:v>
      </x:c>
    </x:row>
    <x:row r="1733" ht="23" customHeight="1">
      <x:c r="A1733" s="8" t="str">
        <x:v>Sauer Lake</x:v>
      </x:c>
      <x:c r="B1733" s="8" t="str">
        <x:v>5753</x:v>
      </x:c>
      <x:c r="C1733" s="17" t="n">
        <x:v>2026</x:v>
      </x:c>
      <x:c r="D1733" s="8" t="str">
        <x:v>RAINBOW TROUT</x:v>
      </x:c>
      <x:c r="E1733" s="13" t="n">
        <x:f>SUMIFS('Stocking details'!$F$6:$F$3307,'Stocking details'!$I$6:$I$3307,G1733)</x:f>
        <x:v>6000</x:v>
      </x:c>
      <x:c r="F1733" s="13" t="n">
        <x:f>COUNTIFS('Stocking details'!$I$6:$I$3307,G1733)</x:f>
        <x:v>1</x:v>
      </x:c>
      <x:c r="G1733" s="8" t="str">
        <x:f>B1733&amp;" / "&amp;C1733&amp;" / "&amp;D1733</x:f>
        <x:v>5753 / 2026 / RAINBOW TROUT</x:v>
      </x:c>
    </x:row>
    <x:row r="1734" ht="23" customHeight="1">
      <x:c r="A1734" s="8" t="str">
        <x:v>Sauer Lake</x:v>
      </x:c>
      <x:c r="B1734" s="8" t="str">
        <x:v>5753</x:v>
      </x:c>
      <x:c r="C1734" s="17" t="n">
        <x:v>2025</x:v>
      </x:c>
      <x:c r="D1734" s="8" t="str">
        <x:v>RAINBOW TROUT</x:v>
      </x:c>
      <x:c r="E1734" s="13" t="n">
        <x:f>SUMIFS('Stocking details'!$F$6:$F$3307,'Stocking details'!$I$6:$I$3307,G1734)</x:f>
        <x:v>6000</x:v>
      </x:c>
      <x:c r="F1734" s="13" t="n">
        <x:f>COUNTIFS('Stocking details'!$I$6:$I$3307,G1734)</x:f>
        <x:v>1</x:v>
      </x:c>
      <x:c r="G1734" s="8" t="str">
        <x:f>B1734&amp;" / "&amp;C1734&amp;" / "&amp;D1734</x:f>
        <x:v>5753 / 2025 / RAINBOW TROUT</x:v>
      </x:c>
    </x:row>
    <x:row r="1735" ht="23" customHeight="1">
      <x:c r="A1735" s="8" t="str">
        <x:v>Sauer Lake</x:v>
      </x:c>
      <x:c r="B1735" s="8" t="str">
        <x:v>5753</x:v>
      </x:c>
      <x:c r="C1735" s="17" t="n">
        <x:v>2024</x:v>
      </x:c>
      <x:c r="D1735" s="8" t="str">
        <x:v>RAINBOW TROUT</x:v>
      </x:c>
      <x:c r="E1735" s="13" t="n">
        <x:f>SUMIFS('Stocking details'!$F$6:$F$3307,'Stocking details'!$I$6:$I$3307,G1735)</x:f>
        <x:v>2400</x:v>
      </x:c>
      <x:c r="F1735" s="13" t="n">
        <x:f>COUNTIFS('Stocking details'!$I$6:$I$3307,G1735)</x:f>
        <x:v>1</x:v>
      </x:c>
      <x:c r="G1735" s="8" t="str">
        <x:f>B1735&amp;" / "&amp;C1735&amp;" / "&amp;D1735</x:f>
        <x:v>5753 / 2024 / RAINBOW TROUT</x:v>
      </x:c>
    </x:row>
    <x:row r="1736" ht="23" customHeight="1">
      <x:c r="A1736" s="8" t="str">
        <x:v>Sauer Lake</x:v>
      </x:c>
      <x:c r="B1736" s="8" t="str">
        <x:v>5753</x:v>
      </x:c>
      <x:c r="C1736" s="17" t="n">
        <x:v>2023</x:v>
      </x:c>
      <x:c r="D1736" s="8" t="str">
        <x:v>RAINBOW TROUT</x:v>
      </x:c>
      <x:c r="E1736" s="13" t="n">
        <x:f>SUMIFS('Stocking details'!$F$6:$F$3307,'Stocking details'!$I$6:$I$3307,G1736)</x:f>
        <x:v>2790</x:v>
      </x:c>
      <x:c r="F1736" s="13" t="n">
        <x:f>COUNTIFS('Stocking details'!$I$6:$I$3307,G1736)</x:f>
        <x:v>1</x:v>
      </x:c>
      <x:c r="G1736" s="8" t="str">
        <x:f>B1736&amp;" / "&amp;C1736&amp;" / "&amp;D1736</x:f>
        <x:v>5753 / 2023 / RAINBOW TROUT</x:v>
      </x:c>
    </x:row>
    <x:row r="1737" ht="23" customHeight="1">
      <x:c r="A1737" s="8" t="str">
        <x:v>Sauer Lake</x:v>
      </x:c>
      <x:c r="B1737" s="8" t="str">
        <x:v>5753</x:v>
      </x:c>
      <x:c r="C1737" s="17" t="n">
        <x:v>2022</x:v>
      </x:c>
      <x:c r="D1737" s="8" t="str">
        <x:v>RAINBOW TROUT</x:v>
      </x:c>
      <x:c r="E1737" s="13" t="n">
        <x:f>SUMIFS('Stocking details'!$F$6:$F$3307,'Stocking details'!$I$6:$I$3307,G1737)</x:f>
        <x:v>6000</x:v>
      </x:c>
      <x:c r="F1737" s="13" t="n">
        <x:f>COUNTIFS('Stocking details'!$I$6:$I$3307,G1737)</x:f>
        <x:v>1</x:v>
      </x:c>
      <x:c r="G1737" s="8" t="str">
        <x:f>B1737&amp;" / "&amp;C1737&amp;" / "&amp;D1737</x:f>
        <x:v>5753 / 2022 / RAINBOW TROUT</x:v>
      </x:c>
    </x:row>
    <x:row r="1738" ht="23" customHeight="1">
      <x:c r="A1738" s="8" t="str">
        <x:v>Sauer Lake</x:v>
      </x:c>
      <x:c r="B1738" s="8" t="str">
        <x:v>5753</x:v>
      </x:c>
      <x:c r="C1738" s="17" t="n">
        <x:v>2021</x:v>
      </x:c>
      <x:c r="D1738" s="8" t="str">
        <x:v>RAINBOW TROUT</x:v>
      </x:c>
      <x:c r="E1738" s="13" t="n">
        <x:f>SUMIFS('Stocking details'!$F$6:$F$3307,'Stocking details'!$I$6:$I$3307,G1738)</x:f>
        <x:v>6000</x:v>
      </x:c>
      <x:c r="F1738" s="13" t="n">
        <x:f>COUNTIFS('Stocking details'!$I$6:$I$3307,G1738)</x:f>
        <x:v>1</x:v>
      </x:c>
      <x:c r="G1738" s="8" t="str">
        <x:f>B1738&amp;" / "&amp;C1738&amp;" / "&amp;D1738</x:f>
        <x:v>5753 / 2021 / RAINBOW TROUT</x:v>
      </x:c>
    </x:row>
    <x:row r="1739" ht="23" customHeight="1">
      <x:c r="A1739" s="8" t="str">
        <x:v>Schuman Lake</x:v>
      </x:c>
      <x:c r="B1739" s="8" t="str">
        <x:v>5766</x:v>
      </x:c>
      <x:c r="C1739" s="17" t="n">
        <x:v>2026</x:v>
      </x:c>
      <x:c r="D1739" s="8" t="str">
        <x:v>RAINBOW TROUT</x:v>
      </x:c>
      <x:c r="E1739" s="13" t="n">
        <x:f>SUMIFS('Stocking details'!$F$6:$F$3307,'Stocking details'!$I$6:$I$3307,G1739)</x:f>
        <x:v>9500</x:v>
      </x:c>
      <x:c r="F1739" s="13" t="n">
        <x:f>COUNTIFS('Stocking details'!$I$6:$I$3307,G1739)</x:f>
        <x:v>1</x:v>
      </x:c>
      <x:c r="G1739" s="8" t="str">
        <x:f>B1739&amp;" / "&amp;C1739&amp;" / "&amp;D1739</x:f>
        <x:v>5766 / 2026 / RAINBOW TROUT</x:v>
      </x:c>
    </x:row>
    <x:row r="1740" ht="23" customHeight="1">
      <x:c r="A1740" s="8" t="str">
        <x:v>Schuman Lake</x:v>
      </x:c>
      <x:c r="B1740" s="8" t="str">
        <x:v>5766</x:v>
      </x:c>
      <x:c r="C1740" s="17" t="n">
        <x:v>2026</x:v>
      </x:c>
      <x:c r="D1740" s="8" t="str">
        <x:v>TIGER TROUT</x:v>
      </x:c>
      <x:c r="E1740" s="13" t="n">
        <x:f>SUMIFS('Stocking details'!$F$6:$F$3307,'Stocking details'!$I$6:$I$3307,G1740)</x:f>
        <x:v>500</x:v>
      </x:c>
      <x:c r="F1740" s="13" t="n">
        <x:f>COUNTIFS('Stocking details'!$I$6:$I$3307,G1740)</x:f>
        <x:v>1</x:v>
      </x:c>
      <x:c r="G1740" s="8" t="str">
        <x:f>B1740&amp;" / "&amp;C1740&amp;" / "&amp;D1740</x:f>
        <x:v>5766 / 2026 / TIGER TROUT</x:v>
      </x:c>
    </x:row>
    <x:row r="1741" ht="23" customHeight="1">
      <x:c r="A1741" s="8" t="str">
        <x:v>Schuman Lake</x:v>
      </x:c>
      <x:c r="B1741" s="8" t="str">
        <x:v>5766</x:v>
      </x:c>
      <x:c r="C1741" s="17" t="n">
        <x:v>2025</x:v>
      </x:c>
      <x:c r="D1741" s="8" t="str">
        <x:v>RAINBOW TROUT</x:v>
      </x:c>
      <x:c r="E1741" s="13" t="n">
        <x:f>SUMIFS('Stocking details'!$F$6:$F$3307,'Stocking details'!$I$6:$I$3307,G1741)</x:f>
        <x:v>9500</x:v>
      </x:c>
      <x:c r="F1741" s="13" t="n">
        <x:f>COUNTIFS('Stocking details'!$I$6:$I$3307,G1741)</x:f>
        <x:v>1</x:v>
      </x:c>
      <x:c r="G1741" s="8" t="str">
        <x:f>B1741&amp;" / "&amp;C1741&amp;" / "&amp;D1741</x:f>
        <x:v>5766 / 2025 / RAINBOW TROUT</x:v>
      </x:c>
    </x:row>
    <x:row r="1742" ht="23" customHeight="1">
      <x:c r="A1742" s="8" t="str">
        <x:v>Schuman Lake</x:v>
      </x:c>
      <x:c r="B1742" s="8" t="str">
        <x:v>5766</x:v>
      </x:c>
      <x:c r="C1742" s="17" t="n">
        <x:v>2025</x:v>
      </x:c>
      <x:c r="D1742" s="8" t="str">
        <x:v>TIGER TROUT</x:v>
      </x:c>
      <x:c r="E1742" s="13" t="n">
        <x:f>SUMIFS('Stocking details'!$F$6:$F$3307,'Stocking details'!$I$6:$I$3307,G1742)</x:f>
        <x:v>500</x:v>
      </x:c>
      <x:c r="F1742" s="13" t="n">
        <x:f>COUNTIFS('Stocking details'!$I$6:$I$3307,G1742)</x:f>
        <x:v>1</x:v>
      </x:c>
      <x:c r="G1742" s="8" t="str">
        <x:f>B1742&amp;" / "&amp;C1742&amp;" / "&amp;D1742</x:f>
        <x:v>5766 / 2025 / TIGER TROUT</x:v>
      </x:c>
    </x:row>
    <x:row r="1743" ht="23" customHeight="1">
      <x:c r="A1743" s="8" t="str">
        <x:v>Schuman Lake</x:v>
      </x:c>
      <x:c r="B1743" s="8" t="str">
        <x:v>5766</x:v>
      </x:c>
      <x:c r="C1743" s="17" t="n">
        <x:v>2024</x:v>
      </x:c>
      <x:c r="D1743" s="8" t="str">
        <x:v>RAINBOW TROUT</x:v>
      </x:c>
      <x:c r="E1743" s="13" t="n">
        <x:f>SUMIFS('Stocking details'!$F$6:$F$3307,'Stocking details'!$I$6:$I$3307,G1743)</x:f>
        <x:v>13800</x:v>
      </x:c>
      <x:c r="F1743" s="13" t="n">
        <x:f>COUNTIFS('Stocking details'!$I$6:$I$3307,G1743)</x:f>
        <x:v>3</x:v>
      </x:c>
      <x:c r="G1743" s="8" t="str">
        <x:f>B1743&amp;" / "&amp;C1743&amp;" / "&amp;D1743</x:f>
        <x:v>5766 / 2024 / RAINBOW TROUT</x:v>
      </x:c>
    </x:row>
    <x:row r="1744" ht="23" customHeight="1">
      <x:c r="A1744" s="8" t="str">
        <x:v>Schuman Lake</x:v>
      </x:c>
      <x:c r="B1744" s="8" t="str">
        <x:v>5766</x:v>
      </x:c>
      <x:c r="C1744" s="17" t="n">
        <x:v>2024</x:v>
      </x:c>
      <x:c r="D1744" s="8" t="str">
        <x:v>TIGER TROUT</x:v>
      </x:c>
      <x:c r="E1744" s="13" t="n">
        <x:f>SUMIFS('Stocking details'!$F$6:$F$3307,'Stocking details'!$I$6:$I$3307,G1744)</x:f>
        <x:v>500</x:v>
      </x:c>
      <x:c r="F1744" s="13" t="n">
        <x:f>COUNTIFS('Stocking details'!$I$6:$I$3307,G1744)</x:f>
        <x:v>1</x:v>
      </x:c>
      <x:c r="G1744" s="8" t="str">
        <x:f>B1744&amp;" / "&amp;C1744&amp;" / "&amp;D1744</x:f>
        <x:v>5766 / 2024 / TIGER TROUT</x:v>
      </x:c>
    </x:row>
    <x:row r="1745" ht="23" customHeight="1">
      <x:c r="A1745" s="8" t="str">
        <x:v>Schuman Lake</x:v>
      </x:c>
      <x:c r="B1745" s="8" t="str">
        <x:v>5766</x:v>
      </x:c>
      <x:c r="C1745" s="17" t="n">
        <x:v>2023</x:v>
      </x:c>
      <x:c r="D1745" s="8" t="str">
        <x:v>RAINBOW TROUT</x:v>
      </x:c>
      <x:c r="E1745" s="13" t="n">
        <x:f>SUMIFS('Stocking details'!$F$6:$F$3307,'Stocking details'!$I$6:$I$3307,G1745)</x:f>
        <x:v>14691</x:v>
      </x:c>
      <x:c r="F1745" s="13" t="n">
        <x:f>COUNTIFS('Stocking details'!$I$6:$I$3307,G1745)</x:f>
        <x:v>3</x:v>
      </x:c>
      <x:c r="G1745" s="8" t="str">
        <x:f>B1745&amp;" / "&amp;C1745&amp;" / "&amp;D1745</x:f>
        <x:v>5766 / 2023 / RAINBOW TROUT</x:v>
      </x:c>
    </x:row>
    <x:row r="1746" ht="23" customHeight="1">
      <x:c r="A1746" s="8" t="str">
        <x:v>Schuman Lake</x:v>
      </x:c>
      <x:c r="B1746" s="8" t="str">
        <x:v>5766</x:v>
      </x:c>
      <x:c r="C1746" s="17" t="n">
        <x:v>2023</x:v>
      </x:c>
      <x:c r="D1746" s="8" t="str">
        <x:v>TIGER TROUT</x:v>
      </x:c>
      <x:c r="E1746" s="13" t="n">
        <x:f>SUMIFS('Stocking details'!$F$6:$F$3307,'Stocking details'!$I$6:$I$3307,G1746)</x:f>
        <x:v>500</x:v>
      </x:c>
      <x:c r="F1746" s="13" t="n">
        <x:f>COUNTIFS('Stocking details'!$I$6:$I$3307,G1746)</x:f>
        <x:v>1</x:v>
      </x:c>
      <x:c r="G1746" s="8" t="str">
        <x:f>B1746&amp;" / "&amp;C1746&amp;" / "&amp;D1746</x:f>
        <x:v>5766 / 2023 / TIGER TROUT</x:v>
      </x:c>
    </x:row>
    <x:row r="1747" ht="23" customHeight="1">
      <x:c r="A1747" s="8" t="str">
        <x:v>Schuman Lake</x:v>
      </x:c>
      <x:c r="B1747" s="8" t="str">
        <x:v>5766</x:v>
      </x:c>
      <x:c r="C1747" s="17" t="n">
        <x:v>2022</x:v>
      </x:c>
      <x:c r="D1747" s="8" t="str">
        <x:v>RAINBOW TROUT</x:v>
      </x:c>
      <x:c r="E1747" s="13" t="n">
        <x:f>SUMIFS('Stocking details'!$F$6:$F$3307,'Stocking details'!$I$6:$I$3307,G1747)</x:f>
        <x:v>9500</x:v>
      </x:c>
      <x:c r="F1747" s="13" t="n">
        <x:f>COUNTIFS('Stocking details'!$I$6:$I$3307,G1747)</x:f>
        <x:v>2</x:v>
      </x:c>
      <x:c r="G1747" s="8" t="str">
        <x:f>B1747&amp;" / "&amp;C1747&amp;" / "&amp;D1747</x:f>
        <x:v>5766 / 2022 / RAINBOW TROUT</x:v>
      </x:c>
    </x:row>
    <x:row r="1748" ht="23" customHeight="1">
      <x:c r="A1748" s="8" t="str">
        <x:v>Schuman Lake</x:v>
      </x:c>
      <x:c r="B1748" s="8" t="str">
        <x:v>5766</x:v>
      </x:c>
      <x:c r="C1748" s="17" t="n">
        <x:v>2022</x:v>
      </x:c>
      <x:c r="D1748" s="8" t="str">
        <x:v>TIGER TROUT</x:v>
      </x:c>
      <x:c r="E1748" s="13" t="n">
        <x:f>SUMIFS('Stocking details'!$F$6:$F$3307,'Stocking details'!$I$6:$I$3307,G1748)</x:f>
        <x:v>500</x:v>
      </x:c>
      <x:c r="F1748" s="13" t="n">
        <x:f>COUNTIFS('Stocking details'!$I$6:$I$3307,G1748)</x:f>
        <x:v>1</x:v>
      </x:c>
      <x:c r="G1748" s="8" t="str">
        <x:f>B1748&amp;" / "&amp;C1748&amp;" / "&amp;D1748</x:f>
        <x:v>5766 / 2022 / TIGER TROUT</x:v>
      </x:c>
    </x:row>
    <x:row r="1749" ht="23" customHeight="1">
      <x:c r="A1749" s="8" t="str">
        <x:v>Schuman Lake</x:v>
      </x:c>
      <x:c r="B1749" s="8" t="str">
        <x:v>5766</x:v>
      </x:c>
      <x:c r="C1749" s="17" t="n">
        <x:v>2021</x:v>
      </x:c>
      <x:c r="D1749" s="8" t="str">
        <x:v>RAINBOW TROUT</x:v>
      </x:c>
      <x:c r="E1749" s="13" t="n">
        <x:f>SUMIFS('Stocking details'!$F$6:$F$3307,'Stocking details'!$I$6:$I$3307,G1749)</x:f>
        <x:v>9500</x:v>
      </x:c>
      <x:c r="F1749" s="13" t="n">
        <x:f>COUNTIFS('Stocking details'!$I$6:$I$3307,G1749)</x:f>
        <x:v>1</x:v>
      </x:c>
      <x:c r="G1749" s="8" t="str">
        <x:f>B1749&amp;" / "&amp;C1749&amp;" / "&amp;D1749</x:f>
        <x:v>5766 / 2021 / RAINBOW TROUT</x:v>
      </x:c>
    </x:row>
    <x:row r="1750" ht="23" customHeight="1">
      <x:c r="A1750" s="8" t="str">
        <x:v>Schuman Lake</x:v>
      </x:c>
      <x:c r="B1750" s="8" t="str">
        <x:v>5766</x:v>
      </x:c>
      <x:c r="C1750" s="17" t="n">
        <x:v>2021</x:v>
      </x:c>
      <x:c r="D1750" s="8" t="str">
        <x:v>TIGER TROUT</x:v>
      </x:c>
      <x:c r="E1750" s="13" t="n">
        <x:f>SUMIFS('Stocking details'!$F$6:$F$3307,'Stocking details'!$I$6:$I$3307,G1750)</x:f>
        <x:v>500</x:v>
      </x:c>
      <x:c r="F1750" s="13" t="n">
        <x:f>COUNTIFS('Stocking details'!$I$6:$I$3307,G1750)</x:f>
        <x:v>1</x:v>
      </x:c>
      <x:c r="G1750" s="8" t="str">
        <x:f>B1750&amp;" / "&amp;C1750&amp;" / "&amp;D1750</x:f>
        <x:v>5766 / 2021 / TIGER TROUT</x:v>
      </x:c>
    </x:row>
    <x:row r="1751" ht="23" customHeight="1">
      <x:c r="A1751" s="8" t="str">
        <x:v>Severn Creek Reservoir</x:v>
      </x:c>
      <x:c r="B1751" s="8" t="str">
        <x:v>6697</x:v>
      </x:c>
      <x:c r="C1751" s="17" t="n">
        <x:v>2026</x:v>
      </x:c>
      <x:c r="D1751" s="8" t="str">
        <x:v>RAINBOW TROUT</x:v>
      </x:c>
      <x:c r="E1751" s="13" t="n">
        <x:f>SUMIFS('Stocking details'!$F$6:$F$3307,'Stocking details'!$I$6:$I$3307,G1751)</x:f>
        <x:v>5600</x:v>
      </x:c>
      <x:c r="F1751" s="13" t="n">
        <x:f>COUNTIFS('Stocking details'!$I$6:$I$3307,G1751)</x:f>
        <x:v>2</x:v>
      </x:c>
      <x:c r="G1751" s="8" t="str">
        <x:f>B1751&amp;" / "&amp;C1751&amp;" / "&amp;D1751</x:f>
        <x:v>6697 / 2026 / RAINBOW TROUT</x:v>
      </x:c>
    </x:row>
    <x:row r="1752" ht="23" customHeight="1">
      <x:c r="A1752" s="8" t="str">
        <x:v>Severn Creek Reservoir</x:v>
      </x:c>
      <x:c r="B1752" s="8" t="str">
        <x:v>6697</x:v>
      </x:c>
      <x:c r="C1752" s="17" t="n">
        <x:v>2025</x:v>
      </x:c>
      <x:c r="D1752" s="8" t="str">
        <x:v>RAINBOW TROUT</x:v>
      </x:c>
      <x:c r="E1752" s="13" t="n">
        <x:f>SUMIFS('Stocking details'!$F$6:$F$3307,'Stocking details'!$I$6:$I$3307,G1752)</x:f>
        <x:v>5600</x:v>
      </x:c>
      <x:c r="F1752" s="13" t="n">
        <x:f>COUNTIFS('Stocking details'!$I$6:$I$3307,G1752)</x:f>
        <x:v>2</x:v>
      </x:c>
      <x:c r="G1752" s="8" t="str">
        <x:f>B1752&amp;" / "&amp;C1752&amp;" / "&amp;D1752</x:f>
        <x:v>6697 / 2025 / RAINBOW TROUT</x:v>
      </x:c>
    </x:row>
    <x:row r="1753" ht="23" customHeight="1">
      <x:c r="A1753" s="8" t="str">
        <x:v>Severn Creek Reservoir</x:v>
      </x:c>
      <x:c r="B1753" s="8" t="str">
        <x:v>6697</x:v>
      </x:c>
      <x:c r="C1753" s="17" t="n">
        <x:v>2024</x:v>
      </x:c>
      <x:c r="D1753" s="8" t="str">
        <x:v>RAINBOW TROUT</x:v>
      </x:c>
      <x:c r="E1753" s="13" t="n">
        <x:f>SUMIFS('Stocking details'!$F$6:$F$3307,'Stocking details'!$I$6:$I$3307,G1753)</x:f>
        <x:v>3360</x:v>
      </x:c>
      <x:c r="F1753" s="13" t="n">
        <x:f>COUNTIFS('Stocking details'!$I$6:$I$3307,G1753)</x:f>
        <x:v>1</x:v>
      </x:c>
      <x:c r="G1753" s="8" t="str">
        <x:f>B1753&amp;" / "&amp;C1753&amp;" / "&amp;D1753</x:f>
        <x:v>6697 / 2024 / RAINBOW TROUT</x:v>
      </x:c>
    </x:row>
    <x:row r="1754" ht="23" customHeight="1">
      <x:c r="A1754" s="8" t="str">
        <x:v>Severn Creek Reservoir</x:v>
      </x:c>
      <x:c r="B1754" s="8" t="str">
        <x:v>6697</x:v>
      </x:c>
      <x:c r="C1754" s="17" t="n">
        <x:v>2023</x:v>
      </x:c>
      <x:c r="D1754" s="8" t="str">
        <x:v>RAINBOW TROUT</x:v>
      </x:c>
      <x:c r="E1754" s="13" t="n">
        <x:f>SUMIFS('Stocking details'!$F$6:$F$3307,'Stocking details'!$I$6:$I$3307,G1754)</x:f>
        <x:v>2811</x:v>
      </x:c>
      <x:c r="F1754" s="13" t="n">
        <x:f>COUNTIFS('Stocking details'!$I$6:$I$3307,G1754)</x:f>
        <x:v>1</x:v>
      </x:c>
      <x:c r="G1754" s="8" t="str">
        <x:f>B1754&amp;" / "&amp;C1754&amp;" / "&amp;D1754</x:f>
        <x:v>6697 / 2023 / RAINBOW TROUT</x:v>
      </x:c>
    </x:row>
    <x:row r="1755" ht="23" customHeight="1">
      <x:c r="A1755" s="8" t="str">
        <x:v>Severn Creek Reservoir</x:v>
      </x:c>
      <x:c r="B1755" s="8" t="str">
        <x:v>6697</x:v>
      </x:c>
      <x:c r="C1755" s="17" t="n">
        <x:v>2022</x:v>
      </x:c>
      <x:c r="D1755" s="8" t="str">
        <x:v>RAINBOW TROUT</x:v>
      </x:c>
      <x:c r="E1755" s="13" t="n">
        <x:f>SUMIFS('Stocking details'!$F$6:$F$3307,'Stocking details'!$I$6:$I$3307,G1755)</x:f>
        <x:v>5600</x:v>
      </x:c>
      <x:c r="F1755" s="13" t="n">
        <x:f>COUNTIFS('Stocking details'!$I$6:$I$3307,G1755)</x:f>
        <x:v>1</x:v>
      </x:c>
      <x:c r="G1755" s="8" t="str">
        <x:f>B1755&amp;" / "&amp;C1755&amp;" / "&amp;D1755</x:f>
        <x:v>6697 / 2022 / RAINBOW TROUT</x:v>
      </x:c>
    </x:row>
    <x:row r="1756" ht="23" customHeight="1">
      <x:c r="A1756" s="8" t="str">
        <x:v>Severn Creek Reservoir</x:v>
      </x:c>
      <x:c r="B1756" s="8" t="str">
        <x:v>6697</x:v>
      </x:c>
      <x:c r="C1756" s="17" t="n">
        <x:v>2021</x:v>
      </x:c>
      <x:c r="D1756" s="8" t="str">
        <x:v>RAINBOW TROUT</x:v>
      </x:c>
      <x:c r="E1756" s="13" t="n">
        <x:f>SUMIFS('Stocking details'!$F$6:$F$3307,'Stocking details'!$I$6:$I$3307,G1756)</x:f>
        <x:v>5600</x:v>
      </x:c>
      <x:c r="F1756" s="13" t="n">
        <x:f>COUNTIFS('Stocking details'!$I$6:$I$3307,G1756)</x:f>
        <x:v>1</x:v>
      </x:c>
      <x:c r="G1756" s="8" t="str">
        <x:f>B1756&amp;" / "&amp;C1756&amp;" / "&amp;D1756</x:f>
        <x:v>6697 / 2021 / RAINBOW TROUT</x:v>
      </x:c>
    </x:row>
    <x:row r="1757" ht="23" customHeight="1">
      <x:c r="A1757" s="8" t="str">
        <x:v>Shark Lake</x:v>
      </x:c>
      <x:c r="B1757" s="8" t="str">
        <x:v>5788</x:v>
      </x:c>
      <x:c r="C1757" s="17" t="n">
        <x:v>2025</x:v>
      </x:c>
      <x:c r="D1757" s="8" t="str">
        <x:v>CUTTHROAT TROUT</x:v>
      </x:c>
      <x:c r="E1757" s="13" t="n">
        <x:f>SUMIFS('Stocking details'!$F$6:$F$3307,'Stocking details'!$I$6:$I$3307,G1757)</x:f>
        <x:v>500</x:v>
      </x:c>
      <x:c r="F1757" s="13" t="n">
        <x:f>COUNTIFS('Stocking details'!$I$6:$I$3307,G1757)</x:f>
        <x:v>1</x:v>
      </x:c>
      <x:c r="G1757" s="8" t="str">
        <x:f>B1757&amp;" / "&amp;C1757&amp;" / "&amp;D1757</x:f>
        <x:v>5788 / 2025 / CUTTHROAT TROUT</x:v>
      </x:c>
    </x:row>
    <x:row r="1758" ht="23" customHeight="1">
      <x:c r="A1758" s="8" t="str">
        <x:v>Shark Lake</x:v>
      </x:c>
      <x:c r="B1758" s="8" t="str">
        <x:v>5788</x:v>
      </x:c>
      <x:c r="C1758" s="17" t="n">
        <x:v>2021</x:v>
      </x:c>
      <x:c r="D1758" s="8" t="str">
        <x:v>CUTTHROAT TROUT</x:v>
      </x:c>
      <x:c r="E1758" s="13" t="n">
        <x:f>SUMIFS('Stocking details'!$F$6:$F$3307,'Stocking details'!$I$6:$I$3307,G1758)</x:f>
        <x:v>500</x:v>
      </x:c>
      <x:c r="F1758" s="13" t="n">
        <x:f>COUNTIFS('Stocking details'!$I$6:$I$3307,G1758)</x:f>
        <x:v>1</x:v>
      </x:c>
      <x:c r="G1758" s="8" t="str">
        <x:f>B1758&amp;" / "&amp;C1758&amp;" / "&amp;D1758</x:f>
        <x:v>5788 / 2021 / CUTTHROAT TROUT</x:v>
      </x:c>
    </x:row>
    <x:row r="1759" ht="23" customHeight="1">
      <x:c r="A1759" s="8" t="str">
        <x:v>Shell True North Pond</x:v>
      </x:c>
      <x:c r="B1759" s="8" t="str">
        <x:v>328085</x:v>
      </x:c>
      <x:c r="C1759" s="17" t="n">
        <x:v>2026</x:v>
      </x:c>
      <x:c r="D1759" s="8" t="str">
        <x:v>BROOK TROUT</x:v>
      </x:c>
      <x:c r="E1759" s="13" t="n">
        <x:f>SUMIFS('Stocking details'!$F$6:$F$3307,'Stocking details'!$I$6:$I$3307,G1759)</x:f>
        <x:v>590</x:v>
      </x:c>
      <x:c r="F1759" s="13" t="n">
        <x:f>COUNTIFS('Stocking details'!$I$6:$I$3307,G1759)</x:f>
        <x:v>1</x:v>
      </x:c>
      <x:c r="G1759" s="8" t="str">
        <x:f>B1759&amp;" / "&amp;C1759&amp;" / "&amp;D1759</x:f>
        <x:v>328085 / 2026 / BROOK TROUT</x:v>
      </x:c>
    </x:row>
    <x:row r="1760" ht="23" customHeight="1">
      <x:c r="A1760" s="8" t="str">
        <x:v>Shell True North Pond</x:v>
      </x:c>
      <x:c r="B1760" s="8" t="str">
        <x:v>328085</x:v>
      </x:c>
      <x:c r="C1760" s="17" t="n">
        <x:v>2026</x:v>
      </x:c>
      <x:c r="D1760" s="8" t="str">
        <x:v>TIGER TROUT</x:v>
      </x:c>
      <x:c r="E1760" s="13" t="n">
        <x:f>SUMIFS('Stocking details'!$F$6:$F$3307,'Stocking details'!$I$6:$I$3307,G1760)</x:f>
        <x:v>50</x:v>
      </x:c>
      <x:c r="F1760" s="13" t="n">
        <x:f>COUNTIFS('Stocking details'!$I$6:$I$3307,G1760)</x:f>
        <x:v>1</x:v>
      </x:c>
      <x:c r="G1760" s="8" t="str">
        <x:f>B1760&amp;" / "&amp;C1760&amp;" / "&amp;D1760</x:f>
        <x:v>328085 / 2026 / TIGER TROUT</x:v>
      </x:c>
    </x:row>
    <x:row r="1761" ht="23" customHeight="1">
      <x:c r="A1761" s="8" t="str">
        <x:v>Shell True North Pond</x:v>
      </x:c>
      <x:c r="B1761" s="8" t="str">
        <x:v>328085</x:v>
      </x:c>
      <x:c r="C1761" s="17" t="n">
        <x:v>2025</x:v>
      </x:c>
      <x:c r="D1761" s="8" t="str">
        <x:v>BROOK TROUT</x:v>
      </x:c>
      <x:c r="E1761" s="13" t="n">
        <x:f>SUMIFS('Stocking details'!$F$6:$F$3307,'Stocking details'!$I$6:$I$3307,G1761)</x:f>
        <x:v>590</x:v>
      </x:c>
      <x:c r="F1761" s="13" t="n">
        <x:f>COUNTIFS('Stocking details'!$I$6:$I$3307,G1761)</x:f>
        <x:v>1</x:v>
      </x:c>
      <x:c r="G1761" s="8" t="str">
        <x:f>B1761&amp;" / "&amp;C1761&amp;" / "&amp;D1761</x:f>
        <x:v>328085 / 2025 / BROOK TROUT</x:v>
      </x:c>
    </x:row>
    <x:row r="1762" ht="23" customHeight="1">
      <x:c r="A1762" s="8" t="str">
        <x:v>Shell True North Pond</x:v>
      </x:c>
      <x:c r="B1762" s="8" t="str">
        <x:v>328085</x:v>
      </x:c>
      <x:c r="C1762" s="17" t="n">
        <x:v>2025</x:v>
      </x:c>
      <x:c r="D1762" s="8" t="str">
        <x:v>TIGER TROUT</x:v>
      </x:c>
      <x:c r="E1762" s="13" t="n">
        <x:f>SUMIFS('Stocking details'!$F$6:$F$3307,'Stocking details'!$I$6:$I$3307,G1762)</x:f>
        <x:v>50</x:v>
      </x:c>
      <x:c r="F1762" s="13" t="n">
        <x:f>COUNTIFS('Stocking details'!$I$6:$I$3307,G1762)</x:f>
        <x:v>1</x:v>
      </x:c>
      <x:c r="G1762" s="8" t="str">
        <x:f>B1762&amp;" / "&amp;C1762&amp;" / "&amp;D1762</x:f>
        <x:v>328085 / 2025 / TIGER TROUT</x:v>
      </x:c>
    </x:row>
    <x:row r="1763" ht="23" customHeight="1">
      <x:c r="A1763" s="8" t="str">
        <x:v>Shell True North Pond</x:v>
      </x:c>
      <x:c r="B1763" s="8" t="str">
        <x:v>328085</x:v>
      </x:c>
      <x:c r="C1763" s="17" t="n">
        <x:v>2024</x:v>
      </x:c>
      <x:c r="D1763" s="8" t="str">
        <x:v>BROOK TROUT</x:v>
      </x:c>
      <x:c r="E1763" s="13" t="n">
        <x:f>SUMIFS('Stocking details'!$F$6:$F$3307,'Stocking details'!$I$6:$I$3307,G1763)</x:f>
        <x:v>590</x:v>
      </x:c>
      <x:c r="F1763" s="13" t="n">
        <x:f>COUNTIFS('Stocking details'!$I$6:$I$3307,G1763)</x:f>
        <x:v>1</x:v>
      </x:c>
      <x:c r="G1763" s="8" t="str">
        <x:f>B1763&amp;" / "&amp;C1763&amp;" / "&amp;D1763</x:f>
        <x:v>328085 / 2024 / BROOK TROUT</x:v>
      </x:c>
    </x:row>
    <x:row r="1764" ht="23" customHeight="1">
      <x:c r="A1764" s="8" t="str">
        <x:v>Shell True North Pond</x:v>
      </x:c>
      <x:c r="B1764" s="8" t="str">
        <x:v>328085</x:v>
      </x:c>
      <x:c r="C1764" s="17" t="n">
        <x:v>2024</x:v>
      </x:c>
      <x:c r="D1764" s="8" t="str">
        <x:v>TIGER TROUT</x:v>
      </x:c>
      <x:c r="E1764" s="13" t="n">
        <x:f>SUMIFS('Stocking details'!$F$6:$F$3307,'Stocking details'!$I$6:$I$3307,G1764)</x:f>
        <x:v>50</x:v>
      </x:c>
      <x:c r="F1764" s="13" t="n">
        <x:f>COUNTIFS('Stocking details'!$I$6:$I$3307,G1764)</x:f>
        <x:v>1</x:v>
      </x:c>
      <x:c r="G1764" s="8" t="str">
        <x:f>B1764&amp;" / "&amp;C1764&amp;" / "&amp;D1764</x:f>
        <x:v>328085 / 2024 / TIGER TROUT</x:v>
      </x:c>
    </x:row>
    <x:row r="1765" ht="23" customHeight="1">
      <x:c r="A1765" s="8" t="str">
        <x:v>Shell True North Pond</x:v>
      </x:c>
      <x:c r="B1765" s="8" t="str">
        <x:v>328085</x:v>
      </x:c>
      <x:c r="C1765" s="17" t="n">
        <x:v>2023</x:v>
      </x:c>
      <x:c r="D1765" s="8" t="str">
        <x:v>BROOK TROUT</x:v>
      </x:c>
      <x:c r="E1765" s="13" t="n">
        <x:f>SUMIFS('Stocking details'!$F$6:$F$3307,'Stocking details'!$I$6:$I$3307,G1765)</x:f>
        <x:v>590</x:v>
      </x:c>
      <x:c r="F1765" s="13" t="n">
        <x:f>COUNTIFS('Stocking details'!$I$6:$I$3307,G1765)</x:f>
        <x:v>1</x:v>
      </x:c>
      <x:c r="G1765" s="8" t="str">
        <x:f>B1765&amp;" / "&amp;C1765&amp;" / "&amp;D1765</x:f>
        <x:v>328085 / 2023 / BROOK TROUT</x:v>
      </x:c>
    </x:row>
    <x:row r="1766" ht="23" customHeight="1">
      <x:c r="A1766" s="8" t="str">
        <x:v>Shell True North Pond</x:v>
      </x:c>
      <x:c r="B1766" s="8" t="str">
        <x:v>328085</x:v>
      </x:c>
      <x:c r="C1766" s="17" t="n">
        <x:v>2023</x:v>
      </x:c>
      <x:c r="D1766" s="8" t="str">
        <x:v>TIGER TROUT</x:v>
      </x:c>
      <x:c r="E1766" s="13" t="n">
        <x:f>SUMIFS('Stocking details'!$F$6:$F$3307,'Stocking details'!$I$6:$I$3307,G1766)</x:f>
        <x:v>50</x:v>
      </x:c>
      <x:c r="F1766" s="13" t="n">
        <x:f>COUNTIFS('Stocking details'!$I$6:$I$3307,G1766)</x:f>
        <x:v>1</x:v>
      </x:c>
      <x:c r="G1766" s="8" t="str">
        <x:f>B1766&amp;" / "&amp;C1766&amp;" / "&amp;D1766</x:f>
        <x:v>328085 / 2023 / TIGER TROUT</x:v>
      </x:c>
    </x:row>
    <x:row r="1767" ht="23" customHeight="1">
      <x:c r="A1767" s="8" t="str">
        <x:v>Shell True North Pond</x:v>
      </x:c>
      <x:c r="B1767" s="8" t="str">
        <x:v>328085</x:v>
      </x:c>
      <x:c r="C1767" s="17" t="n">
        <x:v>2022</x:v>
      </x:c>
      <x:c r="D1767" s="8" t="str">
        <x:v>BROOK TROUT</x:v>
      </x:c>
      <x:c r="E1767" s="13" t="n">
        <x:f>SUMIFS('Stocking details'!$F$6:$F$3307,'Stocking details'!$I$6:$I$3307,G1767)</x:f>
        <x:v>590</x:v>
      </x:c>
      <x:c r="F1767" s="13" t="n">
        <x:f>COUNTIFS('Stocking details'!$I$6:$I$3307,G1767)</x:f>
        <x:v>1</x:v>
      </x:c>
      <x:c r="G1767" s="8" t="str">
        <x:f>B1767&amp;" / "&amp;C1767&amp;" / "&amp;D1767</x:f>
        <x:v>328085 / 2022 / BROOK TROUT</x:v>
      </x:c>
    </x:row>
    <x:row r="1768" ht="23" customHeight="1">
      <x:c r="A1768" s="8" t="str">
        <x:v>Shell True North Pond</x:v>
      </x:c>
      <x:c r="B1768" s="8" t="str">
        <x:v>328085</x:v>
      </x:c>
      <x:c r="C1768" s="17" t="n">
        <x:v>2022</x:v>
      </x:c>
      <x:c r="D1768" s="8" t="str">
        <x:v>TIGER TROUT</x:v>
      </x:c>
      <x:c r="E1768" s="13" t="n">
        <x:f>SUMIFS('Stocking details'!$F$6:$F$3307,'Stocking details'!$I$6:$I$3307,G1768)</x:f>
        <x:v>50</x:v>
      </x:c>
      <x:c r="F1768" s="13" t="n">
        <x:f>COUNTIFS('Stocking details'!$I$6:$I$3307,G1768)</x:f>
        <x:v>1</x:v>
      </x:c>
      <x:c r="G1768" s="8" t="str">
        <x:f>B1768&amp;" / "&amp;C1768&amp;" / "&amp;D1768</x:f>
        <x:v>328085 / 2022 / TIGER TROUT</x:v>
      </x:c>
    </x:row>
    <x:row r="1769" ht="23" customHeight="1">
      <x:c r="A1769" s="8" t="str">
        <x:v>Shell True North Pond</x:v>
      </x:c>
      <x:c r="B1769" s="8" t="str">
        <x:v>328085</x:v>
      </x:c>
      <x:c r="C1769" s="17" t="n">
        <x:v>2021</x:v>
      </x:c>
      <x:c r="D1769" s="8" t="str">
        <x:v>BROOK TROUT</x:v>
      </x:c>
      <x:c r="E1769" s="13" t="n">
        <x:f>SUMIFS('Stocking details'!$F$6:$F$3307,'Stocking details'!$I$6:$I$3307,G1769)</x:f>
        <x:v>590</x:v>
      </x:c>
      <x:c r="F1769" s="13" t="n">
        <x:f>COUNTIFS('Stocking details'!$I$6:$I$3307,G1769)</x:f>
        <x:v>1</x:v>
      </x:c>
      <x:c r="G1769" s="8" t="str">
        <x:f>B1769&amp;" / "&amp;C1769&amp;" / "&amp;D1769</x:f>
        <x:v>328085 / 2021 / BROOK TROUT</x:v>
      </x:c>
    </x:row>
    <x:row r="1770" ht="23" customHeight="1">
      <x:c r="A1770" s="8" t="str">
        <x:v>Shell True North Pond</x:v>
      </x:c>
      <x:c r="B1770" s="8" t="str">
        <x:v>328085</x:v>
      </x:c>
      <x:c r="C1770" s="17" t="n">
        <x:v>2021</x:v>
      </x:c>
      <x:c r="D1770" s="8" t="str">
        <x:v>TIGER TROUT</x:v>
      </x:c>
      <x:c r="E1770" s="13" t="n">
        <x:f>SUMIFS('Stocking details'!$F$6:$F$3307,'Stocking details'!$I$6:$I$3307,G1770)</x:f>
        <x:v>50</x:v>
      </x:c>
      <x:c r="F1770" s="13" t="n">
        <x:f>COUNTIFS('Stocking details'!$I$6:$I$3307,G1770)</x:f>
        <x:v>1</x:v>
      </x:c>
      <x:c r="G1770" s="8" t="str">
        <x:f>B1770&amp;" / "&amp;C1770&amp;" / "&amp;D1770</x:f>
        <x:v>328085 / 2021 / TIGER TROUT</x:v>
      </x:c>
    </x:row>
    <x:row r="1771" ht="23" customHeight="1">
      <x:c r="A1771" s="8" t="str">
        <x:v>Shemeluk Lake</x:v>
      </x:c>
      <x:c r="B1771" s="8" t="str">
        <x:v>6699</x:v>
      </x:c>
      <x:c r="C1771" s="17" t="n">
        <x:v>2026</x:v>
      </x:c>
      <x:c r="D1771" s="8" t="str">
        <x:v>RAINBOW TROUT</x:v>
      </x:c>
      <x:c r="E1771" s="13" t="n">
        <x:f>SUMIFS('Stocking details'!$F$6:$F$3307,'Stocking details'!$I$6:$I$3307,G1771)</x:f>
        <x:v>6000</x:v>
      </x:c>
      <x:c r="F1771" s="13" t="n">
        <x:f>COUNTIFS('Stocking details'!$I$6:$I$3307,G1771)</x:f>
        <x:v>1</x:v>
      </x:c>
      <x:c r="G1771" s="8" t="str">
        <x:f>B1771&amp;" / "&amp;C1771&amp;" / "&amp;D1771</x:f>
        <x:v>6699 / 2026 / RAINBOW TROUT</x:v>
      </x:c>
    </x:row>
    <x:row r="1772" ht="23" customHeight="1">
      <x:c r="A1772" s="8" t="str">
        <x:v>Shemeluk Lake</x:v>
      </x:c>
      <x:c r="B1772" s="8" t="str">
        <x:v>6699</x:v>
      </x:c>
      <x:c r="C1772" s="17" t="n">
        <x:v>2025</x:v>
      </x:c>
      <x:c r="D1772" s="8" t="str">
        <x:v>RAINBOW TROUT</x:v>
      </x:c>
      <x:c r="E1772" s="13" t="n">
        <x:f>SUMIFS('Stocking details'!$F$6:$F$3307,'Stocking details'!$I$6:$I$3307,G1772)</x:f>
        <x:v>6000</x:v>
      </x:c>
      <x:c r="F1772" s="13" t="n">
        <x:f>COUNTIFS('Stocking details'!$I$6:$I$3307,G1772)</x:f>
        <x:v>1</x:v>
      </x:c>
      <x:c r="G1772" s="8" t="str">
        <x:f>B1772&amp;" / "&amp;C1772&amp;" / "&amp;D1772</x:f>
        <x:v>6699 / 2025 / RAINBOW TROUT</x:v>
      </x:c>
    </x:row>
    <x:row r="1773" ht="23" customHeight="1">
      <x:c r="A1773" s="8" t="str">
        <x:v>Shemeluk Lake</x:v>
      </x:c>
      <x:c r="B1773" s="8" t="str">
        <x:v>6699</x:v>
      </x:c>
      <x:c r="C1773" s="17" t="n">
        <x:v>2024</x:v>
      </x:c>
      <x:c r="D1773" s="8" t="str">
        <x:v>RAINBOW TROUT</x:v>
      </x:c>
      <x:c r="E1773" s="13" t="n">
        <x:f>SUMIFS('Stocking details'!$F$6:$F$3307,'Stocking details'!$I$6:$I$3307,G1773)</x:f>
        <x:v>4200</x:v>
      </x:c>
      <x:c r="F1773" s="13" t="n">
        <x:f>COUNTIFS('Stocking details'!$I$6:$I$3307,G1773)</x:f>
        <x:v>1</x:v>
      </x:c>
      <x:c r="G1773" s="8" t="str">
        <x:f>B1773&amp;" / "&amp;C1773&amp;" / "&amp;D1773</x:f>
        <x:v>6699 / 2024 / RAINBOW TROUT</x:v>
      </x:c>
    </x:row>
    <x:row r="1774" ht="23" customHeight="1">
      <x:c r="A1774" s="8" t="str">
        <x:v>Shemeluk Lake</x:v>
      </x:c>
      <x:c r="B1774" s="8" t="str">
        <x:v>6699</x:v>
      </x:c>
      <x:c r="C1774" s="17" t="n">
        <x:v>2023</x:v>
      </x:c>
      <x:c r="D1774" s="8" t="str">
        <x:v>RAINBOW TROUT</x:v>
      </x:c>
      <x:c r="E1774" s="13" t="n">
        <x:f>SUMIFS('Stocking details'!$F$6:$F$3307,'Stocking details'!$I$6:$I$3307,G1774)</x:f>
        <x:v>2790</x:v>
      </x:c>
      <x:c r="F1774" s="13" t="n">
        <x:f>COUNTIFS('Stocking details'!$I$6:$I$3307,G1774)</x:f>
        <x:v>1</x:v>
      </x:c>
      <x:c r="G1774" s="8" t="str">
        <x:f>B1774&amp;" / "&amp;C1774&amp;" / "&amp;D1774</x:f>
        <x:v>6699 / 2023 / RAINBOW TROUT</x:v>
      </x:c>
    </x:row>
    <x:row r="1775" ht="23" customHeight="1">
      <x:c r="A1775" s="8" t="str">
        <x:v>Shemeluk Lake</x:v>
      </x:c>
      <x:c r="B1775" s="8" t="str">
        <x:v>6699</x:v>
      </x:c>
      <x:c r="C1775" s="17" t="n">
        <x:v>2022</x:v>
      </x:c>
      <x:c r="D1775" s="8" t="str">
        <x:v>RAINBOW TROUT</x:v>
      </x:c>
      <x:c r="E1775" s="13" t="n">
        <x:f>SUMIFS('Stocking details'!$F$6:$F$3307,'Stocking details'!$I$6:$I$3307,G1775)</x:f>
        <x:v>6000</x:v>
      </x:c>
      <x:c r="F1775" s="13" t="n">
        <x:f>COUNTIFS('Stocking details'!$I$6:$I$3307,G1775)</x:f>
        <x:v>1</x:v>
      </x:c>
      <x:c r="G1775" s="8" t="str">
        <x:f>B1775&amp;" / "&amp;C1775&amp;" / "&amp;D1775</x:f>
        <x:v>6699 / 2022 / RAINBOW TROUT</x:v>
      </x:c>
    </x:row>
    <x:row r="1776" ht="23" customHeight="1">
      <x:c r="A1776" s="8" t="str">
        <x:v>Shemeluk Lake</x:v>
      </x:c>
      <x:c r="B1776" s="8" t="str">
        <x:v>6699</x:v>
      </x:c>
      <x:c r="C1776" s="17" t="n">
        <x:v>2021</x:v>
      </x:c>
      <x:c r="D1776" s="8" t="str">
        <x:v>RAINBOW TROUT</x:v>
      </x:c>
      <x:c r="E1776" s="13" t="n">
        <x:f>SUMIFS('Stocking details'!$F$6:$F$3307,'Stocking details'!$I$6:$I$3307,G1776)</x:f>
        <x:v>6000</x:v>
      </x:c>
      <x:c r="F1776" s="13" t="n">
        <x:f>COUNTIFS('Stocking details'!$I$6:$I$3307,G1776)</x:f>
        <x:v>1</x:v>
      </x:c>
      <x:c r="G1776" s="8" t="str">
        <x:f>B1776&amp;" / "&amp;C1776&amp;" / "&amp;D1776</x:f>
        <x:v>6699 / 2021 / RAINBOW TROUT</x:v>
      </x:c>
    </x:row>
    <x:row r="1777" ht="23" customHeight="1">
      <x:c r="A1777" s="8" t="str">
        <x:v>Sherburne Reservoir</x:v>
      </x:c>
      <x:c r="B1777" s="8" t="str">
        <x:v>5790</x:v>
      </x:c>
      <x:c r="C1777" s="17" t="n">
        <x:v>2024</x:v>
      </x:c>
      <x:c r="D1777" s="8" t="str">
        <x:v>WALLEYE</x:v>
      </x:c>
      <x:c r="E1777" s="13" t="n">
        <x:f>SUMIFS('Stocking details'!$F$6:$F$3307,'Stocking details'!$I$6:$I$3307,G1777)</x:f>
        <x:v>500000</x:v>
      </x:c>
      <x:c r="F1777" s="13" t="n">
        <x:f>COUNTIFS('Stocking details'!$I$6:$I$3307,G1777)</x:f>
        <x:v>1</x:v>
      </x:c>
      <x:c r="G1777" s="8" t="str">
        <x:f>B1777&amp;" / "&amp;C1777&amp;" / "&amp;D1777</x:f>
        <x:v>5790 / 2024 / WALLEYE</x:v>
      </x:c>
    </x:row>
    <x:row r="1778" ht="23" customHeight="1">
      <x:c r="A1778" s="8" t="str">
        <x:v>Shuster Lake</x:v>
      </x:c>
      <x:c r="B1778" s="8" t="str">
        <x:v>6688</x:v>
      </x:c>
      <x:c r="C1778" s="17" t="n">
        <x:v>2026</x:v>
      </x:c>
      <x:c r="D1778" s="8" t="str">
        <x:v>BROOK TROUT</x:v>
      </x:c>
      <x:c r="E1778" s="13" t="n">
        <x:f>SUMIFS('Stocking details'!$F$6:$F$3307,'Stocking details'!$I$6:$I$3307,G1778)</x:f>
        <x:v>7000</x:v>
      </x:c>
      <x:c r="F1778" s="13" t="n">
        <x:f>COUNTIFS('Stocking details'!$I$6:$I$3307,G1778)</x:f>
        <x:v>1</x:v>
      </x:c>
      <x:c r="G1778" s="8" t="str">
        <x:f>B1778&amp;" / "&amp;C1778&amp;" / "&amp;D1778</x:f>
        <x:v>6688 / 2026 / BROOK TROUT</x:v>
      </x:c>
    </x:row>
    <x:row r="1779" ht="23" customHeight="1">
      <x:c r="A1779" s="8" t="str">
        <x:v>Shuster Lake</x:v>
      </x:c>
      <x:c r="B1779" s="8" t="str">
        <x:v>6688</x:v>
      </x:c>
      <x:c r="C1779" s="17" t="n">
        <x:v>2025</x:v>
      </x:c>
      <x:c r="D1779" s="8" t="str">
        <x:v>BROOK TROUT</x:v>
      </x:c>
      <x:c r="E1779" s="13" t="n">
        <x:f>SUMIFS('Stocking details'!$F$6:$F$3307,'Stocking details'!$I$6:$I$3307,G1779)</x:f>
        <x:v>6000</x:v>
      </x:c>
      <x:c r="F1779" s="13" t="n">
        <x:f>COUNTIFS('Stocking details'!$I$6:$I$3307,G1779)</x:f>
        <x:v>1</x:v>
      </x:c>
      <x:c r="G1779" s="8" t="str">
        <x:f>B1779&amp;" / "&amp;C1779&amp;" / "&amp;D1779</x:f>
        <x:v>6688 / 2025 / BROOK TROUT</x:v>
      </x:c>
    </x:row>
    <x:row r="1780" ht="23" customHeight="1">
      <x:c r="A1780" s="8" t="str">
        <x:v>Shuster Lake</x:v>
      </x:c>
      <x:c r="B1780" s="8" t="str">
        <x:v>6688</x:v>
      </x:c>
      <x:c r="C1780" s="17" t="n">
        <x:v>2024</x:v>
      </x:c>
      <x:c r="D1780" s="8" t="str">
        <x:v>BROOK TROUT</x:v>
      </x:c>
      <x:c r="E1780" s="13" t="n">
        <x:f>SUMIFS('Stocking details'!$F$6:$F$3307,'Stocking details'!$I$6:$I$3307,G1780)</x:f>
        <x:v>3500</x:v>
      </x:c>
      <x:c r="F1780" s="13" t="n">
        <x:f>COUNTIFS('Stocking details'!$I$6:$I$3307,G1780)</x:f>
        <x:v>1</x:v>
      </x:c>
      <x:c r="G1780" s="8" t="str">
        <x:f>B1780&amp;" / "&amp;C1780&amp;" / "&amp;D1780</x:f>
        <x:v>6688 / 2024 / BROOK TROUT</x:v>
      </x:c>
    </x:row>
    <x:row r="1781" ht="23" customHeight="1">
      <x:c r="A1781" s="8" t="str">
        <x:v>Shuster Lake</x:v>
      </x:c>
      <x:c r="B1781" s="8" t="str">
        <x:v>6688</x:v>
      </x:c>
      <x:c r="C1781" s="17" t="n">
        <x:v>2023</x:v>
      </x:c>
      <x:c r="D1781" s="8" t="str">
        <x:v>BROOK TROUT</x:v>
      </x:c>
      <x:c r="E1781" s="13" t="n">
        <x:f>SUMIFS('Stocking details'!$F$6:$F$3307,'Stocking details'!$I$6:$I$3307,G1781)</x:f>
        <x:v>3000</x:v>
      </x:c>
      <x:c r="F1781" s="13" t="n">
        <x:f>COUNTIFS('Stocking details'!$I$6:$I$3307,G1781)</x:f>
        <x:v>2</x:v>
      </x:c>
      <x:c r="G1781" s="8" t="str">
        <x:f>B1781&amp;" / "&amp;C1781&amp;" / "&amp;D1781</x:f>
        <x:v>6688 / 2023 / BROOK TROUT</x:v>
      </x:c>
    </x:row>
    <x:row r="1782" ht="23" customHeight="1">
      <x:c r="A1782" s="8" t="str">
        <x:v>Shuster Lake</x:v>
      </x:c>
      <x:c r="B1782" s="8" t="str">
        <x:v>6688</x:v>
      </x:c>
      <x:c r="C1782" s="17" t="n">
        <x:v>2022</x:v>
      </x:c>
      <x:c r="D1782" s="8" t="str">
        <x:v>BROOK TROUT</x:v>
      </x:c>
      <x:c r="E1782" s="13" t="n">
        <x:f>SUMIFS('Stocking details'!$F$6:$F$3307,'Stocking details'!$I$6:$I$3307,G1782)</x:f>
        <x:v>11000</x:v>
      </x:c>
      <x:c r="F1782" s="13" t="n">
        <x:f>COUNTIFS('Stocking details'!$I$6:$I$3307,G1782)</x:f>
        <x:v>2</x:v>
      </x:c>
      <x:c r="G1782" s="8" t="str">
        <x:f>B1782&amp;" / "&amp;C1782&amp;" / "&amp;D1782</x:f>
        <x:v>6688 / 2022 / BROOK TROUT</x:v>
      </x:c>
    </x:row>
    <x:row r="1783" ht="23" customHeight="1">
      <x:c r="A1783" s="8" t="str">
        <x:v>Shuster Lake</x:v>
      </x:c>
      <x:c r="B1783" s="8" t="str">
        <x:v>6688</x:v>
      </x:c>
      <x:c r="C1783" s="17" t="n">
        <x:v>2021</x:v>
      </x:c>
      <x:c r="D1783" s="8" t="str">
        <x:v>BROOK TROUT</x:v>
      </x:c>
      <x:c r="E1783" s="13" t="n">
        <x:f>SUMIFS('Stocking details'!$F$6:$F$3307,'Stocking details'!$I$6:$I$3307,G1783)</x:f>
        <x:v>6000</x:v>
      </x:c>
      <x:c r="F1783" s="13" t="n">
        <x:f>COUNTIFS('Stocking details'!$I$6:$I$3307,G1783)</x:f>
        <x:v>1</x:v>
      </x:c>
      <x:c r="G1783" s="8" t="str">
        <x:f>B1783&amp;" / "&amp;C1783&amp;" / "&amp;D1783</x:f>
        <x:v>6688 / 2021 / BROOK TROUT</x:v>
      </x:c>
    </x:row>
    <x:row r="1784" ht="23" customHeight="1">
      <x:c r="A1784" s="8" t="str">
        <x:v>Sibbald Lake</x:v>
      </x:c>
      <x:c r="B1784" s="8" t="str">
        <x:v>5805</x:v>
      </x:c>
      <x:c r="C1784" s="17" t="n">
        <x:v>2026</x:v>
      </x:c>
      <x:c r="D1784" s="8" t="str">
        <x:v>RAINBOW TROUT</x:v>
      </x:c>
      <x:c r="E1784" s="13" t="n">
        <x:f>SUMIFS('Stocking details'!$F$6:$F$3307,'Stocking details'!$I$6:$I$3307,G1784)</x:f>
        <x:v>2130</x:v>
      </x:c>
      <x:c r="F1784" s="13" t="n">
        <x:f>COUNTIFS('Stocking details'!$I$6:$I$3307,G1784)</x:f>
        <x:v>2</x:v>
      </x:c>
      <x:c r="G1784" s="8" t="str">
        <x:f>B1784&amp;" / "&amp;C1784&amp;" / "&amp;D1784</x:f>
        <x:v>5805 / 2026 / RAINBOW TROUT</x:v>
      </x:c>
    </x:row>
    <x:row r="1785" ht="23" customHeight="1">
      <x:c r="A1785" s="8" t="str">
        <x:v>Sibbald Lake</x:v>
      </x:c>
      <x:c r="B1785" s="8" t="str">
        <x:v>5805</x:v>
      </x:c>
      <x:c r="C1785" s="17" t="n">
        <x:v>2025</x:v>
      </x:c>
      <x:c r="D1785" s="8" t="str">
        <x:v>RAINBOW TROUT</x:v>
      </x:c>
      <x:c r="E1785" s="13" t="n">
        <x:f>SUMIFS('Stocking details'!$F$6:$F$3307,'Stocking details'!$I$6:$I$3307,G1785)</x:f>
        <x:v>1000</x:v>
      </x:c>
      <x:c r="F1785" s="13" t="n">
        <x:f>COUNTIFS('Stocking details'!$I$6:$I$3307,G1785)</x:f>
        <x:v>2</x:v>
      </x:c>
      <x:c r="G1785" s="8" t="str">
        <x:f>B1785&amp;" / "&amp;C1785&amp;" / "&amp;D1785</x:f>
        <x:v>5805 / 2025 / RAINBOW TROUT</x:v>
      </x:c>
    </x:row>
    <x:row r="1786" ht="23" customHeight="1">
      <x:c r="A1786" s="8" t="str">
        <x:v>Sibbald Meadows Pond</x:v>
      </x:c>
      <x:c r="B1786" s="8" t="str">
        <x:v>3486</x:v>
      </x:c>
      <x:c r="C1786" s="17" t="n">
        <x:v>2026</x:v>
      </x:c>
      <x:c r="D1786" s="8" t="str">
        <x:v>RAINBOW TROUT</x:v>
      </x:c>
      <x:c r="E1786" s="13" t="n">
        <x:f>SUMIFS('Stocking details'!$F$6:$F$3307,'Stocking details'!$I$6:$I$3307,G1786)</x:f>
        <x:v>4000</x:v>
      </x:c>
      <x:c r="F1786" s="13" t="n">
        <x:f>COUNTIFS('Stocking details'!$I$6:$I$3307,G1786)</x:f>
        <x:v>3</x:v>
      </x:c>
      <x:c r="G1786" s="8" t="str">
        <x:f>B1786&amp;" / "&amp;C1786&amp;" / "&amp;D1786</x:f>
        <x:v>3486 / 2026 / RAINBOW TROUT</x:v>
      </x:c>
    </x:row>
    <x:row r="1787" ht="23" customHeight="1">
      <x:c r="A1787" s="8" t="str">
        <x:v>Sibbald Meadows Pond</x:v>
      </x:c>
      <x:c r="B1787" s="8" t="str">
        <x:v>3486</x:v>
      </x:c>
      <x:c r="C1787" s="17" t="n">
        <x:v>2025</x:v>
      </x:c>
      <x:c r="D1787" s="8" t="str">
        <x:v>RAINBOW TROUT</x:v>
      </x:c>
      <x:c r="E1787" s="13" t="n">
        <x:f>SUMIFS('Stocking details'!$F$6:$F$3307,'Stocking details'!$I$6:$I$3307,G1787)</x:f>
        <x:v>4000</x:v>
      </x:c>
      <x:c r="F1787" s="13" t="n">
        <x:f>COUNTIFS('Stocking details'!$I$6:$I$3307,G1787)</x:f>
        <x:v>3</x:v>
      </x:c>
      <x:c r="G1787" s="8" t="str">
        <x:f>B1787&amp;" / "&amp;C1787&amp;" / "&amp;D1787</x:f>
        <x:v>3486 / 2025 / RAINBOW TROUT</x:v>
      </x:c>
    </x:row>
    <x:row r="1788" ht="23" customHeight="1">
      <x:c r="A1788" s="8" t="str">
        <x:v>Sibbald Meadows Pond</x:v>
      </x:c>
      <x:c r="B1788" s="8" t="str">
        <x:v>3486</x:v>
      </x:c>
      <x:c r="C1788" s="17" t="n">
        <x:v>2024</x:v>
      </x:c>
      <x:c r="D1788" s="8" t="str">
        <x:v>RAINBOW TROUT</x:v>
      </x:c>
      <x:c r="E1788" s="13" t="n">
        <x:f>SUMIFS('Stocking details'!$F$6:$F$3307,'Stocking details'!$I$6:$I$3307,G1788)</x:f>
        <x:v>2326</x:v>
      </x:c>
      <x:c r="F1788" s="13" t="n">
        <x:f>COUNTIFS('Stocking details'!$I$6:$I$3307,G1788)</x:f>
        <x:v>2</x:v>
      </x:c>
      <x:c r="G1788" s="8" t="str">
        <x:f>B1788&amp;" / "&amp;C1788&amp;" / "&amp;D1788</x:f>
        <x:v>3486 / 2024 / RAINBOW TROUT</x:v>
      </x:c>
    </x:row>
    <x:row r="1789" ht="23" customHeight="1">
      <x:c r="A1789" s="8" t="str">
        <x:v>Sibbald Meadows Pond</x:v>
      </x:c>
      <x:c r="B1789" s="8" t="str">
        <x:v>3486</x:v>
      </x:c>
      <x:c r="C1789" s="17" t="n">
        <x:v>2023</x:v>
      </x:c>
      <x:c r="D1789" s="8" t="str">
        <x:v>RAINBOW TROUT</x:v>
      </x:c>
      <x:c r="E1789" s="13" t="n">
        <x:f>SUMIFS('Stocking details'!$F$6:$F$3307,'Stocking details'!$I$6:$I$3307,G1789)</x:f>
        <x:v>2504</x:v>
      </x:c>
      <x:c r="F1789" s="13" t="n">
        <x:f>COUNTIFS('Stocking details'!$I$6:$I$3307,G1789)</x:f>
        <x:v>2</x:v>
      </x:c>
      <x:c r="G1789" s="8" t="str">
        <x:f>B1789&amp;" / "&amp;C1789&amp;" / "&amp;D1789</x:f>
        <x:v>3486 / 2023 / RAINBOW TROUT</x:v>
      </x:c>
    </x:row>
    <x:row r="1790" ht="23" customHeight="1">
      <x:c r="A1790" s="8" t="str">
        <x:v>Sibbald Meadows Pond</x:v>
      </x:c>
      <x:c r="B1790" s="8" t="str">
        <x:v>3486</x:v>
      </x:c>
      <x:c r="C1790" s="17" t="n">
        <x:v>2022</x:v>
      </x:c>
      <x:c r="D1790" s="8" t="str">
        <x:v>RAINBOW TROUT</x:v>
      </x:c>
      <x:c r="E1790" s="13" t="n">
        <x:f>SUMIFS('Stocking details'!$F$6:$F$3307,'Stocking details'!$I$6:$I$3307,G1790)</x:f>
        <x:v>4000</x:v>
      </x:c>
      <x:c r="F1790" s="13" t="n">
        <x:f>COUNTIFS('Stocking details'!$I$6:$I$3307,G1790)</x:f>
        <x:v>2</x:v>
      </x:c>
      <x:c r="G1790" s="8" t="str">
        <x:f>B1790&amp;" / "&amp;C1790&amp;" / "&amp;D1790</x:f>
        <x:v>3486 / 2022 / RAINBOW TROUT</x:v>
      </x:c>
    </x:row>
    <x:row r="1791" ht="23" customHeight="1">
      <x:c r="A1791" s="8" t="str">
        <x:v>Sibbald Meadows Pond</x:v>
      </x:c>
      <x:c r="B1791" s="8" t="str">
        <x:v>3486</x:v>
      </x:c>
      <x:c r="C1791" s="17" t="n">
        <x:v>2021</x:v>
      </x:c>
      <x:c r="D1791" s="8" t="str">
        <x:v>RAINBOW TROUT</x:v>
      </x:c>
      <x:c r="E1791" s="13" t="n">
        <x:f>SUMIFS('Stocking details'!$F$6:$F$3307,'Stocking details'!$I$6:$I$3307,G1791)</x:f>
        <x:v>4000</x:v>
      </x:c>
      <x:c r="F1791" s="13" t="n">
        <x:f>COUNTIFS('Stocking details'!$I$6:$I$3307,G1791)</x:f>
        <x:v>2</x:v>
      </x:c>
      <x:c r="G1791" s="8" t="str">
        <x:f>B1791&amp;" / "&amp;C1791&amp;" / "&amp;D1791</x:f>
        <x:v>3486 / 2021 / RAINBOW TROUT</x:v>
      </x:c>
    </x:row>
    <x:row r="1792" ht="23" customHeight="1">
      <x:c r="A1792" s="8" t="str">
        <x:v>Silkstone Lake</x:v>
      </x:c>
      <x:c r="B1792" s="8" t="str">
        <x:v>6651</x:v>
      </x:c>
      <x:c r="C1792" s="17" t="n">
        <x:v>2026</x:v>
      </x:c>
      <x:c r="D1792" s="8" t="str">
        <x:v>RAINBOW TROUT</x:v>
      </x:c>
      <x:c r="E1792" s="13" t="n">
        <x:f>SUMIFS('Stocking details'!$F$6:$F$3307,'Stocking details'!$I$6:$I$3307,G1792)</x:f>
        <x:v>1300</x:v>
      </x:c>
      <x:c r="F1792" s="13" t="n">
        <x:f>COUNTIFS('Stocking details'!$I$6:$I$3307,G1792)</x:f>
        <x:v>1</x:v>
      </x:c>
      <x:c r="G1792" s="8" t="str">
        <x:f>B1792&amp;" / "&amp;C1792&amp;" / "&amp;D1792</x:f>
        <x:v>6651 / 2026 / RAINBOW TROUT</x:v>
      </x:c>
    </x:row>
    <x:row r="1793" ht="23" customHeight="1">
      <x:c r="A1793" s="8" t="str">
        <x:v>Silkstone Lake</x:v>
      </x:c>
      <x:c r="B1793" s="8" t="str">
        <x:v>6651</x:v>
      </x:c>
      <x:c r="C1793" s="17" t="n">
        <x:v>2025</x:v>
      </x:c>
      <x:c r="D1793" s="8" t="str">
        <x:v>RAINBOW TROUT</x:v>
      </x:c>
      <x:c r="E1793" s="13" t="n">
        <x:f>SUMIFS('Stocking details'!$F$6:$F$3307,'Stocking details'!$I$6:$I$3307,G1793)</x:f>
        <x:v>1300</x:v>
      </x:c>
      <x:c r="F1793" s="13" t="n">
        <x:f>COUNTIFS('Stocking details'!$I$6:$I$3307,G1793)</x:f>
        <x:v>1</x:v>
      </x:c>
      <x:c r="G1793" s="8" t="str">
        <x:f>B1793&amp;" / "&amp;C1793&amp;" / "&amp;D1793</x:f>
        <x:v>6651 / 2025 / RAINBOW TROUT</x:v>
      </x:c>
    </x:row>
    <x:row r="1794" ht="23" customHeight="1">
      <x:c r="A1794" s="8" t="str">
        <x:v>Silkstone Lake</x:v>
      </x:c>
      <x:c r="B1794" s="8" t="str">
        <x:v>6651</x:v>
      </x:c>
      <x:c r="C1794" s="17" t="n">
        <x:v>2024</x:v>
      </x:c>
      <x:c r="D1794" s="8" t="str">
        <x:v>RAINBOW TROUT</x:v>
      </x:c>
      <x:c r="E1794" s="13" t="n">
        <x:f>SUMIFS('Stocking details'!$F$6:$F$3307,'Stocking details'!$I$6:$I$3307,G1794)</x:f>
        <x:v>650</x:v>
      </x:c>
      <x:c r="F1794" s="13" t="n">
        <x:f>COUNTIFS('Stocking details'!$I$6:$I$3307,G1794)</x:f>
        <x:v>1</x:v>
      </x:c>
      <x:c r="G1794" s="8" t="str">
        <x:f>B1794&amp;" / "&amp;C1794&amp;" / "&amp;D1794</x:f>
        <x:v>6651 / 2024 / RAINBOW TROUT</x:v>
      </x:c>
    </x:row>
    <x:row r="1795" ht="23" customHeight="1">
      <x:c r="A1795" s="8" t="str">
        <x:v>Silkstone Lake</x:v>
      </x:c>
      <x:c r="B1795" s="8" t="str">
        <x:v>6651</x:v>
      </x:c>
      <x:c r="C1795" s="17" t="n">
        <x:v>2023</x:v>
      </x:c>
      <x:c r="D1795" s="8" t="str">
        <x:v>RAINBOW TROUT</x:v>
      </x:c>
      <x:c r="E1795" s="13" t="n">
        <x:f>SUMIFS('Stocking details'!$F$6:$F$3307,'Stocking details'!$I$6:$I$3307,G1795)</x:f>
        <x:v>616</x:v>
      </x:c>
      <x:c r="F1795" s="13" t="n">
        <x:f>COUNTIFS('Stocking details'!$I$6:$I$3307,G1795)</x:f>
        <x:v>1</x:v>
      </x:c>
      <x:c r="G1795" s="8" t="str">
        <x:f>B1795&amp;" / "&amp;C1795&amp;" / "&amp;D1795</x:f>
        <x:v>6651 / 2023 / RAINBOW TROUT</x:v>
      </x:c>
    </x:row>
    <x:row r="1796" ht="23" customHeight="1">
      <x:c r="A1796" s="8" t="str">
        <x:v>Silkstone Lake</x:v>
      </x:c>
      <x:c r="B1796" s="8" t="str">
        <x:v>6651</x:v>
      </x:c>
      <x:c r="C1796" s="17" t="n">
        <x:v>2022</x:v>
      </x:c>
      <x:c r="D1796" s="8" t="str">
        <x:v>RAINBOW TROUT</x:v>
      </x:c>
      <x:c r="E1796" s="13" t="n">
        <x:f>SUMIFS('Stocking details'!$F$6:$F$3307,'Stocking details'!$I$6:$I$3307,G1796)</x:f>
        <x:v>1300</x:v>
      </x:c>
      <x:c r="F1796" s="13" t="n">
        <x:f>COUNTIFS('Stocking details'!$I$6:$I$3307,G1796)</x:f>
        <x:v>1</x:v>
      </x:c>
      <x:c r="G1796" s="8" t="str">
        <x:f>B1796&amp;" / "&amp;C1796&amp;" / "&amp;D1796</x:f>
        <x:v>6651 / 2022 / RAINBOW TROUT</x:v>
      </x:c>
    </x:row>
    <x:row r="1797" ht="23" customHeight="1">
      <x:c r="A1797" s="8" t="str">
        <x:v>Silkstone Lake</x:v>
      </x:c>
      <x:c r="B1797" s="8" t="str">
        <x:v>6651</x:v>
      </x:c>
      <x:c r="C1797" s="17" t="n">
        <x:v>2021</x:v>
      </x:c>
      <x:c r="D1797" s="8" t="str">
        <x:v>RAINBOW TROUT</x:v>
      </x:c>
      <x:c r="E1797" s="13" t="n">
        <x:f>SUMIFS('Stocking details'!$F$6:$F$3307,'Stocking details'!$I$6:$I$3307,G1797)</x:f>
        <x:v>1300</x:v>
      </x:c>
      <x:c r="F1797" s="13" t="n">
        <x:f>COUNTIFS('Stocking details'!$I$6:$I$3307,G1797)</x:f>
        <x:v>1</x:v>
      </x:c>
      <x:c r="G1797" s="8" t="str">
        <x:f>B1797&amp;" / "&amp;C1797&amp;" / "&amp;D1797</x:f>
        <x:v>6651 / 2021 / RAINBOW TROUT</x:v>
      </x:c>
    </x:row>
    <x:row r="1798" ht="23" customHeight="1">
      <x:c r="A1798" s="8" t="str">
        <x:v>Skeleton Lake</x:v>
      </x:c>
      <x:c r="B1798" s="8" t="str">
        <x:v>5820</x:v>
      </x:c>
      <x:c r="C1798" s="17" t="n">
        <x:v>2024</x:v>
      </x:c>
      <x:c r="D1798" s="8" t="str">
        <x:v>WALLEYE</x:v>
      </x:c>
      <x:c r="E1798" s="13" t="n">
        <x:f>SUMIFS('Stocking details'!$F$6:$F$3307,'Stocking details'!$I$6:$I$3307,G1798)</x:f>
        <x:v>343091</x:v>
      </x:c>
      <x:c r="F1798" s="13" t="n">
        <x:f>COUNTIFS('Stocking details'!$I$6:$I$3307,G1798)</x:f>
        <x:v>1</x:v>
      </x:c>
      <x:c r="G1798" s="8" t="str">
        <x:f>B1798&amp;" / "&amp;C1798&amp;" / "&amp;D1798</x:f>
        <x:v>5820 / 2024 / WALLEYE</x:v>
      </x:c>
    </x:row>
    <x:row r="1799" ht="23" customHeight="1">
      <x:c r="A1799" s="8" t="str">
        <x:v>Slawuta Lake</x:v>
      </x:c>
      <x:c r="B1799" s="8" t="str">
        <x:v>6890</x:v>
      </x:c>
      <x:c r="C1799" s="17" t="n">
        <x:v>2026</x:v>
      </x:c>
      <x:c r="D1799" s="8" t="str">
        <x:v>RAINBOW TROUT</x:v>
      </x:c>
      <x:c r="E1799" s="13" t="n">
        <x:f>SUMIFS('Stocking details'!$F$6:$F$3307,'Stocking details'!$I$6:$I$3307,G1799)</x:f>
        <x:v>500</x:v>
      </x:c>
      <x:c r="F1799" s="13" t="n">
        <x:f>COUNTIFS('Stocking details'!$I$6:$I$3307,G1799)</x:f>
        <x:v>1</x:v>
      </x:c>
      <x:c r="G1799" s="8" t="str">
        <x:f>B1799&amp;" / "&amp;C1799&amp;" / "&amp;D1799</x:f>
        <x:v>6890 / 2026 / RAINBOW TROUT</x:v>
      </x:c>
    </x:row>
    <x:row r="1800" ht="23" customHeight="1">
      <x:c r="A1800" s="8" t="str">
        <x:v>Slawuta Lake</x:v>
      </x:c>
      <x:c r="B1800" s="8" t="str">
        <x:v>6890</x:v>
      </x:c>
      <x:c r="C1800" s="17" t="n">
        <x:v>2024</x:v>
      </x:c>
      <x:c r="D1800" s="8" t="str">
        <x:v>RAINBOW TROUT</x:v>
      </x:c>
      <x:c r="E1800" s="13" t="n">
        <x:f>SUMIFS('Stocking details'!$F$6:$F$3307,'Stocking details'!$I$6:$I$3307,G1800)</x:f>
        <x:v>500</x:v>
      </x:c>
      <x:c r="F1800" s="13" t="n">
        <x:f>COUNTIFS('Stocking details'!$I$6:$I$3307,G1800)</x:f>
        <x:v>1</x:v>
      </x:c>
      <x:c r="G1800" s="8" t="str">
        <x:f>B1800&amp;" / "&amp;C1800&amp;" / "&amp;D1800</x:f>
        <x:v>6890 / 2024 / RAINBOW TROUT</x:v>
      </x:c>
    </x:row>
    <x:row r="1801" ht="23" customHeight="1">
      <x:c r="A1801" s="8" t="str">
        <x:v>Slawuta Lake</x:v>
      </x:c>
      <x:c r="B1801" s="8" t="str">
        <x:v>6890</x:v>
      </x:c>
      <x:c r="C1801" s="17" t="n">
        <x:v>2023</x:v>
      </x:c>
      <x:c r="D1801" s="8" t="str">
        <x:v>RAINBOW TROUT</x:v>
      </x:c>
      <x:c r="E1801" s="13" t="n">
        <x:f>SUMIFS('Stocking details'!$F$6:$F$3307,'Stocking details'!$I$6:$I$3307,G1801)</x:f>
        <x:v>500</x:v>
      </x:c>
      <x:c r="F1801" s="13" t="n">
        <x:f>COUNTIFS('Stocking details'!$I$6:$I$3307,G1801)</x:f>
        <x:v>1</x:v>
      </x:c>
      <x:c r="G1801" s="8" t="str">
        <x:f>B1801&amp;" / "&amp;C1801&amp;" / "&amp;D1801</x:f>
        <x:v>6890 / 2023 / RAINBOW TROUT</x:v>
      </x:c>
    </x:row>
    <x:row r="1802" ht="23" customHeight="1">
      <x:c r="A1802" s="8" t="str">
        <x:v>Slawuta Lake</x:v>
      </x:c>
      <x:c r="B1802" s="8" t="str">
        <x:v>6890</x:v>
      </x:c>
      <x:c r="C1802" s="17" t="n">
        <x:v>2022</x:v>
      </x:c>
      <x:c r="D1802" s="8" t="str">
        <x:v>RAINBOW TROUT</x:v>
      </x:c>
      <x:c r="E1802" s="13" t="n">
        <x:f>SUMIFS('Stocking details'!$F$6:$F$3307,'Stocking details'!$I$6:$I$3307,G1802)</x:f>
        <x:v>500</x:v>
      </x:c>
      <x:c r="F1802" s="13" t="n">
        <x:f>COUNTIFS('Stocking details'!$I$6:$I$3307,G1802)</x:f>
        <x:v>1</x:v>
      </x:c>
      <x:c r="G1802" s="8" t="str">
        <x:f>B1802&amp;" / "&amp;C1802&amp;" / "&amp;D1802</x:f>
        <x:v>6890 / 2022 / RAINBOW TROUT</x:v>
      </x:c>
    </x:row>
    <x:row r="1803" ht="23" customHeight="1">
      <x:c r="A1803" s="8" t="str">
        <x:v>Slawuta Lake</x:v>
      </x:c>
      <x:c r="B1803" s="8" t="str">
        <x:v>6890</x:v>
      </x:c>
      <x:c r="C1803" s="17" t="n">
        <x:v>2021</x:v>
      </x:c>
      <x:c r="D1803" s="8" t="str">
        <x:v>RAINBOW TROUT</x:v>
      </x:c>
      <x:c r="E1803" s="13" t="n">
        <x:f>SUMIFS('Stocking details'!$F$6:$F$3307,'Stocking details'!$I$6:$I$3307,G1803)</x:f>
        <x:v>500</x:v>
      </x:c>
      <x:c r="F1803" s="13" t="n">
        <x:f>COUNTIFS('Stocking details'!$I$6:$I$3307,G1803)</x:f>
        <x:v>1</x:v>
      </x:c>
      <x:c r="G1803" s="8" t="str">
        <x:f>B1803&amp;" / "&amp;C1803&amp;" / "&amp;D1803</x:f>
        <x:v>6890 / 2021 / RAINBOW TROUT</x:v>
      </x:c>
    </x:row>
    <x:row r="1804" ht="23" customHeight="1">
      <x:c r="A1804" s="8" t="str">
        <x:v>South Heart Reservoir</x:v>
      </x:c>
      <x:c r="B1804" s="8" t="str">
        <x:v>18014</x:v>
      </x:c>
      <x:c r="C1804" s="17" t="n">
        <x:v>2025</x:v>
      </x:c>
      <x:c r="D1804" s="8" t="str">
        <x:v>WALLEYE</x:v>
      </x:c>
      <x:c r="E1804" s="13" t="n">
        <x:f>SUMIFS('Stocking details'!$F$6:$F$3307,'Stocking details'!$I$6:$I$3307,G1804)</x:f>
        <x:v>2229299</x:v>
      </x:c>
      <x:c r="F1804" s="13" t="n">
        <x:f>COUNTIFS('Stocking details'!$I$6:$I$3307,G1804)</x:f>
        <x:v>2</x:v>
      </x:c>
      <x:c r="G1804" s="8" t="str">
        <x:f>B1804&amp;" / "&amp;C1804&amp;" / "&amp;D1804</x:f>
        <x:v>18014 / 2025 / WALLEYE</x:v>
      </x:c>
    </x:row>
    <x:row r="1805" ht="23" customHeight="1">
      <x:c r="A1805" s="8" t="str">
        <x:v>South Sundance Lake</x:v>
      </x:c>
      <x:c r="B1805" s="8" t="str">
        <x:v>6652</x:v>
      </x:c>
      <x:c r="C1805" s="17" t="n">
        <x:v>2024</x:v>
      </x:c>
      <x:c r="D1805" s="8" t="str">
        <x:v>BROOK TROUT</x:v>
      </x:c>
      <x:c r="E1805" s="13" t="n">
        <x:f>SUMIFS('Stocking details'!$F$6:$F$3307,'Stocking details'!$I$6:$I$3307,G1805)</x:f>
        <x:v>4500</x:v>
      </x:c>
      <x:c r="F1805" s="13" t="n">
        <x:f>COUNTIFS('Stocking details'!$I$6:$I$3307,G1805)</x:f>
        <x:v>1</x:v>
      </x:c>
      <x:c r="G1805" s="8" t="str">
        <x:f>B1805&amp;" / "&amp;C1805&amp;" / "&amp;D1805</x:f>
        <x:v>6652 / 2024 / BROOK TROUT</x:v>
      </x:c>
    </x:row>
    <x:row r="1806" ht="23" customHeight="1">
      <x:c r="A1806" s="8" t="str">
        <x:v>South Sundance Lake</x:v>
      </x:c>
      <x:c r="B1806" s="8" t="str">
        <x:v>6652</x:v>
      </x:c>
      <x:c r="C1806" s="17" t="n">
        <x:v>2022</x:v>
      </x:c>
      <x:c r="D1806" s="8" t="str">
        <x:v>BROOK TROUT</x:v>
      </x:c>
      <x:c r="E1806" s="13" t="n">
        <x:f>SUMIFS('Stocking details'!$F$6:$F$3307,'Stocking details'!$I$6:$I$3307,G1806)</x:f>
        <x:v>4500</x:v>
      </x:c>
      <x:c r="F1806" s="13" t="n">
        <x:f>COUNTIFS('Stocking details'!$I$6:$I$3307,G1806)</x:f>
        <x:v>1</x:v>
      </x:c>
      <x:c r="G1806" s="8" t="str">
        <x:f>B1806&amp;" / "&amp;C1806&amp;" / "&amp;D1806</x:f>
        <x:v>6652 / 2022 / BROOK TROUT</x:v>
      </x:c>
    </x:row>
    <x:row r="1807" ht="23" customHeight="1">
      <x:c r="A1807" s="8" t="str">
        <x:v>South Two Lake</x:v>
      </x:c>
      <x:c r="B1807" s="8" t="str">
        <x:v>6051</x:v>
      </x:c>
      <x:c r="C1807" s="17" t="n">
        <x:v>2026</x:v>
      </x:c>
      <x:c r="D1807" s="8" t="str">
        <x:v>WESTSLOPE CUTTHROAT TROUT</x:v>
      </x:c>
      <x:c r="E1807" s="13" t="n">
        <x:f>SUMIFS('Stocking details'!$F$6:$F$3307,'Stocking details'!$I$6:$I$3307,G1807)</x:f>
        <x:v>2500</x:v>
      </x:c>
      <x:c r="F1807" s="13" t="n">
        <x:f>COUNTIFS('Stocking details'!$I$6:$I$3307,G1807)</x:f>
        <x:v>1</x:v>
      </x:c>
      <x:c r="G1807" s="8" t="str">
        <x:f>B1807&amp;" / "&amp;C1807&amp;" / "&amp;D1807</x:f>
        <x:v>6051 / 2026 / WESTSLOPE CUTTHROAT TROUT</x:v>
      </x:c>
    </x:row>
    <x:row r="1808" ht="23" customHeight="1">
      <x:c r="A1808" s="8" t="str">
        <x:v>South Two Lake</x:v>
      </x:c>
      <x:c r="B1808" s="8" t="str">
        <x:v>6051</x:v>
      </x:c>
      <x:c r="C1808" s="17" t="n">
        <x:v>2025</x:v>
      </x:c>
      <x:c r="D1808" s="8" t="str">
        <x:v>CUTTHROAT TROUT</x:v>
      </x:c>
      <x:c r="E1808" s="13" t="n">
        <x:f>SUMIFS('Stocking details'!$F$6:$F$3307,'Stocking details'!$I$6:$I$3307,G1808)</x:f>
        <x:v>4500</x:v>
      </x:c>
      <x:c r="F1808" s="13" t="n">
        <x:f>COUNTIFS('Stocking details'!$I$6:$I$3307,G1808)</x:f>
        <x:v>2</x:v>
      </x:c>
      <x:c r="G1808" s="8" t="str">
        <x:f>B1808&amp;" / "&amp;C1808&amp;" / "&amp;D1808</x:f>
        <x:v>6051 / 2025 / CUTTHROAT TROUT</x:v>
      </x:c>
    </x:row>
    <x:row r="1809" ht="23" customHeight="1">
      <x:c r="A1809" s="8" t="str">
        <x:v>South Two Lake</x:v>
      </x:c>
      <x:c r="B1809" s="8" t="str">
        <x:v>6051</x:v>
      </x:c>
      <x:c r="C1809" s="17" t="n">
        <x:v>2024</x:v>
      </x:c>
      <x:c r="D1809" s="8" t="str">
        <x:v>RAINBOW TROUT</x:v>
      </x:c>
      <x:c r="E1809" s="13" t="n">
        <x:f>SUMIFS('Stocking details'!$F$6:$F$3307,'Stocking details'!$I$6:$I$3307,G1809)</x:f>
        <x:v>5000</x:v>
      </x:c>
      <x:c r="F1809" s="13" t="n">
        <x:f>COUNTIFS('Stocking details'!$I$6:$I$3307,G1809)</x:f>
        <x:v>1</x:v>
      </x:c>
      <x:c r="G1809" s="8" t="str">
        <x:f>B1809&amp;" / "&amp;C1809&amp;" / "&amp;D1809</x:f>
        <x:v>6051 / 2024 / RAINBOW TROUT</x:v>
      </x:c>
    </x:row>
    <x:row r="1810" ht="23" customHeight="1">
      <x:c r="A1810" s="8" t="str">
        <x:v>South Two Lake</x:v>
      </x:c>
      <x:c r="B1810" s="8" t="str">
        <x:v>6051</x:v>
      </x:c>
      <x:c r="C1810" s="17" t="n">
        <x:v>2023</x:v>
      </x:c>
      <x:c r="D1810" s="8" t="str">
        <x:v>CUTTHROAT TROUT</x:v>
      </x:c>
      <x:c r="E1810" s="13" t="n">
        <x:f>SUMIFS('Stocking details'!$F$6:$F$3307,'Stocking details'!$I$6:$I$3307,G1810)</x:f>
        <x:v>8000</x:v>
      </x:c>
      <x:c r="F1810" s="13" t="n">
        <x:f>COUNTIFS('Stocking details'!$I$6:$I$3307,G1810)</x:f>
        <x:v>2</x:v>
      </x:c>
      <x:c r="G1810" s="8" t="str">
        <x:f>B1810&amp;" / "&amp;C1810&amp;" / "&amp;D1810</x:f>
        <x:v>6051 / 2023 / CUTTHROAT TROUT</x:v>
      </x:c>
    </x:row>
    <x:row r="1811" ht="23" customHeight="1">
      <x:c r="A1811" s="8" t="str">
        <x:v>South Two Lake</x:v>
      </x:c>
      <x:c r="B1811" s="8" t="str">
        <x:v>6051</x:v>
      </x:c>
      <x:c r="C1811" s="17" t="n">
        <x:v>2022</x:v>
      </x:c>
      <x:c r="D1811" s="8" t="str">
        <x:v>CUTTHROAT TROUT</x:v>
      </x:c>
      <x:c r="E1811" s="13" t="n">
        <x:f>SUMIFS('Stocking details'!$F$6:$F$3307,'Stocking details'!$I$6:$I$3307,G1811)</x:f>
        <x:v>8000</x:v>
      </x:c>
      <x:c r="F1811" s="13" t="n">
        <x:f>COUNTIFS('Stocking details'!$I$6:$I$3307,G1811)</x:f>
        <x:v>2</x:v>
      </x:c>
      <x:c r="G1811" s="8" t="str">
        <x:f>B1811&amp;" / "&amp;C1811&amp;" / "&amp;D1811</x:f>
        <x:v>6051 / 2022 / CUTTHROAT TROUT</x:v>
      </x:c>
    </x:row>
    <x:row r="1812" ht="23" customHeight="1">
      <x:c r="A1812" s="8" t="str">
        <x:v>Sparrow's Egg Lake</x:v>
      </x:c>
      <x:c r="B1812" s="8" t="str">
        <x:v>5858</x:v>
      </x:c>
      <x:c r="C1812" s="17" t="n">
        <x:v>2026</x:v>
      </x:c>
      <x:c r="D1812" s="8" t="str">
        <x:v>WESTSLOPE CUTTHROAT TROUT</x:v>
      </x:c>
      <x:c r="E1812" s="13" t="n">
        <x:f>SUMIFS('Stocking details'!$F$6:$F$3307,'Stocking details'!$I$6:$I$3307,G1812)</x:f>
        <x:v>900</x:v>
      </x:c>
      <x:c r="F1812" s="13" t="n">
        <x:f>COUNTIFS('Stocking details'!$I$6:$I$3307,G1812)</x:f>
        <x:v>1</x:v>
      </x:c>
      <x:c r="G1812" s="8" t="str">
        <x:f>B1812&amp;" / "&amp;C1812&amp;" / "&amp;D1812</x:f>
        <x:v>5858 / 2026 / WESTSLOPE CUTTHROAT TROUT</x:v>
      </x:c>
    </x:row>
    <x:row r="1813" ht="23" customHeight="1">
      <x:c r="A1813" s="8" t="str">
        <x:v>Sparrow's Egg Lake</x:v>
      </x:c>
      <x:c r="B1813" s="8" t="str">
        <x:v>5858</x:v>
      </x:c>
      <x:c r="C1813" s="17" t="n">
        <x:v>2025</x:v>
      </x:c>
      <x:c r="D1813" s="8" t="str">
        <x:v>CUTTHROAT TROUT</x:v>
      </x:c>
      <x:c r="E1813" s="13" t="n">
        <x:f>SUMIFS('Stocking details'!$F$6:$F$3307,'Stocking details'!$I$6:$I$3307,G1813)</x:f>
        <x:v>900</x:v>
      </x:c>
      <x:c r="F1813" s="13" t="n">
        <x:f>COUNTIFS('Stocking details'!$I$6:$I$3307,G1813)</x:f>
        <x:v>1</x:v>
      </x:c>
      <x:c r="G1813" s="8" t="str">
        <x:f>B1813&amp;" / "&amp;C1813&amp;" / "&amp;D1813</x:f>
        <x:v>5858 / 2025 / CUTTHROAT TROUT</x:v>
      </x:c>
    </x:row>
    <x:row r="1814" ht="23" customHeight="1">
      <x:c r="A1814" s="8" t="str">
        <x:v>Sparrow's Egg Lake</x:v>
      </x:c>
      <x:c r="B1814" s="8" t="str">
        <x:v>5858</x:v>
      </x:c>
      <x:c r="C1814" s="17" t="n">
        <x:v>2023</x:v>
      </x:c>
      <x:c r="D1814" s="8" t="str">
        <x:v>CUTTHROAT TROUT</x:v>
      </x:c>
      <x:c r="E1814" s="13" t="n">
        <x:f>SUMIFS('Stocking details'!$F$6:$F$3307,'Stocking details'!$I$6:$I$3307,G1814)</x:f>
        <x:v>900</x:v>
      </x:c>
      <x:c r="F1814" s="13" t="n">
        <x:f>COUNTIFS('Stocking details'!$I$6:$I$3307,G1814)</x:f>
        <x:v>1</x:v>
      </x:c>
      <x:c r="G1814" s="8" t="str">
        <x:f>B1814&amp;" / "&amp;C1814&amp;" / "&amp;D1814</x:f>
        <x:v>5858 / 2023 / CUTTHROAT TROUT</x:v>
      </x:c>
    </x:row>
    <x:row r="1815" ht="23" customHeight="1">
      <x:c r="A1815" s="8" t="str">
        <x:v>Sparrow's Egg Lake</x:v>
      </x:c>
      <x:c r="B1815" s="8" t="str">
        <x:v>5858</x:v>
      </x:c>
      <x:c r="C1815" s="17" t="n">
        <x:v>2022</x:v>
      </x:c>
      <x:c r="D1815" s="8" t="str">
        <x:v>CUTTHROAT TROUT</x:v>
      </x:c>
      <x:c r="E1815" s="13" t="n">
        <x:f>SUMIFS('Stocking details'!$F$6:$F$3307,'Stocking details'!$I$6:$I$3307,G1815)</x:f>
        <x:v>900</x:v>
      </x:c>
      <x:c r="F1815" s="13" t="n">
        <x:f>COUNTIFS('Stocking details'!$I$6:$I$3307,G1815)</x:f>
        <x:v>1</x:v>
      </x:c>
      <x:c r="G1815" s="8" t="str">
        <x:f>B1815&amp;" / "&amp;C1815&amp;" / "&amp;D1815</x:f>
        <x:v>5858 / 2022 / CUTTHROAT TROUT</x:v>
      </x:c>
    </x:row>
    <x:row r="1816" ht="23" customHeight="1">
      <x:c r="A1816" s="8" t="str">
        <x:v>Sparrow's Egg Lake</x:v>
      </x:c>
      <x:c r="B1816" s="8" t="str">
        <x:v>5858</x:v>
      </x:c>
      <x:c r="C1816" s="17" t="n">
        <x:v>2021</x:v>
      </x:c>
      <x:c r="D1816" s="8" t="str">
        <x:v>RAINBOW TROUT</x:v>
      </x:c>
      <x:c r="E1816" s="13" t="n">
        <x:f>SUMIFS('Stocking details'!$F$6:$F$3307,'Stocking details'!$I$6:$I$3307,G1816)</x:f>
        <x:v>900</x:v>
      </x:c>
      <x:c r="F1816" s="13" t="n">
        <x:f>COUNTIFS('Stocking details'!$I$6:$I$3307,G1816)</x:f>
        <x:v>1</x:v>
      </x:c>
      <x:c r="G1816" s="8" t="str">
        <x:f>B1816&amp;" / "&amp;C1816&amp;" / "&amp;D1816</x:f>
        <x:v>5858 / 2021 / RAINBOW TROUT</x:v>
      </x:c>
    </x:row>
    <x:row r="1817" ht="23" customHeight="1">
      <x:c r="A1817" s="8" t="str">
        <x:v>Spring Coulee Park Pond</x:v>
      </x:c>
      <x:c r="B1817" s="8" t="str">
        <x:v>6692</x:v>
      </x:c>
      <x:c r="C1817" s="17" t="n">
        <x:v>2026</x:v>
      </x:c>
      <x:c r="D1817" s="8" t="str">
        <x:v>RAINBOW TROUT</x:v>
      </x:c>
      <x:c r="E1817" s="13" t="n">
        <x:f>SUMIFS('Stocking details'!$F$6:$F$3307,'Stocking details'!$I$6:$I$3307,G1817)</x:f>
        <x:v>2500</x:v>
      </x:c>
      <x:c r="F1817" s="13" t="n">
        <x:f>COUNTIFS('Stocking details'!$I$6:$I$3307,G1817)</x:f>
        <x:v>1</x:v>
      </x:c>
      <x:c r="G1817" s="8" t="str">
        <x:f>B1817&amp;" / "&amp;C1817&amp;" / "&amp;D1817</x:f>
        <x:v>6692 / 2026 / RAINBOW TROUT</x:v>
      </x:c>
    </x:row>
    <x:row r="1818" ht="23" customHeight="1">
      <x:c r="A1818" s="8" t="str">
        <x:v>Spring Coulee Park Pond</x:v>
      </x:c>
      <x:c r="B1818" s="8" t="str">
        <x:v>6692</x:v>
      </x:c>
      <x:c r="C1818" s="17" t="n">
        <x:v>2025</x:v>
      </x:c>
      <x:c r="D1818" s="8" t="str">
        <x:v>RAINBOW TROUT</x:v>
      </x:c>
      <x:c r="E1818" s="13" t="n">
        <x:f>SUMIFS('Stocking details'!$F$6:$F$3307,'Stocking details'!$I$6:$I$3307,G1818)</x:f>
        <x:v>2500</x:v>
      </x:c>
      <x:c r="F1818" s="13" t="n">
        <x:f>COUNTIFS('Stocking details'!$I$6:$I$3307,G1818)</x:f>
        <x:v>1</x:v>
      </x:c>
      <x:c r="G1818" s="8" t="str">
        <x:f>B1818&amp;" / "&amp;C1818&amp;" / "&amp;D1818</x:f>
        <x:v>6692 / 2025 / RAINBOW TROUT</x:v>
      </x:c>
    </x:row>
    <x:row r="1819" ht="23" customHeight="1">
      <x:c r="A1819" s="8" t="str">
        <x:v>Spring Coulee Park Pond</x:v>
      </x:c>
      <x:c r="B1819" s="8" t="str">
        <x:v>6692</x:v>
      </x:c>
      <x:c r="C1819" s="17" t="n">
        <x:v>2024</x:v>
      </x:c>
      <x:c r="D1819" s="8" t="str">
        <x:v>RAINBOW TROUT</x:v>
      </x:c>
      <x:c r="E1819" s="13" t="n">
        <x:f>SUMIFS('Stocking details'!$F$6:$F$3307,'Stocking details'!$I$6:$I$3307,G1819)</x:f>
        <x:v>1250</x:v>
      </x:c>
      <x:c r="F1819" s="13" t="n">
        <x:f>COUNTIFS('Stocking details'!$I$6:$I$3307,G1819)</x:f>
        <x:v>1</x:v>
      </x:c>
      <x:c r="G1819" s="8" t="str">
        <x:f>B1819&amp;" / "&amp;C1819&amp;" / "&amp;D1819</x:f>
        <x:v>6692 / 2024 / RAINBOW TROUT</x:v>
      </x:c>
    </x:row>
    <x:row r="1820" ht="23" customHeight="1">
      <x:c r="A1820" s="8" t="str">
        <x:v>Spring Coulee Park Pond</x:v>
      </x:c>
      <x:c r="B1820" s="8" t="str">
        <x:v>6692</x:v>
      </x:c>
      <x:c r="C1820" s="17" t="n">
        <x:v>2023</x:v>
      </x:c>
      <x:c r="D1820" s="8" t="str">
        <x:v>RAINBOW TROUT</x:v>
      </x:c>
      <x:c r="E1820" s="13" t="n">
        <x:f>SUMIFS('Stocking details'!$F$6:$F$3307,'Stocking details'!$I$6:$I$3307,G1820)</x:f>
        <x:v>1255</x:v>
      </x:c>
      <x:c r="F1820" s="13" t="n">
        <x:f>COUNTIFS('Stocking details'!$I$6:$I$3307,G1820)</x:f>
        <x:v>1</x:v>
      </x:c>
      <x:c r="G1820" s="8" t="str">
        <x:f>B1820&amp;" / "&amp;C1820&amp;" / "&amp;D1820</x:f>
        <x:v>6692 / 2023 / RAINBOW TROUT</x:v>
      </x:c>
    </x:row>
    <x:row r="1821" ht="23" customHeight="1">
      <x:c r="A1821" s="8" t="str">
        <x:v>Spring Coulee Park Pond</x:v>
      </x:c>
      <x:c r="B1821" s="8" t="str">
        <x:v>6692</x:v>
      </x:c>
      <x:c r="C1821" s="17" t="n">
        <x:v>2022</x:v>
      </x:c>
      <x:c r="D1821" s="8" t="str">
        <x:v>RAINBOW TROUT</x:v>
      </x:c>
      <x:c r="E1821" s="13" t="n">
        <x:f>SUMIFS('Stocking details'!$F$6:$F$3307,'Stocking details'!$I$6:$I$3307,G1821)</x:f>
        <x:v>2500</x:v>
      </x:c>
      <x:c r="F1821" s="13" t="n">
        <x:f>COUNTIFS('Stocking details'!$I$6:$I$3307,G1821)</x:f>
        <x:v>1</x:v>
      </x:c>
      <x:c r="G1821" s="8" t="str">
        <x:f>B1821&amp;" / "&amp;C1821&amp;" / "&amp;D1821</x:f>
        <x:v>6692 / 2022 / RAINBOW TROUT</x:v>
      </x:c>
    </x:row>
    <x:row r="1822" ht="23" customHeight="1">
      <x:c r="A1822" s="8" t="str">
        <x:v>Spring Coulee Park Pond</x:v>
      </x:c>
      <x:c r="B1822" s="8" t="str">
        <x:v>6692</x:v>
      </x:c>
      <x:c r="C1822" s="17" t="n">
        <x:v>2021</x:v>
      </x:c>
      <x:c r="D1822" s="8" t="str">
        <x:v>RAINBOW TROUT</x:v>
      </x:c>
      <x:c r="E1822" s="13" t="n">
        <x:f>SUMIFS('Stocking details'!$F$6:$F$3307,'Stocking details'!$I$6:$I$3307,G1822)</x:f>
        <x:v>3000</x:v>
      </x:c>
      <x:c r="F1822" s="13" t="n">
        <x:f>COUNTIFS('Stocking details'!$I$6:$I$3307,G1822)</x:f>
        <x:v>1</x:v>
      </x:c>
      <x:c r="G1822" s="8" t="str">
        <x:f>B1822&amp;" / "&amp;C1822&amp;" / "&amp;D1822</x:f>
        <x:v>6692 / 2021 / RAINBOW TROUT</x:v>
      </x:c>
    </x:row>
    <x:row r="1823" ht="23" customHeight="1">
      <x:c r="A1823" s="8" t="str">
        <x:v>Spring Lake</x:v>
      </x:c>
      <x:c r="B1823" s="8" t="str">
        <x:v>6693</x:v>
      </x:c>
      <x:c r="C1823" s="17" t="n">
        <x:v>2026</x:v>
      </x:c>
      <x:c r="D1823" s="8" t="str">
        <x:v>BROOK TROUT</x:v>
      </x:c>
      <x:c r="E1823" s="13" t="n">
        <x:f>SUMIFS('Stocking details'!$F$6:$F$3307,'Stocking details'!$I$6:$I$3307,G1823)</x:f>
        <x:v>4000</x:v>
      </x:c>
      <x:c r="F1823" s="13" t="n">
        <x:f>COUNTIFS('Stocking details'!$I$6:$I$3307,G1823)</x:f>
        <x:v>1</x:v>
      </x:c>
      <x:c r="G1823" s="8" t="str">
        <x:f>B1823&amp;" / "&amp;C1823&amp;" / "&amp;D1823</x:f>
        <x:v>6693 / 2026 / BROOK TROUT</x:v>
      </x:c>
    </x:row>
    <x:row r="1824" ht="23" customHeight="1">
      <x:c r="A1824" s="8" t="str">
        <x:v>Spring Lake</x:v>
      </x:c>
      <x:c r="B1824" s="8" t="str">
        <x:v>6693</x:v>
      </x:c>
      <x:c r="C1824" s="17" t="n">
        <x:v>2026</x:v>
      </x:c>
      <x:c r="D1824" s="8" t="str">
        <x:v>RAINBOW TROUT</x:v>
      </x:c>
      <x:c r="E1824" s="13" t="n">
        <x:f>SUMIFS('Stocking details'!$F$6:$F$3307,'Stocking details'!$I$6:$I$3307,G1824)</x:f>
        <x:v>6400</x:v>
      </x:c>
      <x:c r="F1824" s="13" t="n">
        <x:f>COUNTIFS('Stocking details'!$I$6:$I$3307,G1824)</x:f>
        <x:v>1</x:v>
      </x:c>
      <x:c r="G1824" s="8" t="str">
        <x:f>B1824&amp;" / "&amp;C1824&amp;" / "&amp;D1824</x:f>
        <x:v>6693 / 2026 / RAINBOW TROUT</x:v>
      </x:c>
    </x:row>
    <x:row r="1825" ht="23" customHeight="1">
      <x:c r="A1825" s="8" t="str">
        <x:v>Spring Lake</x:v>
      </x:c>
      <x:c r="B1825" s="8" t="str">
        <x:v>6693</x:v>
      </x:c>
      <x:c r="C1825" s="17" t="n">
        <x:v>2025</x:v>
      </x:c>
      <x:c r="D1825" s="8" t="str">
        <x:v>RAINBOW TROUT</x:v>
      </x:c>
      <x:c r="E1825" s="13" t="n">
        <x:f>SUMIFS('Stocking details'!$F$6:$F$3307,'Stocking details'!$I$6:$I$3307,G1825)</x:f>
        <x:v>6400</x:v>
      </x:c>
      <x:c r="F1825" s="13" t="n">
        <x:f>COUNTIFS('Stocking details'!$I$6:$I$3307,G1825)</x:f>
        <x:v>2</x:v>
      </x:c>
      <x:c r="G1825" s="8" t="str">
        <x:f>B1825&amp;" / "&amp;C1825&amp;" / "&amp;D1825</x:f>
        <x:v>6693 / 2025 / RAINBOW TROUT</x:v>
      </x:c>
    </x:row>
    <x:row r="1826" ht="23" customHeight="1">
      <x:c r="A1826" s="8" t="str">
        <x:v>Spring Lake</x:v>
      </x:c>
      <x:c r="B1826" s="8" t="str">
        <x:v>6693</x:v>
      </x:c>
      <x:c r="C1826" s="17" t="n">
        <x:v>2024</x:v>
      </x:c>
      <x:c r="D1826" s="8" t="str">
        <x:v>BROOK TROUT</x:v>
      </x:c>
      <x:c r="E1826" s="13" t="n">
        <x:f>SUMIFS('Stocking details'!$F$6:$F$3307,'Stocking details'!$I$6:$I$3307,G1826)</x:f>
        <x:v>3780</x:v>
      </x:c>
      <x:c r="F1826" s="13" t="n">
        <x:f>COUNTIFS('Stocking details'!$I$6:$I$3307,G1826)</x:f>
        <x:v>1</x:v>
      </x:c>
      <x:c r="G1826" s="8" t="str">
        <x:f>B1826&amp;" / "&amp;C1826&amp;" / "&amp;D1826</x:f>
        <x:v>6693 / 2024 / BROOK TROUT</x:v>
      </x:c>
    </x:row>
    <x:row r="1827" ht="23" customHeight="1">
      <x:c r="A1827" s="8" t="str">
        <x:v>Spring Lake</x:v>
      </x:c>
      <x:c r="B1827" s="8" t="str">
        <x:v>6693</x:v>
      </x:c>
      <x:c r="C1827" s="17" t="n">
        <x:v>2024</x:v>
      </x:c>
      <x:c r="D1827" s="8" t="str">
        <x:v>RAINBOW TROUT</x:v>
      </x:c>
      <x:c r="E1827" s="13" t="n">
        <x:f>SUMIFS('Stocking details'!$F$6:$F$3307,'Stocking details'!$I$6:$I$3307,G1827)</x:f>
        <x:v>3200</x:v>
      </x:c>
      <x:c r="F1827" s="13" t="n">
        <x:f>COUNTIFS('Stocking details'!$I$6:$I$3307,G1827)</x:f>
        <x:v>1</x:v>
      </x:c>
      <x:c r="G1827" s="8" t="str">
        <x:f>B1827&amp;" / "&amp;C1827&amp;" / "&amp;D1827</x:f>
        <x:v>6693 / 2024 / RAINBOW TROUT</x:v>
      </x:c>
    </x:row>
    <x:row r="1828" ht="23" customHeight="1">
      <x:c r="A1828" s="8" t="str">
        <x:v>Spring Lake</x:v>
      </x:c>
      <x:c r="B1828" s="8" t="str">
        <x:v>6693</x:v>
      </x:c>
      <x:c r="C1828" s="17" t="n">
        <x:v>2023</x:v>
      </x:c>
      <x:c r="D1828" s="8" t="str">
        <x:v>RAINBOW TROUT</x:v>
      </x:c>
      <x:c r="E1828" s="13" t="n">
        <x:f>SUMIFS('Stocking details'!$F$6:$F$3307,'Stocking details'!$I$6:$I$3307,G1828)</x:f>
        <x:v>3034</x:v>
      </x:c>
      <x:c r="F1828" s="13" t="n">
        <x:f>COUNTIFS('Stocking details'!$I$6:$I$3307,G1828)</x:f>
        <x:v>1</x:v>
      </x:c>
      <x:c r="G1828" s="8" t="str">
        <x:f>B1828&amp;" / "&amp;C1828&amp;" / "&amp;D1828</x:f>
        <x:v>6693 / 2023 / RAINBOW TROUT</x:v>
      </x:c>
    </x:row>
    <x:row r="1829" ht="23" customHeight="1">
      <x:c r="A1829" s="8" t="str">
        <x:v>Spring Lake</x:v>
      </x:c>
      <x:c r="B1829" s="8" t="str">
        <x:v>6693</x:v>
      </x:c>
      <x:c r="C1829" s="17" t="n">
        <x:v>2022</x:v>
      </x:c>
      <x:c r="D1829" s="8" t="str">
        <x:v>BROOK TROUT</x:v>
      </x:c>
      <x:c r="E1829" s="13" t="n">
        <x:f>SUMIFS('Stocking details'!$F$6:$F$3307,'Stocking details'!$I$6:$I$3307,G1829)</x:f>
        <x:v>4000</x:v>
      </x:c>
      <x:c r="F1829" s="13" t="n">
        <x:f>COUNTIFS('Stocking details'!$I$6:$I$3307,G1829)</x:f>
        <x:v>1</x:v>
      </x:c>
      <x:c r="G1829" s="8" t="str">
        <x:f>B1829&amp;" / "&amp;C1829&amp;" / "&amp;D1829</x:f>
        <x:v>6693 / 2022 / BROOK TROUT</x:v>
      </x:c>
    </x:row>
    <x:row r="1830" ht="23" customHeight="1">
      <x:c r="A1830" s="8" t="str">
        <x:v>Spring Lake</x:v>
      </x:c>
      <x:c r="B1830" s="8" t="str">
        <x:v>6693</x:v>
      </x:c>
      <x:c r="C1830" s="17" t="n">
        <x:v>2022</x:v>
      </x:c>
      <x:c r="D1830" s="8" t="str">
        <x:v>RAINBOW TROUT</x:v>
      </x:c>
      <x:c r="E1830" s="13" t="n">
        <x:f>SUMIFS('Stocking details'!$F$6:$F$3307,'Stocking details'!$I$6:$I$3307,G1830)</x:f>
        <x:v>6400</x:v>
      </x:c>
      <x:c r="F1830" s="13" t="n">
        <x:f>COUNTIFS('Stocking details'!$I$6:$I$3307,G1830)</x:f>
        <x:v>1</x:v>
      </x:c>
      <x:c r="G1830" s="8" t="str">
        <x:f>B1830&amp;" / "&amp;C1830&amp;" / "&amp;D1830</x:f>
        <x:v>6693 / 2022 / RAINBOW TROUT</x:v>
      </x:c>
    </x:row>
    <x:row r="1831" ht="23" customHeight="1">
      <x:c r="A1831" s="8" t="str">
        <x:v>Spring Lake</x:v>
      </x:c>
      <x:c r="B1831" s="8" t="str">
        <x:v>6693</x:v>
      </x:c>
      <x:c r="C1831" s="17" t="n">
        <x:v>2021</x:v>
      </x:c>
      <x:c r="D1831" s="8" t="str">
        <x:v>RAINBOW TROUT</x:v>
      </x:c>
      <x:c r="E1831" s="13" t="n">
        <x:f>SUMIFS('Stocking details'!$F$6:$F$3307,'Stocking details'!$I$6:$I$3307,G1831)</x:f>
        <x:v>6400</x:v>
      </x:c>
      <x:c r="F1831" s="13" t="n">
        <x:f>COUNTIFS('Stocking details'!$I$6:$I$3307,G1831)</x:f>
        <x:v>1</x:v>
      </x:c>
      <x:c r="G1831" s="8" t="str">
        <x:f>B1831&amp;" / "&amp;C1831&amp;" / "&amp;D1831</x:f>
        <x:v>6693 / 2021 / RAINBOW TROUT</x:v>
      </x:c>
    </x:row>
    <x:row r="1832" ht="23" customHeight="1">
      <x:c r="A1832" s="8" t="str">
        <x:v>Spruce Coulee Reservoir</x:v>
      </x:c>
      <x:c r="B1832" s="8" t="str">
        <x:v>3534</x:v>
      </x:c>
      <x:c r="C1832" s="17" t="n">
        <x:v>2026</x:v>
      </x:c>
      <x:c r="D1832" s="8" t="str">
        <x:v>BROOK TROUT</x:v>
      </x:c>
      <x:c r="E1832" s="13" t="n">
        <x:f>SUMIFS('Stocking details'!$F$6:$F$3307,'Stocking details'!$I$6:$I$3307,G1832)</x:f>
        <x:v>7148</x:v>
      </x:c>
      <x:c r="F1832" s="13" t="n">
        <x:f>COUNTIFS('Stocking details'!$I$6:$I$3307,G1832)</x:f>
        <x:v>2</x:v>
      </x:c>
      <x:c r="G1832" s="8" t="str">
        <x:f>B1832&amp;" / "&amp;C1832&amp;" / "&amp;D1832</x:f>
        <x:v>3534 / 2026 / BROOK TROUT</x:v>
      </x:c>
    </x:row>
    <x:row r="1833" ht="23" customHeight="1">
      <x:c r="A1833" s="8" t="str">
        <x:v>Spruce Coulee Reservoir</x:v>
      </x:c>
      <x:c r="B1833" s="8" t="str">
        <x:v>3534</x:v>
      </x:c>
      <x:c r="C1833" s="17" t="n">
        <x:v>2026</x:v>
      </x:c>
      <x:c r="D1833" s="8" t="str">
        <x:v>BROWN TROUT</x:v>
      </x:c>
      <x:c r="E1833" s="13" t="n">
        <x:f>SUMIFS('Stocking details'!$F$6:$F$3307,'Stocking details'!$I$6:$I$3307,G1833)</x:f>
        <x:v>1000</x:v>
      </x:c>
      <x:c r="F1833" s="13" t="n">
        <x:f>COUNTIFS('Stocking details'!$I$6:$I$3307,G1833)</x:f>
        <x:v>1</x:v>
      </x:c>
      <x:c r="G1833" s="8" t="str">
        <x:f>B1833&amp;" / "&amp;C1833&amp;" / "&amp;D1833</x:f>
        <x:v>3534 / 2026 / BROWN TROUT</x:v>
      </x:c>
    </x:row>
    <x:row r="1834" ht="23" customHeight="1">
      <x:c r="A1834" s="8" t="str">
        <x:v>Spruce Coulee Reservoir</x:v>
      </x:c>
      <x:c r="B1834" s="8" t="str">
        <x:v>3534</x:v>
      </x:c>
      <x:c r="C1834" s="17" t="n">
        <x:v>2025</x:v>
      </x:c>
      <x:c r="D1834" s="8" t="str">
        <x:v>BROOK TROUT</x:v>
      </x:c>
      <x:c r="E1834" s="13" t="n">
        <x:f>SUMIFS('Stocking details'!$F$6:$F$3307,'Stocking details'!$I$6:$I$3307,G1834)</x:f>
        <x:v>23500</x:v>
      </x:c>
      <x:c r="F1834" s="13" t="n">
        <x:f>COUNTIFS('Stocking details'!$I$6:$I$3307,G1834)</x:f>
        <x:v>2</x:v>
      </x:c>
      <x:c r="G1834" s="8" t="str">
        <x:f>B1834&amp;" / "&amp;C1834&amp;" / "&amp;D1834</x:f>
        <x:v>3534 / 2025 / BROOK TROUT</x:v>
      </x:c>
    </x:row>
    <x:row r="1835" ht="23" customHeight="1">
      <x:c r="A1835" s="8" t="str">
        <x:v>Spruce Coulee Reservoir</x:v>
      </x:c>
      <x:c r="B1835" s="8" t="str">
        <x:v>3534</x:v>
      </x:c>
      <x:c r="C1835" s="17" t="n">
        <x:v>2025</x:v>
      </x:c>
      <x:c r="D1835" s="8" t="str">
        <x:v>BROWN TROUT</x:v>
      </x:c>
      <x:c r="E1835" s="13" t="n">
        <x:f>SUMIFS('Stocking details'!$F$6:$F$3307,'Stocking details'!$I$6:$I$3307,G1835)</x:f>
        <x:v>7004</x:v>
      </x:c>
      <x:c r="F1835" s="13" t="n">
        <x:f>COUNTIFS('Stocking details'!$I$6:$I$3307,G1835)</x:f>
        <x:v>1</x:v>
      </x:c>
      <x:c r="G1835" s="8" t="str">
        <x:f>B1835&amp;" / "&amp;C1835&amp;" / "&amp;D1835</x:f>
        <x:v>3534 / 2025 / BROWN TROUT</x:v>
      </x:c>
    </x:row>
    <x:row r="1836" ht="23" customHeight="1">
      <x:c r="A1836" s="8" t="str">
        <x:v>Spruce Coulee Reservoir</x:v>
      </x:c>
      <x:c r="B1836" s="8" t="str">
        <x:v>3534</x:v>
      </x:c>
      <x:c r="C1836" s="17" t="n">
        <x:v>2024</x:v>
      </x:c>
      <x:c r="D1836" s="8" t="str">
        <x:v>BROOK TROUT</x:v>
      </x:c>
      <x:c r="E1836" s="13" t="n">
        <x:f>SUMIFS('Stocking details'!$F$6:$F$3307,'Stocking details'!$I$6:$I$3307,G1836)</x:f>
        <x:v>22257</x:v>
      </x:c>
      <x:c r="F1836" s="13" t="n">
        <x:f>COUNTIFS('Stocking details'!$I$6:$I$3307,G1836)</x:f>
        <x:v>3</x:v>
      </x:c>
      <x:c r="G1836" s="8" t="str">
        <x:f>B1836&amp;" / "&amp;C1836&amp;" / "&amp;D1836</x:f>
        <x:v>3534 / 2024 / BROOK TROUT</x:v>
      </x:c>
    </x:row>
    <x:row r="1837" ht="23" customHeight="1">
      <x:c r="A1837" s="8" t="str">
        <x:v>Spruce Coulee Reservoir</x:v>
      </x:c>
      <x:c r="B1837" s="8" t="str">
        <x:v>3534</x:v>
      </x:c>
      <x:c r="C1837" s="17" t="n">
        <x:v>2023</x:v>
      </x:c>
      <x:c r="D1837" s="8" t="str">
        <x:v>BROOK TROUT</x:v>
      </x:c>
      <x:c r="E1837" s="13" t="n">
        <x:f>SUMIFS('Stocking details'!$F$6:$F$3307,'Stocking details'!$I$6:$I$3307,G1837)</x:f>
        <x:v>17000</x:v>
      </x:c>
      <x:c r="F1837" s="13" t="n">
        <x:f>COUNTIFS('Stocking details'!$I$6:$I$3307,G1837)</x:f>
        <x:v>2</x:v>
      </x:c>
      <x:c r="G1837" s="8" t="str">
        <x:f>B1837&amp;" / "&amp;C1837&amp;" / "&amp;D1837</x:f>
        <x:v>3534 / 2023 / BROOK TROUT</x:v>
      </x:c>
    </x:row>
    <x:row r="1838" ht="23" customHeight="1">
      <x:c r="A1838" s="8" t="str">
        <x:v>Spruce Coulee Reservoir</x:v>
      </x:c>
      <x:c r="B1838" s="8" t="str">
        <x:v>3534</x:v>
      </x:c>
      <x:c r="C1838" s="17" t="n">
        <x:v>2022</x:v>
      </x:c>
      <x:c r="D1838" s="8" t="str">
        <x:v>BROOK TROUT</x:v>
      </x:c>
      <x:c r="E1838" s="13" t="n">
        <x:f>SUMIFS('Stocking details'!$F$6:$F$3307,'Stocking details'!$I$6:$I$3307,G1838)</x:f>
        <x:v>21981</x:v>
      </x:c>
      <x:c r="F1838" s="13" t="n">
        <x:f>COUNTIFS('Stocking details'!$I$6:$I$3307,G1838)</x:f>
        <x:v>2</x:v>
      </x:c>
      <x:c r="G1838" s="8" t="str">
        <x:f>B1838&amp;" / "&amp;C1838&amp;" / "&amp;D1838</x:f>
        <x:v>3534 / 2022 / BROOK TROUT</x:v>
      </x:c>
    </x:row>
    <x:row r="1839" ht="23" customHeight="1">
      <x:c r="A1839" s="8" t="str">
        <x:v>Spruce Coulee Reservoir</x:v>
      </x:c>
      <x:c r="B1839" s="8" t="str">
        <x:v>3534</x:v>
      </x:c>
      <x:c r="C1839" s="17" t="n">
        <x:v>2021</x:v>
      </x:c>
      <x:c r="D1839" s="8" t="str">
        <x:v>BROOK TROUT</x:v>
      </x:c>
      <x:c r="E1839" s="13" t="n">
        <x:f>SUMIFS('Stocking details'!$F$6:$F$3307,'Stocking details'!$I$6:$I$3307,G1839)</x:f>
        <x:v>9000</x:v>
      </x:c>
      <x:c r="F1839" s="13" t="n">
        <x:f>COUNTIFS('Stocking details'!$I$6:$I$3307,G1839)</x:f>
        <x:v>1</x:v>
      </x:c>
      <x:c r="G1839" s="8" t="str">
        <x:f>B1839&amp;" / "&amp;C1839&amp;" / "&amp;D1839</x:f>
        <x:v>3534 / 2021 / BROOK TROUT</x:v>
      </x:c>
    </x:row>
    <x:row r="1840" ht="23" customHeight="1">
      <x:c r="A1840" s="8" t="str">
        <x:v>St. Paul Fish Pond</x:v>
      </x:c>
      <x:c r="B1840" s="8" t="str">
        <x:v>24702</x:v>
      </x:c>
      <x:c r="C1840" s="17" t="n">
        <x:v>2026</x:v>
      </x:c>
      <x:c r="D1840" s="8" t="str">
        <x:v>RAINBOW TROUT</x:v>
      </x:c>
      <x:c r="E1840" s="13" t="n">
        <x:f>SUMIFS('Stocking details'!$F$6:$F$3307,'Stocking details'!$I$6:$I$3307,G1840)</x:f>
        <x:v>3600</x:v>
      </x:c>
      <x:c r="F1840" s="13" t="n">
        <x:f>COUNTIFS('Stocking details'!$I$6:$I$3307,G1840)</x:f>
        <x:v>2</x:v>
      </x:c>
      <x:c r="G1840" s="8" t="str">
        <x:f>B1840&amp;" / "&amp;C1840&amp;" / "&amp;D1840</x:f>
        <x:v>24702 / 2026 / RAINBOW TROUT</x:v>
      </x:c>
    </x:row>
    <x:row r="1841" ht="23" customHeight="1">
      <x:c r="A1841" s="8" t="str">
        <x:v>St. Paul Fish Pond</x:v>
      </x:c>
      <x:c r="B1841" s="8" t="str">
        <x:v>24702</x:v>
      </x:c>
      <x:c r="C1841" s="17" t="n">
        <x:v>2026</x:v>
      </x:c>
      <x:c r="D1841" s="8" t="str">
        <x:v>TIGER TROUT</x:v>
      </x:c>
      <x:c r="E1841" s="13" t="n">
        <x:f>SUMIFS('Stocking details'!$F$6:$F$3307,'Stocking details'!$I$6:$I$3307,G1841)</x:f>
        <x:v>600</x:v>
      </x:c>
      <x:c r="F1841" s="13" t="n">
        <x:f>COUNTIFS('Stocking details'!$I$6:$I$3307,G1841)</x:f>
        <x:v>2</x:v>
      </x:c>
      <x:c r="G1841" s="8" t="str">
        <x:f>B1841&amp;" / "&amp;C1841&amp;" / "&amp;D1841</x:f>
        <x:v>24702 / 2026 / TIGER TROUT</x:v>
      </x:c>
    </x:row>
    <x:row r="1842" ht="23" customHeight="1">
      <x:c r="A1842" s="8" t="str">
        <x:v>St. Paul Fish Pond</x:v>
      </x:c>
      <x:c r="B1842" s="8" t="str">
        <x:v>24702</x:v>
      </x:c>
      <x:c r="C1842" s="17" t="n">
        <x:v>2025</x:v>
      </x:c>
      <x:c r="D1842" s="8" t="str">
        <x:v>BROWN TROUT</x:v>
      </x:c>
      <x:c r="E1842" s="13" t="n">
        <x:f>SUMIFS('Stocking details'!$F$6:$F$3307,'Stocking details'!$I$6:$I$3307,G1842)</x:f>
        <x:v>400</x:v>
      </x:c>
      <x:c r="F1842" s="13" t="n">
        <x:f>COUNTIFS('Stocking details'!$I$6:$I$3307,G1842)</x:f>
        <x:v>1</x:v>
      </x:c>
      <x:c r="G1842" s="8" t="str">
        <x:f>B1842&amp;" / "&amp;C1842&amp;" / "&amp;D1842</x:f>
        <x:v>24702 / 2025 / BROWN TROUT</x:v>
      </x:c>
    </x:row>
    <x:row r="1843" ht="23" customHeight="1">
      <x:c r="A1843" s="8" t="str">
        <x:v>St. Paul Fish Pond</x:v>
      </x:c>
      <x:c r="B1843" s="8" t="str">
        <x:v>24702</x:v>
      </x:c>
      <x:c r="C1843" s="17" t="n">
        <x:v>2025</x:v>
      </x:c>
      <x:c r="D1843" s="8" t="str">
        <x:v>RAINBOW TROUT</x:v>
      </x:c>
      <x:c r="E1843" s="13" t="n">
        <x:f>SUMIFS('Stocking details'!$F$6:$F$3307,'Stocking details'!$I$6:$I$3307,G1843)</x:f>
        <x:v>2800</x:v>
      </x:c>
      <x:c r="F1843" s="13" t="n">
        <x:f>COUNTIFS('Stocking details'!$I$6:$I$3307,G1843)</x:f>
        <x:v>2</x:v>
      </x:c>
      <x:c r="G1843" s="8" t="str">
        <x:f>B1843&amp;" / "&amp;C1843&amp;" / "&amp;D1843</x:f>
        <x:v>24702 / 2025 / RAINBOW TROUT</x:v>
      </x:c>
    </x:row>
    <x:row r="1844" ht="23" customHeight="1">
      <x:c r="A1844" s="8" t="str">
        <x:v>St. Paul Fish Pond</x:v>
      </x:c>
      <x:c r="B1844" s="8" t="str">
        <x:v>24702</x:v>
      </x:c>
      <x:c r="C1844" s="17" t="n">
        <x:v>2025</x:v>
      </x:c>
      <x:c r="D1844" s="8" t="str">
        <x:v>TIGER TROUT</x:v>
      </x:c>
      <x:c r="E1844" s="13" t="n">
        <x:f>SUMIFS('Stocking details'!$F$6:$F$3307,'Stocking details'!$I$6:$I$3307,G1844)</x:f>
        <x:v>800</x:v>
      </x:c>
      <x:c r="F1844" s="13" t="n">
        <x:f>COUNTIFS('Stocking details'!$I$6:$I$3307,G1844)</x:f>
        <x:v>2</x:v>
      </x:c>
      <x:c r="G1844" s="8" t="str">
        <x:f>B1844&amp;" / "&amp;C1844&amp;" / "&amp;D1844</x:f>
        <x:v>24702 / 2025 / TIGER TROUT</x:v>
      </x:c>
    </x:row>
    <x:row r="1845" ht="23" customHeight="1">
      <x:c r="A1845" s="8" t="str">
        <x:v>St. Paul Fish Pond</x:v>
      </x:c>
      <x:c r="B1845" s="8" t="str">
        <x:v>24702</x:v>
      </x:c>
      <x:c r="C1845" s="17" t="n">
        <x:v>2024</x:v>
      </x:c>
      <x:c r="D1845" s="8" t="str">
        <x:v>BROWN TROUT</x:v>
      </x:c>
      <x:c r="E1845" s="13" t="n">
        <x:f>SUMIFS('Stocking details'!$F$6:$F$3307,'Stocking details'!$I$6:$I$3307,G1845)</x:f>
        <x:v>400</x:v>
      </x:c>
      <x:c r="F1845" s="13" t="n">
        <x:f>COUNTIFS('Stocking details'!$I$6:$I$3307,G1845)</x:f>
        <x:v>1</x:v>
      </x:c>
      <x:c r="G1845" s="8" t="str">
        <x:f>B1845&amp;" / "&amp;C1845&amp;" / "&amp;D1845</x:f>
        <x:v>24702 / 2024 / BROWN TROUT</x:v>
      </x:c>
    </x:row>
    <x:row r="1846" ht="23" customHeight="1">
      <x:c r="A1846" s="8" t="str">
        <x:v>St. Paul Fish Pond</x:v>
      </x:c>
      <x:c r="B1846" s="8" t="str">
        <x:v>24702</x:v>
      </x:c>
      <x:c r="C1846" s="17" t="n">
        <x:v>2024</x:v>
      </x:c>
      <x:c r="D1846" s="8" t="str">
        <x:v>RAINBOW TROUT</x:v>
      </x:c>
      <x:c r="E1846" s="13" t="n">
        <x:f>SUMIFS('Stocking details'!$F$6:$F$3307,'Stocking details'!$I$6:$I$3307,G1846)</x:f>
        <x:v>2020</x:v>
      </x:c>
      <x:c r="F1846" s="13" t="n">
        <x:f>COUNTIFS('Stocking details'!$I$6:$I$3307,G1846)</x:f>
        <x:v>4</x:v>
      </x:c>
      <x:c r="G1846" s="8" t="str">
        <x:f>B1846&amp;" / "&amp;C1846&amp;" / "&amp;D1846</x:f>
        <x:v>24702 / 2024 / RAINBOW TROUT</x:v>
      </x:c>
    </x:row>
    <x:row r="1847" ht="23" customHeight="1">
      <x:c r="A1847" s="8" t="str">
        <x:v>St. Paul Fish Pond</x:v>
      </x:c>
      <x:c r="B1847" s="8" t="str">
        <x:v>24702</x:v>
      </x:c>
      <x:c r="C1847" s="17" t="n">
        <x:v>2024</x:v>
      </x:c>
      <x:c r="D1847" s="8" t="str">
        <x:v>TIGER TROUT</x:v>
      </x:c>
      <x:c r="E1847" s="13" t="n">
        <x:f>SUMIFS('Stocking details'!$F$6:$F$3307,'Stocking details'!$I$6:$I$3307,G1847)</x:f>
        <x:v>300</x:v>
      </x:c>
      <x:c r="F1847" s="13" t="n">
        <x:f>COUNTIFS('Stocking details'!$I$6:$I$3307,G1847)</x:f>
        <x:v>1</x:v>
      </x:c>
      <x:c r="G1847" s="8" t="str">
        <x:f>B1847&amp;" / "&amp;C1847&amp;" / "&amp;D1847</x:f>
        <x:v>24702 / 2024 / TIGER TROUT</x:v>
      </x:c>
    </x:row>
    <x:row r="1848" ht="23" customHeight="1">
      <x:c r="A1848" s="8" t="str">
        <x:v>St. Paul Fish Pond</x:v>
      </x:c>
      <x:c r="B1848" s="8" t="str">
        <x:v>24702</x:v>
      </x:c>
      <x:c r="C1848" s="17" t="n">
        <x:v>2023</x:v>
      </x:c>
      <x:c r="D1848" s="8" t="str">
        <x:v>BROWN TROUT</x:v>
      </x:c>
      <x:c r="E1848" s="13" t="n">
        <x:f>SUMIFS('Stocking details'!$F$6:$F$3307,'Stocking details'!$I$6:$I$3307,G1848)</x:f>
        <x:v>400</x:v>
      </x:c>
      <x:c r="F1848" s="13" t="n">
        <x:f>COUNTIFS('Stocking details'!$I$6:$I$3307,G1848)</x:f>
        <x:v>1</x:v>
      </x:c>
      <x:c r="G1848" s="8" t="str">
        <x:f>B1848&amp;" / "&amp;C1848&amp;" / "&amp;D1848</x:f>
        <x:v>24702 / 2023 / BROWN TROUT</x:v>
      </x:c>
    </x:row>
    <x:row r="1849" ht="23" customHeight="1">
      <x:c r="A1849" s="8" t="str">
        <x:v>St. Paul Fish Pond</x:v>
      </x:c>
      <x:c r="B1849" s="8" t="str">
        <x:v>24702</x:v>
      </x:c>
      <x:c r="C1849" s="17" t="n">
        <x:v>2023</x:v>
      </x:c>
      <x:c r="D1849" s="8" t="str">
        <x:v>RAINBOW TROUT</x:v>
      </x:c>
      <x:c r="E1849" s="13" t="n">
        <x:f>SUMIFS('Stocking details'!$F$6:$F$3307,'Stocking details'!$I$6:$I$3307,G1849)</x:f>
        <x:v>1022</x:v>
      </x:c>
      <x:c r="F1849" s="13" t="n">
        <x:f>COUNTIFS('Stocking details'!$I$6:$I$3307,G1849)</x:f>
        <x:v>2</x:v>
      </x:c>
      <x:c r="G1849" s="8" t="str">
        <x:f>B1849&amp;" / "&amp;C1849&amp;" / "&amp;D1849</x:f>
        <x:v>24702 / 2023 / RAINBOW TROUT</x:v>
      </x:c>
    </x:row>
    <x:row r="1850" ht="23" customHeight="1">
      <x:c r="A1850" s="8" t="str">
        <x:v>St. Paul Fish Pond</x:v>
      </x:c>
      <x:c r="B1850" s="8" t="str">
        <x:v>24702</x:v>
      </x:c>
      <x:c r="C1850" s="17" t="n">
        <x:v>2023</x:v>
      </x:c>
      <x:c r="D1850" s="8" t="str">
        <x:v>TIGER TROUT</x:v>
      </x:c>
      <x:c r="E1850" s="13" t="n">
        <x:f>SUMIFS('Stocking details'!$F$6:$F$3307,'Stocking details'!$I$6:$I$3307,G1850)</x:f>
        <x:v>300</x:v>
      </x:c>
      <x:c r="F1850" s="13" t="n">
        <x:f>COUNTIFS('Stocking details'!$I$6:$I$3307,G1850)</x:f>
        <x:v>1</x:v>
      </x:c>
      <x:c r="G1850" s="8" t="str">
        <x:f>B1850&amp;" / "&amp;C1850&amp;" / "&amp;D1850</x:f>
        <x:v>24702 / 2023 / TIGER TROUT</x:v>
      </x:c>
    </x:row>
    <x:row r="1851" ht="23" customHeight="1">
      <x:c r="A1851" s="8" t="str">
        <x:v>St. Paul Fish Pond</x:v>
      </x:c>
      <x:c r="B1851" s="8" t="str">
        <x:v>24702</x:v>
      </x:c>
      <x:c r="C1851" s="17" t="n">
        <x:v>2022</x:v>
      </x:c>
      <x:c r="D1851" s="8" t="str">
        <x:v>BROWN TROUT</x:v>
      </x:c>
      <x:c r="E1851" s="13" t="n">
        <x:f>SUMIFS('Stocking details'!$F$6:$F$3307,'Stocking details'!$I$6:$I$3307,G1851)</x:f>
        <x:v>400</x:v>
      </x:c>
      <x:c r="F1851" s="13" t="n">
        <x:f>COUNTIFS('Stocking details'!$I$6:$I$3307,G1851)</x:f>
        <x:v>1</x:v>
      </x:c>
      <x:c r="G1851" s="8" t="str">
        <x:f>B1851&amp;" / "&amp;C1851&amp;" / "&amp;D1851</x:f>
        <x:v>24702 / 2022 / BROWN TROUT</x:v>
      </x:c>
    </x:row>
    <x:row r="1852" ht="23" customHeight="1">
      <x:c r="A1852" s="8" t="str">
        <x:v>St. Paul Fish Pond</x:v>
      </x:c>
      <x:c r="B1852" s="8" t="str">
        <x:v>24702</x:v>
      </x:c>
      <x:c r="C1852" s="17" t="n">
        <x:v>2022</x:v>
      </x:c>
      <x:c r="D1852" s="8" t="str">
        <x:v>RAINBOW TROUT</x:v>
      </x:c>
      <x:c r="E1852" s="13" t="n">
        <x:f>SUMIFS('Stocking details'!$F$6:$F$3307,'Stocking details'!$I$6:$I$3307,G1852)</x:f>
        <x:v>2400</x:v>
      </x:c>
      <x:c r="F1852" s="13" t="n">
        <x:f>COUNTIFS('Stocking details'!$I$6:$I$3307,G1852)</x:f>
        <x:v>2</x:v>
      </x:c>
      <x:c r="G1852" s="8" t="str">
        <x:f>B1852&amp;" / "&amp;C1852&amp;" / "&amp;D1852</x:f>
        <x:v>24702 / 2022 / RAINBOW TROUT</x:v>
      </x:c>
    </x:row>
    <x:row r="1853" ht="23" customHeight="1">
      <x:c r="A1853" s="8" t="str">
        <x:v>St. Paul Fish Pond</x:v>
      </x:c>
      <x:c r="B1853" s="8" t="str">
        <x:v>24702</x:v>
      </x:c>
      <x:c r="C1853" s="17" t="n">
        <x:v>2022</x:v>
      </x:c>
      <x:c r="D1853" s="8" t="str">
        <x:v>TIGER TROUT</x:v>
      </x:c>
      <x:c r="E1853" s="13" t="n">
        <x:f>SUMIFS('Stocking details'!$F$6:$F$3307,'Stocking details'!$I$6:$I$3307,G1853)</x:f>
        <x:v>300</x:v>
      </x:c>
      <x:c r="F1853" s="13" t="n">
        <x:f>COUNTIFS('Stocking details'!$I$6:$I$3307,G1853)</x:f>
        <x:v>1</x:v>
      </x:c>
      <x:c r="G1853" s="8" t="str">
        <x:f>B1853&amp;" / "&amp;C1853&amp;" / "&amp;D1853</x:f>
        <x:v>24702 / 2022 / TIGER TROUT</x:v>
      </x:c>
    </x:row>
    <x:row r="1854" ht="23" customHeight="1">
      <x:c r="A1854" s="8" t="str">
        <x:v>St. Paul Fish Pond</x:v>
      </x:c>
      <x:c r="B1854" s="8" t="str">
        <x:v>24702</x:v>
      </x:c>
      <x:c r="C1854" s="17" t="n">
        <x:v>2021</x:v>
      </x:c>
      <x:c r="D1854" s="8" t="str">
        <x:v>BROWN TROUT</x:v>
      </x:c>
      <x:c r="E1854" s="13" t="n">
        <x:f>SUMIFS('Stocking details'!$F$6:$F$3307,'Stocking details'!$I$6:$I$3307,G1854)</x:f>
        <x:v>400</x:v>
      </x:c>
      <x:c r="F1854" s="13" t="n">
        <x:f>COUNTIFS('Stocking details'!$I$6:$I$3307,G1854)</x:f>
        <x:v>1</x:v>
      </x:c>
      <x:c r="G1854" s="8" t="str">
        <x:f>B1854&amp;" / "&amp;C1854&amp;" / "&amp;D1854</x:f>
        <x:v>24702 / 2021 / BROWN TROUT</x:v>
      </x:c>
    </x:row>
    <x:row r="1855" ht="23" customHeight="1">
      <x:c r="A1855" s="8" t="str">
        <x:v>St. Paul Fish Pond</x:v>
      </x:c>
      <x:c r="B1855" s="8" t="str">
        <x:v>24702</x:v>
      </x:c>
      <x:c r="C1855" s="17" t="n">
        <x:v>2021</x:v>
      </x:c>
      <x:c r="D1855" s="8" t="str">
        <x:v>RAINBOW TROUT</x:v>
      </x:c>
      <x:c r="E1855" s="13" t="n">
        <x:f>SUMIFS('Stocking details'!$F$6:$F$3307,'Stocking details'!$I$6:$I$3307,G1855)</x:f>
        <x:v>2450</x:v>
      </x:c>
      <x:c r="F1855" s="13" t="n">
        <x:f>COUNTIFS('Stocking details'!$I$6:$I$3307,G1855)</x:f>
        <x:v>3</x:v>
      </x:c>
      <x:c r="G1855" s="8" t="str">
        <x:f>B1855&amp;" / "&amp;C1855&amp;" / "&amp;D1855</x:f>
        <x:v>24702 / 2021 / RAINBOW TROUT</x:v>
      </x:c>
    </x:row>
    <x:row r="1856" ht="23" customHeight="1">
      <x:c r="A1856" s="8" t="str">
        <x:v>St. Paul Fish Pond</x:v>
      </x:c>
      <x:c r="B1856" s="8" t="str">
        <x:v>24702</x:v>
      </x:c>
      <x:c r="C1856" s="17" t="n">
        <x:v>2021</x:v>
      </x:c>
      <x:c r="D1856" s="8" t="str">
        <x:v>TIGER TROUT</x:v>
      </x:c>
      <x:c r="E1856" s="13" t="n">
        <x:f>SUMIFS('Stocking details'!$F$6:$F$3307,'Stocking details'!$I$6:$I$3307,G1856)</x:f>
        <x:v>300</x:v>
      </x:c>
      <x:c r="F1856" s="13" t="n">
        <x:f>COUNTIFS('Stocking details'!$I$6:$I$3307,G1856)</x:f>
        <x:v>1</x:v>
      </x:c>
      <x:c r="G1856" s="8" t="str">
        <x:f>B1856&amp;" / "&amp;C1856&amp;" / "&amp;D1856</x:f>
        <x:v>24702 / 2021 / TIGER TROUT</x:v>
      </x:c>
    </x:row>
    <x:row r="1857" ht="23" customHeight="1">
      <x:c r="A1857" s="8" t="str">
        <x:v>Stafford Lake</x:v>
      </x:c>
      <x:c r="B1857" s="8" t="str">
        <x:v>3536</x:v>
      </x:c>
      <x:c r="C1857" s="17" t="n">
        <x:v>2023</x:v>
      </x:c>
      <x:c r="D1857" s="8" t="str">
        <x:v>WALLEYE</x:v>
      </x:c>
      <x:c r="E1857" s="13" t="n">
        <x:f>SUMIFS('Stocking details'!$F$6:$F$3307,'Stocking details'!$I$6:$I$3307,G1857)</x:f>
        <x:v>71788</x:v>
      </x:c>
      <x:c r="F1857" s="13" t="n">
        <x:f>COUNTIFS('Stocking details'!$I$6:$I$3307,G1857)</x:f>
        <x:v>1</x:v>
      </x:c>
      <x:c r="G1857" s="8" t="str">
        <x:f>B1857&amp;" / "&amp;C1857&amp;" / "&amp;D1857</x:f>
        <x:v>3536 / 2023 / WALLEYE</x:v>
      </x:c>
    </x:row>
    <x:row r="1858" ht="23" customHeight="1">
      <x:c r="A1858" s="8" t="str">
        <x:v>Stafford Lake</x:v>
      </x:c>
      <x:c r="B1858" s="8" t="str">
        <x:v>3536</x:v>
      </x:c>
      <x:c r="C1858" s="17" t="n">
        <x:v>2022</x:v>
      </x:c>
      <x:c r="D1858" s="8" t="str">
        <x:v>WALLEYE</x:v>
      </x:c>
      <x:c r="E1858" s="13" t="n">
        <x:f>SUMIFS('Stocking details'!$F$6:$F$3307,'Stocking details'!$I$6:$I$3307,G1858)</x:f>
        <x:v>75253</x:v>
      </x:c>
      <x:c r="F1858" s="13" t="n">
        <x:f>COUNTIFS('Stocking details'!$I$6:$I$3307,G1858)</x:f>
        <x:v>1</x:v>
      </x:c>
      <x:c r="G1858" s="8" t="str">
        <x:f>B1858&amp;" / "&amp;C1858&amp;" / "&amp;D1858</x:f>
        <x:v>3536 / 2022 / WALLEYE</x:v>
      </x:c>
    </x:row>
    <x:row r="1859" ht="23" customHeight="1">
      <x:c r="A1859" s="8" t="str">
        <x:v>Stafford Lake</x:v>
      </x:c>
      <x:c r="B1859" s="8" t="str">
        <x:v>3536</x:v>
      </x:c>
      <x:c r="C1859" s="17" t="n">
        <x:v>2021</x:v>
      </x:c>
      <x:c r="D1859" s="8" t="str">
        <x:v>WALLEYE</x:v>
      </x:c>
      <x:c r="E1859" s="13" t="n">
        <x:f>SUMIFS('Stocking details'!$F$6:$F$3307,'Stocking details'!$I$6:$I$3307,G1859)</x:f>
        <x:v>46440</x:v>
      </x:c>
      <x:c r="F1859" s="13" t="n">
        <x:f>COUNTIFS('Stocking details'!$I$6:$I$3307,G1859)</x:f>
        <x:v>1</x:v>
      </x:c>
      <x:c r="G1859" s="8" t="str">
        <x:f>B1859&amp;" / "&amp;C1859&amp;" / "&amp;D1859</x:f>
        <x:v>3536 / 2021 / WALLEYE</x:v>
      </x:c>
    </x:row>
    <x:row r="1860" ht="23" customHeight="1">
      <x:c r="A1860" s="8" t="str">
        <x:v>Star Lake</x:v>
      </x:c>
      <x:c r="B1860" s="8" t="str">
        <x:v>5895</x:v>
      </x:c>
      <x:c r="C1860" s="17" t="n">
        <x:v>2026</x:v>
      </x:c>
      <x:c r="D1860" s="8" t="str">
        <x:v>BROWN TROUT</x:v>
      </x:c>
      <x:c r="E1860" s="13" t="n">
        <x:f>SUMIFS('Stocking details'!$F$6:$F$3307,'Stocking details'!$I$6:$I$3307,G1860)</x:f>
        <x:v>1000</x:v>
      </x:c>
      <x:c r="F1860" s="13" t="n">
        <x:f>COUNTIFS('Stocking details'!$I$6:$I$3307,G1860)</x:f>
        <x:v>1</x:v>
      </x:c>
      <x:c r="G1860" s="8" t="str">
        <x:f>B1860&amp;" / "&amp;C1860&amp;" / "&amp;D1860</x:f>
        <x:v>5895 / 2026 / BROWN TROUT</x:v>
      </x:c>
    </x:row>
    <x:row r="1861" ht="23" customHeight="1">
      <x:c r="A1861" s="8" t="str">
        <x:v>Star Lake</x:v>
      </x:c>
      <x:c r="B1861" s="8" t="str">
        <x:v>5895</x:v>
      </x:c>
      <x:c r="C1861" s="17" t="n">
        <x:v>2026</x:v>
      </x:c>
      <x:c r="D1861" s="8" t="str">
        <x:v>RAINBOW TROUT</x:v>
      </x:c>
      <x:c r="E1861" s="13" t="n">
        <x:f>SUMIFS('Stocking details'!$F$6:$F$3307,'Stocking details'!$I$6:$I$3307,G1861)</x:f>
        <x:v>8174</x:v>
      </x:c>
      <x:c r="F1861" s="13" t="n">
        <x:f>COUNTIFS('Stocking details'!$I$6:$I$3307,G1861)</x:f>
        <x:v>2</x:v>
      </x:c>
      <x:c r="G1861" s="8" t="str">
        <x:f>B1861&amp;" / "&amp;C1861&amp;" / "&amp;D1861</x:f>
        <x:v>5895 / 2026 / RAINBOW TROUT</x:v>
      </x:c>
    </x:row>
    <x:row r="1862" ht="23" customHeight="1">
      <x:c r="A1862" s="8" t="str">
        <x:v>Star Lake</x:v>
      </x:c>
      <x:c r="B1862" s="8" t="str">
        <x:v>5895</x:v>
      </x:c>
      <x:c r="C1862" s="17" t="n">
        <x:v>2026</x:v>
      </x:c>
      <x:c r="D1862" s="8" t="str">
        <x:v>TIGER TROUT</x:v>
      </x:c>
      <x:c r="E1862" s="13" t="n">
        <x:f>SUMIFS('Stocking details'!$F$6:$F$3307,'Stocking details'!$I$6:$I$3307,G1862)</x:f>
        <x:v>1000</x:v>
      </x:c>
      <x:c r="F1862" s="13" t="n">
        <x:f>COUNTIFS('Stocking details'!$I$6:$I$3307,G1862)</x:f>
        <x:v>1</x:v>
      </x:c>
      <x:c r="G1862" s="8" t="str">
        <x:f>B1862&amp;" / "&amp;C1862&amp;" / "&amp;D1862</x:f>
        <x:v>5895 / 2026 / TIGER TROUT</x:v>
      </x:c>
    </x:row>
    <x:row r="1863" ht="23" customHeight="1">
      <x:c r="A1863" s="8" t="str">
        <x:v>Star Lake</x:v>
      </x:c>
      <x:c r="B1863" s="8" t="str">
        <x:v>5895</x:v>
      </x:c>
      <x:c r="C1863" s="17" t="n">
        <x:v>2025</x:v>
      </x:c>
      <x:c r="D1863" s="8" t="str">
        <x:v>BROWN TROUT</x:v>
      </x:c>
      <x:c r="E1863" s="13" t="n">
        <x:f>SUMIFS('Stocking details'!$F$6:$F$3307,'Stocking details'!$I$6:$I$3307,G1863)</x:f>
        <x:v>1000</x:v>
      </x:c>
      <x:c r="F1863" s="13" t="n">
        <x:f>COUNTIFS('Stocking details'!$I$6:$I$3307,G1863)</x:f>
        <x:v>1</x:v>
      </x:c>
      <x:c r="G1863" s="8" t="str">
        <x:f>B1863&amp;" / "&amp;C1863&amp;" / "&amp;D1863</x:f>
        <x:v>5895 / 2025 / BROWN TROUT</x:v>
      </x:c>
    </x:row>
    <x:row r="1864" ht="23" customHeight="1">
      <x:c r="A1864" s="8" t="str">
        <x:v>Star Lake</x:v>
      </x:c>
      <x:c r="B1864" s="8" t="str">
        <x:v>5895</x:v>
      </x:c>
      <x:c r="C1864" s="17" t="n">
        <x:v>2025</x:v>
      </x:c>
      <x:c r="D1864" s="8" t="str">
        <x:v>RAINBOW TROUT</x:v>
      </x:c>
      <x:c r="E1864" s="13" t="n">
        <x:f>SUMIFS('Stocking details'!$F$6:$F$3307,'Stocking details'!$I$6:$I$3307,G1864)</x:f>
        <x:v>8040</x:v>
      </x:c>
      <x:c r="F1864" s="13" t="n">
        <x:f>COUNTIFS('Stocking details'!$I$6:$I$3307,G1864)</x:f>
        <x:v>1</x:v>
      </x:c>
      <x:c r="G1864" s="8" t="str">
        <x:f>B1864&amp;" / "&amp;C1864&amp;" / "&amp;D1864</x:f>
        <x:v>5895 / 2025 / RAINBOW TROUT</x:v>
      </x:c>
    </x:row>
    <x:row r="1865" ht="23" customHeight="1">
      <x:c r="A1865" s="8" t="str">
        <x:v>Star Lake</x:v>
      </x:c>
      <x:c r="B1865" s="8" t="str">
        <x:v>5895</x:v>
      </x:c>
      <x:c r="C1865" s="17" t="n">
        <x:v>2025</x:v>
      </x:c>
      <x:c r="D1865" s="8" t="str">
        <x:v>TIGER TROUT</x:v>
      </x:c>
      <x:c r="E1865" s="13" t="n">
        <x:f>SUMIFS('Stocking details'!$F$6:$F$3307,'Stocking details'!$I$6:$I$3307,G1865)</x:f>
        <x:v>1000</x:v>
      </x:c>
      <x:c r="F1865" s="13" t="n">
        <x:f>COUNTIFS('Stocking details'!$I$6:$I$3307,G1865)</x:f>
        <x:v>1</x:v>
      </x:c>
      <x:c r="G1865" s="8" t="str">
        <x:f>B1865&amp;" / "&amp;C1865&amp;" / "&amp;D1865</x:f>
        <x:v>5895 / 2025 / TIGER TROUT</x:v>
      </x:c>
    </x:row>
    <x:row r="1866" ht="23" customHeight="1">
      <x:c r="A1866" s="8" t="str">
        <x:v>Star Lake</x:v>
      </x:c>
      <x:c r="B1866" s="8" t="str">
        <x:v>5895</x:v>
      </x:c>
      <x:c r="C1866" s="17" t="n">
        <x:v>2024</x:v>
      </x:c>
      <x:c r="D1866" s="8" t="str">
        <x:v>BROWN TROUT</x:v>
      </x:c>
      <x:c r="E1866" s="13" t="n">
        <x:f>SUMIFS('Stocking details'!$F$6:$F$3307,'Stocking details'!$I$6:$I$3307,G1866)</x:f>
        <x:v>500</x:v>
      </x:c>
      <x:c r="F1866" s="13" t="n">
        <x:f>COUNTIFS('Stocking details'!$I$6:$I$3307,G1866)</x:f>
        <x:v>1</x:v>
      </x:c>
      <x:c r="G1866" s="8" t="str">
        <x:f>B1866&amp;" / "&amp;C1866&amp;" / "&amp;D1866</x:f>
        <x:v>5895 / 2024 / BROWN TROUT</x:v>
      </x:c>
    </x:row>
    <x:row r="1867" ht="23" customHeight="1">
      <x:c r="A1867" s="8" t="str">
        <x:v>Star Lake</x:v>
      </x:c>
      <x:c r="B1867" s="8" t="str">
        <x:v>5895</x:v>
      </x:c>
      <x:c r="C1867" s="17" t="n">
        <x:v>2024</x:v>
      </x:c>
      <x:c r="D1867" s="8" t="str">
        <x:v>RAINBOW TROUT</x:v>
      </x:c>
      <x:c r="E1867" s="13" t="n">
        <x:f>SUMIFS('Stocking details'!$F$6:$F$3307,'Stocking details'!$I$6:$I$3307,G1867)</x:f>
        <x:v>3216</x:v>
      </x:c>
      <x:c r="F1867" s="13" t="n">
        <x:f>COUNTIFS('Stocking details'!$I$6:$I$3307,G1867)</x:f>
        <x:v>1</x:v>
      </x:c>
      <x:c r="G1867" s="8" t="str">
        <x:f>B1867&amp;" / "&amp;C1867&amp;" / "&amp;D1867</x:f>
        <x:v>5895 / 2024 / RAINBOW TROUT</x:v>
      </x:c>
    </x:row>
    <x:row r="1868" ht="23" customHeight="1">
      <x:c r="A1868" s="8" t="str">
        <x:v>Star Lake</x:v>
      </x:c>
      <x:c r="B1868" s="8" t="str">
        <x:v>5895</x:v>
      </x:c>
      <x:c r="C1868" s="17" t="n">
        <x:v>2024</x:v>
      </x:c>
      <x:c r="D1868" s="8" t="str">
        <x:v>TIGER TROUT</x:v>
      </x:c>
      <x:c r="E1868" s="13" t="n">
        <x:f>SUMIFS('Stocking details'!$F$6:$F$3307,'Stocking details'!$I$6:$I$3307,G1868)</x:f>
        <x:v>1000</x:v>
      </x:c>
      <x:c r="F1868" s="13" t="n">
        <x:f>COUNTIFS('Stocking details'!$I$6:$I$3307,G1868)</x:f>
        <x:v>1</x:v>
      </x:c>
      <x:c r="G1868" s="8" t="str">
        <x:f>B1868&amp;" / "&amp;C1868&amp;" / "&amp;D1868</x:f>
        <x:v>5895 / 2024 / TIGER TROUT</x:v>
      </x:c>
    </x:row>
    <x:row r="1869" ht="23" customHeight="1">
      <x:c r="A1869" s="8" t="str">
        <x:v>Star Lake</x:v>
      </x:c>
      <x:c r="B1869" s="8" t="str">
        <x:v>5895</x:v>
      </x:c>
      <x:c r="C1869" s="17" t="n">
        <x:v>2023</x:v>
      </x:c>
      <x:c r="D1869" s="8" t="str">
        <x:v>BROWN TROUT</x:v>
      </x:c>
      <x:c r="E1869" s="13" t="n">
        <x:f>SUMIFS('Stocking details'!$F$6:$F$3307,'Stocking details'!$I$6:$I$3307,G1869)</x:f>
        <x:v>500</x:v>
      </x:c>
      <x:c r="F1869" s="13" t="n">
        <x:f>COUNTIFS('Stocking details'!$I$6:$I$3307,G1869)</x:f>
        <x:v>1</x:v>
      </x:c>
      <x:c r="G1869" s="8" t="str">
        <x:f>B1869&amp;" / "&amp;C1869&amp;" / "&amp;D1869</x:f>
        <x:v>5895 / 2023 / BROWN TROUT</x:v>
      </x:c>
    </x:row>
    <x:row r="1870" ht="23" customHeight="1">
      <x:c r="A1870" s="8" t="str">
        <x:v>Star Lake</x:v>
      </x:c>
      <x:c r="B1870" s="8" t="str">
        <x:v>5895</x:v>
      </x:c>
      <x:c r="C1870" s="17" t="n">
        <x:v>2023</x:v>
      </x:c>
      <x:c r="D1870" s="8" t="str">
        <x:v>RAINBOW TROUT</x:v>
      </x:c>
      <x:c r="E1870" s="13" t="n">
        <x:f>SUMIFS('Stocking details'!$F$6:$F$3307,'Stocking details'!$I$6:$I$3307,G1870)</x:f>
        <x:v>3208</x:v>
      </x:c>
      <x:c r="F1870" s="13" t="n">
        <x:f>COUNTIFS('Stocking details'!$I$6:$I$3307,G1870)</x:f>
        <x:v>1</x:v>
      </x:c>
      <x:c r="G1870" s="8" t="str">
        <x:f>B1870&amp;" / "&amp;C1870&amp;" / "&amp;D1870</x:f>
        <x:v>5895 / 2023 / RAINBOW TROUT</x:v>
      </x:c>
    </x:row>
    <x:row r="1871" ht="23" customHeight="1">
      <x:c r="A1871" s="8" t="str">
        <x:v>Star Lake</x:v>
      </x:c>
      <x:c r="B1871" s="8" t="str">
        <x:v>5895</x:v>
      </x:c>
      <x:c r="C1871" s="17" t="n">
        <x:v>2023</x:v>
      </x:c>
      <x:c r="D1871" s="8" t="str">
        <x:v>TIGER TROUT</x:v>
      </x:c>
      <x:c r="E1871" s="13" t="n">
        <x:f>SUMIFS('Stocking details'!$F$6:$F$3307,'Stocking details'!$I$6:$I$3307,G1871)</x:f>
        <x:v>1000</x:v>
      </x:c>
      <x:c r="F1871" s="13" t="n">
        <x:f>COUNTIFS('Stocking details'!$I$6:$I$3307,G1871)</x:f>
        <x:v>1</x:v>
      </x:c>
      <x:c r="G1871" s="8" t="str">
        <x:f>B1871&amp;" / "&amp;C1871&amp;" / "&amp;D1871</x:f>
        <x:v>5895 / 2023 / TIGER TROUT</x:v>
      </x:c>
    </x:row>
    <x:row r="1872" ht="23" customHeight="1">
      <x:c r="A1872" s="8" t="str">
        <x:v>Star Lake</x:v>
      </x:c>
      <x:c r="B1872" s="8" t="str">
        <x:v>5895</x:v>
      </x:c>
      <x:c r="C1872" s="17" t="n">
        <x:v>2022</x:v>
      </x:c>
      <x:c r="D1872" s="8" t="str">
        <x:v>BROWN TROUT</x:v>
      </x:c>
      <x:c r="E1872" s="13" t="n">
        <x:f>SUMIFS('Stocking details'!$F$6:$F$3307,'Stocking details'!$I$6:$I$3307,G1872)</x:f>
        <x:v>1000</x:v>
      </x:c>
      <x:c r="F1872" s="13" t="n">
        <x:f>COUNTIFS('Stocking details'!$I$6:$I$3307,G1872)</x:f>
        <x:v>1</x:v>
      </x:c>
      <x:c r="G1872" s="8" t="str">
        <x:f>B1872&amp;" / "&amp;C1872&amp;" / "&amp;D1872</x:f>
        <x:v>5895 / 2022 / BROWN TROUT</x:v>
      </x:c>
    </x:row>
    <x:row r="1873" ht="23" customHeight="1">
      <x:c r="A1873" s="8" t="str">
        <x:v>Star Lake</x:v>
      </x:c>
      <x:c r="B1873" s="8" t="str">
        <x:v>5895</x:v>
      </x:c>
      <x:c r="C1873" s="17" t="n">
        <x:v>2022</x:v>
      </x:c>
      <x:c r="D1873" s="8" t="str">
        <x:v>RAINBOW TROUT</x:v>
      </x:c>
      <x:c r="E1873" s="13" t="n">
        <x:f>SUMIFS('Stocking details'!$F$6:$F$3307,'Stocking details'!$I$6:$I$3307,G1873)</x:f>
        <x:v>8437</x:v>
      </x:c>
      <x:c r="F1873" s="13" t="n">
        <x:f>COUNTIFS('Stocking details'!$I$6:$I$3307,G1873)</x:f>
        <x:v>1</x:v>
      </x:c>
      <x:c r="G1873" s="8" t="str">
        <x:f>B1873&amp;" / "&amp;C1873&amp;" / "&amp;D1873</x:f>
        <x:v>5895 / 2022 / RAINBOW TROUT</x:v>
      </x:c>
    </x:row>
    <x:row r="1874" ht="23" customHeight="1">
      <x:c r="A1874" s="8" t="str">
        <x:v>Star Lake</x:v>
      </x:c>
      <x:c r="B1874" s="8" t="str">
        <x:v>5895</x:v>
      </x:c>
      <x:c r="C1874" s="17" t="n">
        <x:v>2022</x:v>
      </x:c>
      <x:c r="D1874" s="8" t="str">
        <x:v>TIGER TROUT</x:v>
      </x:c>
      <x:c r="E1874" s="13" t="n">
        <x:f>SUMIFS('Stocking details'!$F$6:$F$3307,'Stocking details'!$I$6:$I$3307,G1874)</x:f>
        <x:v>1000</x:v>
      </x:c>
      <x:c r="F1874" s="13" t="n">
        <x:f>COUNTIFS('Stocking details'!$I$6:$I$3307,G1874)</x:f>
        <x:v>1</x:v>
      </x:c>
      <x:c r="G1874" s="8" t="str">
        <x:f>B1874&amp;" / "&amp;C1874&amp;" / "&amp;D1874</x:f>
        <x:v>5895 / 2022 / TIGER TROUT</x:v>
      </x:c>
    </x:row>
    <x:row r="1875" ht="23" customHeight="1">
      <x:c r="A1875" s="8" t="str">
        <x:v>Star Lake</x:v>
      </x:c>
      <x:c r="B1875" s="8" t="str">
        <x:v>5895</x:v>
      </x:c>
      <x:c r="C1875" s="17" t="n">
        <x:v>2021</x:v>
      </x:c>
      <x:c r="D1875" s="8" t="str">
        <x:v>BROWN TROUT</x:v>
      </x:c>
      <x:c r="E1875" s="13" t="n">
        <x:f>SUMIFS('Stocking details'!$F$6:$F$3307,'Stocking details'!$I$6:$I$3307,G1875)</x:f>
        <x:v>1000</x:v>
      </x:c>
      <x:c r="F1875" s="13" t="n">
        <x:f>COUNTIFS('Stocking details'!$I$6:$I$3307,G1875)</x:f>
        <x:v>1</x:v>
      </x:c>
      <x:c r="G1875" s="8" t="str">
        <x:f>B1875&amp;" / "&amp;C1875&amp;" / "&amp;D1875</x:f>
        <x:v>5895 / 2021 / BROWN TROUT</x:v>
      </x:c>
    </x:row>
    <x:row r="1876" ht="23" customHeight="1">
      <x:c r="A1876" s="8" t="str">
        <x:v>Star Lake</x:v>
      </x:c>
      <x:c r="B1876" s="8" t="str">
        <x:v>5895</x:v>
      </x:c>
      <x:c r="C1876" s="17" t="n">
        <x:v>2021</x:v>
      </x:c>
      <x:c r="D1876" s="8" t="str">
        <x:v>RAINBOW TROUT</x:v>
      </x:c>
      <x:c r="E1876" s="13" t="n">
        <x:f>SUMIFS('Stocking details'!$F$6:$F$3307,'Stocking details'!$I$6:$I$3307,G1876)</x:f>
        <x:v>8502</x:v>
      </x:c>
      <x:c r="F1876" s="13" t="n">
        <x:f>COUNTIFS('Stocking details'!$I$6:$I$3307,G1876)</x:f>
        <x:v>3</x:v>
      </x:c>
      <x:c r="G1876" s="8" t="str">
        <x:f>B1876&amp;" / "&amp;C1876&amp;" / "&amp;D1876</x:f>
        <x:v>5895 / 2021 / RAINBOW TROUT</x:v>
      </x:c>
    </x:row>
    <x:row r="1877" ht="23" customHeight="1">
      <x:c r="A1877" s="8" t="str">
        <x:v>Star Lake</x:v>
      </x:c>
      <x:c r="B1877" s="8" t="str">
        <x:v>5895</x:v>
      </x:c>
      <x:c r="C1877" s="17" t="n">
        <x:v>2021</x:v>
      </x:c>
      <x:c r="D1877" s="8" t="str">
        <x:v>TIGER TROUT</x:v>
      </x:c>
      <x:c r="E1877" s="13" t="n">
        <x:f>SUMIFS('Stocking details'!$F$6:$F$3307,'Stocking details'!$I$6:$I$3307,G1877)</x:f>
        <x:v>1000</x:v>
      </x:c>
      <x:c r="F1877" s="13" t="n">
        <x:f>COUNTIFS('Stocking details'!$I$6:$I$3307,G1877)</x:f>
        <x:v>1</x:v>
      </x:c>
      <x:c r="G1877" s="8" t="str">
        <x:f>B1877&amp;" / "&amp;C1877&amp;" / "&amp;D1877</x:f>
        <x:v>5895 / 2021 / TIGER TROUT</x:v>
      </x:c>
    </x:row>
    <x:row r="1878" ht="23" customHeight="1">
      <x:c r="A1878" s="8" t="str">
        <x:v>Stenton Lake</x:v>
      </x:c>
      <x:c r="B1878" s="8" t="str">
        <x:v>5901</x:v>
      </x:c>
      <x:c r="C1878" s="17" t="n">
        <x:v>2025</x:v>
      </x:c>
      <x:c r="D1878" s="8" t="str">
        <x:v>RAINBOW TROUT</x:v>
      </x:c>
      <x:c r="E1878" s="13" t="n">
        <x:f>SUMIFS('Stocking details'!$F$6:$F$3307,'Stocking details'!$I$6:$I$3307,G1878)</x:f>
        <x:v>400</x:v>
      </x:c>
      <x:c r="F1878" s="13" t="n">
        <x:f>COUNTIFS('Stocking details'!$I$6:$I$3307,G1878)</x:f>
        <x:v>1</x:v>
      </x:c>
      <x:c r="G1878" s="8" t="str">
        <x:f>B1878&amp;" / "&amp;C1878&amp;" / "&amp;D1878</x:f>
        <x:v>5901 / 2025 / RAINBOW TROUT</x:v>
      </x:c>
    </x:row>
    <x:row r="1879" ht="23" customHeight="1">
      <x:c r="A1879" s="8" t="str">
        <x:v>Stenton Lake</x:v>
      </x:c>
      <x:c r="B1879" s="8" t="str">
        <x:v>5901</x:v>
      </x:c>
      <x:c r="C1879" s="17" t="n">
        <x:v>2021</x:v>
      </x:c>
      <x:c r="D1879" s="8" t="str">
        <x:v>CUTTHROAT TROUT</x:v>
      </x:c>
      <x:c r="E1879" s="13" t="n">
        <x:f>SUMIFS('Stocking details'!$F$6:$F$3307,'Stocking details'!$I$6:$I$3307,G1879)</x:f>
        <x:v>400</x:v>
      </x:c>
      <x:c r="F1879" s="13" t="n">
        <x:f>COUNTIFS('Stocking details'!$I$6:$I$3307,G1879)</x:f>
        <x:v>1</x:v>
      </x:c>
      <x:c r="G1879" s="8" t="str">
        <x:f>B1879&amp;" / "&amp;C1879&amp;" / "&amp;D1879</x:f>
        <x:v>5901 / 2021 / CUTTHROAT TROUT</x:v>
      </x:c>
    </x:row>
    <x:row r="1880" ht="23" customHeight="1">
      <x:c r="A1880" s="8" t="str">
        <x:v>Stirling Children's Pond</x:v>
      </x:c>
      <x:c r="B1880" s="8" t="str">
        <x:v>6682</x:v>
      </x:c>
      <x:c r="C1880" s="17" t="n">
        <x:v>2026</x:v>
      </x:c>
      <x:c r="D1880" s="8" t="str">
        <x:v>RAINBOW TROUT</x:v>
      </x:c>
      <x:c r="E1880" s="13" t="n">
        <x:f>SUMIFS('Stocking details'!$F$6:$F$3307,'Stocking details'!$I$6:$I$3307,G1880)</x:f>
        <x:v>1000</x:v>
      </x:c>
      <x:c r="F1880" s="13" t="n">
        <x:f>COUNTIFS('Stocking details'!$I$6:$I$3307,G1880)</x:f>
        <x:v>1</x:v>
      </x:c>
      <x:c r="G1880" s="8" t="str">
        <x:f>B1880&amp;" / "&amp;C1880&amp;" / "&amp;D1880</x:f>
        <x:v>6682 / 2026 / RAINBOW TROUT</x:v>
      </x:c>
    </x:row>
    <x:row r="1881" ht="23" customHeight="1">
      <x:c r="A1881" s="8" t="str">
        <x:v>Stirling Children's Pond</x:v>
      </x:c>
      <x:c r="B1881" s="8" t="str">
        <x:v>6682</x:v>
      </x:c>
      <x:c r="C1881" s="17" t="n">
        <x:v>2025</x:v>
      </x:c>
      <x:c r="D1881" s="8" t="str">
        <x:v>RAINBOW TROUT</x:v>
      </x:c>
      <x:c r="E1881" s="13" t="n">
        <x:f>SUMIFS('Stocking details'!$F$6:$F$3307,'Stocking details'!$I$6:$I$3307,G1881)</x:f>
        <x:v>1000</x:v>
      </x:c>
      <x:c r="F1881" s="13" t="n">
        <x:f>COUNTIFS('Stocking details'!$I$6:$I$3307,G1881)</x:f>
        <x:v>1</x:v>
      </x:c>
      <x:c r="G1881" s="8" t="str">
        <x:f>B1881&amp;" / "&amp;C1881&amp;" / "&amp;D1881</x:f>
        <x:v>6682 / 2025 / RAINBOW TROUT</x:v>
      </x:c>
    </x:row>
    <x:row r="1882" ht="23" customHeight="1">
      <x:c r="A1882" s="8" t="str">
        <x:v>Stirling Children's Pond</x:v>
      </x:c>
      <x:c r="B1882" s="8" t="str">
        <x:v>6682</x:v>
      </x:c>
      <x:c r="C1882" s="17" t="n">
        <x:v>2024</x:v>
      </x:c>
      <x:c r="D1882" s="8" t="str">
        <x:v>RAINBOW TROUT</x:v>
      </x:c>
      <x:c r="E1882" s="13" t="n">
        <x:f>SUMIFS('Stocking details'!$F$6:$F$3307,'Stocking details'!$I$6:$I$3307,G1882)</x:f>
        <x:v>1000</x:v>
      </x:c>
      <x:c r="F1882" s="13" t="n">
        <x:f>COUNTIFS('Stocking details'!$I$6:$I$3307,G1882)</x:f>
        <x:v>1</x:v>
      </x:c>
      <x:c r="G1882" s="8" t="str">
        <x:f>B1882&amp;" / "&amp;C1882&amp;" / "&amp;D1882</x:f>
        <x:v>6682 / 2024 / RAINBOW TROUT</x:v>
      </x:c>
    </x:row>
    <x:row r="1883" ht="23" customHeight="1">
      <x:c r="A1883" s="8" t="str">
        <x:v>Stirling Children's Pond</x:v>
      </x:c>
      <x:c r="B1883" s="8" t="str">
        <x:v>6682</x:v>
      </x:c>
      <x:c r="C1883" s="17" t="n">
        <x:v>2023</x:v>
      </x:c>
      <x:c r="D1883" s="8" t="str">
        <x:v>RAINBOW TROUT</x:v>
      </x:c>
      <x:c r="E1883" s="13" t="n">
        <x:f>SUMIFS('Stocking details'!$F$6:$F$3307,'Stocking details'!$I$6:$I$3307,G1883)</x:f>
        <x:v>1000</x:v>
      </x:c>
      <x:c r="F1883" s="13" t="n">
        <x:f>COUNTIFS('Stocking details'!$I$6:$I$3307,G1883)</x:f>
        <x:v>1</x:v>
      </x:c>
      <x:c r="G1883" s="8" t="str">
        <x:f>B1883&amp;" / "&amp;C1883&amp;" / "&amp;D1883</x:f>
        <x:v>6682 / 2023 / RAINBOW TROUT</x:v>
      </x:c>
    </x:row>
    <x:row r="1884" ht="23" customHeight="1">
      <x:c r="A1884" s="8" t="str">
        <x:v>Stirling Children's Pond</x:v>
      </x:c>
      <x:c r="B1884" s="8" t="str">
        <x:v>6682</x:v>
      </x:c>
      <x:c r="C1884" s="17" t="n">
        <x:v>2022</x:v>
      </x:c>
      <x:c r="D1884" s="8" t="str">
        <x:v>RAINBOW TROUT</x:v>
      </x:c>
      <x:c r="E1884" s="13" t="n">
        <x:f>SUMIFS('Stocking details'!$F$6:$F$3307,'Stocking details'!$I$6:$I$3307,G1884)</x:f>
        <x:v>1100</x:v>
      </x:c>
      <x:c r="F1884" s="13" t="n">
        <x:f>COUNTIFS('Stocking details'!$I$6:$I$3307,G1884)</x:f>
        <x:v>1</x:v>
      </x:c>
      <x:c r="G1884" s="8" t="str">
        <x:f>B1884&amp;" / "&amp;C1884&amp;" / "&amp;D1884</x:f>
        <x:v>6682 / 2022 / RAINBOW TROUT</x:v>
      </x:c>
    </x:row>
    <x:row r="1885" ht="23" customHeight="1">
      <x:c r="A1885" s="8" t="str">
        <x:v>Stirling Children's Pond</x:v>
      </x:c>
      <x:c r="B1885" s="8" t="str">
        <x:v>6682</x:v>
      </x:c>
      <x:c r="C1885" s="17" t="n">
        <x:v>2021</x:v>
      </x:c>
      <x:c r="D1885" s="8" t="str">
        <x:v>RAINBOW TROUT</x:v>
      </x:c>
      <x:c r="E1885" s="13" t="n">
        <x:f>SUMIFS('Stocking details'!$F$6:$F$3307,'Stocking details'!$I$6:$I$3307,G1885)</x:f>
        <x:v>2100</x:v>
      </x:c>
      <x:c r="F1885" s="13" t="n">
        <x:f>COUNTIFS('Stocking details'!$I$6:$I$3307,G1885)</x:f>
        <x:v>2</x:v>
      </x:c>
      <x:c r="G1885" s="8" t="str">
        <x:f>B1885&amp;" / "&amp;C1885&amp;" / "&amp;D1885</x:f>
        <x:v>6682 / 2021 / RAINBOW TROUT</x:v>
      </x:c>
    </x:row>
    <x:row r="1886" ht="23" customHeight="1">
      <x:c r="A1886" s="8" t="str">
        <x:v>Stoney Lake</x:v>
      </x:c>
      <x:c r="B1886" s="8" t="str">
        <x:v>6684</x:v>
      </x:c>
      <x:c r="C1886" s="17" t="n">
        <x:v>2026</x:v>
      </x:c>
      <x:c r="D1886" s="8" t="str">
        <x:v>BROOK TROUT</x:v>
      </x:c>
      <x:c r="E1886" s="13" t="n">
        <x:f>SUMIFS('Stocking details'!$F$6:$F$3307,'Stocking details'!$I$6:$I$3307,G1886)</x:f>
        <x:v>6000</x:v>
      </x:c>
      <x:c r="F1886" s="13" t="n">
        <x:f>COUNTIFS('Stocking details'!$I$6:$I$3307,G1886)</x:f>
        <x:v>1</x:v>
      </x:c>
      <x:c r="G1886" s="8" t="str">
        <x:f>B1886&amp;" / "&amp;C1886&amp;" / "&amp;D1886</x:f>
        <x:v>6684 / 2026 / BROOK TROUT</x:v>
      </x:c>
    </x:row>
    <x:row r="1887" ht="23" customHeight="1">
      <x:c r="A1887" s="8" t="str">
        <x:v>Stoney Lake</x:v>
      </x:c>
      <x:c r="B1887" s="8" t="str">
        <x:v>6684</x:v>
      </x:c>
      <x:c r="C1887" s="17" t="n">
        <x:v>2026</x:v>
      </x:c>
      <x:c r="D1887" s="8" t="str">
        <x:v>TIGER TROUT</x:v>
      </x:c>
      <x:c r="E1887" s="13" t="n">
        <x:f>SUMIFS('Stocking details'!$F$6:$F$3307,'Stocking details'!$I$6:$I$3307,G1887)</x:f>
        <x:v>1975</x:v>
      </x:c>
      <x:c r="F1887" s="13" t="n">
        <x:f>COUNTIFS('Stocking details'!$I$6:$I$3307,G1887)</x:f>
        <x:v>1</x:v>
      </x:c>
      <x:c r="G1887" s="8" t="str">
        <x:f>B1887&amp;" / "&amp;C1887&amp;" / "&amp;D1887</x:f>
        <x:v>6684 / 2026 / TIGER TROUT</x:v>
      </x:c>
    </x:row>
    <x:row r="1888" ht="23" customHeight="1">
      <x:c r="A1888" s="8" t="str">
        <x:v>Stoney Lake</x:v>
      </x:c>
      <x:c r="B1888" s="8" t="str">
        <x:v>6684</x:v>
      </x:c>
      <x:c r="C1888" s="17" t="n">
        <x:v>2025</x:v>
      </x:c>
      <x:c r="D1888" s="8" t="str">
        <x:v>RAINBOW TROUT</x:v>
      </x:c>
      <x:c r="E1888" s="13" t="n">
        <x:f>SUMIFS('Stocking details'!$F$6:$F$3307,'Stocking details'!$I$6:$I$3307,G1888)</x:f>
        <x:v>10000</x:v>
      </x:c>
      <x:c r="F1888" s="13" t="n">
        <x:f>COUNTIFS('Stocking details'!$I$6:$I$3307,G1888)</x:f>
        <x:v>1</x:v>
      </x:c>
      <x:c r="G1888" s="8" t="str">
        <x:f>B1888&amp;" / "&amp;C1888&amp;" / "&amp;D1888</x:f>
        <x:v>6684 / 2025 / RAINBOW TROUT</x:v>
      </x:c>
    </x:row>
    <x:row r="1889" ht="23" customHeight="1">
      <x:c r="A1889" s="8" t="str">
        <x:v>Stoney Lake</x:v>
      </x:c>
      <x:c r="B1889" s="8" t="str">
        <x:v>6684</x:v>
      </x:c>
      <x:c r="C1889" s="17" t="n">
        <x:v>2025</x:v>
      </x:c>
      <x:c r="D1889" s="8" t="str">
        <x:v>TIGER TROUT</x:v>
      </x:c>
      <x:c r="E1889" s="13" t="n">
        <x:f>SUMIFS('Stocking details'!$F$6:$F$3307,'Stocking details'!$I$6:$I$3307,G1889)</x:f>
        <x:v>1975</x:v>
      </x:c>
      <x:c r="F1889" s="13" t="n">
        <x:f>COUNTIFS('Stocking details'!$I$6:$I$3307,G1889)</x:f>
        <x:v>1</x:v>
      </x:c>
      <x:c r="G1889" s="8" t="str">
        <x:f>B1889&amp;" / "&amp;C1889&amp;" / "&amp;D1889</x:f>
        <x:v>6684 / 2025 / TIGER TROUT</x:v>
      </x:c>
    </x:row>
    <x:row r="1890" ht="23" customHeight="1">
      <x:c r="A1890" s="8" t="str">
        <x:v>Stoney Lake</x:v>
      </x:c>
      <x:c r="B1890" s="8" t="str">
        <x:v>6684</x:v>
      </x:c>
      <x:c r="C1890" s="17" t="n">
        <x:v>2024</x:v>
      </x:c>
      <x:c r="D1890" s="8" t="str">
        <x:v>BROOK TROUT</x:v>
      </x:c>
      <x:c r="E1890" s="13" t="n">
        <x:f>SUMIFS('Stocking details'!$F$6:$F$3307,'Stocking details'!$I$6:$I$3307,G1890)</x:f>
        <x:v>4580</x:v>
      </x:c>
      <x:c r="F1890" s="13" t="n">
        <x:f>COUNTIFS('Stocking details'!$I$6:$I$3307,G1890)</x:f>
        <x:v>1</x:v>
      </x:c>
      <x:c r="G1890" s="8" t="str">
        <x:f>B1890&amp;" / "&amp;C1890&amp;" / "&amp;D1890</x:f>
        <x:v>6684 / 2024 / BROOK TROUT</x:v>
      </x:c>
    </x:row>
    <x:row r="1891" ht="23" customHeight="1">
      <x:c r="A1891" s="8" t="str">
        <x:v>Stoney Lake</x:v>
      </x:c>
      <x:c r="B1891" s="8" t="str">
        <x:v>6684</x:v>
      </x:c>
      <x:c r="C1891" s="17" t="n">
        <x:v>2024</x:v>
      </x:c>
      <x:c r="D1891" s="8" t="str">
        <x:v>TIGER TROUT</x:v>
      </x:c>
      <x:c r="E1891" s="13" t="n">
        <x:f>SUMIFS('Stocking details'!$F$6:$F$3307,'Stocking details'!$I$6:$I$3307,G1891)</x:f>
        <x:v>1975</x:v>
      </x:c>
      <x:c r="F1891" s="13" t="n">
        <x:f>COUNTIFS('Stocking details'!$I$6:$I$3307,G1891)</x:f>
        <x:v>1</x:v>
      </x:c>
      <x:c r="G1891" s="8" t="str">
        <x:f>B1891&amp;" / "&amp;C1891&amp;" / "&amp;D1891</x:f>
        <x:v>6684 / 2024 / TIGER TROUT</x:v>
      </x:c>
    </x:row>
    <x:row r="1892" ht="23" customHeight="1">
      <x:c r="A1892" s="8" t="str">
        <x:v>Stoney Lake</x:v>
      </x:c>
      <x:c r="B1892" s="8" t="str">
        <x:v>6684</x:v>
      </x:c>
      <x:c r="C1892" s="17" t="n">
        <x:v>2023</x:v>
      </x:c>
      <x:c r="D1892" s="8" t="str">
        <x:v>RAINBOW TROUT</x:v>
      </x:c>
      <x:c r="E1892" s="13" t="n">
        <x:f>SUMIFS('Stocking details'!$F$6:$F$3307,'Stocking details'!$I$6:$I$3307,G1892)</x:f>
        <x:v>4166</x:v>
      </x:c>
      <x:c r="F1892" s="13" t="n">
        <x:f>COUNTIFS('Stocking details'!$I$6:$I$3307,G1892)</x:f>
        <x:v>1</x:v>
      </x:c>
      <x:c r="G1892" s="8" t="str">
        <x:f>B1892&amp;" / "&amp;C1892&amp;" / "&amp;D1892</x:f>
        <x:v>6684 / 2023 / RAINBOW TROUT</x:v>
      </x:c>
    </x:row>
    <x:row r="1893" ht="23" customHeight="1">
      <x:c r="A1893" s="8" t="str">
        <x:v>Stoney Lake</x:v>
      </x:c>
      <x:c r="B1893" s="8" t="str">
        <x:v>6684</x:v>
      </x:c>
      <x:c r="C1893" s="17" t="n">
        <x:v>2023</x:v>
      </x:c>
      <x:c r="D1893" s="8" t="str">
        <x:v>TIGER TROUT</x:v>
      </x:c>
      <x:c r="E1893" s="13" t="n">
        <x:f>SUMIFS('Stocking details'!$F$6:$F$3307,'Stocking details'!$I$6:$I$3307,G1893)</x:f>
        <x:v>1975</x:v>
      </x:c>
      <x:c r="F1893" s="13" t="n">
        <x:f>COUNTIFS('Stocking details'!$I$6:$I$3307,G1893)</x:f>
        <x:v>1</x:v>
      </x:c>
      <x:c r="G1893" s="8" t="str">
        <x:f>B1893&amp;" / "&amp;C1893&amp;" / "&amp;D1893</x:f>
        <x:v>6684 / 2023 / TIGER TROUT</x:v>
      </x:c>
    </x:row>
    <x:row r="1894" ht="23" customHeight="1">
      <x:c r="A1894" s="8" t="str">
        <x:v>Stoney Lake</x:v>
      </x:c>
      <x:c r="B1894" s="8" t="str">
        <x:v>6684</x:v>
      </x:c>
      <x:c r="C1894" s="17" t="n">
        <x:v>2022</x:v>
      </x:c>
      <x:c r="D1894" s="8" t="str">
        <x:v>BROOK TROUT</x:v>
      </x:c>
      <x:c r="E1894" s="13" t="n">
        <x:f>SUMIFS('Stocking details'!$F$6:$F$3307,'Stocking details'!$I$6:$I$3307,G1894)</x:f>
        <x:v>6000</x:v>
      </x:c>
      <x:c r="F1894" s="13" t="n">
        <x:f>COUNTIFS('Stocking details'!$I$6:$I$3307,G1894)</x:f>
        <x:v>1</x:v>
      </x:c>
      <x:c r="G1894" s="8" t="str">
        <x:f>B1894&amp;" / "&amp;C1894&amp;" / "&amp;D1894</x:f>
        <x:v>6684 / 2022 / BROOK TROUT</x:v>
      </x:c>
    </x:row>
    <x:row r="1895" ht="23" customHeight="1">
      <x:c r="A1895" s="8" t="str">
        <x:v>Stoney Lake</x:v>
      </x:c>
      <x:c r="B1895" s="8" t="str">
        <x:v>6684</x:v>
      </x:c>
      <x:c r="C1895" s="17" t="n">
        <x:v>2022</x:v>
      </x:c>
      <x:c r="D1895" s="8" t="str">
        <x:v>TIGER TROUT</x:v>
      </x:c>
      <x:c r="E1895" s="13" t="n">
        <x:f>SUMIFS('Stocking details'!$F$6:$F$3307,'Stocking details'!$I$6:$I$3307,G1895)</x:f>
        <x:v>1975</x:v>
      </x:c>
      <x:c r="F1895" s="13" t="n">
        <x:f>COUNTIFS('Stocking details'!$I$6:$I$3307,G1895)</x:f>
        <x:v>1</x:v>
      </x:c>
      <x:c r="G1895" s="8" t="str">
        <x:f>B1895&amp;" / "&amp;C1895&amp;" / "&amp;D1895</x:f>
        <x:v>6684 / 2022 / TIGER TROUT</x:v>
      </x:c>
    </x:row>
    <x:row r="1896" ht="23" customHeight="1">
      <x:c r="A1896" s="8" t="str">
        <x:v>Stoney Lake</x:v>
      </x:c>
      <x:c r="B1896" s="8" t="str">
        <x:v>6684</x:v>
      </x:c>
      <x:c r="C1896" s="17" t="n">
        <x:v>2021</x:v>
      </x:c>
      <x:c r="D1896" s="8" t="str">
        <x:v>RAINBOW TROUT</x:v>
      </x:c>
      <x:c r="E1896" s="13" t="n">
        <x:f>SUMIFS('Stocking details'!$F$6:$F$3307,'Stocking details'!$I$6:$I$3307,G1896)</x:f>
        <x:v>10000</x:v>
      </x:c>
      <x:c r="F1896" s="13" t="n">
        <x:f>COUNTIFS('Stocking details'!$I$6:$I$3307,G1896)</x:f>
        <x:v>1</x:v>
      </x:c>
      <x:c r="G1896" s="8" t="str">
        <x:f>B1896&amp;" / "&amp;C1896&amp;" / "&amp;D1896</x:f>
        <x:v>6684 / 2021 / RAINBOW TROUT</x:v>
      </x:c>
    </x:row>
    <x:row r="1897" ht="23" customHeight="1">
      <x:c r="A1897" s="8" t="str">
        <x:v>Stoney Lake</x:v>
      </x:c>
      <x:c r="B1897" s="8" t="str">
        <x:v>6684</x:v>
      </x:c>
      <x:c r="C1897" s="17" t="n">
        <x:v>2021</x:v>
      </x:c>
      <x:c r="D1897" s="8" t="str">
        <x:v>TIGER TROUT</x:v>
      </x:c>
      <x:c r="E1897" s="13" t="n">
        <x:f>SUMIFS('Stocking details'!$F$6:$F$3307,'Stocking details'!$I$6:$I$3307,G1897)</x:f>
        <x:v>1925</x:v>
      </x:c>
      <x:c r="F1897" s="13" t="n">
        <x:f>COUNTIFS('Stocking details'!$I$6:$I$3307,G1897)</x:f>
        <x:v>1</x:v>
      </x:c>
      <x:c r="G1897" s="8" t="str">
        <x:f>B1897&amp;" / "&amp;C1897&amp;" / "&amp;D1897</x:f>
        <x:v>6684 / 2021 / TIGER TROUT</x:v>
      </x:c>
    </x:row>
    <x:row r="1898" ht="23" customHeight="1">
      <x:c r="A1898" s="8" t="str">
        <x:v>Strathmore Children's Pond</x:v>
      </x:c>
      <x:c r="B1898" s="8" t="str">
        <x:v>6686</x:v>
      </x:c>
      <x:c r="C1898" s="17" t="n">
        <x:v>2026</x:v>
      </x:c>
      <x:c r="D1898" s="8" t="str">
        <x:v>RAINBOW TROUT</x:v>
      </x:c>
      <x:c r="E1898" s="13" t="n">
        <x:f>SUMIFS('Stocking details'!$F$6:$F$3307,'Stocking details'!$I$6:$I$3307,G1898)</x:f>
        <x:v>1500</x:v>
      </x:c>
      <x:c r="F1898" s="13" t="n">
        <x:f>COUNTIFS('Stocking details'!$I$6:$I$3307,G1898)</x:f>
        <x:v>1</x:v>
      </x:c>
      <x:c r="G1898" s="8" t="str">
        <x:f>B1898&amp;" / "&amp;C1898&amp;" / "&amp;D1898</x:f>
        <x:v>6686 / 2026 / RAINBOW TROUT</x:v>
      </x:c>
    </x:row>
    <x:row r="1899" ht="23" customHeight="1">
      <x:c r="A1899" s="8" t="str">
        <x:v>Strathmore Children's Pond</x:v>
      </x:c>
      <x:c r="B1899" s="8" t="str">
        <x:v>6686</x:v>
      </x:c>
      <x:c r="C1899" s="17" t="n">
        <x:v>2026</x:v>
      </x:c>
      <x:c r="D1899" s="8" t="str">
        <x:v>TIGER TROUT</x:v>
      </x:c>
      <x:c r="E1899" s="13" t="n">
        <x:f>SUMIFS('Stocking details'!$F$6:$F$3307,'Stocking details'!$I$6:$I$3307,G1899)</x:f>
        <x:v>150</x:v>
      </x:c>
      <x:c r="F1899" s="13" t="n">
        <x:f>COUNTIFS('Stocking details'!$I$6:$I$3307,G1899)</x:f>
        <x:v>1</x:v>
      </x:c>
      <x:c r="G1899" s="8" t="str">
        <x:f>B1899&amp;" / "&amp;C1899&amp;" / "&amp;D1899</x:f>
        <x:v>6686 / 2026 / TIGER TROUT</x:v>
      </x:c>
    </x:row>
    <x:row r="1900" ht="23" customHeight="1">
      <x:c r="A1900" s="8" t="str">
        <x:v>Strathmore Children's Pond</x:v>
      </x:c>
      <x:c r="B1900" s="8" t="str">
        <x:v>6686</x:v>
      </x:c>
      <x:c r="C1900" s="17" t="n">
        <x:v>2025</x:v>
      </x:c>
      <x:c r="D1900" s="8" t="str">
        <x:v>TIGER TROUT</x:v>
      </x:c>
      <x:c r="E1900" s="13" t="n">
        <x:f>SUMIFS('Stocking details'!$F$6:$F$3307,'Stocking details'!$I$6:$I$3307,G1900)</x:f>
        <x:v>150</x:v>
      </x:c>
      <x:c r="F1900" s="13" t="n">
        <x:f>COUNTIFS('Stocking details'!$I$6:$I$3307,G1900)</x:f>
        <x:v>1</x:v>
      </x:c>
      <x:c r="G1900" s="8" t="str">
        <x:f>B1900&amp;" / "&amp;C1900&amp;" / "&amp;D1900</x:f>
        <x:v>6686 / 2025 / TIGER TROUT</x:v>
      </x:c>
    </x:row>
    <x:row r="1901" ht="23" customHeight="1">
      <x:c r="A1901" s="8" t="str">
        <x:v>Strathmore Children's Pond</x:v>
      </x:c>
      <x:c r="B1901" s="8" t="str">
        <x:v>6686</x:v>
      </x:c>
      <x:c r="C1901" s="17" t="n">
        <x:v>2024</x:v>
      </x:c>
      <x:c r="D1901" s="8" t="str">
        <x:v>RAINBOW TROUT</x:v>
      </x:c>
      <x:c r="E1901" s="13" t="n">
        <x:f>SUMIFS('Stocking details'!$F$6:$F$3307,'Stocking details'!$I$6:$I$3307,G1901)</x:f>
        <x:v>1500</x:v>
      </x:c>
      <x:c r="F1901" s="13" t="n">
        <x:f>COUNTIFS('Stocking details'!$I$6:$I$3307,G1901)</x:f>
        <x:v>1</x:v>
      </x:c>
      <x:c r="G1901" s="8" t="str">
        <x:f>B1901&amp;" / "&amp;C1901&amp;" / "&amp;D1901</x:f>
        <x:v>6686 / 2024 / RAINBOW TROUT</x:v>
      </x:c>
    </x:row>
    <x:row r="1902" ht="23" customHeight="1">
      <x:c r="A1902" s="8" t="str">
        <x:v>Strathmore Children's Pond</x:v>
      </x:c>
      <x:c r="B1902" s="8" t="str">
        <x:v>6686</x:v>
      </x:c>
      <x:c r="C1902" s="17" t="n">
        <x:v>2024</x:v>
      </x:c>
      <x:c r="D1902" s="8" t="str">
        <x:v>TIGER TROUT</x:v>
      </x:c>
      <x:c r="E1902" s="13" t="n">
        <x:f>SUMIFS('Stocking details'!$F$6:$F$3307,'Stocking details'!$I$6:$I$3307,G1902)</x:f>
        <x:v>150</x:v>
      </x:c>
      <x:c r="F1902" s="13" t="n">
        <x:f>COUNTIFS('Stocking details'!$I$6:$I$3307,G1902)</x:f>
        <x:v>1</x:v>
      </x:c>
      <x:c r="G1902" s="8" t="str">
        <x:f>B1902&amp;" / "&amp;C1902&amp;" / "&amp;D1902</x:f>
        <x:v>6686 / 2024 / TIGER TROUT</x:v>
      </x:c>
    </x:row>
    <x:row r="1903" ht="23" customHeight="1">
      <x:c r="A1903" s="8" t="str">
        <x:v>Strathmore Children's Pond</x:v>
      </x:c>
      <x:c r="B1903" s="8" t="str">
        <x:v>6686</x:v>
      </x:c>
      <x:c r="C1903" s="17" t="n">
        <x:v>2023</x:v>
      </x:c>
      <x:c r="D1903" s="8" t="str">
        <x:v>RAINBOW TROUT</x:v>
      </x:c>
      <x:c r="E1903" s="13" t="n">
        <x:f>SUMIFS('Stocking details'!$F$6:$F$3307,'Stocking details'!$I$6:$I$3307,G1903)</x:f>
        <x:v>1400</x:v>
      </x:c>
      <x:c r="F1903" s="13" t="n">
        <x:f>COUNTIFS('Stocking details'!$I$6:$I$3307,G1903)</x:f>
        <x:v>1</x:v>
      </x:c>
      <x:c r="G1903" s="8" t="str">
        <x:f>B1903&amp;" / "&amp;C1903&amp;" / "&amp;D1903</x:f>
        <x:v>6686 / 2023 / RAINBOW TROUT</x:v>
      </x:c>
    </x:row>
    <x:row r="1904" ht="23" customHeight="1">
      <x:c r="A1904" s="8" t="str">
        <x:v>Strathmore Children's Pond</x:v>
      </x:c>
      <x:c r="B1904" s="8" t="str">
        <x:v>6686</x:v>
      </x:c>
      <x:c r="C1904" s="17" t="n">
        <x:v>2023</x:v>
      </x:c>
      <x:c r="D1904" s="8" t="str">
        <x:v>TIGER TROUT</x:v>
      </x:c>
      <x:c r="E1904" s="13" t="n">
        <x:f>SUMIFS('Stocking details'!$F$6:$F$3307,'Stocking details'!$I$6:$I$3307,G1904)</x:f>
        <x:v>150</x:v>
      </x:c>
      <x:c r="F1904" s="13" t="n">
        <x:f>COUNTIFS('Stocking details'!$I$6:$I$3307,G1904)</x:f>
        <x:v>1</x:v>
      </x:c>
      <x:c r="G1904" s="8" t="str">
        <x:f>B1904&amp;" / "&amp;C1904&amp;" / "&amp;D1904</x:f>
        <x:v>6686 / 2023 / TIGER TROUT</x:v>
      </x:c>
    </x:row>
    <x:row r="1905" ht="23" customHeight="1">
      <x:c r="A1905" s="8" t="str">
        <x:v>Strathmore Children's Pond</x:v>
      </x:c>
      <x:c r="B1905" s="8" t="str">
        <x:v>6686</x:v>
      </x:c>
      <x:c r="C1905" s="17" t="n">
        <x:v>2022</x:v>
      </x:c>
      <x:c r="D1905" s="8" t="str">
        <x:v>RAINBOW TROUT</x:v>
      </x:c>
      <x:c r="E1905" s="13" t="n">
        <x:f>SUMIFS('Stocking details'!$F$6:$F$3307,'Stocking details'!$I$6:$I$3307,G1905)</x:f>
        <x:v>1774</x:v>
      </x:c>
      <x:c r="F1905" s="13" t="n">
        <x:f>COUNTIFS('Stocking details'!$I$6:$I$3307,G1905)</x:f>
        <x:v>1</x:v>
      </x:c>
      <x:c r="G1905" s="8" t="str">
        <x:f>B1905&amp;" / "&amp;C1905&amp;" / "&amp;D1905</x:f>
        <x:v>6686 / 2022 / RAINBOW TROUT</x:v>
      </x:c>
    </x:row>
    <x:row r="1906" ht="23" customHeight="1">
      <x:c r="A1906" s="8" t="str">
        <x:v>Strathmore Children's Pond</x:v>
      </x:c>
      <x:c r="B1906" s="8" t="str">
        <x:v>6686</x:v>
      </x:c>
      <x:c r="C1906" s="17" t="n">
        <x:v>2022</x:v>
      </x:c>
      <x:c r="D1906" s="8" t="str">
        <x:v>TIGER TROUT</x:v>
      </x:c>
      <x:c r="E1906" s="13" t="n">
        <x:f>SUMIFS('Stocking details'!$F$6:$F$3307,'Stocking details'!$I$6:$I$3307,G1906)</x:f>
        <x:v>150</x:v>
      </x:c>
      <x:c r="F1906" s="13" t="n">
        <x:f>COUNTIFS('Stocking details'!$I$6:$I$3307,G1906)</x:f>
        <x:v>1</x:v>
      </x:c>
      <x:c r="G1906" s="8" t="str">
        <x:f>B1906&amp;" / "&amp;C1906&amp;" / "&amp;D1906</x:f>
        <x:v>6686 / 2022 / TIGER TROUT</x:v>
      </x:c>
    </x:row>
    <x:row r="1907" ht="23" customHeight="1">
      <x:c r="A1907" s="8" t="str">
        <x:v>Strathmore Children's Pond</x:v>
      </x:c>
      <x:c r="B1907" s="8" t="str">
        <x:v>6686</x:v>
      </x:c>
      <x:c r="C1907" s="17" t="n">
        <x:v>2021</x:v>
      </x:c>
      <x:c r="D1907" s="8" t="str">
        <x:v>RAINBOW TROUT</x:v>
      </x:c>
      <x:c r="E1907" s="13" t="n">
        <x:f>SUMIFS('Stocking details'!$F$6:$F$3307,'Stocking details'!$I$6:$I$3307,G1907)</x:f>
        <x:v>1500</x:v>
      </x:c>
      <x:c r="F1907" s="13" t="n">
        <x:f>COUNTIFS('Stocking details'!$I$6:$I$3307,G1907)</x:f>
        <x:v>1</x:v>
      </x:c>
      <x:c r="G1907" s="8" t="str">
        <x:f>B1907&amp;" / "&amp;C1907&amp;" / "&amp;D1907</x:f>
        <x:v>6686 / 2021 / RAINBOW TROUT</x:v>
      </x:c>
    </x:row>
    <x:row r="1908" ht="23" customHeight="1">
      <x:c r="A1908" s="8" t="str">
        <x:v>Strathmore Children's Pond</x:v>
      </x:c>
      <x:c r="B1908" s="8" t="str">
        <x:v>6686</x:v>
      </x:c>
      <x:c r="C1908" s="17" t="n">
        <x:v>2021</x:v>
      </x:c>
      <x:c r="D1908" s="8" t="str">
        <x:v>TIGER TROUT</x:v>
      </x:c>
      <x:c r="E1908" s="13" t="n">
        <x:f>SUMIFS('Stocking details'!$F$6:$F$3307,'Stocking details'!$I$6:$I$3307,G1908)</x:f>
        <x:v>150</x:v>
      </x:c>
      <x:c r="F1908" s="13" t="n">
        <x:f>COUNTIFS('Stocking details'!$I$6:$I$3307,G1908)</x:f>
        <x:v>1</x:v>
      </x:c>
      <x:c r="G1908" s="8" t="str">
        <x:f>B1908&amp;" / "&amp;C1908&amp;" / "&amp;D1908</x:f>
        <x:v>6686 / 2021 / TIGER TROUT</x:v>
      </x:c>
    </x:row>
    <x:row r="1909" ht="23" customHeight="1">
      <x:c r="A1909" s="8" t="str">
        <x:v>Strubel Lake</x:v>
      </x:c>
      <x:c r="B1909" s="8" t="str">
        <x:v>5919</x:v>
      </x:c>
      <x:c r="C1909" s="17" t="n">
        <x:v>2026</x:v>
      </x:c>
      <x:c r="D1909" s="8" t="str">
        <x:v>RAINBOW TROUT</x:v>
      </x:c>
      <x:c r="E1909" s="13" t="n">
        <x:f>SUMIFS('Stocking details'!$F$6:$F$3307,'Stocking details'!$I$6:$I$3307,G1909)</x:f>
        <x:v>12800</x:v>
      </x:c>
      <x:c r="F1909" s="13" t="n">
        <x:f>COUNTIFS('Stocking details'!$I$6:$I$3307,G1909)</x:f>
        <x:v>1</x:v>
      </x:c>
      <x:c r="G1909" s="8" t="str">
        <x:f>B1909&amp;" / "&amp;C1909&amp;" / "&amp;D1909</x:f>
        <x:v>5919 / 2026 / RAINBOW TROUT</x:v>
      </x:c>
    </x:row>
    <x:row r="1910" ht="23" customHeight="1">
      <x:c r="A1910" s="8" t="str">
        <x:v>Strubel Lake</x:v>
      </x:c>
      <x:c r="B1910" s="8" t="str">
        <x:v>5919</x:v>
      </x:c>
      <x:c r="C1910" s="17" t="n">
        <x:v>2025</x:v>
      </x:c>
      <x:c r="D1910" s="8" t="str">
        <x:v>RAINBOW TROUT</x:v>
      </x:c>
      <x:c r="E1910" s="13" t="n">
        <x:f>SUMIFS('Stocking details'!$F$6:$F$3307,'Stocking details'!$I$6:$I$3307,G1910)</x:f>
        <x:v>12800</x:v>
      </x:c>
      <x:c r="F1910" s="13" t="n">
        <x:f>COUNTIFS('Stocking details'!$I$6:$I$3307,G1910)</x:f>
        <x:v>1</x:v>
      </x:c>
      <x:c r="G1910" s="8" t="str">
        <x:f>B1910&amp;" / "&amp;C1910&amp;" / "&amp;D1910</x:f>
        <x:v>5919 / 2025 / RAINBOW TROUT</x:v>
      </x:c>
    </x:row>
    <x:row r="1911" ht="23" customHeight="1">
      <x:c r="A1911" s="8" t="str">
        <x:v>Strubel Lake</x:v>
      </x:c>
      <x:c r="B1911" s="8" t="str">
        <x:v>5919</x:v>
      </x:c>
      <x:c r="C1911" s="17" t="n">
        <x:v>2024</x:v>
      </x:c>
      <x:c r="D1911" s="8" t="str">
        <x:v>RAINBOW TROUT</x:v>
      </x:c>
      <x:c r="E1911" s="13" t="n">
        <x:f>SUMIFS('Stocking details'!$F$6:$F$3307,'Stocking details'!$I$6:$I$3307,G1911)</x:f>
        <x:v>13900</x:v>
      </x:c>
      <x:c r="F1911" s="13" t="n">
        <x:f>COUNTIFS('Stocking details'!$I$6:$I$3307,G1911)</x:f>
        <x:v>2</x:v>
      </x:c>
      <x:c r="G1911" s="8" t="str">
        <x:f>B1911&amp;" / "&amp;C1911&amp;" / "&amp;D1911</x:f>
        <x:v>5919 / 2024 / RAINBOW TROUT</x:v>
      </x:c>
    </x:row>
    <x:row r="1912" ht="23" customHeight="1">
      <x:c r="A1912" s="8" t="str">
        <x:v>Strubel Lake</x:v>
      </x:c>
      <x:c r="B1912" s="8" t="str">
        <x:v>5919</x:v>
      </x:c>
      <x:c r="C1912" s="17" t="n">
        <x:v>2023</x:v>
      </x:c>
      <x:c r="D1912" s="8" t="str">
        <x:v>RAINBOW TROUT</x:v>
      </x:c>
      <x:c r="E1912" s="13" t="n">
        <x:f>SUMIFS('Stocking details'!$F$6:$F$3307,'Stocking details'!$I$6:$I$3307,G1912)</x:f>
        <x:v>18578</x:v>
      </x:c>
      <x:c r="F1912" s="13" t="n">
        <x:f>COUNTIFS('Stocking details'!$I$6:$I$3307,G1912)</x:f>
        <x:v>3</x:v>
      </x:c>
      <x:c r="G1912" s="8" t="str">
        <x:f>B1912&amp;" / "&amp;C1912&amp;" / "&amp;D1912</x:f>
        <x:v>5919 / 2023 / RAINBOW TROUT</x:v>
      </x:c>
    </x:row>
    <x:row r="1913" ht="23" customHeight="1">
      <x:c r="A1913" s="8" t="str">
        <x:v>Strubel Lake</x:v>
      </x:c>
      <x:c r="B1913" s="8" t="str">
        <x:v>5919</x:v>
      </x:c>
      <x:c r="C1913" s="17" t="n">
        <x:v>2022</x:v>
      </x:c>
      <x:c r="D1913" s="8" t="str">
        <x:v>RAINBOW TROUT</x:v>
      </x:c>
      <x:c r="E1913" s="13" t="n">
        <x:f>SUMIFS('Stocking details'!$F$6:$F$3307,'Stocking details'!$I$6:$I$3307,G1913)</x:f>
        <x:v>19000</x:v>
      </x:c>
      <x:c r="F1913" s="13" t="n">
        <x:f>COUNTIFS('Stocking details'!$I$6:$I$3307,G1913)</x:f>
        <x:v>2</x:v>
      </x:c>
      <x:c r="G1913" s="8" t="str">
        <x:f>B1913&amp;" / "&amp;C1913&amp;" / "&amp;D1913</x:f>
        <x:v>5919 / 2022 / RAINBOW TROUT</x:v>
      </x:c>
    </x:row>
    <x:row r="1914" ht="23" customHeight="1">
      <x:c r="A1914" s="8" t="str">
        <x:v>Strubel Lake</x:v>
      </x:c>
      <x:c r="B1914" s="8" t="str">
        <x:v>5919</x:v>
      </x:c>
      <x:c r="C1914" s="17" t="n">
        <x:v>2021</x:v>
      </x:c>
      <x:c r="D1914" s="8" t="str">
        <x:v>RAINBOW TROUT</x:v>
      </x:c>
      <x:c r="E1914" s="13" t="n">
        <x:f>SUMIFS('Stocking details'!$F$6:$F$3307,'Stocking details'!$I$6:$I$3307,G1914)</x:f>
        <x:v>19000</x:v>
      </x:c>
      <x:c r="F1914" s="13" t="n">
        <x:f>COUNTIFS('Stocking details'!$I$6:$I$3307,G1914)</x:f>
        <x:v>1</x:v>
      </x:c>
      <x:c r="G1914" s="8" t="str">
        <x:f>B1914&amp;" / "&amp;C1914&amp;" / "&amp;D1914</x:f>
        <x:v>5919 / 2021 / RAINBOW TROUT</x:v>
      </x:c>
    </x:row>
    <x:row r="1915" ht="23" customHeight="1">
      <x:c r="A1915" s="8" t="str">
        <x:v>Sulphur Lake</x:v>
      </x:c>
      <x:c r="B1915" s="8" t="str">
        <x:v>5929</x:v>
      </x:c>
      <x:c r="C1915" s="17" t="n">
        <x:v>2026</x:v>
      </x:c>
      <x:c r="D1915" s="8" t="str">
        <x:v>RAINBOW TROUT</x:v>
      </x:c>
      <x:c r="E1915" s="13" t="n">
        <x:f>SUMIFS('Stocking details'!$F$6:$F$3307,'Stocking details'!$I$6:$I$3307,G1915)</x:f>
        <x:v>7500</x:v>
      </x:c>
      <x:c r="F1915" s="13" t="n">
        <x:f>COUNTIFS('Stocking details'!$I$6:$I$3307,G1915)</x:f>
        <x:v>1</x:v>
      </x:c>
      <x:c r="G1915" s="8" t="str">
        <x:f>B1915&amp;" / "&amp;C1915&amp;" / "&amp;D1915</x:f>
        <x:v>5929 / 2026 / RAINBOW TROUT</x:v>
      </x:c>
    </x:row>
    <x:row r="1916" ht="23" customHeight="1">
      <x:c r="A1916" s="8" t="str">
        <x:v>Sulphur Lake</x:v>
      </x:c>
      <x:c r="B1916" s="8" t="str">
        <x:v>5929</x:v>
      </x:c>
      <x:c r="C1916" s="17" t="n">
        <x:v>2025</x:v>
      </x:c>
      <x:c r="D1916" s="8" t="str">
        <x:v>BROOK TROUT</x:v>
      </x:c>
      <x:c r="E1916" s="13" t="n">
        <x:f>SUMIFS('Stocking details'!$F$6:$F$3307,'Stocking details'!$I$6:$I$3307,G1916)</x:f>
        <x:v>4500</x:v>
      </x:c>
      <x:c r="F1916" s="13" t="n">
        <x:f>COUNTIFS('Stocking details'!$I$6:$I$3307,G1916)</x:f>
        <x:v>1</x:v>
      </x:c>
      <x:c r="G1916" s="8" t="str">
        <x:f>B1916&amp;" / "&amp;C1916&amp;" / "&amp;D1916</x:f>
        <x:v>5929 / 2025 / BROOK TROUT</x:v>
      </x:c>
    </x:row>
    <x:row r="1917" ht="23" customHeight="1">
      <x:c r="A1917" s="8" t="str">
        <x:v>Sulphur Lake</x:v>
      </x:c>
      <x:c r="B1917" s="8" t="str">
        <x:v>5929</x:v>
      </x:c>
      <x:c r="C1917" s="17" t="n">
        <x:v>2024</x:v>
      </x:c>
      <x:c r="D1917" s="8" t="str">
        <x:v>RAINBOW TROUT</x:v>
      </x:c>
      <x:c r="E1917" s="13" t="n">
        <x:f>SUMIFS('Stocking details'!$F$6:$F$3307,'Stocking details'!$I$6:$I$3307,G1917)</x:f>
        <x:v>3750</x:v>
      </x:c>
      <x:c r="F1917" s="13" t="n">
        <x:f>COUNTIFS('Stocking details'!$I$6:$I$3307,G1917)</x:f>
        <x:v>1</x:v>
      </x:c>
      <x:c r="G1917" s="8" t="str">
        <x:f>B1917&amp;" / "&amp;C1917&amp;" / "&amp;D1917</x:f>
        <x:v>5929 / 2024 / RAINBOW TROUT</x:v>
      </x:c>
    </x:row>
    <x:row r="1918" ht="23" customHeight="1">
      <x:c r="A1918" s="8" t="str">
        <x:v>Sulphur Lake</x:v>
      </x:c>
      <x:c r="B1918" s="8" t="str">
        <x:v>5929</x:v>
      </x:c>
      <x:c r="C1918" s="17" t="n">
        <x:v>2023</x:v>
      </x:c>
      <x:c r="D1918" s="8" t="str">
        <x:v>BROOK TROUT</x:v>
      </x:c>
      <x:c r="E1918" s="13" t="n">
        <x:f>SUMIFS('Stocking details'!$F$6:$F$3307,'Stocking details'!$I$6:$I$3307,G1918)</x:f>
        <x:v>3500</x:v>
      </x:c>
      <x:c r="F1918" s="13" t="n">
        <x:f>COUNTIFS('Stocking details'!$I$6:$I$3307,G1918)</x:f>
        <x:v>1</x:v>
      </x:c>
      <x:c r="G1918" s="8" t="str">
        <x:f>B1918&amp;" / "&amp;C1918&amp;" / "&amp;D1918</x:f>
        <x:v>5929 / 2023 / BROOK TROUT</x:v>
      </x:c>
    </x:row>
    <x:row r="1919" ht="23" customHeight="1">
      <x:c r="A1919" s="8" t="str">
        <x:v>Sulphur Lake</x:v>
      </x:c>
      <x:c r="B1919" s="8" t="str">
        <x:v>5929</x:v>
      </x:c>
      <x:c r="C1919" s="17" t="n">
        <x:v>2022</x:v>
      </x:c>
      <x:c r="D1919" s="8" t="str">
        <x:v>RAINBOW TROUT</x:v>
      </x:c>
      <x:c r="E1919" s="13" t="n">
        <x:f>SUMIFS('Stocking details'!$F$6:$F$3307,'Stocking details'!$I$6:$I$3307,G1919)</x:f>
        <x:v>7500</x:v>
      </x:c>
      <x:c r="F1919" s="13" t="n">
        <x:f>COUNTIFS('Stocking details'!$I$6:$I$3307,G1919)</x:f>
        <x:v>1</x:v>
      </x:c>
      <x:c r="G1919" s="8" t="str">
        <x:f>B1919&amp;" / "&amp;C1919&amp;" / "&amp;D1919</x:f>
        <x:v>5929 / 2022 / RAINBOW TROUT</x:v>
      </x:c>
    </x:row>
    <x:row r="1920" ht="23" customHeight="1">
      <x:c r="A1920" s="8" t="str">
        <x:v>Sulphur Lake</x:v>
      </x:c>
      <x:c r="B1920" s="8" t="str">
        <x:v>5929</x:v>
      </x:c>
      <x:c r="C1920" s="17" t="n">
        <x:v>2021</x:v>
      </x:c>
      <x:c r="D1920" s="8" t="str">
        <x:v>BROOK TROUT</x:v>
      </x:c>
      <x:c r="E1920" s="13" t="n">
        <x:f>SUMIFS('Stocking details'!$F$6:$F$3307,'Stocking details'!$I$6:$I$3307,G1920)</x:f>
        <x:v>4500</x:v>
      </x:c>
      <x:c r="F1920" s="13" t="n">
        <x:f>COUNTIFS('Stocking details'!$I$6:$I$3307,G1920)</x:f>
        <x:v>2</x:v>
      </x:c>
      <x:c r="G1920" s="8" t="str">
        <x:f>B1920&amp;" / "&amp;C1920&amp;" / "&amp;D1920</x:f>
        <x:v>5929 / 2021 / BROOK TROUT</x:v>
      </x:c>
    </x:row>
    <x:row r="1921" ht="23" customHeight="1">
      <x:c r="A1921" s="8" t="str">
        <x:v>Swan Lake</x:v>
      </x:c>
      <x:c r="B1921" s="8" t="str">
        <x:v>5944</x:v>
      </x:c>
      <x:c r="C1921" s="17" t="n">
        <x:v>2026</x:v>
      </x:c>
      <x:c r="D1921" s="8" t="str">
        <x:v>RAINBOW TROUT</x:v>
      </x:c>
      <x:c r="E1921" s="13" t="n">
        <x:f>SUMIFS('Stocking details'!$F$6:$F$3307,'Stocking details'!$I$6:$I$3307,G1921)</x:f>
        <x:v>15000</x:v>
      </x:c>
      <x:c r="F1921" s="13" t="n">
        <x:f>COUNTIFS('Stocking details'!$I$6:$I$3307,G1921)</x:f>
        <x:v>1</x:v>
      </x:c>
      <x:c r="G1921" s="8" t="str">
        <x:f>B1921&amp;" / "&amp;C1921&amp;" / "&amp;D1921</x:f>
        <x:v>5944 / 2026 / RAINBOW TROUT</x:v>
      </x:c>
    </x:row>
    <x:row r="1922" ht="23" customHeight="1">
      <x:c r="A1922" s="8" t="str">
        <x:v>Swan Lake</x:v>
      </x:c>
      <x:c r="B1922" s="8" t="str">
        <x:v>5944</x:v>
      </x:c>
      <x:c r="C1922" s="17" t="n">
        <x:v>2025</x:v>
      </x:c>
      <x:c r="D1922" s="8" t="str">
        <x:v>RAINBOW TROUT</x:v>
      </x:c>
      <x:c r="E1922" s="13" t="n">
        <x:f>SUMIFS('Stocking details'!$F$6:$F$3307,'Stocking details'!$I$6:$I$3307,G1922)</x:f>
        <x:v>35010</x:v>
      </x:c>
      <x:c r="F1922" s="13" t="n">
        <x:f>COUNTIFS('Stocking details'!$I$6:$I$3307,G1922)</x:f>
        <x:v>3</x:v>
      </x:c>
      <x:c r="G1922" s="8" t="str">
        <x:f>B1922&amp;" / "&amp;C1922&amp;" / "&amp;D1922</x:f>
        <x:v>5944 / 2025 / RAINBOW TROUT</x:v>
      </x:c>
    </x:row>
    <x:row r="1923" ht="23" customHeight="1">
      <x:c r="A1923" s="8" t="str">
        <x:v>Swan Lake</x:v>
      </x:c>
      <x:c r="B1923" s="8" t="str">
        <x:v>5758</x:v>
      </x:c>
      <x:c r="C1923" s="17" t="n">
        <x:v>2025</x:v>
      </x:c>
      <x:c r="D1923" s="8" t="str">
        <x:v>WALLEYE</x:v>
      </x:c>
      <x:c r="E1923" s="13" t="n">
        <x:f>SUMIFS('Stocking details'!$F$6:$F$3307,'Stocking details'!$I$6:$I$3307,G1923)</x:f>
        <x:v>1984992</x:v>
      </x:c>
      <x:c r="F1923" s="13" t="n">
        <x:f>COUNTIFS('Stocking details'!$I$6:$I$3307,G1923)</x:f>
        <x:v>1</x:v>
      </x:c>
      <x:c r="G1923" s="8" t="str">
        <x:f>B1923&amp;" / "&amp;C1923&amp;" / "&amp;D1923</x:f>
        <x:v>5758 / 2025 / WALLEYE</x:v>
      </x:c>
    </x:row>
    <x:row r="1924" ht="23" customHeight="1">
      <x:c r="A1924" s="8" t="str">
        <x:v>Swan Lake</x:v>
      </x:c>
      <x:c r="B1924" s="8" t="str">
        <x:v>5944</x:v>
      </x:c>
      <x:c r="C1924" s="17" t="n">
        <x:v>2024</x:v>
      </x:c>
      <x:c r="D1924" s="8" t="str">
        <x:v>RAINBOW TROUT</x:v>
      </x:c>
      <x:c r="E1924" s="13" t="n">
        <x:f>SUMIFS('Stocking details'!$F$6:$F$3307,'Stocking details'!$I$6:$I$3307,G1924)</x:f>
        <x:v>22500</x:v>
      </x:c>
      <x:c r="F1924" s="13" t="n">
        <x:f>COUNTIFS('Stocking details'!$I$6:$I$3307,G1924)</x:f>
        <x:v>2</x:v>
      </x:c>
      <x:c r="G1924" s="8" t="str">
        <x:f>B1924&amp;" / "&amp;C1924&amp;" / "&amp;D1924</x:f>
        <x:v>5944 / 2024 / RAINBOW TROUT</x:v>
      </x:c>
    </x:row>
    <x:row r="1925" ht="23" customHeight="1">
      <x:c r="A1925" s="8" t="str">
        <x:v>Swan Lake</x:v>
      </x:c>
      <x:c r="B1925" s="8" t="str">
        <x:v>5944</x:v>
      </x:c>
      <x:c r="C1925" s="17" t="n">
        <x:v>2023</x:v>
      </x:c>
      <x:c r="D1925" s="8" t="str">
        <x:v>RAINBOW TROUT</x:v>
      </x:c>
      <x:c r="E1925" s="13" t="n">
        <x:f>SUMIFS('Stocking details'!$F$6:$F$3307,'Stocking details'!$I$6:$I$3307,G1925)</x:f>
        <x:v>19269</x:v>
      </x:c>
      <x:c r="F1925" s="13" t="n">
        <x:f>COUNTIFS('Stocking details'!$I$6:$I$3307,G1925)</x:f>
        <x:v>4</x:v>
      </x:c>
      <x:c r="G1925" s="8" t="str">
        <x:f>B1925&amp;" / "&amp;C1925&amp;" / "&amp;D1925</x:f>
        <x:v>5944 / 2023 / RAINBOW TROUT</x:v>
      </x:c>
    </x:row>
    <x:row r="1926" ht="23" customHeight="1">
      <x:c r="A1926" s="8" t="str">
        <x:v>Swan Lake</x:v>
      </x:c>
      <x:c r="B1926" s="8" t="str">
        <x:v>5944</x:v>
      </x:c>
      <x:c r="C1926" s="17" t="n">
        <x:v>2022</x:v>
      </x:c>
      <x:c r="D1926" s="8" t="str">
        <x:v>RAINBOW TROUT</x:v>
      </x:c>
      <x:c r="E1926" s="13" t="n">
        <x:f>SUMIFS('Stocking details'!$F$6:$F$3307,'Stocking details'!$I$6:$I$3307,G1926)</x:f>
        <x:v>30000</x:v>
      </x:c>
      <x:c r="F1926" s="13" t="n">
        <x:f>COUNTIFS('Stocking details'!$I$6:$I$3307,G1926)</x:f>
        <x:v>2</x:v>
      </x:c>
      <x:c r="G1926" s="8" t="str">
        <x:f>B1926&amp;" / "&amp;C1926&amp;" / "&amp;D1926</x:f>
        <x:v>5944 / 2022 / RAINBOW TROUT</x:v>
      </x:c>
    </x:row>
    <x:row r="1927" ht="23" customHeight="1">
      <x:c r="A1927" s="8" t="str">
        <x:v>Swan Lake</x:v>
      </x:c>
      <x:c r="B1927" s="8" t="str">
        <x:v>5944</x:v>
      </x:c>
      <x:c r="C1927" s="17" t="n">
        <x:v>2021</x:v>
      </x:c>
      <x:c r="D1927" s="8" t="str">
        <x:v>RAINBOW TROUT</x:v>
      </x:c>
      <x:c r="E1927" s="13" t="n">
        <x:f>SUMIFS('Stocking details'!$F$6:$F$3307,'Stocking details'!$I$6:$I$3307,G1927)</x:f>
        <x:v>30000</x:v>
      </x:c>
      <x:c r="F1927" s="13" t="n">
        <x:f>COUNTIFS('Stocking details'!$I$6:$I$3307,G1927)</x:f>
        <x:v>2</x:v>
      </x:c>
      <x:c r="G1927" s="8" t="str">
        <x:f>B1927&amp;" / "&amp;C1927&amp;" / "&amp;D1927</x:f>
        <x:v>5944 / 2021 / RAINBOW TROUT</x:v>
      </x:c>
    </x:row>
    <x:row r="1928" ht="23" customHeight="1">
      <x:c r="A1928" s="8" t="str">
        <x:v>Sylvan Lake</x:v>
      </x:c>
      <x:c r="B1928" s="8" t="str">
        <x:v>5952</x:v>
      </x:c>
      <x:c r="C1928" s="17" t="n">
        <x:v>2025</x:v>
      </x:c>
      <x:c r="D1928" s="8" t="str">
        <x:v>WALLEYE</x:v>
      </x:c>
      <x:c r="E1928" s="13" t="n">
        <x:f>SUMIFS('Stocking details'!$F$6:$F$3307,'Stocking details'!$I$6:$I$3307,G1928)</x:f>
        <x:v>2300000</x:v>
      </x:c>
      <x:c r="F1928" s="13" t="n">
        <x:f>COUNTIFS('Stocking details'!$I$6:$I$3307,G1928)</x:f>
        <x:v>1</x:v>
      </x:c>
      <x:c r="G1928" s="8" t="str">
        <x:f>B1928&amp;" / "&amp;C1928&amp;" / "&amp;D1928</x:f>
        <x:v>5952 / 2025 / WALLEYE</x:v>
      </x:c>
    </x:row>
    <x:row r="1929" ht="23" customHeight="1">
      <x:c r="A1929" s="8" t="str">
        <x:v>Sylvan Lake</x:v>
      </x:c>
      <x:c r="B1929" s="8" t="str">
        <x:v>5952</x:v>
      </x:c>
      <x:c r="C1929" s="17" t="n">
        <x:v>2024</x:v>
      </x:c>
      <x:c r="D1929" s="8" t="str">
        <x:v>WALLEYE</x:v>
      </x:c>
      <x:c r="E1929" s="13" t="n">
        <x:f>SUMIFS('Stocking details'!$F$6:$F$3307,'Stocking details'!$I$6:$I$3307,G1929)</x:f>
        <x:v>3644126</x:v>
      </x:c>
      <x:c r="F1929" s="13" t="n">
        <x:f>COUNTIFS('Stocking details'!$I$6:$I$3307,G1929)</x:f>
        <x:v>2</x:v>
      </x:c>
      <x:c r="G1929" s="8" t="str">
        <x:f>B1929&amp;" / "&amp;C1929&amp;" / "&amp;D1929</x:f>
        <x:v>5952 / 2024 / WALLEYE</x:v>
      </x:c>
    </x:row>
    <x:row r="1930" ht="23" customHeight="1">
      <x:c r="A1930" s="8" t="str">
        <x:v>Sylvan Lake</x:v>
      </x:c>
      <x:c r="B1930" s="8" t="str">
        <x:v>5952</x:v>
      </x:c>
      <x:c r="C1930" s="17" t="n">
        <x:v>2023</x:v>
      </x:c>
      <x:c r="D1930" s="8" t="str">
        <x:v>WALLEYE</x:v>
      </x:c>
      <x:c r="E1930" s="13" t="n">
        <x:f>SUMIFS('Stocking details'!$F$6:$F$3307,'Stocking details'!$I$6:$I$3307,G1930)</x:f>
        <x:v>586105</x:v>
      </x:c>
      <x:c r="F1930" s="13" t="n">
        <x:f>COUNTIFS('Stocking details'!$I$6:$I$3307,G1930)</x:f>
        <x:v>2</x:v>
      </x:c>
      <x:c r="G1930" s="8" t="str">
        <x:f>B1930&amp;" / "&amp;C1930&amp;" / "&amp;D1930</x:f>
        <x:v>5952 / 2023 / WALLEYE</x:v>
      </x:c>
    </x:row>
    <x:row r="1931" ht="23" customHeight="1">
      <x:c r="A1931" s="8" t="str">
        <x:v>Sylvan Lake</x:v>
      </x:c>
      <x:c r="B1931" s="8" t="str">
        <x:v>5952</x:v>
      </x:c>
      <x:c r="C1931" s="17" t="n">
        <x:v>2022</x:v>
      </x:c>
      <x:c r="D1931" s="8" t="str">
        <x:v>WALLEYE</x:v>
      </x:c>
      <x:c r="E1931" s="13" t="n">
        <x:f>SUMIFS('Stocking details'!$F$6:$F$3307,'Stocking details'!$I$6:$I$3307,G1931)</x:f>
        <x:v>428000</x:v>
      </x:c>
      <x:c r="F1931" s="13" t="n">
        <x:f>COUNTIFS('Stocking details'!$I$6:$I$3307,G1931)</x:f>
        <x:v>1</x:v>
      </x:c>
      <x:c r="G1931" s="8" t="str">
        <x:f>B1931&amp;" / "&amp;C1931&amp;" / "&amp;D1931</x:f>
        <x:v>5952 / 2022 / WALLEYE</x:v>
      </x:c>
    </x:row>
    <x:row r="1932" ht="23" customHeight="1">
      <x:c r="A1932" s="8" t="str">
        <x:v>Sylvan Lake</x:v>
      </x:c>
      <x:c r="B1932" s="8" t="str">
        <x:v>5952</x:v>
      </x:c>
      <x:c r="C1932" s="17" t="n">
        <x:v>2021</x:v>
      </x:c>
      <x:c r="D1932" s="8" t="str">
        <x:v>WALLEYE</x:v>
      </x:c>
      <x:c r="E1932" s="13" t="n">
        <x:f>SUMIFS('Stocking details'!$F$6:$F$3307,'Stocking details'!$I$6:$I$3307,G1932)</x:f>
        <x:v>527853</x:v>
      </x:c>
      <x:c r="F1932" s="13" t="n">
        <x:f>COUNTIFS('Stocking details'!$I$6:$I$3307,G1932)</x:f>
        <x:v>3</x:v>
      </x:c>
      <x:c r="G1932" s="8" t="str">
        <x:f>B1932&amp;" / "&amp;C1932&amp;" / "&amp;D1932</x:f>
        <x:v>5952 / 2021 / WALLEYE</x:v>
      </x:c>
    </x:row>
    <x:row r="1933" ht="23" customHeight="1">
      <x:c r="A1933" s="8" t="str">
        <x:v>Taber Trout Pond</x:v>
      </x:c>
      <x:c r="B1933" s="8" t="str">
        <x:v>318138</x:v>
      </x:c>
      <x:c r="C1933" s="17" t="n">
        <x:v>2026</x:v>
      </x:c>
      <x:c r="D1933" s="8" t="str">
        <x:v>RAINBOW TROUT</x:v>
      </x:c>
      <x:c r="E1933" s="13" t="n">
        <x:f>SUMIFS('Stocking details'!$F$6:$F$3307,'Stocking details'!$I$6:$I$3307,G1933)</x:f>
        <x:v>2500</x:v>
      </x:c>
      <x:c r="F1933" s="13" t="n">
        <x:f>COUNTIFS('Stocking details'!$I$6:$I$3307,G1933)</x:f>
        <x:v>1</x:v>
      </x:c>
      <x:c r="G1933" s="8" t="str">
        <x:f>B1933&amp;" / "&amp;C1933&amp;" / "&amp;D1933</x:f>
        <x:v>318138 / 2026 / RAINBOW TROUT</x:v>
      </x:c>
    </x:row>
    <x:row r="1934" ht="23" customHeight="1">
      <x:c r="A1934" s="8" t="str">
        <x:v>Taber Trout Pond</x:v>
      </x:c>
      <x:c r="B1934" s="8" t="str">
        <x:v>318138</x:v>
      </x:c>
      <x:c r="C1934" s="17" t="n">
        <x:v>2025</x:v>
      </x:c>
      <x:c r="D1934" s="8" t="str">
        <x:v>RAINBOW TROUT</x:v>
      </x:c>
      <x:c r="E1934" s="13" t="n">
        <x:f>SUMIFS('Stocking details'!$F$6:$F$3307,'Stocking details'!$I$6:$I$3307,G1934)</x:f>
        <x:v>5050</x:v>
      </x:c>
      <x:c r="F1934" s="13" t="n">
        <x:f>COUNTIFS('Stocking details'!$I$6:$I$3307,G1934)</x:f>
        <x:v>3</x:v>
      </x:c>
      <x:c r="G1934" s="8" t="str">
        <x:f>B1934&amp;" / "&amp;C1934&amp;" / "&amp;D1934</x:f>
        <x:v>318138 / 2025 / RAINBOW TROUT</x:v>
      </x:c>
    </x:row>
    <x:row r="1935" ht="23" customHeight="1">
      <x:c r="A1935" s="8" t="str">
        <x:v>Taber Trout Pond</x:v>
      </x:c>
      <x:c r="B1935" s="8" t="str">
        <x:v>318138</x:v>
      </x:c>
      <x:c r="C1935" s="17" t="n">
        <x:v>2024</x:v>
      </x:c>
      <x:c r="D1935" s="8" t="str">
        <x:v>RAINBOW TROUT</x:v>
      </x:c>
      <x:c r="E1935" s="13" t="n">
        <x:f>SUMIFS('Stocking details'!$F$6:$F$3307,'Stocking details'!$I$6:$I$3307,G1935)</x:f>
        <x:v>5060</x:v>
      </x:c>
      <x:c r="F1935" s="13" t="n">
        <x:f>COUNTIFS('Stocking details'!$I$6:$I$3307,G1935)</x:f>
        <x:v>3</x:v>
      </x:c>
      <x:c r="G1935" s="8" t="str">
        <x:f>B1935&amp;" / "&amp;C1935&amp;" / "&amp;D1935</x:f>
        <x:v>318138 / 2024 / RAINBOW TROUT</x:v>
      </x:c>
    </x:row>
    <x:row r="1936" ht="23" customHeight="1">
      <x:c r="A1936" s="8" t="str">
        <x:v>Taber Trout Pond</x:v>
      </x:c>
      <x:c r="B1936" s="8" t="str">
        <x:v>318138</x:v>
      </x:c>
      <x:c r="C1936" s="17" t="n">
        <x:v>2023</x:v>
      </x:c>
      <x:c r="D1936" s="8" t="str">
        <x:v>RAINBOW TROUT</x:v>
      </x:c>
      <x:c r="E1936" s="13" t="n">
        <x:f>SUMIFS('Stocking details'!$F$6:$F$3307,'Stocking details'!$I$6:$I$3307,G1936)</x:f>
        <x:v>5190</x:v>
      </x:c>
      <x:c r="F1936" s="13" t="n">
        <x:f>COUNTIFS('Stocking details'!$I$6:$I$3307,G1936)</x:f>
        <x:v>2</x:v>
      </x:c>
      <x:c r="G1936" s="8" t="str">
        <x:f>B1936&amp;" / "&amp;C1936&amp;" / "&amp;D1936</x:f>
        <x:v>318138 / 2023 / RAINBOW TROUT</x:v>
      </x:c>
    </x:row>
    <x:row r="1937" ht="23" customHeight="1">
      <x:c r="A1937" s="8" t="str">
        <x:v>Taber Trout Pond</x:v>
      </x:c>
      <x:c r="B1937" s="8" t="str">
        <x:v>318138</x:v>
      </x:c>
      <x:c r="C1937" s="17" t="n">
        <x:v>2021</x:v>
      </x:c>
      <x:c r="D1937" s="8" t="str">
        <x:v>RAINBOW TROUT</x:v>
      </x:c>
      <x:c r="E1937" s="13" t="n">
        <x:f>SUMIFS('Stocking details'!$F$6:$F$3307,'Stocking details'!$I$6:$I$3307,G1937)</x:f>
        <x:v>5100</x:v>
      </x:c>
      <x:c r="F1937" s="13" t="n">
        <x:f>COUNTIFS('Stocking details'!$I$6:$I$3307,G1937)</x:f>
        <x:v>3</x:v>
      </x:c>
      <x:c r="G1937" s="8" t="str">
        <x:f>B1937&amp;" / "&amp;C1937&amp;" / "&amp;D1937</x:f>
        <x:v>318138 / 2021 / RAINBOW TROUT</x:v>
      </x:c>
    </x:row>
    <x:row r="1938" ht="23" customHeight="1">
      <x:c r="A1938" s="8" t="str">
        <x:v>Talus Lake</x:v>
      </x:c>
      <x:c r="B1938" s="8" t="str">
        <x:v>6632</x:v>
      </x:c>
      <x:c r="C1938" s="17" t="n">
        <x:v>2021</x:v>
      </x:c>
      <x:c r="D1938" s="8" t="str">
        <x:v>CUTTHROAT TROUT</x:v>
      </x:c>
      <x:c r="E1938" s="13" t="n">
        <x:f>SUMIFS('Stocking details'!$F$6:$F$3307,'Stocking details'!$I$6:$I$3307,G1938)</x:f>
        <x:v>300</x:v>
      </x:c>
      <x:c r="F1938" s="13" t="n">
        <x:f>COUNTIFS('Stocking details'!$I$6:$I$3307,G1938)</x:f>
        <x:v>1</x:v>
      </x:c>
      <x:c r="G1938" s="8" t="str">
        <x:f>B1938&amp;" / "&amp;C1938&amp;" / "&amp;D1938</x:f>
        <x:v>6632 / 2021 / CUTTHROAT TROUT</x:v>
      </x:c>
    </x:row>
    <x:row r="1939" ht="23" customHeight="1">
      <x:c r="A1939" s="8" t="str">
        <x:v>Tamarack Lake</x:v>
      </x:c>
      <x:c r="B1939" s="8" t="str">
        <x:v>6635</x:v>
      </x:c>
      <x:c r="C1939" s="17" t="n">
        <x:v>2025</x:v>
      </x:c>
      <x:c r="D1939" s="8" t="str">
        <x:v>RAINBOW TROUT</x:v>
      </x:c>
      <x:c r="E1939" s="13" t="n">
        <x:f>SUMIFS('Stocking details'!$F$6:$F$3307,'Stocking details'!$I$6:$I$3307,G1939)</x:f>
        <x:v>8000</x:v>
      </x:c>
      <x:c r="F1939" s="13" t="n">
        <x:f>COUNTIFS('Stocking details'!$I$6:$I$3307,G1939)</x:f>
        <x:v>1</x:v>
      </x:c>
      <x:c r="G1939" s="8" t="str">
        <x:f>B1939&amp;" / "&amp;C1939&amp;" / "&amp;D1939</x:f>
        <x:v>6635 / 2025 / RAINBOW TROUT</x:v>
      </x:c>
    </x:row>
    <x:row r="1940" ht="23" customHeight="1">
      <x:c r="A1940" s="8" t="str">
        <x:v>Tamarack Lake</x:v>
      </x:c>
      <x:c r="B1940" s="8" t="str">
        <x:v>6635</x:v>
      </x:c>
      <x:c r="C1940" s="17" t="n">
        <x:v>2024</x:v>
      </x:c>
      <x:c r="D1940" s="8" t="str">
        <x:v>RAINBOW TROUT</x:v>
      </x:c>
      <x:c r="E1940" s="13" t="n">
        <x:f>SUMIFS('Stocking details'!$F$6:$F$3307,'Stocking details'!$I$6:$I$3307,G1940)</x:f>
        <x:v>8000</x:v>
      </x:c>
      <x:c r="F1940" s="13" t="n">
        <x:f>COUNTIFS('Stocking details'!$I$6:$I$3307,G1940)</x:f>
        <x:v>1</x:v>
      </x:c>
      <x:c r="G1940" s="8" t="str">
        <x:f>B1940&amp;" / "&amp;C1940&amp;" / "&amp;D1940</x:f>
        <x:v>6635 / 2024 / RAINBOW TROUT</x:v>
      </x:c>
    </x:row>
    <x:row r="1941" ht="23" customHeight="1">
      <x:c r="A1941" s="8" t="str">
        <x:v>Tamarack Lake</x:v>
      </x:c>
      <x:c r="B1941" s="8" t="str">
        <x:v>6635</x:v>
      </x:c>
      <x:c r="C1941" s="17" t="n">
        <x:v>2023</x:v>
      </x:c>
      <x:c r="D1941" s="8" t="str">
        <x:v>RAINBOW TROUT</x:v>
      </x:c>
      <x:c r="E1941" s="13" t="n">
        <x:f>SUMIFS('Stocking details'!$F$6:$F$3307,'Stocking details'!$I$6:$I$3307,G1941)</x:f>
        <x:v>8000</x:v>
      </x:c>
      <x:c r="F1941" s="13" t="n">
        <x:f>COUNTIFS('Stocking details'!$I$6:$I$3307,G1941)</x:f>
        <x:v>1</x:v>
      </x:c>
      <x:c r="G1941" s="8" t="str">
        <x:f>B1941&amp;" / "&amp;C1941&amp;" / "&amp;D1941</x:f>
        <x:v>6635 / 2023 / RAINBOW TROUT</x:v>
      </x:c>
    </x:row>
    <x:row r="1942" ht="23" customHeight="1">
      <x:c r="A1942" s="8" t="str">
        <x:v>Tamarack Lake</x:v>
      </x:c>
      <x:c r="B1942" s="8" t="str">
        <x:v>6635</x:v>
      </x:c>
      <x:c r="C1942" s="17" t="n">
        <x:v>2022</x:v>
      </x:c>
      <x:c r="D1942" s="8" t="str">
        <x:v>RAINBOW TROUT</x:v>
      </x:c>
      <x:c r="E1942" s="13" t="n">
        <x:f>SUMIFS('Stocking details'!$F$6:$F$3307,'Stocking details'!$I$6:$I$3307,G1942)</x:f>
        <x:v>8000</x:v>
      </x:c>
      <x:c r="F1942" s="13" t="n">
        <x:f>COUNTIFS('Stocking details'!$I$6:$I$3307,G1942)</x:f>
        <x:v>1</x:v>
      </x:c>
      <x:c r="G1942" s="8" t="str">
        <x:f>B1942&amp;" / "&amp;C1942&amp;" / "&amp;D1942</x:f>
        <x:v>6635 / 2022 / RAINBOW TROUT</x:v>
      </x:c>
    </x:row>
    <x:row r="1943" ht="23" customHeight="1">
      <x:c r="A1943" s="8" t="str">
        <x:v>Tamarack Lake</x:v>
      </x:c>
      <x:c r="B1943" s="8" t="str">
        <x:v>6635</x:v>
      </x:c>
      <x:c r="C1943" s="17" t="n">
        <x:v>2021</x:v>
      </x:c>
      <x:c r="D1943" s="8" t="str">
        <x:v>RAINBOW TROUT</x:v>
      </x:c>
      <x:c r="E1943" s="13" t="n">
        <x:f>SUMIFS('Stocking details'!$F$6:$F$3307,'Stocking details'!$I$6:$I$3307,G1943)</x:f>
        <x:v>8000</x:v>
      </x:c>
      <x:c r="F1943" s="13" t="n">
        <x:f>COUNTIFS('Stocking details'!$I$6:$I$3307,G1943)</x:f>
        <x:v>1</x:v>
      </x:c>
      <x:c r="G1943" s="8" t="str">
        <x:f>B1943&amp;" / "&amp;C1943&amp;" / "&amp;D1943</x:f>
        <x:v>6635 / 2021 / RAINBOW TROUT</x:v>
      </x:c>
    </x:row>
    <x:row r="1944" ht="23" customHeight="1">
      <x:c r="A1944" s="8" t="str">
        <x:v>Tay Lake</x:v>
      </x:c>
      <x:c r="B1944" s="8" t="str">
        <x:v>5968</x:v>
      </x:c>
      <x:c r="C1944" s="17" t="n">
        <x:v>2026</x:v>
      </x:c>
      <x:c r="D1944" s="8" t="str">
        <x:v>RAINBOW TROUT</x:v>
      </x:c>
      <x:c r="E1944" s="13" t="n">
        <x:f>SUMIFS('Stocking details'!$F$6:$F$3307,'Stocking details'!$I$6:$I$3307,G1944)</x:f>
        <x:v>5000</x:v>
      </x:c>
      <x:c r="F1944" s="13" t="n">
        <x:f>COUNTIFS('Stocking details'!$I$6:$I$3307,G1944)</x:f>
        <x:v>1</x:v>
      </x:c>
      <x:c r="G1944" s="8" t="str">
        <x:f>B1944&amp;" / "&amp;C1944&amp;" / "&amp;D1944</x:f>
        <x:v>5968 / 2026 / RAINBOW TROUT</x:v>
      </x:c>
    </x:row>
    <x:row r="1945" ht="23" customHeight="1">
      <x:c r="A1945" s="8" t="str">
        <x:v>Tay Lake</x:v>
      </x:c>
      <x:c r="B1945" s="8" t="str">
        <x:v>5968</x:v>
      </x:c>
      <x:c r="C1945" s="17" t="n">
        <x:v>2025</x:v>
      </x:c>
      <x:c r="D1945" s="8" t="str">
        <x:v>RAINBOW TROUT</x:v>
      </x:c>
      <x:c r="E1945" s="13" t="n">
        <x:f>SUMIFS('Stocking details'!$F$6:$F$3307,'Stocking details'!$I$6:$I$3307,G1945)</x:f>
        <x:v>5000</x:v>
      </x:c>
      <x:c r="F1945" s="13" t="n">
        <x:f>COUNTIFS('Stocking details'!$I$6:$I$3307,G1945)</x:f>
        <x:v>1</x:v>
      </x:c>
      <x:c r="G1945" s="8" t="str">
        <x:f>B1945&amp;" / "&amp;C1945&amp;" / "&amp;D1945</x:f>
        <x:v>5968 / 2025 / RAINBOW TROUT</x:v>
      </x:c>
    </x:row>
    <x:row r="1946" ht="23" customHeight="1">
      <x:c r="A1946" s="8" t="str">
        <x:v>Tay Lake</x:v>
      </x:c>
      <x:c r="B1946" s="8" t="str">
        <x:v>5968</x:v>
      </x:c>
      <x:c r="C1946" s="17" t="n">
        <x:v>2024</x:v>
      </x:c>
      <x:c r="D1946" s="8" t="str">
        <x:v>RAINBOW TROUT</x:v>
      </x:c>
      <x:c r="E1946" s="13" t="n">
        <x:f>SUMIFS('Stocking details'!$F$6:$F$3307,'Stocking details'!$I$6:$I$3307,G1946)</x:f>
        <x:v>2500</x:v>
      </x:c>
      <x:c r="F1946" s="13" t="n">
        <x:f>COUNTIFS('Stocking details'!$I$6:$I$3307,G1946)</x:f>
        <x:v>1</x:v>
      </x:c>
      <x:c r="G1946" s="8" t="str">
        <x:f>B1946&amp;" / "&amp;C1946&amp;" / "&amp;D1946</x:f>
        <x:v>5968 / 2024 / RAINBOW TROUT</x:v>
      </x:c>
    </x:row>
    <x:row r="1947" ht="23" customHeight="1">
      <x:c r="A1947" s="8" t="str">
        <x:v>Tay Lake</x:v>
      </x:c>
      <x:c r="B1947" s="8" t="str">
        <x:v>5968</x:v>
      </x:c>
      <x:c r="C1947" s="17" t="n">
        <x:v>2023</x:v>
      </x:c>
      <x:c r="D1947" s="8" t="str">
        <x:v>RAINBOW TROUT</x:v>
      </x:c>
      <x:c r="E1947" s="13" t="n">
        <x:f>SUMIFS('Stocking details'!$F$6:$F$3307,'Stocking details'!$I$6:$I$3307,G1947)</x:f>
        <x:v>2370</x:v>
      </x:c>
      <x:c r="F1947" s="13" t="n">
        <x:f>COUNTIFS('Stocking details'!$I$6:$I$3307,G1947)</x:f>
        <x:v>1</x:v>
      </x:c>
      <x:c r="G1947" s="8" t="str">
        <x:f>B1947&amp;" / "&amp;C1947&amp;" / "&amp;D1947</x:f>
        <x:v>5968 / 2023 / RAINBOW TROUT</x:v>
      </x:c>
    </x:row>
    <x:row r="1948" ht="23" customHeight="1">
      <x:c r="A1948" s="8" t="str">
        <x:v>Tay Lake</x:v>
      </x:c>
      <x:c r="B1948" s="8" t="str">
        <x:v>5968</x:v>
      </x:c>
      <x:c r="C1948" s="17" t="n">
        <x:v>2022</x:v>
      </x:c>
      <x:c r="D1948" s="8" t="str">
        <x:v>RAINBOW TROUT</x:v>
      </x:c>
      <x:c r="E1948" s="13" t="n">
        <x:f>SUMIFS('Stocking details'!$F$6:$F$3307,'Stocking details'!$I$6:$I$3307,G1948)</x:f>
        <x:v>5000</x:v>
      </x:c>
      <x:c r="F1948" s="13" t="n">
        <x:f>COUNTIFS('Stocking details'!$I$6:$I$3307,G1948)</x:f>
        <x:v>1</x:v>
      </x:c>
      <x:c r="G1948" s="8" t="str">
        <x:f>B1948&amp;" / "&amp;C1948&amp;" / "&amp;D1948</x:f>
        <x:v>5968 / 2022 / RAINBOW TROUT</x:v>
      </x:c>
    </x:row>
    <x:row r="1949" ht="23" customHeight="1">
      <x:c r="A1949" s="8" t="str">
        <x:v>Tay Lake</x:v>
      </x:c>
      <x:c r="B1949" s="8" t="str">
        <x:v>5968</x:v>
      </x:c>
      <x:c r="C1949" s="17" t="n">
        <x:v>2021</x:v>
      </x:c>
      <x:c r="D1949" s="8" t="str">
        <x:v>RAINBOW TROUT</x:v>
      </x:c>
      <x:c r="E1949" s="13" t="n">
        <x:f>SUMIFS('Stocking details'!$F$6:$F$3307,'Stocking details'!$I$6:$I$3307,G1949)</x:f>
        <x:v>5100</x:v>
      </x:c>
      <x:c r="F1949" s="13" t="n">
        <x:f>COUNTIFS('Stocking details'!$I$6:$I$3307,G1949)</x:f>
        <x:v>1</x:v>
      </x:c>
      <x:c r="G1949" s="8" t="str">
        <x:f>B1949&amp;" / "&amp;C1949&amp;" / "&amp;D1949</x:f>
        <x:v>5968 / 2021 / RAINBOW TROUT</x:v>
      </x:c>
    </x:row>
    <x:row r="1950" ht="23" customHeight="1">
      <x:c r="A1950" s="8" t="str">
        <x:v>Tea Lakes</x:v>
      </x:c>
      <x:c r="B1950" s="8" t="str">
        <x:v>5971</x:v>
      </x:c>
      <x:c r="C1950" s="17" t="n">
        <x:v>2025</x:v>
      </x:c>
      <x:c r="D1950" s="8" t="str">
        <x:v>RAINBOW TROUT</x:v>
      </x:c>
      <x:c r="E1950" s="13" t="n">
        <x:f>SUMIFS('Stocking details'!$F$6:$F$3307,'Stocking details'!$I$6:$I$3307,G1950)</x:f>
        <x:v>6000</x:v>
      </x:c>
      <x:c r="F1950" s="13" t="n">
        <x:f>COUNTIFS('Stocking details'!$I$6:$I$3307,G1950)</x:f>
        <x:v>1</x:v>
      </x:c>
      <x:c r="G1950" s="8" t="str">
        <x:f>B1950&amp;" / "&amp;C1950&amp;" / "&amp;D1950</x:f>
        <x:v>5971 / 2025 / RAINBOW TROUT</x:v>
      </x:c>
    </x:row>
    <x:row r="1951" ht="23" customHeight="1">
      <x:c r="A1951" s="8" t="str">
        <x:v>Tea Lakes</x:v>
      </x:c>
      <x:c r="B1951" s="8" t="str">
        <x:v>5971</x:v>
      </x:c>
      <x:c r="C1951" s="17" t="n">
        <x:v>2022</x:v>
      </x:c>
      <x:c r="D1951" s="8" t="str">
        <x:v>RAINBOW TROUT</x:v>
      </x:c>
      <x:c r="E1951" s="13" t="n">
        <x:f>SUMIFS('Stocking details'!$F$6:$F$3307,'Stocking details'!$I$6:$I$3307,G1951)</x:f>
        <x:v>6000</x:v>
      </x:c>
      <x:c r="F1951" s="13" t="n">
        <x:f>COUNTIFS('Stocking details'!$I$6:$I$3307,G1951)</x:f>
        <x:v>1</x:v>
      </x:c>
      <x:c r="G1951" s="8" t="str">
        <x:f>B1951&amp;" / "&amp;C1951&amp;" / "&amp;D1951</x:f>
        <x:v>5971 / 2022 / RAINBOW TROUT</x:v>
      </x:c>
    </x:row>
    <x:row r="1952" ht="23" customHeight="1">
      <x:c r="A1952" s="8" t="str">
        <x:v>Tees Fish Pond</x:v>
      </x:c>
      <x:c r="B1952" s="8" t="str">
        <x:v>6718</x:v>
      </x:c>
      <x:c r="C1952" s="17" t="n">
        <x:v>2026</x:v>
      </x:c>
      <x:c r="D1952" s="8" t="str">
        <x:v>RAINBOW TROUT</x:v>
      </x:c>
      <x:c r="E1952" s="13" t="n">
        <x:f>SUMIFS('Stocking details'!$F$6:$F$3307,'Stocking details'!$I$6:$I$3307,G1952)</x:f>
        <x:v>400</x:v>
      </x:c>
      <x:c r="F1952" s="13" t="n">
        <x:f>COUNTIFS('Stocking details'!$I$6:$I$3307,G1952)</x:f>
        <x:v>1</x:v>
      </x:c>
      <x:c r="G1952" s="8" t="str">
        <x:f>B1952&amp;" / "&amp;C1952&amp;" / "&amp;D1952</x:f>
        <x:v>6718 / 2026 / RAINBOW TROUT</x:v>
      </x:c>
    </x:row>
    <x:row r="1953" ht="23" customHeight="1">
      <x:c r="A1953" s="8" t="str">
        <x:v>Tees Fish Pond</x:v>
      </x:c>
      <x:c r="B1953" s="8" t="str">
        <x:v>6718</x:v>
      </x:c>
      <x:c r="C1953" s="17" t="n">
        <x:v>2025</x:v>
      </x:c>
      <x:c r="D1953" s="8" t="str">
        <x:v>RAINBOW TROUT</x:v>
      </x:c>
      <x:c r="E1953" s="13" t="n">
        <x:f>SUMIFS('Stocking details'!$F$6:$F$3307,'Stocking details'!$I$6:$I$3307,G1953)</x:f>
        <x:v>400</x:v>
      </x:c>
      <x:c r="F1953" s="13" t="n">
        <x:f>COUNTIFS('Stocking details'!$I$6:$I$3307,G1953)</x:f>
        <x:v>1</x:v>
      </x:c>
      <x:c r="G1953" s="8" t="str">
        <x:f>B1953&amp;" / "&amp;C1953&amp;" / "&amp;D1953</x:f>
        <x:v>6718 / 2025 / RAINBOW TROUT</x:v>
      </x:c>
    </x:row>
    <x:row r="1954" ht="23" customHeight="1">
      <x:c r="A1954" s="8" t="str">
        <x:v>Tees Fish Pond</x:v>
      </x:c>
      <x:c r="B1954" s="8" t="str">
        <x:v>6718</x:v>
      </x:c>
      <x:c r="C1954" s="17" t="n">
        <x:v>2024</x:v>
      </x:c>
      <x:c r="D1954" s="8" t="str">
        <x:v>RAINBOW TROUT</x:v>
      </x:c>
      <x:c r="E1954" s="13" t="n">
        <x:f>SUMIFS('Stocking details'!$F$6:$F$3307,'Stocking details'!$I$6:$I$3307,G1954)</x:f>
        <x:v>400</x:v>
      </x:c>
      <x:c r="F1954" s="13" t="n">
        <x:f>COUNTIFS('Stocking details'!$I$6:$I$3307,G1954)</x:f>
        <x:v>1</x:v>
      </x:c>
      <x:c r="G1954" s="8" t="str">
        <x:f>B1954&amp;" / "&amp;C1954&amp;" / "&amp;D1954</x:f>
        <x:v>6718 / 2024 / RAINBOW TROUT</x:v>
      </x:c>
    </x:row>
    <x:row r="1955" ht="23" customHeight="1">
      <x:c r="A1955" s="8" t="str">
        <x:v>Tees Fish Pond</x:v>
      </x:c>
      <x:c r="B1955" s="8" t="str">
        <x:v>6718</x:v>
      </x:c>
      <x:c r="C1955" s="17" t="n">
        <x:v>2023</x:v>
      </x:c>
      <x:c r="D1955" s="8" t="str">
        <x:v>RAINBOW TROUT</x:v>
      </x:c>
      <x:c r="E1955" s="13" t="n">
        <x:f>SUMIFS('Stocking details'!$F$6:$F$3307,'Stocking details'!$I$6:$I$3307,G1955)</x:f>
        <x:v>400</x:v>
      </x:c>
      <x:c r="F1955" s="13" t="n">
        <x:f>COUNTIFS('Stocking details'!$I$6:$I$3307,G1955)</x:f>
        <x:v>1</x:v>
      </x:c>
      <x:c r="G1955" s="8" t="str">
        <x:f>B1955&amp;" / "&amp;C1955&amp;" / "&amp;D1955</x:f>
        <x:v>6718 / 2023 / RAINBOW TROUT</x:v>
      </x:c>
    </x:row>
    <x:row r="1956" ht="23" customHeight="1">
      <x:c r="A1956" s="8" t="str">
        <x:v>Tees Fish Pond</x:v>
      </x:c>
      <x:c r="B1956" s="8" t="str">
        <x:v>6718</x:v>
      </x:c>
      <x:c r="C1956" s="17" t="n">
        <x:v>2022</x:v>
      </x:c>
      <x:c r="D1956" s="8" t="str">
        <x:v>RAINBOW TROUT</x:v>
      </x:c>
      <x:c r="E1956" s="13" t="n">
        <x:f>SUMIFS('Stocking details'!$F$6:$F$3307,'Stocking details'!$I$6:$I$3307,G1956)</x:f>
        <x:v>450</x:v>
      </x:c>
      <x:c r="F1956" s="13" t="n">
        <x:f>COUNTIFS('Stocking details'!$I$6:$I$3307,G1956)</x:f>
        <x:v>1</x:v>
      </x:c>
      <x:c r="G1956" s="8" t="str">
        <x:f>B1956&amp;" / "&amp;C1956&amp;" / "&amp;D1956</x:f>
        <x:v>6718 / 2022 / RAINBOW TROUT</x:v>
      </x:c>
    </x:row>
    <x:row r="1957" ht="23" customHeight="1">
      <x:c r="A1957" s="8" t="str">
        <x:v>Tees Fish Pond</x:v>
      </x:c>
      <x:c r="B1957" s="8" t="str">
        <x:v>6718</x:v>
      </x:c>
      <x:c r="C1957" s="17" t="n">
        <x:v>2021</x:v>
      </x:c>
      <x:c r="D1957" s="8" t="str">
        <x:v>RAINBOW TROUT</x:v>
      </x:c>
      <x:c r="E1957" s="13" t="n">
        <x:f>SUMIFS('Stocking details'!$F$6:$F$3307,'Stocking details'!$I$6:$I$3307,G1957)</x:f>
        <x:v>450</x:v>
      </x:c>
      <x:c r="F1957" s="13" t="n">
        <x:f>COUNTIFS('Stocking details'!$I$6:$I$3307,G1957)</x:f>
        <x:v>1</x:v>
      </x:c>
      <x:c r="G1957" s="8" t="str">
        <x:f>B1957&amp;" / "&amp;C1957&amp;" / "&amp;D1957</x:f>
        <x:v>6718 / 2021 / RAINBOW TROUT</x:v>
      </x:c>
    </x:row>
    <x:row r="1958" ht="23" customHeight="1">
      <x:c r="A1958" s="8" t="str">
        <x:v>Telegraph Park Pond</x:v>
      </x:c>
      <x:c r="B1958" s="8" t="str">
        <x:v>6674</x:v>
      </x:c>
      <x:c r="C1958" s="17" t="n">
        <x:v>2026</x:v>
      </x:c>
      <x:c r="D1958" s="8" t="str">
        <x:v>BROOK TROUT</x:v>
      </x:c>
      <x:c r="E1958" s="13" t="n">
        <x:f>SUMIFS('Stocking details'!$F$6:$F$3307,'Stocking details'!$I$6:$I$3307,G1958)</x:f>
        <x:v>1200</x:v>
      </x:c>
      <x:c r="F1958" s="13" t="n">
        <x:f>COUNTIFS('Stocking details'!$I$6:$I$3307,G1958)</x:f>
        <x:v>1</x:v>
      </x:c>
      <x:c r="G1958" s="8" t="str">
        <x:f>B1958&amp;" / "&amp;C1958&amp;" / "&amp;D1958</x:f>
        <x:v>6674 / 2026 / BROOK TROUT</x:v>
      </x:c>
    </x:row>
    <x:row r="1959" ht="23" customHeight="1">
      <x:c r="A1959" s="8" t="str">
        <x:v>Telegraph Park Pond</x:v>
      </x:c>
      <x:c r="B1959" s="8" t="str">
        <x:v>6674</x:v>
      </x:c>
      <x:c r="C1959" s="17" t="n">
        <x:v>2026</x:v>
      </x:c>
      <x:c r="D1959" s="8" t="str">
        <x:v>BROWN TROUT</x:v>
      </x:c>
      <x:c r="E1959" s="13" t="n">
        <x:f>SUMIFS('Stocking details'!$F$6:$F$3307,'Stocking details'!$I$6:$I$3307,G1959)</x:f>
        <x:v>193</x:v>
      </x:c>
      <x:c r="F1959" s="13" t="n">
        <x:f>COUNTIFS('Stocking details'!$I$6:$I$3307,G1959)</x:f>
        <x:v>1</x:v>
      </x:c>
      <x:c r="G1959" s="8" t="str">
        <x:f>B1959&amp;" / "&amp;C1959&amp;" / "&amp;D1959</x:f>
        <x:v>6674 / 2026 / BROWN TROUT</x:v>
      </x:c>
    </x:row>
    <x:row r="1960" ht="23" customHeight="1">
      <x:c r="A1960" s="8" t="str">
        <x:v>Telegraph Park Pond</x:v>
      </x:c>
      <x:c r="B1960" s="8" t="str">
        <x:v>6674</x:v>
      </x:c>
      <x:c r="C1960" s="17" t="n">
        <x:v>2026</x:v>
      </x:c>
      <x:c r="D1960" s="8" t="str">
        <x:v>RAINBOW TROUT</x:v>
      </x:c>
      <x:c r="E1960" s="13" t="n">
        <x:f>SUMIFS('Stocking details'!$F$6:$F$3307,'Stocking details'!$I$6:$I$3307,G1960)</x:f>
        <x:v>1800</x:v>
      </x:c>
      <x:c r="F1960" s="13" t="n">
        <x:f>COUNTIFS('Stocking details'!$I$6:$I$3307,G1960)</x:f>
        <x:v>3</x:v>
      </x:c>
      <x:c r="G1960" s="8" t="str">
        <x:f>B1960&amp;" / "&amp;C1960&amp;" / "&amp;D1960</x:f>
        <x:v>6674 / 2026 / RAINBOW TROUT</x:v>
      </x:c>
    </x:row>
    <x:row r="1961" ht="23" customHeight="1">
      <x:c r="A1961" s="8" t="str">
        <x:v>Telegraph Park Pond</x:v>
      </x:c>
      <x:c r="B1961" s="8" t="str">
        <x:v>6674</x:v>
      </x:c>
      <x:c r="C1961" s="17" t="n">
        <x:v>2025</x:v>
      </x:c>
      <x:c r="D1961" s="8" t="str">
        <x:v>BROOK TROUT</x:v>
      </x:c>
      <x:c r="E1961" s="13" t="n">
        <x:f>SUMIFS('Stocking details'!$F$6:$F$3307,'Stocking details'!$I$6:$I$3307,G1961)</x:f>
        <x:v>1200</x:v>
      </x:c>
      <x:c r="F1961" s="13" t="n">
        <x:f>COUNTIFS('Stocking details'!$I$6:$I$3307,G1961)</x:f>
        <x:v>1</x:v>
      </x:c>
      <x:c r="G1961" s="8" t="str">
        <x:f>B1961&amp;" / "&amp;C1961&amp;" / "&amp;D1961</x:f>
        <x:v>6674 / 2025 / BROOK TROUT</x:v>
      </x:c>
    </x:row>
    <x:row r="1962" ht="23" customHeight="1">
      <x:c r="A1962" s="8" t="str">
        <x:v>Telegraph Park Pond</x:v>
      </x:c>
      <x:c r="B1962" s="8" t="str">
        <x:v>6674</x:v>
      </x:c>
      <x:c r="C1962" s="17" t="n">
        <x:v>2025</x:v>
      </x:c>
      <x:c r="D1962" s="8" t="str">
        <x:v>BROWN TROUT</x:v>
      </x:c>
      <x:c r="E1962" s="13" t="n">
        <x:f>SUMIFS('Stocking details'!$F$6:$F$3307,'Stocking details'!$I$6:$I$3307,G1962)</x:f>
        <x:v>193</x:v>
      </x:c>
      <x:c r="F1962" s="13" t="n">
        <x:f>COUNTIFS('Stocking details'!$I$6:$I$3307,G1962)</x:f>
        <x:v>1</x:v>
      </x:c>
      <x:c r="G1962" s="8" t="str">
        <x:f>B1962&amp;" / "&amp;C1962&amp;" / "&amp;D1962</x:f>
        <x:v>6674 / 2025 / BROWN TROUT</x:v>
      </x:c>
    </x:row>
    <x:row r="1963" ht="23" customHeight="1">
      <x:c r="A1963" s="8" t="str">
        <x:v>Telegraph Park Pond</x:v>
      </x:c>
      <x:c r="B1963" s="8" t="str">
        <x:v>6674</x:v>
      </x:c>
      <x:c r="C1963" s="17" t="n">
        <x:v>2025</x:v>
      </x:c>
      <x:c r="D1963" s="8" t="str">
        <x:v>RAINBOW TROUT</x:v>
      </x:c>
      <x:c r="E1963" s="13" t="n">
        <x:f>SUMIFS('Stocking details'!$F$6:$F$3307,'Stocking details'!$I$6:$I$3307,G1963)</x:f>
        <x:v>3677</x:v>
      </x:c>
      <x:c r="F1963" s="13" t="n">
        <x:f>COUNTIFS('Stocking details'!$I$6:$I$3307,G1963)</x:f>
        <x:v>4</x:v>
      </x:c>
      <x:c r="G1963" s="8" t="str">
        <x:f>B1963&amp;" / "&amp;C1963&amp;" / "&amp;D1963</x:f>
        <x:v>6674 / 2025 / RAINBOW TROUT</x:v>
      </x:c>
    </x:row>
    <x:row r="1964" ht="23" customHeight="1">
      <x:c r="A1964" s="8" t="str">
        <x:v>Telegraph Park Pond</x:v>
      </x:c>
      <x:c r="B1964" s="8" t="str">
        <x:v>6674</x:v>
      </x:c>
      <x:c r="C1964" s="17" t="n">
        <x:v>2024</x:v>
      </x:c>
      <x:c r="D1964" s="8" t="str">
        <x:v>BROOK TROUT</x:v>
      </x:c>
      <x:c r="E1964" s="13" t="n">
        <x:f>SUMIFS('Stocking details'!$F$6:$F$3307,'Stocking details'!$I$6:$I$3307,G1964)</x:f>
        <x:v>1200</x:v>
      </x:c>
      <x:c r="F1964" s="13" t="n">
        <x:f>COUNTIFS('Stocking details'!$I$6:$I$3307,G1964)</x:f>
        <x:v>2</x:v>
      </x:c>
      <x:c r="G1964" s="8" t="str">
        <x:f>B1964&amp;" / "&amp;C1964&amp;" / "&amp;D1964</x:f>
        <x:v>6674 / 2024 / BROOK TROUT</x:v>
      </x:c>
    </x:row>
    <x:row r="1965" ht="23" customHeight="1">
      <x:c r="A1965" s="8" t="str">
        <x:v>Telegraph Park Pond</x:v>
      </x:c>
      <x:c r="B1965" s="8" t="str">
        <x:v>6674</x:v>
      </x:c>
      <x:c r="C1965" s="17" t="n">
        <x:v>2024</x:v>
      </x:c>
      <x:c r="D1965" s="8" t="str">
        <x:v>BROWN TROUT</x:v>
      </x:c>
      <x:c r="E1965" s="13" t="n">
        <x:f>SUMIFS('Stocking details'!$F$6:$F$3307,'Stocking details'!$I$6:$I$3307,G1965)</x:f>
        <x:v>283</x:v>
      </x:c>
      <x:c r="F1965" s="13" t="n">
        <x:f>COUNTIFS('Stocking details'!$I$6:$I$3307,G1965)</x:f>
        <x:v>1</x:v>
      </x:c>
      <x:c r="G1965" s="8" t="str">
        <x:f>B1965&amp;" / "&amp;C1965&amp;" / "&amp;D1965</x:f>
        <x:v>6674 / 2024 / BROWN TROUT</x:v>
      </x:c>
    </x:row>
    <x:row r="1966" ht="23" customHeight="1">
      <x:c r="A1966" s="8" t="str">
        <x:v>Telegraph Park Pond</x:v>
      </x:c>
      <x:c r="B1966" s="8" t="str">
        <x:v>6674</x:v>
      </x:c>
      <x:c r="C1966" s="17" t="n">
        <x:v>2024</x:v>
      </x:c>
      <x:c r="D1966" s="8" t="str">
        <x:v>RAINBOW TROUT</x:v>
      </x:c>
      <x:c r="E1966" s="13" t="n">
        <x:f>SUMIFS('Stocking details'!$F$6:$F$3307,'Stocking details'!$I$6:$I$3307,G1966)</x:f>
        <x:v>2905</x:v>
      </x:c>
      <x:c r="F1966" s="13" t="n">
        <x:f>COUNTIFS('Stocking details'!$I$6:$I$3307,G1966)</x:f>
        <x:v>5</x:v>
      </x:c>
      <x:c r="G1966" s="8" t="str">
        <x:f>B1966&amp;" / "&amp;C1966&amp;" / "&amp;D1966</x:f>
        <x:v>6674 / 2024 / RAINBOW TROUT</x:v>
      </x:c>
    </x:row>
    <x:row r="1967" ht="23" customHeight="1">
      <x:c r="A1967" s="8" t="str">
        <x:v>Telegraph Park Pond</x:v>
      </x:c>
      <x:c r="B1967" s="8" t="str">
        <x:v>6674</x:v>
      </x:c>
      <x:c r="C1967" s="17" t="n">
        <x:v>2024</x:v>
      </x:c>
      <x:c r="D1967" s="8" t="str">
        <x:v>TIGER TROUT</x:v>
      </x:c>
      <x:c r="E1967" s="13" t="n">
        <x:f>SUMIFS('Stocking details'!$F$6:$F$3307,'Stocking details'!$I$6:$I$3307,G1967)</x:f>
        <x:v>200</x:v>
      </x:c>
      <x:c r="F1967" s="13" t="n">
        <x:f>COUNTIFS('Stocking details'!$I$6:$I$3307,G1967)</x:f>
        <x:v>1</x:v>
      </x:c>
      <x:c r="G1967" s="8" t="str">
        <x:f>B1967&amp;" / "&amp;C1967&amp;" / "&amp;D1967</x:f>
        <x:v>6674 / 2024 / TIGER TROUT</x:v>
      </x:c>
    </x:row>
    <x:row r="1968" ht="23" customHeight="1">
      <x:c r="A1968" s="8" t="str">
        <x:v>Telegraph Park Pond</x:v>
      </x:c>
      <x:c r="B1968" s="8" t="str">
        <x:v>6674</x:v>
      </x:c>
      <x:c r="C1968" s="17" t="n">
        <x:v>2023</x:v>
      </x:c>
      <x:c r="D1968" s="8" t="str">
        <x:v>BROOK TROUT</x:v>
      </x:c>
      <x:c r="E1968" s="13" t="n">
        <x:f>SUMIFS('Stocking details'!$F$6:$F$3307,'Stocking details'!$I$6:$I$3307,G1968)</x:f>
        <x:v>1200</x:v>
      </x:c>
      <x:c r="F1968" s="13" t="n">
        <x:f>COUNTIFS('Stocking details'!$I$6:$I$3307,G1968)</x:f>
        <x:v>1</x:v>
      </x:c>
      <x:c r="G1968" s="8" t="str">
        <x:f>B1968&amp;" / "&amp;C1968&amp;" / "&amp;D1968</x:f>
        <x:v>6674 / 2023 / BROOK TROUT</x:v>
      </x:c>
    </x:row>
    <x:row r="1969" ht="23" customHeight="1">
      <x:c r="A1969" s="8" t="str">
        <x:v>Telegraph Park Pond</x:v>
      </x:c>
      <x:c r="B1969" s="8" t="str">
        <x:v>6674</x:v>
      </x:c>
      <x:c r="C1969" s="17" t="n">
        <x:v>2023</x:v>
      </x:c>
      <x:c r="D1969" s="8" t="str">
        <x:v>BROWN TROUT</x:v>
      </x:c>
      <x:c r="E1969" s="13" t="n">
        <x:f>SUMIFS('Stocking details'!$F$6:$F$3307,'Stocking details'!$I$6:$I$3307,G1969)</x:f>
        <x:v>193</x:v>
      </x:c>
      <x:c r="F1969" s="13" t="n">
        <x:f>COUNTIFS('Stocking details'!$I$6:$I$3307,G1969)</x:f>
        <x:v>1</x:v>
      </x:c>
      <x:c r="G1969" s="8" t="str">
        <x:f>B1969&amp;" / "&amp;C1969&amp;" / "&amp;D1969</x:f>
        <x:v>6674 / 2023 / BROWN TROUT</x:v>
      </x:c>
    </x:row>
    <x:row r="1970" ht="23" customHeight="1">
      <x:c r="A1970" s="8" t="str">
        <x:v>Telegraph Park Pond</x:v>
      </x:c>
      <x:c r="B1970" s="8" t="str">
        <x:v>6674</x:v>
      </x:c>
      <x:c r="C1970" s="17" t="n">
        <x:v>2023</x:v>
      </x:c>
      <x:c r="D1970" s="8" t="str">
        <x:v>RAINBOW TROUT</x:v>
      </x:c>
      <x:c r="E1970" s="13" t="n">
        <x:f>SUMIFS('Stocking details'!$F$6:$F$3307,'Stocking details'!$I$6:$I$3307,G1970)</x:f>
        <x:v>1606</x:v>
      </x:c>
      <x:c r="F1970" s="13" t="n">
        <x:f>COUNTIFS('Stocking details'!$I$6:$I$3307,G1970)</x:f>
        <x:v>2</x:v>
      </x:c>
      <x:c r="G1970" s="8" t="str">
        <x:f>B1970&amp;" / "&amp;C1970&amp;" / "&amp;D1970</x:f>
        <x:v>6674 / 2023 / RAINBOW TROUT</x:v>
      </x:c>
    </x:row>
    <x:row r="1971" ht="23" customHeight="1">
      <x:c r="A1971" s="8" t="str">
        <x:v>Telegraph Park Pond</x:v>
      </x:c>
      <x:c r="B1971" s="8" t="str">
        <x:v>6674</x:v>
      </x:c>
      <x:c r="C1971" s="17" t="n">
        <x:v>2022</x:v>
      </x:c>
      <x:c r="D1971" s="8" t="str">
        <x:v>BROOK TROUT</x:v>
      </x:c>
      <x:c r="E1971" s="13" t="n">
        <x:f>SUMIFS('Stocking details'!$F$6:$F$3307,'Stocking details'!$I$6:$I$3307,G1971)</x:f>
        <x:v>1200</x:v>
      </x:c>
      <x:c r="F1971" s="13" t="n">
        <x:f>COUNTIFS('Stocking details'!$I$6:$I$3307,G1971)</x:f>
        <x:v>1</x:v>
      </x:c>
      <x:c r="G1971" s="8" t="str">
        <x:f>B1971&amp;" / "&amp;C1971&amp;" / "&amp;D1971</x:f>
        <x:v>6674 / 2022 / BROOK TROUT</x:v>
      </x:c>
    </x:row>
    <x:row r="1972" ht="23" customHeight="1">
      <x:c r="A1972" s="8" t="str">
        <x:v>Telegraph Park Pond</x:v>
      </x:c>
      <x:c r="B1972" s="8" t="str">
        <x:v>6674</x:v>
      </x:c>
      <x:c r="C1972" s="17" t="n">
        <x:v>2022</x:v>
      </x:c>
      <x:c r="D1972" s="8" t="str">
        <x:v>BROWN TROUT</x:v>
      </x:c>
      <x:c r="E1972" s="13" t="n">
        <x:f>SUMIFS('Stocking details'!$F$6:$F$3307,'Stocking details'!$I$6:$I$3307,G1972)</x:f>
        <x:v>193</x:v>
      </x:c>
      <x:c r="F1972" s="13" t="n">
        <x:f>COUNTIFS('Stocking details'!$I$6:$I$3307,G1972)</x:f>
        <x:v>1</x:v>
      </x:c>
      <x:c r="G1972" s="8" t="str">
        <x:f>B1972&amp;" / "&amp;C1972&amp;" / "&amp;D1972</x:f>
        <x:v>6674 / 2022 / BROWN TROUT</x:v>
      </x:c>
    </x:row>
    <x:row r="1973" ht="23" customHeight="1">
      <x:c r="A1973" s="8" t="str">
        <x:v>Telegraph Park Pond</x:v>
      </x:c>
      <x:c r="B1973" s="8" t="str">
        <x:v>6674</x:v>
      </x:c>
      <x:c r="C1973" s="17" t="n">
        <x:v>2022</x:v>
      </x:c>
      <x:c r="D1973" s="8" t="str">
        <x:v>RAINBOW TROUT</x:v>
      </x:c>
      <x:c r="E1973" s="13" t="n">
        <x:f>SUMIFS('Stocking details'!$F$6:$F$3307,'Stocking details'!$I$6:$I$3307,G1973)</x:f>
        <x:v>3300</x:v>
      </x:c>
      <x:c r="F1973" s="13" t="n">
        <x:f>COUNTIFS('Stocking details'!$I$6:$I$3307,G1973)</x:f>
        <x:v>3</x:v>
      </x:c>
      <x:c r="G1973" s="8" t="str">
        <x:f>B1973&amp;" / "&amp;C1973&amp;" / "&amp;D1973</x:f>
        <x:v>6674 / 2022 / RAINBOW TROUT</x:v>
      </x:c>
    </x:row>
    <x:row r="1974" ht="23" customHeight="1">
      <x:c r="A1974" s="8" t="str">
        <x:v>Telegraph Park Pond</x:v>
      </x:c>
      <x:c r="B1974" s="8" t="str">
        <x:v>6674</x:v>
      </x:c>
      <x:c r="C1974" s="17" t="n">
        <x:v>2021</x:v>
      </x:c>
      <x:c r="D1974" s="8" t="str">
        <x:v>BROOK TROUT</x:v>
      </x:c>
      <x:c r="E1974" s="13" t="n">
        <x:f>SUMIFS('Stocking details'!$F$6:$F$3307,'Stocking details'!$I$6:$I$3307,G1974)</x:f>
        <x:v>1200</x:v>
      </x:c>
      <x:c r="F1974" s="13" t="n">
        <x:f>COUNTIFS('Stocking details'!$I$6:$I$3307,G1974)</x:f>
        <x:v>1</x:v>
      </x:c>
      <x:c r="G1974" s="8" t="str">
        <x:f>B1974&amp;" / "&amp;C1974&amp;" / "&amp;D1974</x:f>
        <x:v>6674 / 2021 / BROOK TROUT</x:v>
      </x:c>
    </x:row>
    <x:row r="1975" ht="23" customHeight="1">
      <x:c r="A1975" s="8" t="str">
        <x:v>Telegraph Park Pond</x:v>
      </x:c>
      <x:c r="B1975" s="8" t="str">
        <x:v>6674</x:v>
      </x:c>
      <x:c r="C1975" s="17" t="n">
        <x:v>2021</x:v>
      </x:c>
      <x:c r="D1975" s="8" t="str">
        <x:v>BROWN TROUT</x:v>
      </x:c>
      <x:c r="E1975" s="13" t="n">
        <x:f>SUMIFS('Stocking details'!$F$6:$F$3307,'Stocking details'!$I$6:$I$3307,G1975)</x:f>
        <x:v>193</x:v>
      </x:c>
      <x:c r="F1975" s="13" t="n">
        <x:f>COUNTIFS('Stocking details'!$I$6:$I$3307,G1975)</x:f>
        <x:v>1</x:v>
      </x:c>
      <x:c r="G1975" s="8" t="str">
        <x:f>B1975&amp;" / "&amp;C1975&amp;" / "&amp;D1975</x:f>
        <x:v>6674 / 2021 / BROWN TROUT</x:v>
      </x:c>
    </x:row>
    <x:row r="1976" ht="23" customHeight="1">
      <x:c r="A1976" s="8" t="str">
        <x:v>Telegraph Park Pond</x:v>
      </x:c>
      <x:c r="B1976" s="8" t="str">
        <x:v>6674</x:v>
      </x:c>
      <x:c r="C1976" s="17" t="n">
        <x:v>2021</x:v>
      </x:c>
      <x:c r="D1976" s="8" t="str">
        <x:v>RAINBOW TROUT</x:v>
      </x:c>
      <x:c r="E1976" s="13" t="n">
        <x:f>SUMIFS('Stocking details'!$F$6:$F$3307,'Stocking details'!$I$6:$I$3307,G1976)</x:f>
        <x:v>2200</x:v>
      </x:c>
      <x:c r="F1976" s="13" t="n">
        <x:f>COUNTIFS('Stocking details'!$I$6:$I$3307,G1976)</x:f>
        <x:v>2</x:v>
      </x:c>
      <x:c r="G1976" s="8" t="str">
        <x:f>B1976&amp;" / "&amp;C1976&amp;" / "&amp;D1976</x:f>
        <x:v>6674 / 2021 / RAINBOW TROUT</x:v>
      </x:c>
    </x:row>
    <x:row r="1977" ht="23" customHeight="1">
      <x:c r="A1977" s="8" t="str">
        <x:v>Texaco East Pond</x:v>
      </x:c>
      <x:c r="B1977" s="8" t="str">
        <x:v>6636</x:v>
      </x:c>
      <x:c r="C1977" s="17" t="n">
        <x:v>2026</x:v>
      </x:c>
      <x:c r="D1977" s="8" t="str">
        <x:v>RAINBOW TROUT</x:v>
      </x:c>
      <x:c r="E1977" s="13" t="n">
        <x:f>SUMIFS('Stocking details'!$F$6:$F$3307,'Stocking details'!$I$6:$I$3307,G1977)</x:f>
        <x:v>2700</x:v>
      </x:c>
      <x:c r="F1977" s="13" t="n">
        <x:f>COUNTIFS('Stocking details'!$I$6:$I$3307,G1977)</x:f>
        <x:v>1</x:v>
      </x:c>
      <x:c r="G1977" s="8" t="str">
        <x:f>B1977&amp;" / "&amp;C1977&amp;" / "&amp;D1977</x:f>
        <x:v>6636 / 2026 / RAINBOW TROUT</x:v>
      </x:c>
    </x:row>
    <x:row r="1978" ht="23" customHeight="1">
      <x:c r="A1978" s="8" t="str">
        <x:v>Texaco East Pond</x:v>
      </x:c>
      <x:c r="B1978" s="8" t="str">
        <x:v>6636</x:v>
      </x:c>
      <x:c r="C1978" s="17" t="n">
        <x:v>2025</x:v>
      </x:c>
      <x:c r="D1978" s="8" t="str">
        <x:v>RAINBOW TROUT</x:v>
      </x:c>
      <x:c r="E1978" s="13" t="n">
        <x:f>SUMIFS('Stocking details'!$F$6:$F$3307,'Stocking details'!$I$6:$I$3307,G1978)</x:f>
        <x:v>2700</x:v>
      </x:c>
      <x:c r="F1978" s="13" t="n">
        <x:f>COUNTIFS('Stocking details'!$I$6:$I$3307,G1978)</x:f>
        <x:v>1</x:v>
      </x:c>
      <x:c r="G1978" s="8" t="str">
        <x:f>B1978&amp;" / "&amp;C1978&amp;" / "&amp;D1978</x:f>
        <x:v>6636 / 2025 / RAINBOW TROUT</x:v>
      </x:c>
    </x:row>
    <x:row r="1979" ht="23" customHeight="1">
      <x:c r="A1979" s="8" t="str">
        <x:v>Texaco East Pond</x:v>
      </x:c>
      <x:c r="B1979" s="8" t="str">
        <x:v>6636</x:v>
      </x:c>
      <x:c r="C1979" s="17" t="n">
        <x:v>2024</x:v>
      </x:c>
      <x:c r="D1979" s="8" t="str">
        <x:v>RAINBOW TROUT</x:v>
      </x:c>
      <x:c r="E1979" s="13" t="n">
        <x:f>SUMIFS('Stocking details'!$F$6:$F$3307,'Stocking details'!$I$6:$I$3307,G1979)</x:f>
        <x:v>1080</x:v>
      </x:c>
      <x:c r="F1979" s="13" t="n">
        <x:f>COUNTIFS('Stocking details'!$I$6:$I$3307,G1979)</x:f>
        <x:v>1</x:v>
      </x:c>
      <x:c r="G1979" s="8" t="str">
        <x:f>B1979&amp;" / "&amp;C1979&amp;" / "&amp;D1979</x:f>
        <x:v>6636 / 2024 / RAINBOW TROUT</x:v>
      </x:c>
    </x:row>
    <x:row r="1980" ht="23" customHeight="1">
      <x:c r="A1980" s="8" t="str">
        <x:v>Texaco East Pond</x:v>
      </x:c>
      <x:c r="B1980" s="8" t="str">
        <x:v>6636</x:v>
      </x:c>
      <x:c r="C1980" s="17" t="n">
        <x:v>2023</x:v>
      </x:c>
      <x:c r="D1980" s="8" t="str">
        <x:v>RAINBOW TROUT</x:v>
      </x:c>
      <x:c r="E1980" s="13" t="n">
        <x:f>SUMIFS('Stocking details'!$F$6:$F$3307,'Stocking details'!$I$6:$I$3307,G1980)</x:f>
        <x:v>1077</x:v>
      </x:c>
      <x:c r="F1980" s="13" t="n">
        <x:f>COUNTIFS('Stocking details'!$I$6:$I$3307,G1980)</x:f>
        <x:v>1</x:v>
      </x:c>
      <x:c r="G1980" s="8" t="str">
        <x:f>B1980&amp;" / "&amp;C1980&amp;" / "&amp;D1980</x:f>
        <x:v>6636 / 2023 / RAINBOW TROUT</x:v>
      </x:c>
    </x:row>
    <x:row r="1981" ht="23" customHeight="1">
      <x:c r="A1981" s="8" t="str">
        <x:v>Texaco East Pond</x:v>
      </x:c>
      <x:c r="B1981" s="8" t="str">
        <x:v>6636</x:v>
      </x:c>
      <x:c r="C1981" s="17" t="n">
        <x:v>2022</x:v>
      </x:c>
      <x:c r="D1981" s="8" t="str">
        <x:v>RAINBOW TROUT</x:v>
      </x:c>
      <x:c r="E1981" s="13" t="n">
        <x:f>SUMIFS('Stocking details'!$F$6:$F$3307,'Stocking details'!$I$6:$I$3307,G1981)</x:f>
        <x:v>2700</x:v>
      </x:c>
      <x:c r="F1981" s="13" t="n">
        <x:f>COUNTIFS('Stocking details'!$I$6:$I$3307,G1981)</x:f>
        <x:v>1</x:v>
      </x:c>
      <x:c r="G1981" s="8" t="str">
        <x:f>B1981&amp;" / "&amp;C1981&amp;" / "&amp;D1981</x:f>
        <x:v>6636 / 2022 / RAINBOW TROUT</x:v>
      </x:c>
    </x:row>
    <x:row r="1982" ht="23" customHeight="1">
      <x:c r="A1982" s="8" t="str">
        <x:v>Texaco East Pond</x:v>
      </x:c>
      <x:c r="B1982" s="8" t="str">
        <x:v>6636</x:v>
      </x:c>
      <x:c r="C1982" s="17" t="n">
        <x:v>2021</x:v>
      </x:c>
      <x:c r="D1982" s="8" t="str">
        <x:v>RAINBOW TROUT</x:v>
      </x:c>
      <x:c r="E1982" s="13" t="n">
        <x:f>SUMIFS('Stocking details'!$F$6:$F$3307,'Stocking details'!$I$6:$I$3307,G1982)</x:f>
        <x:v>2700</x:v>
      </x:c>
      <x:c r="F1982" s="13" t="n">
        <x:f>COUNTIFS('Stocking details'!$I$6:$I$3307,G1982)</x:f>
        <x:v>1</x:v>
      </x:c>
      <x:c r="G1982" s="8" t="str">
        <x:f>B1982&amp;" / "&amp;C1982&amp;" / "&amp;D1982</x:f>
        <x:v>6636 / 2021 / RAINBOW TROUT</x:v>
      </x:c>
    </x:row>
    <x:row r="1983" ht="23" customHeight="1">
      <x:c r="A1983" s="8" t="str">
        <x:v>Texaco Pond</x:v>
      </x:c>
      <x:c r="B1983" s="8" t="str">
        <x:v>6637</x:v>
      </x:c>
      <x:c r="C1983" s="17" t="n">
        <x:v>2026</x:v>
      </x:c>
      <x:c r="D1983" s="8" t="str">
        <x:v>RAINBOW TROUT</x:v>
      </x:c>
      <x:c r="E1983" s="13" t="n">
        <x:f>SUMIFS('Stocking details'!$F$6:$F$3307,'Stocking details'!$I$6:$I$3307,G1983)</x:f>
        <x:v>1500</x:v>
      </x:c>
      <x:c r="F1983" s="13" t="n">
        <x:f>COUNTIFS('Stocking details'!$I$6:$I$3307,G1983)</x:f>
        <x:v>1</x:v>
      </x:c>
      <x:c r="G1983" s="8" t="str">
        <x:f>B1983&amp;" / "&amp;C1983&amp;" / "&amp;D1983</x:f>
        <x:v>6637 / 2026 / RAINBOW TROUT</x:v>
      </x:c>
    </x:row>
    <x:row r="1984" ht="23" customHeight="1">
      <x:c r="A1984" s="8" t="str">
        <x:v>Texaco Pond</x:v>
      </x:c>
      <x:c r="B1984" s="8" t="str">
        <x:v>6637</x:v>
      </x:c>
      <x:c r="C1984" s="17" t="n">
        <x:v>2025</x:v>
      </x:c>
      <x:c r="D1984" s="8" t="str">
        <x:v>RAINBOW TROUT</x:v>
      </x:c>
      <x:c r="E1984" s="13" t="n">
        <x:f>SUMIFS('Stocking details'!$F$6:$F$3307,'Stocking details'!$I$6:$I$3307,G1984)</x:f>
        <x:v>1500</x:v>
      </x:c>
      <x:c r="F1984" s="13" t="n">
        <x:f>COUNTIFS('Stocking details'!$I$6:$I$3307,G1984)</x:f>
        <x:v>1</x:v>
      </x:c>
      <x:c r="G1984" s="8" t="str">
        <x:f>B1984&amp;" / "&amp;C1984&amp;" / "&amp;D1984</x:f>
        <x:v>6637 / 2025 / RAINBOW TROUT</x:v>
      </x:c>
    </x:row>
    <x:row r="1985" ht="23" customHeight="1">
      <x:c r="A1985" s="8" t="str">
        <x:v>Texaco Pond</x:v>
      </x:c>
      <x:c r="B1985" s="8" t="str">
        <x:v>6637</x:v>
      </x:c>
      <x:c r="C1985" s="17" t="n">
        <x:v>2024</x:v>
      </x:c>
      <x:c r="D1985" s="8" t="str">
        <x:v>RAINBOW TROUT</x:v>
      </x:c>
      <x:c r="E1985" s="13" t="n">
        <x:f>SUMIFS('Stocking details'!$F$6:$F$3307,'Stocking details'!$I$6:$I$3307,G1985)</x:f>
        <x:v>600</x:v>
      </x:c>
      <x:c r="F1985" s="13" t="n">
        <x:f>COUNTIFS('Stocking details'!$I$6:$I$3307,G1985)</x:f>
        <x:v>1</x:v>
      </x:c>
      <x:c r="G1985" s="8" t="str">
        <x:f>B1985&amp;" / "&amp;C1985&amp;" / "&amp;D1985</x:f>
        <x:v>6637 / 2024 / RAINBOW TROUT</x:v>
      </x:c>
    </x:row>
    <x:row r="1986" ht="23" customHeight="1">
      <x:c r="A1986" s="8" t="str">
        <x:v>Texaco Pond</x:v>
      </x:c>
      <x:c r="B1986" s="8" t="str">
        <x:v>6637</x:v>
      </x:c>
      <x:c r="C1986" s="17" t="n">
        <x:v>2023</x:v>
      </x:c>
      <x:c r="D1986" s="8" t="str">
        <x:v>RAINBOW TROUT</x:v>
      </x:c>
      <x:c r="E1986" s="13" t="n">
        <x:f>SUMIFS('Stocking details'!$F$6:$F$3307,'Stocking details'!$I$6:$I$3307,G1986)</x:f>
        <x:v>599</x:v>
      </x:c>
      <x:c r="F1986" s="13" t="n">
        <x:f>COUNTIFS('Stocking details'!$I$6:$I$3307,G1986)</x:f>
        <x:v>1</x:v>
      </x:c>
      <x:c r="G1986" s="8" t="str">
        <x:f>B1986&amp;" / "&amp;C1986&amp;" / "&amp;D1986</x:f>
        <x:v>6637 / 2023 / RAINBOW TROUT</x:v>
      </x:c>
    </x:row>
    <x:row r="1987" ht="23" customHeight="1">
      <x:c r="A1987" s="8" t="str">
        <x:v>Texaco Pond</x:v>
      </x:c>
      <x:c r="B1987" s="8" t="str">
        <x:v>6637</x:v>
      </x:c>
      <x:c r="C1987" s="17" t="n">
        <x:v>2022</x:v>
      </x:c>
      <x:c r="D1987" s="8" t="str">
        <x:v>RAINBOW TROUT</x:v>
      </x:c>
      <x:c r="E1987" s="13" t="n">
        <x:f>SUMIFS('Stocking details'!$F$6:$F$3307,'Stocking details'!$I$6:$I$3307,G1987)</x:f>
        <x:v>1500</x:v>
      </x:c>
      <x:c r="F1987" s="13" t="n">
        <x:f>COUNTIFS('Stocking details'!$I$6:$I$3307,G1987)</x:f>
        <x:v>1</x:v>
      </x:c>
      <x:c r="G1987" s="8" t="str">
        <x:f>B1987&amp;" / "&amp;C1987&amp;" / "&amp;D1987</x:f>
        <x:v>6637 / 2022 / RAINBOW TROUT</x:v>
      </x:c>
    </x:row>
    <x:row r="1988" ht="23" customHeight="1">
      <x:c r="A1988" s="8" t="str">
        <x:v>Texaco Pond</x:v>
      </x:c>
      <x:c r="B1988" s="8" t="str">
        <x:v>6637</x:v>
      </x:c>
      <x:c r="C1988" s="17" t="n">
        <x:v>2021</x:v>
      </x:c>
      <x:c r="D1988" s="8" t="str">
        <x:v>RAINBOW TROUT</x:v>
      </x:c>
      <x:c r="E1988" s="13" t="n">
        <x:f>SUMIFS('Stocking details'!$F$6:$F$3307,'Stocking details'!$I$6:$I$3307,G1988)</x:f>
        <x:v>1500</x:v>
      </x:c>
      <x:c r="F1988" s="13" t="n">
        <x:f>COUNTIFS('Stocking details'!$I$6:$I$3307,G1988)</x:f>
        <x:v>1</x:v>
      </x:c>
      <x:c r="G1988" s="8" t="str">
        <x:f>B1988&amp;" / "&amp;C1988&amp;" / "&amp;D1988</x:f>
        <x:v>6637 / 2021 / RAINBOW TROUT</x:v>
      </x:c>
    </x:row>
    <x:row r="1989" ht="23" customHeight="1">
      <x:c r="A1989" s="8" t="str">
        <x:v>Three Isle Lake</x:v>
      </x:c>
      <x:c r="B1989" s="8" t="str">
        <x:v>5990</x:v>
      </x:c>
      <x:c r="C1989" s="17" t="n">
        <x:v>2025</x:v>
      </x:c>
      <x:c r="D1989" s="8" t="str">
        <x:v>CUTTHROAT TROUT</x:v>
      </x:c>
      <x:c r="E1989" s="13" t="n">
        <x:f>SUMIFS('Stocking details'!$F$6:$F$3307,'Stocking details'!$I$6:$I$3307,G1989)</x:f>
        <x:v>3300</x:v>
      </x:c>
      <x:c r="F1989" s="13" t="n">
        <x:f>COUNTIFS('Stocking details'!$I$6:$I$3307,G1989)</x:f>
        <x:v>1</x:v>
      </x:c>
      <x:c r="G1989" s="8" t="str">
        <x:f>B1989&amp;" / "&amp;C1989&amp;" / "&amp;D1989</x:f>
        <x:v>5990 / 2025 / CUTTHROAT TROUT</x:v>
      </x:c>
    </x:row>
    <x:row r="1990" ht="23" customHeight="1">
      <x:c r="A1990" s="8" t="str">
        <x:v>Three Isle Lake</x:v>
      </x:c>
      <x:c r="B1990" s="8" t="str">
        <x:v>5990</x:v>
      </x:c>
      <x:c r="C1990" s="17" t="n">
        <x:v>2021</x:v>
      </x:c>
      <x:c r="D1990" s="8" t="str">
        <x:v>CUTTHROAT TROUT</x:v>
      </x:c>
      <x:c r="E1990" s="13" t="n">
        <x:f>SUMIFS('Stocking details'!$F$6:$F$3307,'Stocking details'!$I$6:$I$3307,G1990)</x:f>
        <x:v>3300</x:v>
      </x:c>
      <x:c r="F1990" s="13" t="n">
        <x:f>COUNTIFS('Stocking details'!$I$6:$I$3307,G1990)</x:f>
        <x:v>1</x:v>
      </x:c>
      <x:c r="G1990" s="8" t="str">
        <x:f>B1990&amp;" / "&amp;C1990&amp;" / "&amp;D1990</x:f>
        <x:v>5990 / 2021 / CUTTHROAT TROUT</x:v>
      </x:c>
    </x:row>
    <x:row r="1991" ht="23" customHeight="1">
      <x:c r="A1991" s="8" t="str">
        <x:v>Tim Horton Children's Pond</x:v>
      </x:c>
      <x:c r="B1991" s="8" t="str">
        <x:v>6677</x:v>
      </x:c>
      <x:c r="C1991" s="17" t="n">
        <x:v>2026</x:v>
      </x:c>
      <x:c r="D1991" s="8" t="str">
        <x:v>WESTSLOPE CUTTHROAT TROUT</x:v>
      </x:c>
      <x:c r="E1991" s="13" t="n">
        <x:f>SUMIFS('Stocking details'!$F$6:$F$3307,'Stocking details'!$I$6:$I$3307,G1991)</x:f>
        <x:v>600</x:v>
      </x:c>
      <x:c r="F1991" s="13" t="n">
        <x:f>COUNTIFS('Stocking details'!$I$6:$I$3307,G1991)</x:f>
        <x:v>1</x:v>
      </x:c>
      <x:c r="G1991" s="8" t="str">
        <x:f>B1991&amp;" / "&amp;C1991&amp;" / "&amp;D1991</x:f>
        <x:v>6677 / 2026 / WESTSLOPE CUTTHROAT TROUT</x:v>
      </x:c>
    </x:row>
    <x:row r="1992" ht="23" customHeight="1">
      <x:c r="A1992" s="8" t="str">
        <x:v>Tim Horton Children's Pond</x:v>
      </x:c>
      <x:c r="B1992" s="8" t="str">
        <x:v>6677</x:v>
      </x:c>
      <x:c r="C1992" s="17" t="n">
        <x:v>2025</x:v>
      </x:c>
      <x:c r="D1992" s="8" t="str">
        <x:v>CUTTHROAT TROUT</x:v>
      </x:c>
      <x:c r="E1992" s="13" t="n">
        <x:f>SUMIFS('Stocking details'!$F$6:$F$3307,'Stocking details'!$I$6:$I$3307,G1992)</x:f>
        <x:v>300</x:v>
      </x:c>
      <x:c r="F1992" s="13" t="n">
        <x:f>COUNTIFS('Stocking details'!$I$6:$I$3307,G1992)</x:f>
        <x:v>1</x:v>
      </x:c>
      <x:c r="G1992" s="8" t="str">
        <x:f>B1992&amp;" / "&amp;C1992&amp;" / "&amp;D1992</x:f>
        <x:v>6677 / 2025 / CUTTHROAT TROUT</x:v>
      </x:c>
    </x:row>
    <x:row r="1993" ht="23" customHeight="1">
      <x:c r="A1993" s="8" t="str">
        <x:v>Tim Horton Children's Pond</x:v>
      </x:c>
      <x:c r="B1993" s="8" t="str">
        <x:v>6677</x:v>
      </x:c>
      <x:c r="C1993" s="17" t="n">
        <x:v>2025</x:v>
      </x:c>
      <x:c r="D1993" s="8" t="str">
        <x:v>RAINBOW TROUT</x:v>
      </x:c>
      <x:c r="E1993" s="13" t="n">
        <x:f>SUMIFS('Stocking details'!$F$6:$F$3307,'Stocking details'!$I$6:$I$3307,G1993)</x:f>
        <x:v>300</x:v>
      </x:c>
      <x:c r="F1993" s="13" t="n">
        <x:f>COUNTIFS('Stocking details'!$I$6:$I$3307,G1993)</x:f>
        <x:v>1</x:v>
      </x:c>
      <x:c r="G1993" s="8" t="str">
        <x:f>B1993&amp;" / "&amp;C1993&amp;" / "&amp;D1993</x:f>
        <x:v>6677 / 2025 / RAINBOW TROUT</x:v>
      </x:c>
    </x:row>
    <x:row r="1994" ht="23" customHeight="1">
      <x:c r="A1994" s="8" t="str">
        <x:v>Tim Horton Children's Pond</x:v>
      </x:c>
      <x:c r="B1994" s="8" t="str">
        <x:v>6677</x:v>
      </x:c>
      <x:c r="C1994" s="17" t="n">
        <x:v>2024</x:v>
      </x:c>
      <x:c r="D1994" s="8" t="str">
        <x:v>RAINBOW TROUT</x:v>
      </x:c>
      <x:c r="E1994" s="13" t="n">
        <x:f>SUMIFS('Stocking details'!$F$6:$F$3307,'Stocking details'!$I$6:$I$3307,G1994)</x:f>
        <x:v>600</x:v>
      </x:c>
      <x:c r="F1994" s="13" t="n">
        <x:f>COUNTIFS('Stocking details'!$I$6:$I$3307,G1994)</x:f>
        <x:v>1</x:v>
      </x:c>
      <x:c r="G1994" s="8" t="str">
        <x:f>B1994&amp;" / "&amp;C1994&amp;" / "&amp;D1994</x:f>
        <x:v>6677 / 2024 / RAINBOW TROUT</x:v>
      </x:c>
    </x:row>
    <x:row r="1995" ht="23" customHeight="1">
      <x:c r="A1995" s="8" t="str">
        <x:v>Tim Horton Children's Pond</x:v>
      </x:c>
      <x:c r="B1995" s="8" t="str">
        <x:v>6677</x:v>
      </x:c>
      <x:c r="C1995" s="17" t="n">
        <x:v>2023</x:v>
      </x:c>
      <x:c r="D1995" s="8" t="str">
        <x:v>RAINBOW TROUT</x:v>
      </x:c>
      <x:c r="E1995" s="13" t="n">
        <x:f>SUMIFS('Stocking details'!$F$6:$F$3307,'Stocking details'!$I$6:$I$3307,G1995)</x:f>
        <x:v>602</x:v>
      </x:c>
      <x:c r="F1995" s="13" t="n">
        <x:f>COUNTIFS('Stocking details'!$I$6:$I$3307,G1995)</x:f>
        <x:v>1</x:v>
      </x:c>
      <x:c r="G1995" s="8" t="str">
        <x:f>B1995&amp;" / "&amp;C1995&amp;" / "&amp;D1995</x:f>
        <x:v>6677 / 2023 / RAINBOW TROUT</x:v>
      </x:c>
    </x:row>
    <x:row r="1996" ht="23" customHeight="1">
      <x:c r="A1996" s="8" t="str">
        <x:v>Tim Horton Children's Pond</x:v>
      </x:c>
      <x:c r="B1996" s="8" t="str">
        <x:v>6677</x:v>
      </x:c>
      <x:c r="C1996" s="17" t="n">
        <x:v>2022</x:v>
      </x:c>
      <x:c r="D1996" s="8" t="str">
        <x:v>RAINBOW TROUT</x:v>
      </x:c>
      <x:c r="E1996" s="13" t="n">
        <x:f>SUMIFS('Stocking details'!$F$6:$F$3307,'Stocking details'!$I$6:$I$3307,G1996)</x:f>
        <x:v>1200</x:v>
      </x:c>
      <x:c r="F1996" s="13" t="n">
        <x:f>COUNTIFS('Stocking details'!$I$6:$I$3307,G1996)</x:f>
        <x:v>1</x:v>
      </x:c>
      <x:c r="G1996" s="8" t="str">
        <x:f>B1996&amp;" / "&amp;C1996&amp;" / "&amp;D1996</x:f>
        <x:v>6677 / 2022 / RAINBOW TROUT</x:v>
      </x:c>
    </x:row>
    <x:row r="1997" ht="23" customHeight="1">
      <x:c r="A1997" s="8" t="str">
        <x:v>Tim Horton Children's Pond</x:v>
      </x:c>
      <x:c r="B1997" s="8" t="str">
        <x:v>6677</x:v>
      </x:c>
      <x:c r="C1997" s="17" t="n">
        <x:v>2021</x:v>
      </x:c>
      <x:c r="D1997" s="8" t="str">
        <x:v>RAINBOW TROUT</x:v>
      </x:c>
      <x:c r="E1997" s="13" t="n">
        <x:f>SUMIFS('Stocking details'!$F$6:$F$3307,'Stocking details'!$I$6:$I$3307,G1997)</x:f>
        <x:v>1200</x:v>
      </x:c>
      <x:c r="F1997" s="13" t="n">
        <x:f>COUNTIFS('Stocking details'!$I$6:$I$3307,G1997)</x:f>
        <x:v>1</x:v>
      </x:c>
      <x:c r="G1997" s="8" t="str">
        <x:f>B1997&amp;" / "&amp;C1997&amp;" / "&amp;D1997</x:f>
        <x:v>6677 / 2021 / RAINBOW TROUT</x:v>
      </x:c>
    </x:row>
    <x:row r="1998" ht="23" customHeight="1">
      <x:c r="A1998" s="8" t="str">
        <x:v>Trapper Lake</x:v>
      </x:c>
      <x:c r="B1998" s="8" t="str">
        <x:v>6638</x:v>
      </x:c>
      <x:c r="C1998" s="17" t="n">
        <x:v>2024</x:v>
      </x:c>
      <x:c r="D1998" s="8" t="str">
        <x:v>RAINBOW TROUT</x:v>
      </x:c>
      <x:c r="E1998" s="13" t="n">
        <x:f>SUMIFS('Stocking details'!$F$6:$F$3307,'Stocking details'!$I$6:$I$3307,G1998)</x:f>
        <x:v>1100</x:v>
      </x:c>
      <x:c r="F1998" s="13" t="n">
        <x:f>COUNTIFS('Stocking details'!$I$6:$I$3307,G1998)</x:f>
        <x:v>1</x:v>
      </x:c>
      <x:c r="G1998" s="8" t="str">
        <x:f>B1998&amp;" / "&amp;C1998&amp;" / "&amp;D1998</x:f>
        <x:v>6638 / 2024 / RAINBOW TROUT</x:v>
      </x:c>
    </x:row>
    <x:row r="1999" ht="23" customHeight="1">
      <x:c r="A1999" s="8" t="str">
        <x:v>Trapper Lake</x:v>
      </x:c>
      <x:c r="B1999" s="8" t="str">
        <x:v>6638</x:v>
      </x:c>
      <x:c r="C1999" s="17" t="n">
        <x:v>2022</x:v>
      </x:c>
      <x:c r="D1999" s="8" t="str">
        <x:v>RAINBOW TROUT</x:v>
      </x:c>
      <x:c r="E1999" s="13" t="n">
        <x:f>SUMIFS('Stocking details'!$F$6:$F$3307,'Stocking details'!$I$6:$I$3307,G1999)</x:f>
        <x:v>1100</x:v>
      </x:c>
      <x:c r="F1999" s="13" t="n">
        <x:f>COUNTIFS('Stocking details'!$I$6:$I$3307,G1999)</x:f>
        <x:v>1</x:v>
      </x:c>
      <x:c r="G1999" s="8" t="str">
        <x:f>B1999&amp;" / "&amp;C1999&amp;" / "&amp;D1999</x:f>
        <x:v>6638 / 2022 / RAINBOW TROUT</x:v>
      </x:c>
    </x:row>
    <x:row r="2000" ht="23" customHeight="1">
      <x:c r="A2000" s="8" t="str">
        <x:v>Travers Reservoir</x:v>
      </x:c>
      <x:c r="B2000" s="8" t="str">
        <x:v>3537</x:v>
      </x:c>
      <x:c r="C2000" s="17" t="n">
        <x:v>2025</x:v>
      </x:c>
      <x:c r="D2000" s="8" t="str">
        <x:v>WALLEYE</x:v>
      </x:c>
      <x:c r="E2000" s="13" t="n">
        <x:f>SUMIFS('Stocking details'!$F$6:$F$3307,'Stocking details'!$I$6:$I$3307,G2000)</x:f>
        <x:v>1489597</x:v>
      </x:c>
      <x:c r="F2000" s="13" t="n">
        <x:f>COUNTIFS('Stocking details'!$I$6:$I$3307,G2000)</x:f>
        <x:v>3</x:v>
      </x:c>
      <x:c r="G2000" s="8" t="str">
        <x:f>B2000&amp;" / "&amp;C2000&amp;" / "&amp;D2000</x:f>
        <x:v>3537 / 2025 / WALLEYE</x:v>
      </x:c>
    </x:row>
    <x:row r="2001" ht="23" customHeight="1">
      <x:c r="A2001" s="8" t="str">
        <x:v>Travers Reservoir</x:v>
      </x:c>
      <x:c r="B2001" s="8" t="str">
        <x:v>3537</x:v>
      </x:c>
      <x:c r="C2001" s="17" t="n">
        <x:v>2024</x:v>
      </x:c>
      <x:c r="D2001" s="8" t="str">
        <x:v>WALLEYE</x:v>
      </x:c>
      <x:c r="E2001" s="13" t="n">
        <x:f>SUMIFS('Stocking details'!$F$6:$F$3307,'Stocking details'!$I$6:$I$3307,G2001)</x:f>
        <x:v>2500000</x:v>
      </x:c>
      <x:c r="F2001" s="13" t="n">
        <x:f>COUNTIFS('Stocking details'!$I$6:$I$3307,G2001)</x:f>
        <x:v>2</x:v>
      </x:c>
      <x:c r="G2001" s="8" t="str">
        <x:f>B2001&amp;" / "&amp;C2001&amp;" / "&amp;D2001</x:f>
        <x:v>3537 / 2024 / WALLEYE</x:v>
      </x:c>
    </x:row>
    <x:row r="2002" ht="23" customHeight="1">
      <x:c r="A2002" s="8" t="str">
        <x:v>Travers Reservoir</x:v>
      </x:c>
      <x:c r="B2002" s="8" t="str">
        <x:v>3537</x:v>
      </x:c>
      <x:c r="C2002" s="17" t="n">
        <x:v>2023</x:v>
      </x:c>
      <x:c r="D2002" s="8" t="str">
        <x:v>WALLEYE</x:v>
      </x:c>
      <x:c r="E2002" s="13" t="n">
        <x:f>SUMIFS('Stocking details'!$F$6:$F$3307,'Stocking details'!$I$6:$I$3307,G2002)</x:f>
        <x:v>1153500</x:v>
      </x:c>
      <x:c r="F2002" s="13" t="n">
        <x:f>COUNTIFS('Stocking details'!$I$6:$I$3307,G2002)</x:f>
        <x:v>1</x:v>
      </x:c>
      <x:c r="G2002" s="8" t="str">
        <x:f>B2002&amp;" / "&amp;C2002&amp;" / "&amp;D2002</x:f>
        <x:v>3537 / 2023 / WALLEYE</x:v>
      </x:c>
    </x:row>
    <x:row r="2003" ht="23" customHeight="1">
      <x:c r="A2003" s="8" t="str">
        <x:v>Travers Reservoir</x:v>
      </x:c>
      <x:c r="B2003" s="8" t="str">
        <x:v>3537</x:v>
      </x:c>
      <x:c r="C2003" s="17" t="n">
        <x:v>2022</x:v>
      </x:c>
      <x:c r="D2003" s="8" t="str">
        <x:v>WALLEYE</x:v>
      </x:c>
      <x:c r="E2003" s="13" t="n">
        <x:f>SUMIFS('Stocking details'!$F$6:$F$3307,'Stocking details'!$I$6:$I$3307,G2003)</x:f>
        <x:v>230700</x:v>
      </x:c>
      <x:c r="F2003" s="13" t="n">
        <x:f>COUNTIFS('Stocking details'!$I$6:$I$3307,G2003)</x:f>
        <x:v>1</x:v>
      </x:c>
      <x:c r="G2003" s="8" t="str">
        <x:f>B2003&amp;" / "&amp;C2003&amp;" / "&amp;D2003</x:f>
        <x:v>3537 / 2022 / WALLEYE</x:v>
      </x:c>
    </x:row>
    <x:row r="2004" ht="23" customHeight="1">
      <x:c r="A2004" s="8" t="str">
        <x:v>Travers Reservoir</x:v>
      </x:c>
      <x:c r="B2004" s="8" t="str">
        <x:v>3537</x:v>
      </x:c>
      <x:c r="C2004" s="17" t="n">
        <x:v>2021</x:v>
      </x:c>
      <x:c r="D2004" s="8" t="str">
        <x:v>WALLEYE</x:v>
      </x:c>
      <x:c r="E2004" s="13" t="n">
        <x:f>SUMIFS('Stocking details'!$F$6:$F$3307,'Stocking details'!$I$6:$I$3307,G2004)</x:f>
        <x:v>280117</x:v>
      </x:c>
      <x:c r="F2004" s="13" t="n">
        <x:f>COUNTIFS('Stocking details'!$I$6:$I$3307,G2004)</x:f>
        <x:v>4</x:v>
      </x:c>
      <x:c r="G2004" s="8" t="str">
        <x:f>B2004&amp;" / "&amp;C2004&amp;" / "&amp;D2004</x:f>
        <x:v>3537 / 2021 / WALLEYE</x:v>
      </x:c>
    </x:row>
    <x:row r="2005" ht="23" customHeight="1">
      <x:c r="A2005" s="8" t="str">
        <x:v>Twin Lakes</x:v>
      </x:c>
      <x:c r="B2005" s="8" t="str">
        <x:v>6039</x:v>
      </x:c>
      <x:c r="C2005" s="17" t="n">
        <x:v>2026</x:v>
      </x:c>
      <x:c r="D2005" s="8" t="str">
        <x:v>RAINBOW TROUT</x:v>
      </x:c>
      <x:c r="E2005" s="13" t="n">
        <x:f>SUMIFS('Stocking details'!$F$6:$F$3307,'Stocking details'!$I$6:$I$3307,G2005)</x:f>
        <x:v>7000</x:v>
      </x:c>
      <x:c r="F2005" s="13" t="n">
        <x:f>COUNTIFS('Stocking details'!$I$6:$I$3307,G2005)</x:f>
        <x:v>1</x:v>
      </x:c>
      <x:c r="G2005" s="8" t="str">
        <x:f>B2005&amp;" / "&amp;C2005&amp;" / "&amp;D2005</x:f>
        <x:v>6039 / 2026 / RAINBOW TROUT</x:v>
      </x:c>
    </x:row>
    <x:row r="2006" ht="23" customHeight="1">
      <x:c r="A2006" s="8" t="str">
        <x:v>Twin Lakes</x:v>
      </x:c>
      <x:c r="B2006" s="8" t="str">
        <x:v>6039</x:v>
      </x:c>
      <x:c r="C2006" s="17" t="n">
        <x:v>2025</x:v>
      </x:c>
      <x:c r="D2006" s="8" t="str">
        <x:v>RAINBOW TROUT</x:v>
      </x:c>
      <x:c r="E2006" s="13" t="n">
        <x:f>SUMIFS('Stocking details'!$F$6:$F$3307,'Stocking details'!$I$6:$I$3307,G2006)</x:f>
        <x:v>7000</x:v>
      </x:c>
      <x:c r="F2006" s="13" t="n">
        <x:f>COUNTIFS('Stocking details'!$I$6:$I$3307,G2006)</x:f>
        <x:v>1</x:v>
      </x:c>
      <x:c r="G2006" s="8" t="str">
        <x:f>B2006&amp;" / "&amp;C2006&amp;" / "&amp;D2006</x:f>
        <x:v>6039 / 2025 / RAINBOW TROUT</x:v>
      </x:c>
    </x:row>
    <x:row r="2007" ht="23" customHeight="1">
      <x:c r="A2007" s="8" t="str">
        <x:v>Twin Lakes</x:v>
      </x:c>
      <x:c r="B2007" s="8" t="str">
        <x:v>6039</x:v>
      </x:c>
      <x:c r="C2007" s="17" t="n">
        <x:v>2024</x:v>
      </x:c>
      <x:c r="D2007" s="8" t="str">
        <x:v>RAINBOW TROUT</x:v>
      </x:c>
      <x:c r="E2007" s="13" t="n">
        <x:f>SUMIFS('Stocking details'!$F$6:$F$3307,'Stocking details'!$I$6:$I$3307,G2007)</x:f>
        <x:v>3591</x:v>
      </x:c>
      <x:c r="F2007" s="13" t="n">
        <x:f>COUNTIFS('Stocking details'!$I$6:$I$3307,G2007)</x:f>
        <x:v>3</x:v>
      </x:c>
      <x:c r="G2007" s="8" t="str">
        <x:f>B2007&amp;" / "&amp;C2007&amp;" / "&amp;D2007</x:f>
        <x:v>6039 / 2024 / RAINBOW TROUT</x:v>
      </x:c>
    </x:row>
    <x:row r="2008" ht="23" customHeight="1">
      <x:c r="A2008" s="8" t="str">
        <x:v>Twin Lakes</x:v>
      </x:c>
      <x:c r="B2008" s="8" t="str">
        <x:v>6039</x:v>
      </x:c>
      <x:c r="C2008" s="17" t="n">
        <x:v>2023</x:v>
      </x:c>
      <x:c r="D2008" s="8" t="str">
        <x:v>RAINBOW TROUT</x:v>
      </x:c>
      <x:c r="E2008" s="13" t="n">
        <x:f>SUMIFS('Stocking details'!$F$6:$F$3307,'Stocking details'!$I$6:$I$3307,G2008)</x:f>
        <x:v>7085</x:v>
      </x:c>
      <x:c r="F2008" s="13" t="n">
        <x:f>COUNTIFS('Stocking details'!$I$6:$I$3307,G2008)</x:f>
        <x:v>3</x:v>
      </x:c>
      <x:c r="G2008" s="8" t="str">
        <x:f>B2008&amp;" / "&amp;C2008&amp;" / "&amp;D2008</x:f>
        <x:v>6039 / 2023 / RAINBOW TROUT</x:v>
      </x:c>
    </x:row>
    <x:row r="2009" ht="23" customHeight="1">
      <x:c r="A2009" s="8" t="str">
        <x:v>Twin Lakes</x:v>
      </x:c>
      <x:c r="B2009" s="8" t="str">
        <x:v>6039</x:v>
      </x:c>
      <x:c r="C2009" s="17" t="n">
        <x:v>2022</x:v>
      </x:c>
      <x:c r="D2009" s="8" t="str">
        <x:v>RAINBOW TROUT</x:v>
      </x:c>
      <x:c r="E2009" s="13" t="n">
        <x:f>SUMIFS('Stocking details'!$F$6:$F$3307,'Stocking details'!$I$6:$I$3307,G2009)</x:f>
        <x:v>8000</x:v>
      </x:c>
      <x:c r="F2009" s="13" t="n">
        <x:f>COUNTIFS('Stocking details'!$I$6:$I$3307,G2009)</x:f>
        <x:v>2</x:v>
      </x:c>
      <x:c r="G2009" s="8" t="str">
        <x:f>B2009&amp;" / "&amp;C2009&amp;" / "&amp;D2009</x:f>
        <x:v>6039 / 2022 / RAINBOW TROUT</x:v>
      </x:c>
    </x:row>
    <x:row r="2010" ht="23" customHeight="1">
      <x:c r="A2010" s="8" t="str">
        <x:v>Twin Lakes</x:v>
      </x:c>
      <x:c r="B2010" s="8" t="str">
        <x:v>6039</x:v>
      </x:c>
      <x:c r="C2010" s="17" t="n">
        <x:v>2021</x:v>
      </x:c>
      <x:c r="D2010" s="8" t="str">
        <x:v>RAINBOW TROUT</x:v>
      </x:c>
      <x:c r="E2010" s="13" t="n">
        <x:f>SUMIFS('Stocking details'!$F$6:$F$3307,'Stocking details'!$I$6:$I$3307,G2010)</x:f>
        <x:v>7100</x:v>
      </x:c>
      <x:c r="F2010" s="13" t="n">
        <x:f>COUNTIFS('Stocking details'!$I$6:$I$3307,G2010)</x:f>
        <x:v>2</x:v>
      </x:c>
      <x:c r="G2010" s="8" t="str">
        <x:f>B2010&amp;" / "&amp;C2010&amp;" / "&amp;D2010</x:f>
        <x:v>6039 / 2021 / RAINBOW TROUT</x:v>
      </x:c>
    </x:row>
    <x:row r="2011" ht="23" customHeight="1">
      <x:c r="A2011" s="8" t="str">
        <x:v>Twin Valley Reservoir</x:v>
      </x:c>
      <x:c r="B2011" s="8" t="str">
        <x:v>23327</x:v>
      </x:c>
      <x:c r="C2011" s="17" t="n">
        <x:v>2025</x:v>
      </x:c>
      <x:c r="D2011" s="8" t="str">
        <x:v>WALLEYE</x:v>
      </x:c>
      <x:c r="E2011" s="13" t="n">
        <x:f>SUMIFS('Stocking details'!$F$6:$F$3307,'Stocking details'!$I$6:$I$3307,G2011)</x:f>
        <x:v>1000000</x:v>
      </x:c>
      <x:c r="F2011" s="13" t="n">
        <x:f>COUNTIFS('Stocking details'!$I$6:$I$3307,G2011)</x:f>
        <x:v>1</x:v>
      </x:c>
      <x:c r="G2011" s="8" t="str">
        <x:f>B2011&amp;" / "&amp;C2011&amp;" / "&amp;D2011</x:f>
        <x:v>23327 / 2025 / WALLEYE</x:v>
      </x:c>
    </x:row>
    <x:row r="2012" ht="23" customHeight="1">
      <x:c r="A2012" s="8" t="str">
        <x:v>Twin Valley Reservoir</x:v>
      </x:c>
      <x:c r="B2012" s="8" t="str">
        <x:v>23327</x:v>
      </x:c>
      <x:c r="C2012" s="17" t="n">
        <x:v>2024</x:v>
      </x:c>
      <x:c r="D2012" s="8" t="str">
        <x:v>WALLEYE</x:v>
      </x:c>
      <x:c r="E2012" s="13" t="n">
        <x:f>SUMIFS('Stocking details'!$F$6:$F$3307,'Stocking details'!$I$6:$I$3307,G2012)</x:f>
        <x:v>1825000</x:v>
      </x:c>
      <x:c r="F2012" s="13" t="n">
        <x:f>COUNTIFS('Stocking details'!$I$6:$I$3307,G2012)</x:f>
        <x:v>1</x:v>
      </x:c>
      <x:c r="G2012" s="8" t="str">
        <x:f>B2012&amp;" / "&amp;C2012&amp;" / "&amp;D2012</x:f>
        <x:v>23327 / 2024 / WALLEYE</x:v>
      </x:c>
    </x:row>
    <x:row r="2013" ht="23" customHeight="1">
      <x:c r="A2013" s="8" t="str">
        <x:v>Twin Valley Reservoir</x:v>
      </x:c>
      <x:c r="B2013" s="8" t="str">
        <x:v>23327</x:v>
      </x:c>
      <x:c r="C2013" s="17" t="n">
        <x:v>2023</x:v>
      </x:c>
      <x:c r="D2013" s="8" t="str">
        <x:v>WALLEYE</x:v>
      </x:c>
      <x:c r="E2013" s="13" t="n">
        <x:f>SUMIFS('Stocking details'!$F$6:$F$3307,'Stocking details'!$I$6:$I$3307,G2013)</x:f>
        <x:v>228500</x:v>
      </x:c>
      <x:c r="F2013" s="13" t="n">
        <x:f>COUNTIFS('Stocking details'!$I$6:$I$3307,G2013)</x:f>
        <x:v>1</x:v>
      </x:c>
      <x:c r="G2013" s="8" t="str">
        <x:f>B2013&amp;" / "&amp;C2013&amp;" / "&amp;D2013</x:f>
        <x:v>23327 / 2023 / WALLEYE</x:v>
      </x:c>
    </x:row>
    <x:row r="2014" ht="23" customHeight="1">
      <x:c r="A2014" s="8" t="str">
        <x:v>Twin Valley Reservoir</x:v>
      </x:c>
      <x:c r="B2014" s="8" t="str">
        <x:v>23327</x:v>
      </x:c>
      <x:c r="C2014" s="17" t="n">
        <x:v>2022</x:v>
      </x:c>
      <x:c r="D2014" s="8" t="str">
        <x:v>WALLEYE</x:v>
      </x:c>
      <x:c r="E2014" s="13" t="n">
        <x:f>SUMIFS('Stocking details'!$F$6:$F$3307,'Stocking details'!$I$6:$I$3307,G2014)</x:f>
        <x:v>78500</x:v>
      </x:c>
      <x:c r="F2014" s="13" t="n">
        <x:f>COUNTIFS('Stocking details'!$I$6:$I$3307,G2014)</x:f>
        <x:v>1</x:v>
      </x:c>
      <x:c r="G2014" s="8" t="str">
        <x:f>B2014&amp;" / "&amp;C2014&amp;" / "&amp;D2014</x:f>
        <x:v>23327 / 2022 / WALLEYE</x:v>
      </x:c>
    </x:row>
    <x:row r="2015" ht="23" customHeight="1">
      <x:c r="A2015" s="8" t="str">
        <x:v>Two Hills Pond</x:v>
      </x:c>
      <x:c r="B2015" s="8" t="str">
        <x:v>6670</x:v>
      </x:c>
      <x:c r="C2015" s="17" t="n">
        <x:v>2026</x:v>
      </x:c>
      <x:c r="D2015" s="8" t="str">
        <x:v>RAINBOW TROUT</x:v>
      </x:c>
      <x:c r="E2015" s="13" t="n">
        <x:f>SUMIFS('Stocking details'!$F$6:$F$3307,'Stocking details'!$I$6:$I$3307,G2015)</x:f>
        <x:v>700</x:v>
      </x:c>
      <x:c r="F2015" s="13" t="n">
        <x:f>COUNTIFS('Stocking details'!$I$6:$I$3307,G2015)</x:f>
        <x:v>1</x:v>
      </x:c>
      <x:c r="G2015" s="8" t="str">
        <x:f>B2015&amp;" / "&amp;C2015&amp;" / "&amp;D2015</x:f>
        <x:v>6670 / 2026 / RAINBOW TROUT</x:v>
      </x:c>
    </x:row>
    <x:row r="2016" ht="23" customHeight="1">
      <x:c r="A2016" s="8" t="str">
        <x:v>Two Hills Pond</x:v>
      </x:c>
      <x:c r="B2016" s="8" t="str">
        <x:v>6670</x:v>
      </x:c>
      <x:c r="C2016" s="17" t="n">
        <x:v>2023</x:v>
      </x:c>
      <x:c r="D2016" s="8" t="str">
        <x:v>RAINBOW TROUT</x:v>
      </x:c>
      <x:c r="E2016" s="13" t="n">
        <x:f>SUMIFS('Stocking details'!$F$6:$F$3307,'Stocking details'!$I$6:$I$3307,G2016)</x:f>
        <x:v>700</x:v>
      </x:c>
      <x:c r="F2016" s="13" t="n">
        <x:f>COUNTIFS('Stocking details'!$I$6:$I$3307,G2016)</x:f>
        <x:v>1</x:v>
      </x:c>
      <x:c r="G2016" s="8" t="str">
        <x:f>B2016&amp;" / "&amp;C2016&amp;" / "&amp;D2016</x:f>
        <x:v>6670 / 2023 / RAINBOW TROUT</x:v>
      </x:c>
    </x:row>
    <x:row r="2017" ht="23" customHeight="1">
      <x:c r="A2017" s="8" t="str">
        <x:v>Two Hills Pond</x:v>
      </x:c>
      <x:c r="B2017" s="8" t="str">
        <x:v>6670</x:v>
      </x:c>
      <x:c r="C2017" s="17" t="n">
        <x:v>2022</x:v>
      </x:c>
      <x:c r="D2017" s="8" t="str">
        <x:v>RAINBOW TROUT</x:v>
      </x:c>
      <x:c r="E2017" s="13" t="n">
        <x:f>SUMIFS('Stocking details'!$F$6:$F$3307,'Stocking details'!$I$6:$I$3307,G2017)</x:f>
        <x:v>700</x:v>
      </x:c>
      <x:c r="F2017" s="13" t="n">
        <x:f>COUNTIFS('Stocking details'!$I$6:$I$3307,G2017)</x:f>
        <x:v>1</x:v>
      </x:c>
      <x:c r="G2017" s="8" t="str">
        <x:f>B2017&amp;" / "&amp;C2017&amp;" / "&amp;D2017</x:f>
        <x:v>6670 / 2022 / RAINBOW TROUT</x:v>
      </x:c>
    </x:row>
    <x:row r="2018" ht="23" customHeight="1">
      <x:c r="A2018" s="8" t="str">
        <x:v>Two Hills Pond</x:v>
      </x:c>
      <x:c r="B2018" s="8" t="str">
        <x:v>6670</x:v>
      </x:c>
      <x:c r="C2018" s="17" t="n">
        <x:v>2021</x:v>
      </x:c>
      <x:c r="D2018" s="8" t="str">
        <x:v>RAINBOW TROUT</x:v>
      </x:c>
      <x:c r="E2018" s="13" t="n">
        <x:f>SUMIFS('Stocking details'!$F$6:$F$3307,'Stocking details'!$I$6:$I$3307,G2018)</x:f>
        <x:v>650</x:v>
      </x:c>
      <x:c r="F2018" s="13" t="n">
        <x:f>COUNTIFS('Stocking details'!$I$6:$I$3307,G2018)</x:f>
        <x:v>1</x:v>
      </x:c>
      <x:c r="G2018" s="8" t="str">
        <x:f>B2018&amp;" / "&amp;C2018&amp;" / "&amp;D2018</x:f>
        <x:v>6670 / 2021 / RAINBOW TROUT</x:v>
      </x:c>
    </x:row>
    <x:row r="2019" ht="23" customHeight="1">
      <x:c r="A2019" s="8" t="str">
        <x:v>Upper Burstall Lake</x:v>
      </x:c>
      <x:c r="B2019" s="8" t="str">
        <x:v>4167</x:v>
      </x:c>
      <x:c r="C2019" s="17" t="n">
        <x:v>2025</x:v>
      </x:c>
      <x:c r="D2019" s="8" t="str">
        <x:v>CUTTHROAT TROUT</x:v>
      </x:c>
      <x:c r="E2019" s="13" t="n">
        <x:f>SUMIFS('Stocking details'!$F$6:$F$3307,'Stocking details'!$I$6:$I$3307,G2019)</x:f>
        <x:v>1200</x:v>
      </x:c>
      <x:c r="F2019" s="13" t="n">
        <x:f>COUNTIFS('Stocking details'!$I$6:$I$3307,G2019)</x:f>
        <x:v>1</x:v>
      </x:c>
      <x:c r="G2019" s="8" t="str">
        <x:f>B2019&amp;" / "&amp;C2019&amp;" / "&amp;D2019</x:f>
        <x:v>4167 / 2025 / CUTTHROAT TROUT</x:v>
      </x:c>
    </x:row>
    <x:row r="2020" ht="23" customHeight="1">
      <x:c r="A2020" s="8" t="str">
        <x:v>Upper Burstall Lake</x:v>
      </x:c>
      <x:c r="B2020" s="8" t="str">
        <x:v>4167</x:v>
      </x:c>
      <x:c r="C2020" s="17" t="n">
        <x:v>2021</x:v>
      </x:c>
      <x:c r="D2020" s="8" t="str">
        <x:v>CUTTHROAT TROUT</x:v>
      </x:c>
      <x:c r="E2020" s="13" t="n">
        <x:f>SUMIFS('Stocking details'!$F$6:$F$3307,'Stocking details'!$I$6:$I$3307,G2020)</x:f>
        <x:v>1300</x:v>
      </x:c>
      <x:c r="F2020" s="13" t="n">
        <x:f>COUNTIFS('Stocking details'!$I$6:$I$3307,G2020)</x:f>
        <x:v>1</x:v>
      </x:c>
      <x:c r="G2020" s="8" t="str">
        <x:f>B2020&amp;" / "&amp;C2020&amp;" / "&amp;D2020</x:f>
        <x:v>4167 / 2021 / CUTTHROAT TROUT</x:v>
      </x:c>
    </x:row>
    <x:row r="2021" ht="23" customHeight="1">
      <x:c r="A2021" s="8" t="str">
        <x:v>Upper Champion Lake</x:v>
      </x:c>
      <x:c r="B2021" s="8" t="str">
        <x:v>6607</x:v>
      </x:c>
      <x:c r="C2021" s="17" t="n">
        <x:v>2026</x:v>
      </x:c>
      <x:c r="D2021" s="8" t="str">
        <x:v>WESTSLOPE CUTTHROAT TROUT</x:v>
      </x:c>
      <x:c r="E2021" s="13" t="n">
        <x:f>SUMIFS('Stocking details'!$F$6:$F$3307,'Stocking details'!$I$6:$I$3307,G2021)</x:f>
        <x:v>300</x:v>
      </x:c>
      <x:c r="F2021" s="13" t="n">
        <x:f>COUNTIFS('Stocking details'!$I$6:$I$3307,G2021)</x:f>
        <x:v>1</x:v>
      </x:c>
      <x:c r="G2021" s="8" t="str">
        <x:f>B2021&amp;" / "&amp;C2021&amp;" / "&amp;D2021</x:f>
        <x:v>6607 / 2026 / WESTSLOPE CUTTHROAT TROUT</x:v>
      </x:c>
    </x:row>
    <x:row r="2022" ht="23" customHeight="1">
      <x:c r="A2022" s="8" t="str">
        <x:v>Upper Champion Lake</x:v>
      </x:c>
      <x:c r="B2022" s="8" t="str">
        <x:v>6607</x:v>
      </x:c>
      <x:c r="C2022" s="17" t="n">
        <x:v>2025</x:v>
      </x:c>
      <x:c r="D2022" s="8" t="str">
        <x:v>CUTTHROAT TROUT</x:v>
      </x:c>
      <x:c r="E2022" s="13" t="n">
        <x:f>SUMIFS('Stocking details'!$F$6:$F$3307,'Stocking details'!$I$6:$I$3307,G2022)</x:f>
        <x:v>300</x:v>
      </x:c>
      <x:c r="F2022" s="13" t="n">
        <x:f>COUNTIFS('Stocking details'!$I$6:$I$3307,G2022)</x:f>
        <x:v>1</x:v>
      </x:c>
      <x:c r="G2022" s="8" t="str">
        <x:f>B2022&amp;" / "&amp;C2022&amp;" / "&amp;D2022</x:f>
        <x:v>6607 / 2025 / CUTTHROAT TROUT</x:v>
      </x:c>
    </x:row>
    <x:row r="2023" ht="23" customHeight="1">
      <x:c r="A2023" s="8" t="str">
        <x:v>Upper Champion Lake</x:v>
      </x:c>
      <x:c r="B2023" s="8" t="str">
        <x:v>6607</x:v>
      </x:c>
      <x:c r="C2023" s="17" t="n">
        <x:v>2023</x:v>
      </x:c>
      <x:c r="D2023" s="8" t="str">
        <x:v>CUTTHROAT TROUT</x:v>
      </x:c>
      <x:c r="E2023" s="13" t="n">
        <x:f>SUMIFS('Stocking details'!$F$6:$F$3307,'Stocking details'!$I$6:$I$3307,G2023)</x:f>
        <x:v>300</x:v>
      </x:c>
      <x:c r="F2023" s="13" t="n">
        <x:f>COUNTIFS('Stocking details'!$I$6:$I$3307,G2023)</x:f>
        <x:v>1</x:v>
      </x:c>
      <x:c r="G2023" s="8" t="str">
        <x:f>B2023&amp;" / "&amp;C2023&amp;" / "&amp;D2023</x:f>
        <x:v>6607 / 2023 / CUTTHROAT TROUT</x:v>
      </x:c>
    </x:row>
    <x:row r="2024" ht="23" customHeight="1">
      <x:c r="A2024" s="8" t="str">
        <x:v>Upper Champion Lake</x:v>
      </x:c>
      <x:c r="B2024" s="8" t="str">
        <x:v>6607</x:v>
      </x:c>
      <x:c r="C2024" s="17" t="n">
        <x:v>2022</x:v>
      </x:c>
      <x:c r="D2024" s="8" t="str">
        <x:v>CUTTHROAT TROUT</x:v>
      </x:c>
      <x:c r="E2024" s="13" t="n">
        <x:f>SUMIFS('Stocking details'!$F$6:$F$3307,'Stocking details'!$I$6:$I$3307,G2024)</x:f>
        <x:v>300</x:v>
      </x:c>
      <x:c r="F2024" s="13" t="n">
        <x:f>COUNTIFS('Stocking details'!$I$6:$I$3307,G2024)</x:f>
        <x:v>1</x:v>
      </x:c>
      <x:c r="G2024" s="8" t="str">
        <x:f>B2024&amp;" / "&amp;C2024&amp;" / "&amp;D2024</x:f>
        <x:v>6607 / 2022 / CUTTHROAT TROUT</x:v>
      </x:c>
    </x:row>
    <x:row r="2025" ht="23" customHeight="1">
      <x:c r="A2025" s="8" t="str">
        <x:v>Upper Champion Lake</x:v>
      </x:c>
      <x:c r="B2025" s="8" t="str">
        <x:v>6607</x:v>
      </x:c>
      <x:c r="C2025" s="17" t="n">
        <x:v>2021</x:v>
      </x:c>
      <x:c r="D2025" s="8" t="str">
        <x:v>RAINBOW TROUT</x:v>
      </x:c>
      <x:c r="E2025" s="13" t="n">
        <x:f>SUMIFS('Stocking details'!$F$6:$F$3307,'Stocking details'!$I$6:$I$3307,G2025)</x:f>
        <x:v>300</x:v>
      </x:c>
      <x:c r="F2025" s="13" t="n">
        <x:f>COUNTIFS('Stocking details'!$I$6:$I$3307,G2025)</x:f>
        <x:v>1</x:v>
      </x:c>
      <x:c r="G2025" s="8" t="str">
        <x:f>B2025&amp;" / "&amp;C2025&amp;" / "&amp;D2025</x:f>
        <x:v>6607 / 2021 / RAINBOW TROUT</x:v>
      </x:c>
    </x:row>
    <x:row r="2026" ht="23" customHeight="1">
      <x:c r="A2026" s="8" t="str">
        <x:v>Upper Headwall Lake</x:v>
      </x:c>
      <x:c r="B2026" s="8" t="str">
        <x:v>4806</x:v>
      </x:c>
      <x:c r="C2026" s="17" t="n">
        <x:v>2021</x:v>
      </x:c>
      <x:c r="D2026" s="8" t="str">
        <x:v>CUTTHROAT TROUT</x:v>
      </x:c>
      <x:c r="E2026" s="13" t="n">
        <x:f>SUMIFS('Stocking details'!$F$6:$F$3307,'Stocking details'!$I$6:$I$3307,G2026)</x:f>
        <x:v>900</x:v>
      </x:c>
      <x:c r="F2026" s="13" t="n">
        <x:f>COUNTIFS('Stocking details'!$I$6:$I$3307,G2026)</x:f>
        <x:v>1</x:v>
      </x:c>
      <x:c r="G2026" s="8" t="str">
        <x:f>B2026&amp;" / "&amp;C2026&amp;" / "&amp;D2026</x:f>
        <x:v>4806 / 2021 / CUTTHROAT TROUT</x:v>
      </x:c>
    </x:row>
    <x:row r="2027" ht="23" customHeight="1">
      <x:c r="A2027" s="8" t="str">
        <x:v>Upper Hogarth Lake</x:v>
      </x:c>
      <x:c r="B2027" s="8" t="str">
        <x:v>4837</x:v>
      </x:c>
      <x:c r="C2027" s="17" t="n">
        <x:v>2025</x:v>
      </x:c>
      <x:c r="D2027" s="8" t="str">
        <x:v>CUTTHROAT TROUT</x:v>
      </x:c>
      <x:c r="E2027" s="13" t="n">
        <x:f>SUMIFS('Stocking details'!$F$6:$F$3307,'Stocking details'!$I$6:$I$3307,G2027)</x:f>
        <x:v>1200</x:v>
      </x:c>
      <x:c r="F2027" s="13" t="n">
        <x:f>COUNTIFS('Stocking details'!$I$6:$I$3307,G2027)</x:f>
        <x:v>1</x:v>
      </x:c>
      <x:c r="G2027" s="8" t="str">
        <x:f>B2027&amp;" / "&amp;C2027&amp;" / "&amp;D2027</x:f>
        <x:v>4837 / 2025 / CUTTHROAT TROUT</x:v>
      </x:c>
    </x:row>
    <x:row r="2028" ht="23" customHeight="1">
      <x:c r="A2028" s="8" t="str">
        <x:v>Upper Hogarth Lake</x:v>
      </x:c>
      <x:c r="B2028" s="8" t="str">
        <x:v>4837</x:v>
      </x:c>
      <x:c r="C2028" s="17" t="n">
        <x:v>2021</x:v>
      </x:c>
      <x:c r="D2028" s="8" t="str">
        <x:v>CUTTHROAT TROUT</x:v>
      </x:c>
      <x:c r="E2028" s="13" t="n">
        <x:f>SUMIFS('Stocking details'!$F$6:$F$3307,'Stocking details'!$I$6:$I$3307,G2028)</x:f>
        <x:v>250</x:v>
      </x:c>
      <x:c r="F2028" s="13" t="n">
        <x:f>COUNTIFS('Stocking details'!$I$6:$I$3307,G2028)</x:f>
        <x:v>1</x:v>
      </x:c>
      <x:c r="G2028" s="8" t="str">
        <x:f>B2028&amp;" / "&amp;C2028&amp;" / "&amp;D2028</x:f>
        <x:v>4837 / 2021 / CUTTHROAT TROUT</x:v>
      </x:c>
    </x:row>
    <x:row r="2029" ht="23" customHeight="1">
      <x:c r="A2029" s="8" t="str">
        <x:v>Upper Kananaskis Lake</x:v>
      </x:c>
      <x:c r="B2029" s="8" t="str">
        <x:v>6061</x:v>
      </x:c>
      <x:c r="C2029" s="17" t="n">
        <x:v>2026</x:v>
      </x:c>
      <x:c r="D2029" s="8" t="str">
        <x:v>WESTSLOPE CUTTHROAT TROUT</x:v>
      </x:c>
      <x:c r="E2029" s="13" t="n">
        <x:f>SUMIFS('Stocking details'!$F$6:$F$3307,'Stocking details'!$I$6:$I$3307,G2029)</x:f>
        <x:v>5000</x:v>
      </x:c>
      <x:c r="F2029" s="13" t="n">
        <x:f>COUNTIFS('Stocking details'!$I$6:$I$3307,G2029)</x:f>
        <x:v>1</x:v>
      </x:c>
      <x:c r="G2029" s="8" t="str">
        <x:f>B2029&amp;" / "&amp;C2029&amp;" / "&amp;D2029</x:f>
        <x:v>6061 / 2026 / WESTSLOPE CUTTHROAT TROUT</x:v>
      </x:c>
    </x:row>
    <x:row r="2030" ht="23" customHeight="1">
      <x:c r="A2030" s="8" t="str">
        <x:v>Upper Kananaskis Lake</x:v>
      </x:c>
      <x:c r="B2030" s="8" t="str">
        <x:v>6061</x:v>
      </x:c>
      <x:c r="C2030" s="17" t="n">
        <x:v>2025</x:v>
      </x:c>
      <x:c r="D2030" s="8" t="str">
        <x:v>CUTTHROAT TROUT</x:v>
      </x:c>
      <x:c r="E2030" s="13" t="n">
        <x:f>SUMIFS('Stocking details'!$F$6:$F$3307,'Stocking details'!$I$6:$I$3307,G2030)</x:f>
        <x:v>7300</x:v>
      </x:c>
      <x:c r="F2030" s="13" t="n">
        <x:f>COUNTIFS('Stocking details'!$I$6:$I$3307,G2030)</x:f>
        <x:v>2</x:v>
      </x:c>
      <x:c r="G2030" s="8" t="str">
        <x:f>B2030&amp;" / "&amp;C2030&amp;" / "&amp;D2030</x:f>
        <x:v>6061 / 2025 / CUTTHROAT TROUT</x:v>
      </x:c>
    </x:row>
    <x:row r="2031" ht="23" customHeight="1">
      <x:c r="A2031" s="8" t="str">
        <x:v>Upper Kananaskis Lake</x:v>
      </x:c>
      <x:c r="B2031" s="8" t="str">
        <x:v>6061</x:v>
      </x:c>
      <x:c r="C2031" s="17" t="n">
        <x:v>2022</x:v>
      </x:c>
      <x:c r="D2031" s="8" t="str">
        <x:v>CUTTHROAT TROUT</x:v>
      </x:c>
      <x:c r="E2031" s="13" t="n">
        <x:f>SUMIFS('Stocking details'!$F$6:$F$3307,'Stocking details'!$I$6:$I$3307,G2031)</x:f>
        <x:v>2404</x:v>
      </x:c>
      <x:c r="F2031" s="13" t="n">
        <x:f>COUNTIFS('Stocking details'!$I$6:$I$3307,G2031)</x:f>
        <x:v>2</x:v>
      </x:c>
      <x:c r="G2031" s="8" t="str">
        <x:f>B2031&amp;" / "&amp;C2031&amp;" / "&amp;D2031</x:f>
        <x:v>6061 / 2022 / CUTTHROAT TROUT</x:v>
      </x:c>
    </x:row>
    <x:row r="2032" ht="23" customHeight="1">
      <x:c r="A2032" s="8" t="str">
        <x:v>Upper Pierre Greys Lake</x:v>
      </x:c>
      <x:c r="B2032" s="8" t="str">
        <x:v>5572</x:v>
      </x:c>
      <x:c r="C2032" s="17" t="n">
        <x:v>2026</x:v>
      </x:c>
      <x:c r="D2032" s="8" t="str">
        <x:v>BROOK TROUT</x:v>
      </x:c>
      <x:c r="E2032" s="13" t="n">
        <x:f>SUMIFS('Stocking details'!$F$6:$F$3307,'Stocking details'!$I$6:$I$3307,G2032)</x:f>
        <x:v>9000</x:v>
      </x:c>
      <x:c r="F2032" s="13" t="n">
        <x:f>COUNTIFS('Stocking details'!$I$6:$I$3307,G2032)</x:f>
        <x:v>1</x:v>
      </x:c>
      <x:c r="G2032" s="8" t="str">
        <x:f>B2032&amp;" / "&amp;C2032&amp;" / "&amp;D2032</x:f>
        <x:v>5572 / 2026 / BROOK TROUT</x:v>
      </x:c>
    </x:row>
    <x:row r="2033" ht="23" customHeight="1">
      <x:c r="A2033" s="8" t="str">
        <x:v>Upper Pierre Greys Lake</x:v>
      </x:c>
      <x:c r="B2033" s="8" t="str">
        <x:v>5572</x:v>
      </x:c>
      <x:c r="C2033" s="17" t="n">
        <x:v>2026</x:v>
      </x:c>
      <x:c r="D2033" s="8" t="str">
        <x:v>BROWN TROUT</x:v>
      </x:c>
      <x:c r="E2033" s="13" t="n">
        <x:f>SUMIFS('Stocking details'!$F$6:$F$3307,'Stocking details'!$I$6:$I$3307,G2033)</x:f>
        <x:v>1000</x:v>
      </x:c>
      <x:c r="F2033" s="13" t="n">
        <x:f>COUNTIFS('Stocking details'!$I$6:$I$3307,G2033)</x:f>
        <x:v>1</x:v>
      </x:c>
      <x:c r="G2033" s="8" t="str">
        <x:f>B2033&amp;" / "&amp;C2033&amp;" / "&amp;D2033</x:f>
        <x:v>5572 / 2026 / BROWN TROUT</x:v>
      </x:c>
    </x:row>
    <x:row r="2034" ht="23" customHeight="1">
      <x:c r="A2034" s="8" t="str">
        <x:v>Upper Pierre Greys Lake</x:v>
      </x:c>
      <x:c r="B2034" s="8" t="str">
        <x:v>5572</x:v>
      </x:c>
      <x:c r="C2034" s="17" t="n">
        <x:v>2025</x:v>
      </x:c>
      <x:c r="D2034" s="8" t="str">
        <x:v>BROOK TROUT</x:v>
      </x:c>
      <x:c r="E2034" s="13" t="n">
        <x:f>SUMIFS('Stocking details'!$F$6:$F$3307,'Stocking details'!$I$6:$I$3307,G2034)</x:f>
        <x:v>15062</x:v>
      </x:c>
      <x:c r="F2034" s="13" t="n">
        <x:f>COUNTIFS('Stocking details'!$I$6:$I$3307,G2034)</x:f>
        <x:v>3</x:v>
      </x:c>
      <x:c r="G2034" s="8" t="str">
        <x:f>B2034&amp;" / "&amp;C2034&amp;" / "&amp;D2034</x:f>
        <x:v>5572 / 2025 / BROOK TROUT</x:v>
      </x:c>
    </x:row>
    <x:row r="2035" ht="23" customHeight="1">
      <x:c r="A2035" s="8" t="str">
        <x:v>Upper Pierre Greys Lake</x:v>
      </x:c>
      <x:c r="B2035" s="8" t="str">
        <x:v>5572</x:v>
      </x:c>
      <x:c r="C2035" s="17" t="n">
        <x:v>2024</x:v>
      </x:c>
      <x:c r="D2035" s="8" t="str">
        <x:v>BROOK TROUT</x:v>
      </x:c>
      <x:c r="E2035" s="13" t="n">
        <x:f>SUMIFS('Stocking details'!$F$6:$F$3307,'Stocking details'!$I$6:$I$3307,G2035)</x:f>
        <x:v>7662</x:v>
      </x:c>
      <x:c r="F2035" s="13" t="n">
        <x:f>COUNTIFS('Stocking details'!$I$6:$I$3307,G2035)</x:f>
        <x:v>3</x:v>
      </x:c>
      <x:c r="G2035" s="8" t="str">
        <x:f>B2035&amp;" / "&amp;C2035&amp;" / "&amp;D2035</x:f>
        <x:v>5572 / 2024 / BROOK TROUT</x:v>
      </x:c>
    </x:row>
    <x:row r="2036" ht="23" customHeight="1">
      <x:c r="A2036" s="8" t="str">
        <x:v>Upper Pierre Greys Lake</x:v>
      </x:c>
      <x:c r="B2036" s="8" t="str">
        <x:v>5572</x:v>
      </x:c>
      <x:c r="C2036" s="17" t="n">
        <x:v>2024</x:v>
      </x:c>
      <x:c r="D2036" s="8" t="str">
        <x:v>BROWN TROUT</x:v>
      </x:c>
      <x:c r="E2036" s="13" t="n">
        <x:f>SUMIFS('Stocking details'!$F$6:$F$3307,'Stocking details'!$I$6:$I$3307,G2036)</x:f>
        <x:v>1000</x:v>
      </x:c>
      <x:c r="F2036" s="13" t="n">
        <x:f>COUNTIFS('Stocking details'!$I$6:$I$3307,G2036)</x:f>
        <x:v>1</x:v>
      </x:c>
      <x:c r="G2036" s="8" t="str">
        <x:f>B2036&amp;" / "&amp;C2036&amp;" / "&amp;D2036</x:f>
        <x:v>5572 / 2024 / BROWN TROUT</x:v>
      </x:c>
    </x:row>
    <x:row r="2037" ht="23" customHeight="1">
      <x:c r="A2037" s="8" t="str">
        <x:v>Upper Pierre Greys Lake</x:v>
      </x:c>
      <x:c r="B2037" s="8" t="str">
        <x:v>5572</x:v>
      </x:c>
      <x:c r="C2037" s="17" t="n">
        <x:v>2023</x:v>
      </x:c>
      <x:c r="D2037" s="8" t="str">
        <x:v>BROOK TROUT</x:v>
      </x:c>
      <x:c r="E2037" s="13" t="n">
        <x:f>SUMIFS('Stocking details'!$F$6:$F$3307,'Stocking details'!$I$6:$I$3307,G2037)</x:f>
        <x:v>14000</x:v>
      </x:c>
      <x:c r="F2037" s="13" t="n">
        <x:f>COUNTIFS('Stocking details'!$I$6:$I$3307,G2037)</x:f>
        <x:v>2</x:v>
      </x:c>
      <x:c r="G2037" s="8" t="str">
        <x:f>B2037&amp;" / "&amp;C2037&amp;" / "&amp;D2037</x:f>
        <x:v>5572 / 2023 / BROOK TROUT</x:v>
      </x:c>
    </x:row>
    <x:row r="2038" ht="23" customHeight="1">
      <x:c r="A2038" s="8" t="str">
        <x:v>Upper Pierre Greys Lake</x:v>
      </x:c>
      <x:c r="B2038" s="8" t="str">
        <x:v>5572</x:v>
      </x:c>
      <x:c r="C2038" s="17" t="n">
        <x:v>2022</x:v>
      </x:c>
      <x:c r="D2038" s="8" t="str">
        <x:v>BROOK TROUT</x:v>
      </x:c>
      <x:c r="E2038" s="13" t="n">
        <x:f>SUMIFS('Stocking details'!$F$6:$F$3307,'Stocking details'!$I$6:$I$3307,G2038)</x:f>
        <x:v>10737</x:v>
      </x:c>
      <x:c r="F2038" s="13" t="n">
        <x:f>COUNTIFS('Stocking details'!$I$6:$I$3307,G2038)</x:f>
        <x:v>2</x:v>
      </x:c>
      <x:c r="G2038" s="8" t="str">
        <x:f>B2038&amp;" / "&amp;C2038&amp;" / "&amp;D2038</x:f>
        <x:v>5572 / 2022 / BROOK TROUT</x:v>
      </x:c>
    </x:row>
    <x:row r="2039" ht="23" customHeight="1">
      <x:c r="A2039" s="8" t="str">
        <x:v>Upper Pierre Greys Lake</x:v>
      </x:c>
      <x:c r="B2039" s="8" t="str">
        <x:v>5572</x:v>
      </x:c>
      <x:c r="C2039" s="17" t="n">
        <x:v>2022</x:v>
      </x:c>
      <x:c r="D2039" s="8" t="str">
        <x:v>BROWN TROUT</x:v>
      </x:c>
      <x:c r="E2039" s="13" t="n">
        <x:f>SUMIFS('Stocking details'!$F$6:$F$3307,'Stocking details'!$I$6:$I$3307,G2039)</x:f>
        <x:v>1000</x:v>
      </x:c>
      <x:c r="F2039" s="13" t="n">
        <x:f>COUNTIFS('Stocking details'!$I$6:$I$3307,G2039)</x:f>
        <x:v>1</x:v>
      </x:c>
      <x:c r="G2039" s="8" t="str">
        <x:f>B2039&amp;" / "&amp;C2039&amp;" / "&amp;D2039</x:f>
        <x:v>5572 / 2022 / BROWN TROUT</x:v>
      </x:c>
    </x:row>
    <x:row r="2040" ht="23" customHeight="1">
      <x:c r="A2040" s="8" t="str">
        <x:v>Upper Pierre Greys Lake</x:v>
      </x:c>
      <x:c r="B2040" s="8" t="str">
        <x:v>5572</x:v>
      </x:c>
      <x:c r="C2040" s="17" t="n">
        <x:v>2021</x:v>
      </x:c>
      <x:c r="D2040" s="8" t="str">
        <x:v>BROOK TROUT</x:v>
      </x:c>
      <x:c r="E2040" s="13" t="n">
        <x:f>SUMIFS('Stocking details'!$F$6:$F$3307,'Stocking details'!$I$6:$I$3307,G2040)</x:f>
        <x:v>9000</x:v>
      </x:c>
      <x:c r="F2040" s="13" t="n">
        <x:f>COUNTIFS('Stocking details'!$I$6:$I$3307,G2040)</x:f>
        <x:v>1</x:v>
      </x:c>
      <x:c r="G2040" s="8" t="str">
        <x:f>B2040&amp;" / "&amp;C2040&amp;" / "&amp;D2040</x:f>
        <x:v>5572 / 2021 / BROOK TROUT</x:v>
      </x:c>
    </x:row>
    <x:row r="2041" ht="23" customHeight="1">
      <x:c r="A2041" s="8" t="str">
        <x:v>Upper Smuts Lake</x:v>
      </x:c>
      <x:c r="B2041" s="8" t="str">
        <x:v>6606</x:v>
      </x:c>
      <x:c r="C2041" s="17" t="n">
        <x:v>2025</x:v>
      </x:c>
      <x:c r="D2041" s="8" t="str">
        <x:v>CUTTHROAT TROUT</x:v>
      </x:c>
      <x:c r="E2041" s="13" t="n">
        <x:f>SUMIFS('Stocking details'!$F$6:$F$3307,'Stocking details'!$I$6:$I$3307,G2041)</x:f>
        <x:v>200</x:v>
      </x:c>
      <x:c r="F2041" s="13" t="n">
        <x:f>COUNTIFS('Stocking details'!$I$6:$I$3307,G2041)</x:f>
        <x:v>1</x:v>
      </x:c>
      <x:c r="G2041" s="8" t="str">
        <x:f>B2041&amp;" / "&amp;C2041&amp;" / "&amp;D2041</x:f>
        <x:v>6606 / 2025 / CUTTHROAT TROUT</x:v>
      </x:c>
    </x:row>
    <x:row r="2042" ht="23" customHeight="1">
      <x:c r="A2042" s="8" t="str">
        <x:v>Upper Wildhorse Lake</x:v>
      </x:c>
      <x:c r="B2042" s="8" t="str">
        <x:v>6160</x:v>
      </x:c>
      <x:c r="C2042" s="17" t="n">
        <x:v>2026</x:v>
      </x:c>
      <x:c r="D2042" s="8" t="str">
        <x:v>BROOK TROUT</x:v>
      </x:c>
      <x:c r="E2042" s="13" t="n">
        <x:f>SUMIFS('Stocking details'!$F$6:$F$3307,'Stocking details'!$I$6:$I$3307,G2042)</x:f>
        <x:v>2500</x:v>
      </x:c>
      <x:c r="F2042" s="13" t="n">
        <x:f>COUNTIFS('Stocking details'!$I$6:$I$3307,G2042)</x:f>
        <x:v>1</x:v>
      </x:c>
      <x:c r="G2042" s="8" t="str">
        <x:f>B2042&amp;" / "&amp;C2042&amp;" / "&amp;D2042</x:f>
        <x:v>6160 / 2026 / BROOK TROUT</x:v>
      </x:c>
    </x:row>
    <x:row r="2043" ht="23" customHeight="1">
      <x:c r="A2043" s="8" t="str">
        <x:v>Upper Wildhorse Lake</x:v>
      </x:c>
      <x:c r="B2043" s="8" t="str">
        <x:v>6160</x:v>
      </x:c>
      <x:c r="C2043" s="17" t="n">
        <x:v>2025</x:v>
      </x:c>
      <x:c r="D2043" s="8" t="str">
        <x:v>BROOK TROUT</x:v>
      </x:c>
      <x:c r="E2043" s="13" t="n">
        <x:f>SUMIFS('Stocking details'!$F$6:$F$3307,'Stocking details'!$I$6:$I$3307,G2043)</x:f>
        <x:v>2500</x:v>
      </x:c>
      <x:c r="F2043" s="13" t="n">
        <x:f>COUNTIFS('Stocking details'!$I$6:$I$3307,G2043)</x:f>
        <x:v>1</x:v>
      </x:c>
      <x:c r="G2043" s="8" t="str">
        <x:f>B2043&amp;" / "&amp;C2043&amp;" / "&amp;D2043</x:f>
        <x:v>6160 / 2025 / BROOK TROUT</x:v>
      </x:c>
    </x:row>
    <x:row r="2044" ht="23" customHeight="1">
      <x:c r="A2044" s="8" t="str">
        <x:v>Upper Wildhorse Lake</x:v>
      </x:c>
      <x:c r="B2044" s="8" t="str">
        <x:v>6160</x:v>
      </x:c>
      <x:c r="C2044" s="17" t="n">
        <x:v>2024</x:v>
      </x:c>
      <x:c r="D2044" s="8" t="str">
        <x:v>BROOK TROUT</x:v>
      </x:c>
      <x:c r="E2044" s="13" t="n">
        <x:f>SUMIFS('Stocking details'!$F$6:$F$3307,'Stocking details'!$I$6:$I$3307,G2044)</x:f>
        <x:v>2500</x:v>
      </x:c>
      <x:c r="F2044" s="13" t="n">
        <x:f>COUNTIFS('Stocking details'!$I$6:$I$3307,G2044)</x:f>
        <x:v>1</x:v>
      </x:c>
      <x:c r="G2044" s="8" t="str">
        <x:f>B2044&amp;" / "&amp;C2044&amp;" / "&amp;D2044</x:f>
        <x:v>6160 / 2024 / BROOK TROUT</x:v>
      </x:c>
    </x:row>
    <x:row r="2045" ht="23" customHeight="1">
      <x:c r="A2045" s="8" t="str">
        <x:v>Upper Wildhorse Lake</x:v>
      </x:c>
      <x:c r="B2045" s="8" t="str">
        <x:v>6160</x:v>
      </x:c>
      <x:c r="C2045" s="17" t="n">
        <x:v>2022</x:v>
      </x:c>
      <x:c r="D2045" s="8" t="str">
        <x:v>BROOK TROUT</x:v>
      </x:c>
      <x:c r="E2045" s="13" t="n">
        <x:f>SUMIFS('Stocking details'!$F$6:$F$3307,'Stocking details'!$I$6:$I$3307,G2045)</x:f>
        <x:v>2500</x:v>
      </x:c>
      <x:c r="F2045" s="13" t="n">
        <x:f>COUNTIFS('Stocking details'!$I$6:$I$3307,G2045)</x:f>
        <x:v>1</x:v>
      </x:c>
      <x:c r="G2045" s="8" t="str">
        <x:f>B2045&amp;" / "&amp;C2045&amp;" / "&amp;D2045</x:f>
        <x:v>6160 / 2022 / BROOK TROUT</x:v>
      </x:c>
    </x:row>
    <x:row r="2046" ht="23" customHeight="1">
      <x:c r="A2046" s="8" t="str">
        <x:v>Upper Wildhorse Lake</x:v>
      </x:c>
      <x:c r="B2046" s="8" t="str">
        <x:v>6160</x:v>
      </x:c>
      <x:c r="C2046" s="17" t="n">
        <x:v>2021</x:v>
      </x:c>
      <x:c r="D2046" s="8" t="str">
        <x:v>BROOK TROUT</x:v>
      </x:c>
      <x:c r="E2046" s="13" t="n">
        <x:f>SUMIFS('Stocking details'!$F$6:$F$3307,'Stocking details'!$I$6:$I$3307,G2046)</x:f>
        <x:v>2500</x:v>
      </x:c>
      <x:c r="F2046" s="13" t="n">
        <x:f>COUNTIFS('Stocking details'!$I$6:$I$3307,G2046)</x:f>
        <x:v>1</x:v>
      </x:c>
      <x:c r="G2046" s="8" t="str">
        <x:f>B2046&amp;" / "&amp;C2046&amp;" / "&amp;D2046</x:f>
        <x:v>6160 / 2021 / BROOK TROUT</x:v>
      </x:c>
    </x:row>
    <x:row r="2047" ht="23" customHeight="1">
      <x:c r="A2047" s="8" t="str">
        <x:v>Valleyview Children's Pond</x:v>
      </x:c>
      <x:c r="B2047" s="8" t="str">
        <x:v>6618</x:v>
      </x:c>
      <x:c r="C2047" s="17" t="n">
        <x:v>2026</x:v>
      </x:c>
      <x:c r="D2047" s="8" t="str">
        <x:v>RAINBOW TROUT</x:v>
      </x:c>
      <x:c r="E2047" s="13" t="n">
        <x:f>SUMIFS('Stocking details'!$F$6:$F$3307,'Stocking details'!$I$6:$I$3307,G2047)</x:f>
        <x:v>500</x:v>
      </x:c>
      <x:c r="F2047" s="13" t="n">
        <x:f>COUNTIFS('Stocking details'!$I$6:$I$3307,G2047)</x:f>
        <x:v>1</x:v>
      </x:c>
      <x:c r="G2047" s="8" t="str">
        <x:f>B2047&amp;" / "&amp;C2047&amp;" / "&amp;D2047</x:f>
        <x:v>6618 / 2026 / RAINBOW TROUT</x:v>
      </x:c>
    </x:row>
    <x:row r="2048" ht="23" customHeight="1">
      <x:c r="A2048" s="8" t="str">
        <x:v>Valleyview Children's Pond</x:v>
      </x:c>
      <x:c r="B2048" s="8" t="str">
        <x:v>6618</x:v>
      </x:c>
      <x:c r="C2048" s="17" t="n">
        <x:v>2025</x:v>
      </x:c>
      <x:c r="D2048" s="8" t="str">
        <x:v>RAINBOW TROUT</x:v>
      </x:c>
      <x:c r="E2048" s="13" t="n">
        <x:f>SUMIFS('Stocking details'!$F$6:$F$3307,'Stocking details'!$I$6:$I$3307,G2048)</x:f>
        <x:v>500</x:v>
      </x:c>
      <x:c r="F2048" s="13" t="n">
        <x:f>COUNTIFS('Stocking details'!$I$6:$I$3307,G2048)</x:f>
        <x:v>1</x:v>
      </x:c>
      <x:c r="G2048" s="8" t="str">
        <x:f>B2048&amp;" / "&amp;C2048&amp;" / "&amp;D2048</x:f>
        <x:v>6618 / 2025 / RAINBOW TROUT</x:v>
      </x:c>
    </x:row>
    <x:row r="2049" ht="23" customHeight="1">
      <x:c r="A2049" s="8" t="str">
        <x:v>Valleyview Children's Pond</x:v>
      </x:c>
      <x:c r="B2049" s="8" t="str">
        <x:v>6618</x:v>
      </x:c>
      <x:c r="C2049" s="17" t="n">
        <x:v>2024</x:v>
      </x:c>
      <x:c r="D2049" s="8" t="str">
        <x:v>RAINBOW TROUT</x:v>
      </x:c>
      <x:c r="E2049" s="13" t="n">
        <x:f>SUMIFS('Stocking details'!$F$6:$F$3307,'Stocking details'!$I$6:$I$3307,G2049)</x:f>
        <x:v>250</x:v>
      </x:c>
      <x:c r="F2049" s="13" t="n">
        <x:f>COUNTIFS('Stocking details'!$I$6:$I$3307,G2049)</x:f>
        <x:v>1</x:v>
      </x:c>
      <x:c r="G2049" s="8" t="str">
        <x:f>B2049&amp;" / "&amp;C2049&amp;" / "&amp;D2049</x:f>
        <x:v>6618 / 2024 / RAINBOW TROUT</x:v>
      </x:c>
    </x:row>
    <x:row r="2050" ht="23" customHeight="1">
      <x:c r="A2050" s="8" t="str">
        <x:v>Valleyview Children's Pond</x:v>
      </x:c>
      <x:c r="B2050" s="8" t="str">
        <x:v>6618</x:v>
      </x:c>
      <x:c r="C2050" s="17" t="n">
        <x:v>2023</x:v>
      </x:c>
      <x:c r="D2050" s="8" t="str">
        <x:v>RAINBOW TROUT</x:v>
      </x:c>
      <x:c r="E2050" s="13" t="n">
        <x:f>SUMIFS('Stocking details'!$F$6:$F$3307,'Stocking details'!$I$6:$I$3307,G2050)</x:f>
        <x:v>251</x:v>
      </x:c>
      <x:c r="F2050" s="13" t="n">
        <x:f>COUNTIFS('Stocking details'!$I$6:$I$3307,G2050)</x:f>
        <x:v>1</x:v>
      </x:c>
      <x:c r="G2050" s="8" t="str">
        <x:f>B2050&amp;" / "&amp;C2050&amp;" / "&amp;D2050</x:f>
        <x:v>6618 / 2023 / RAINBOW TROUT</x:v>
      </x:c>
    </x:row>
    <x:row r="2051" ht="23" customHeight="1">
      <x:c r="A2051" s="8" t="str">
        <x:v>Valleyview Children's Pond</x:v>
      </x:c>
      <x:c r="B2051" s="8" t="str">
        <x:v>6618</x:v>
      </x:c>
      <x:c r="C2051" s="17" t="n">
        <x:v>2022</x:v>
      </x:c>
      <x:c r="D2051" s="8" t="str">
        <x:v>RAINBOW TROUT</x:v>
      </x:c>
      <x:c r="E2051" s="13" t="n">
        <x:f>SUMIFS('Stocking details'!$F$6:$F$3307,'Stocking details'!$I$6:$I$3307,G2051)</x:f>
        <x:v>500</x:v>
      </x:c>
      <x:c r="F2051" s="13" t="n">
        <x:f>COUNTIFS('Stocking details'!$I$6:$I$3307,G2051)</x:f>
        <x:v>1</x:v>
      </x:c>
      <x:c r="G2051" s="8" t="str">
        <x:f>B2051&amp;" / "&amp;C2051&amp;" / "&amp;D2051</x:f>
        <x:v>6618 / 2022 / RAINBOW TROUT</x:v>
      </x:c>
    </x:row>
    <x:row r="2052" ht="23" customHeight="1">
      <x:c r="A2052" s="8" t="str">
        <x:v>Valleyview Children's Pond</x:v>
      </x:c>
      <x:c r="B2052" s="8" t="str">
        <x:v>6618</x:v>
      </x:c>
      <x:c r="C2052" s="17" t="n">
        <x:v>2021</x:v>
      </x:c>
      <x:c r="D2052" s="8" t="str">
        <x:v>RAINBOW TROUT</x:v>
      </x:c>
      <x:c r="E2052" s="13" t="n">
        <x:f>SUMIFS('Stocking details'!$F$6:$F$3307,'Stocking details'!$I$6:$I$3307,G2052)</x:f>
        <x:v>500</x:v>
      </x:c>
      <x:c r="F2052" s="13" t="n">
        <x:f>COUNTIFS('Stocking details'!$I$6:$I$3307,G2052)</x:f>
        <x:v>1</x:v>
      </x:c>
      <x:c r="G2052" s="8" t="str">
        <x:f>B2052&amp;" / "&amp;C2052&amp;" / "&amp;D2052</x:f>
        <x:v>6618 / 2021 / RAINBOW TROUT</x:v>
      </x:c>
    </x:row>
    <x:row r="2053" ht="23" customHeight="1">
      <x:c r="A2053" s="8" t="str">
        <x:v>Vegreville Children's Pond</x:v>
      </x:c>
      <x:c r="B2053" s="8" t="str">
        <x:v>6619</x:v>
      </x:c>
      <x:c r="C2053" s="17" t="n">
        <x:v>2026</x:v>
      </x:c>
      <x:c r="D2053" s="8" t="str">
        <x:v>RAINBOW TROUT</x:v>
      </x:c>
      <x:c r="E2053" s="13" t="n">
        <x:f>SUMIFS('Stocking details'!$F$6:$F$3307,'Stocking details'!$I$6:$I$3307,G2053)</x:f>
        <x:v>600</x:v>
      </x:c>
      <x:c r="F2053" s="13" t="n">
        <x:f>COUNTIFS('Stocking details'!$I$6:$I$3307,G2053)</x:f>
        <x:v>1</x:v>
      </x:c>
      <x:c r="G2053" s="8" t="str">
        <x:f>B2053&amp;" / "&amp;C2053&amp;" / "&amp;D2053</x:f>
        <x:v>6619 / 2026 / RAINBOW TROUT</x:v>
      </x:c>
    </x:row>
    <x:row r="2054" ht="23" customHeight="1">
      <x:c r="A2054" s="8" t="str">
        <x:v>Vegreville Children's Pond</x:v>
      </x:c>
      <x:c r="B2054" s="8" t="str">
        <x:v>6619</x:v>
      </x:c>
      <x:c r="C2054" s="17" t="n">
        <x:v>2025</x:v>
      </x:c>
      <x:c r="D2054" s="8" t="str">
        <x:v>RAINBOW TROUT</x:v>
      </x:c>
      <x:c r="E2054" s="13" t="n">
        <x:f>SUMIFS('Stocking details'!$F$6:$F$3307,'Stocking details'!$I$6:$I$3307,G2054)</x:f>
        <x:v>600</x:v>
      </x:c>
      <x:c r="F2054" s="13" t="n">
        <x:f>COUNTIFS('Stocking details'!$I$6:$I$3307,G2054)</x:f>
        <x:v>1</x:v>
      </x:c>
      <x:c r="G2054" s="8" t="str">
        <x:f>B2054&amp;" / "&amp;C2054&amp;" / "&amp;D2054</x:f>
        <x:v>6619 / 2025 / RAINBOW TROUT</x:v>
      </x:c>
    </x:row>
    <x:row r="2055" ht="23" customHeight="1">
      <x:c r="A2055" s="8" t="str">
        <x:v>Vegreville Children's Pond</x:v>
      </x:c>
      <x:c r="B2055" s="8" t="str">
        <x:v>6619</x:v>
      </x:c>
      <x:c r="C2055" s="17" t="n">
        <x:v>2024</x:v>
      </x:c>
      <x:c r="D2055" s="8" t="str">
        <x:v>RAINBOW TROUT</x:v>
      </x:c>
      <x:c r="E2055" s="13" t="n">
        <x:f>SUMIFS('Stocking details'!$F$6:$F$3307,'Stocking details'!$I$6:$I$3307,G2055)</x:f>
        <x:v>600</x:v>
      </x:c>
      <x:c r="F2055" s="13" t="n">
        <x:f>COUNTIFS('Stocking details'!$I$6:$I$3307,G2055)</x:f>
        <x:v>1</x:v>
      </x:c>
      <x:c r="G2055" s="8" t="str">
        <x:f>B2055&amp;" / "&amp;C2055&amp;" / "&amp;D2055</x:f>
        <x:v>6619 / 2024 / RAINBOW TROUT</x:v>
      </x:c>
    </x:row>
    <x:row r="2056" ht="23" customHeight="1">
      <x:c r="A2056" s="8" t="str">
        <x:v>Vegreville Children's Pond</x:v>
      </x:c>
      <x:c r="B2056" s="8" t="str">
        <x:v>6619</x:v>
      </x:c>
      <x:c r="C2056" s="17" t="n">
        <x:v>2023</x:v>
      </x:c>
      <x:c r="D2056" s="8" t="str">
        <x:v>RAINBOW TROUT</x:v>
      </x:c>
      <x:c r="E2056" s="13" t="n">
        <x:f>SUMIFS('Stocking details'!$F$6:$F$3307,'Stocking details'!$I$6:$I$3307,G2056)</x:f>
        <x:v>675</x:v>
      </x:c>
      <x:c r="F2056" s="13" t="n">
        <x:f>COUNTIFS('Stocking details'!$I$6:$I$3307,G2056)</x:f>
        <x:v>1</x:v>
      </x:c>
      <x:c r="G2056" s="8" t="str">
        <x:f>B2056&amp;" / "&amp;C2056&amp;" / "&amp;D2056</x:f>
        <x:v>6619 / 2023 / RAINBOW TROUT</x:v>
      </x:c>
    </x:row>
    <x:row r="2057" ht="23" customHeight="1">
      <x:c r="A2057" s="8" t="str">
        <x:v>Vegreville Children's Pond</x:v>
      </x:c>
      <x:c r="B2057" s="8" t="str">
        <x:v>6619</x:v>
      </x:c>
      <x:c r="C2057" s="17" t="n">
        <x:v>2022</x:v>
      </x:c>
      <x:c r="D2057" s="8" t="str">
        <x:v>RAINBOW TROUT</x:v>
      </x:c>
      <x:c r="E2057" s="13" t="n">
        <x:f>SUMIFS('Stocking details'!$F$6:$F$3307,'Stocking details'!$I$6:$I$3307,G2057)</x:f>
        <x:v>700</x:v>
      </x:c>
      <x:c r="F2057" s="13" t="n">
        <x:f>COUNTIFS('Stocking details'!$I$6:$I$3307,G2057)</x:f>
        <x:v>1</x:v>
      </x:c>
      <x:c r="G2057" s="8" t="str">
        <x:f>B2057&amp;" / "&amp;C2057&amp;" / "&amp;D2057</x:f>
        <x:v>6619 / 2022 / RAINBOW TROUT</x:v>
      </x:c>
    </x:row>
    <x:row r="2058" ht="23" customHeight="1">
      <x:c r="A2058" s="8" t="str">
        <x:v>Vegreville Children's Pond</x:v>
      </x:c>
      <x:c r="B2058" s="8" t="str">
        <x:v>6619</x:v>
      </x:c>
      <x:c r="C2058" s="17" t="n">
        <x:v>2021</x:v>
      </x:c>
      <x:c r="D2058" s="8" t="str">
        <x:v>RAINBOW TROUT</x:v>
      </x:c>
      <x:c r="E2058" s="13" t="n">
        <x:f>SUMIFS('Stocking details'!$F$6:$F$3307,'Stocking details'!$I$6:$I$3307,G2058)</x:f>
        <x:v>500</x:v>
      </x:c>
      <x:c r="F2058" s="13" t="n">
        <x:f>COUNTIFS('Stocking details'!$I$6:$I$3307,G2058)</x:f>
        <x:v>1</x:v>
      </x:c>
      <x:c r="G2058" s="8" t="str">
        <x:f>B2058&amp;" / "&amp;C2058&amp;" / "&amp;D2058</x:f>
        <x:v>6619 / 2021 / RAINBOW TROUT</x:v>
      </x:c>
    </x:row>
    <x:row r="2059" ht="23" customHeight="1">
      <x:c r="A2059" s="8" t="str">
        <x:v>Vegreville Trout Pond</x:v>
      </x:c>
      <x:c r="B2059" s="8" t="str">
        <x:v>6620</x:v>
      </x:c>
      <x:c r="C2059" s="17" t="n">
        <x:v>2026</x:v>
      </x:c>
      <x:c r="D2059" s="8" t="str">
        <x:v>RAINBOW TROUT</x:v>
      </x:c>
      <x:c r="E2059" s="13" t="n">
        <x:f>SUMIFS('Stocking details'!$F$6:$F$3307,'Stocking details'!$I$6:$I$3307,G2059)</x:f>
        <x:v>10000</x:v>
      </x:c>
      <x:c r="F2059" s="13" t="n">
        <x:f>COUNTIFS('Stocking details'!$I$6:$I$3307,G2059)</x:f>
        <x:v>1</x:v>
      </x:c>
      <x:c r="G2059" s="8" t="str">
        <x:f>B2059&amp;" / "&amp;C2059&amp;" / "&amp;D2059</x:f>
        <x:v>6620 / 2026 / RAINBOW TROUT</x:v>
      </x:c>
    </x:row>
    <x:row r="2060" ht="23" customHeight="1">
      <x:c r="A2060" s="8" t="str">
        <x:v>Vegreville Trout Pond</x:v>
      </x:c>
      <x:c r="B2060" s="8" t="str">
        <x:v>6620</x:v>
      </x:c>
      <x:c r="C2060" s="17" t="n">
        <x:v>2025</x:v>
      </x:c>
      <x:c r="D2060" s="8" t="str">
        <x:v>RAINBOW TROUT</x:v>
      </x:c>
      <x:c r="E2060" s="13" t="n">
        <x:f>SUMIFS('Stocking details'!$F$6:$F$3307,'Stocking details'!$I$6:$I$3307,G2060)</x:f>
        <x:v>10000</x:v>
      </x:c>
      <x:c r="F2060" s="13" t="n">
        <x:f>COUNTIFS('Stocking details'!$I$6:$I$3307,G2060)</x:f>
        <x:v>1</x:v>
      </x:c>
      <x:c r="G2060" s="8" t="str">
        <x:f>B2060&amp;" / "&amp;C2060&amp;" / "&amp;D2060</x:f>
        <x:v>6620 / 2025 / RAINBOW TROUT</x:v>
      </x:c>
    </x:row>
    <x:row r="2061" ht="23" customHeight="1">
      <x:c r="A2061" s="8" t="str">
        <x:v>Vegreville Trout Pond</x:v>
      </x:c>
      <x:c r="B2061" s="8" t="str">
        <x:v>6620</x:v>
      </x:c>
      <x:c r="C2061" s="17" t="n">
        <x:v>2024</x:v>
      </x:c>
      <x:c r="D2061" s="8" t="str">
        <x:v>RAINBOW TROUT</x:v>
      </x:c>
      <x:c r="E2061" s="13" t="n">
        <x:f>SUMIFS('Stocking details'!$F$6:$F$3307,'Stocking details'!$I$6:$I$3307,G2061)</x:f>
        <x:v>19000</x:v>
      </x:c>
      <x:c r="F2061" s="13" t="n">
        <x:f>COUNTIFS('Stocking details'!$I$6:$I$3307,G2061)</x:f>
        <x:v>3</x:v>
      </x:c>
      <x:c r="G2061" s="8" t="str">
        <x:f>B2061&amp;" / "&amp;C2061&amp;" / "&amp;D2061</x:f>
        <x:v>6620 / 2024 / RAINBOW TROUT</x:v>
      </x:c>
    </x:row>
    <x:row r="2062" ht="23" customHeight="1">
      <x:c r="A2062" s="8" t="str">
        <x:v>Vegreville Trout Pond</x:v>
      </x:c>
      <x:c r="B2062" s="8" t="str">
        <x:v>6620</x:v>
      </x:c>
      <x:c r="C2062" s="17" t="n">
        <x:v>2023</x:v>
      </x:c>
      <x:c r="D2062" s="8" t="str">
        <x:v>RAINBOW TROUT</x:v>
      </x:c>
      <x:c r="E2062" s="13" t="n">
        <x:f>SUMIFS('Stocking details'!$F$6:$F$3307,'Stocking details'!$I$6:$I$3307,G2062)</x:f>
        <x:v>14990</x:v>
      </x:c>
      <x:c r="F2062" s="13" t="n">
        <x:f>COUNTIFS('Stocking details'!$I$6:$I$3307,G2062)</x:f>
        <x:v>3</x:v>
      </x:c>
      <x:c r="G2062" s="8" t="str">
        <x:f>B2062&amp;" / "&amp;C2062&amp;" / "&amp;D2062</x:f>
        <x:v>6620 / 2023 / RAINBOW TROUT</x:v>
      </x:c>
    </x:row>
    <x:row r="2063" ht="23" customHeight="1">
      <x:c r="A2063" s="8" t="str">
        <x:v>Vegreville Trout Pond</x:v>
      </x:c>
      <x:c r="B2063" s="8" t="str">
        <x:v>6620</x:v>
      </x:c>
      <x:c r="C2063" s="17" t="n">
        <x:v>2022</x:v>
      </x:c>
      <x:c r="D2063" s="8" t="str">
        <x:v>RAINBOW TROUT</x:v>
      </x:c>
      <x:c r="E2063" s="13" t="n">
        <x:f>SUMIFS('Stocking details'!$F$6:$F$3307,'Stocking details'!$I$6:$I$3307,G2063)</x:f>
        <x:v>10000</x:v>
      </x:c>
      <x:c r="F2063" s="13" t="n">
        <x:f>COUNTIFS('Stocking details'!$I$6:$I$3307,G2063)</x:f>
        <x:v>1</x:v>
      </x:c>
      <x:c r="G2063" s="8" t="str">
        <x:f>B2063&amp;" / "&amp;C2063&amp;" / "&amp;D2063</x:f>
        <x:v>6620 / 2022 / RAINBOW TROUT</x:v>
      </x:c>
    </x:row>
    <x:row r="2064" ht="23" customHeight="1">
      <x:c r="A2064" s="8" t="str">
        <x:v>Vegreville Trout Pond</x:v>
      </x:c>
      <x:c r="B2064" s="8" t="str">
        <x:v>6620</x:v>
      </x:c>
      <x:c r="C2064" s="17" t="n">
        <x:v>2021</x:v>
      </x:c>
      <x:c r="D2064" s="8" t="str">
        <x:v>RAINBOW TROUT</x:v>
      </x:c>
      <x:c r="E2064" s="13" t="n">
        <x:f>SUMIFS('Stocking details'!$F$6:$F$3307,'Stocking details'!$I$6:$I$3307,G2064)</x:f>
        <x:v>10050</x:v>
      </x:c>
      <x:c r="F2064" s="13" t="n">
        <x:f>COUNTIFS('Stocking details'!$I$6:$I$3307,G2064)</x:f>
        <x:v>4</x:v>
      </x:c>
      <x:c r="G2064" s="8" t="str">
        <x:f>B2064&amp;" / "&amp;C2064&amp;" / "&amp;D2064</x:f>
        <x:v>6620 / 2021 / RAINBOW TROUT</x:v>
      </x:c>
    </x:row>
    <x:row r="2065" ht="23" customHeight="1">
      <x:c r="A2065" s="8" t="str">
        <x:v>Vermilion Park Pond</x:v>
      </x:c>
      <x:c r="B2065" s="8" t="str">
        <x:v>6082</x:v>
      </x:c>
      <x:c r="C2065" s="17" t="n">
        <x:v>2026</x:v>
      </x:c>
      <x:c r="D2065" s="8" t="str">
        <x:v>RAINBOW TROUT</x:v>
      </x:c>
      <x:c r="E2065" s="13" t="n">
        <x:f>SUMIFS('Stocking details'!$F$6:$F$3307,'Stocking details'!$I$6:$I$3307,G2065)</x:f>
        <x:v>1250</x:v>
      </x:c>
      <x:c r="F2065" s="13" t="n">
        <x:f>COUNTIFS('Stocking details'!$I$6:$I$3307,G2065)</x:f>
        <x:v>1</x:v>
      </x:c>
      <x:c r="G2065" s="8" t="str">
        <x:f>B2065&amp;" / "&amp;C2065&amp;" / "&amp;D2065</x:f>
        <x:v>6082 / 2026 / RAINBOW TROUT</x:v>
      </x:c>
    </x:row>
    <x:row r="2066" ht="23" customHeight="1">
      <x:c r="A2066" s="8" t="str">
        <x:v>Vermilion Park Pond</x:v>
      </x:c>
      <x:c r="B2066" s="8" t="str">
        <x:v>6082</x:v>
      </x:c>
      <x:c r="C2066" s="17" t="n">
        <x:v>2025</x:v>
      </x:c>
      <x:c r="D2066" s="8" t="str">
        <x:v>RAINBOW TROUT</x:v>
      </x:c>
      <x:c r="E2066" s="13" t="n">
        <x:f>SUMIFS('Stocking details'!$F$6:$F$3307,'Stocking details'!$I$6:$I$3307,G2066)</x:f>
        <x:v>1250</x:v>
      </x:c>
      <x:c r="F2066" s="13" t="n">
        <x:f>COUNTIFS('Stocking details'!$I$6:$I$3307,G2066)</x:f>
        <x:v>1</x:v>
      </x:c>
      <x:c r="G2066" s="8" t="str">
        <x:f>B2066&amp;" / "&amp;C2066&amp;" / "&amp;D2066</x:f>
        <x:v>6082 / 2025 / RAINBOW TROUT</x:v>
      </x:c>
    </x:row>
    <x:row r="2067" ht="23" customHeight="1">
      <x:c r="A2067" s="8" t="str">
        <x:v>Vermilion Park Pond</x:v>
      </x:c>
      <x:c r="B2067" s="8" t="str">
        <x:v>6082</x:v>
      </x:c>
      <x:c r="C2067" s="17" t="n">
        <x:v>2024</x:v>
      </x:c>
      <x:c r="D2067" s="8" t="str">
        <x:v>RAINBOW TROUT</x:v>
      </x:c>
      <x:c r="E2067" s="13" t="n">
        <x:f>SUMIFS('Stocking details'!$F$6:$F$3307,'Stocking details'!$I$6:$I$3307,G2067)</x:f>
        <x:v>1250</x:v>
      </x:c>
      <x:c r="F2067" s="13" t="n">
        <x:f>COUNTIFS('Stocking details'!$I$6:$I$3307,G2067)</x:f>
        <x:v>1</x:v>
      </x:c>
      <x:c r="G2067" s="8" t="str">
        <x:f>B2067&amp;" / "&amp;C2067&amp;" / "&amp;D2067</x:f>
        <x:v>6082 / 2024 / RAINBOW TROUT</x:v>
      </x:c>
    </x:row>
    <x:row r="2068" ht="23" customHeight="1">
      <x:c r="A2068" s="8" t="str">
        <x:v>Vermilion Park Pond</x:v>
      </x:c>
      <x:c r="B2068" s="8" t="str">
        <x:v>6082</x:v>
      </x:c>
      <x:c r="C2068" s="17" t="n">
        <x:v>2023</x:v>
      </x:c>
      <x:c r="D2068" s="8" t="str">
        <x:v>RAINBOW TROUT</x:v>
      </x:c>
      <x:c r="E2068" s="13" t="n">
        <x:f>SUMIFS('Stocking details'!$F$6:$F$3307,'Stocking details'!$I$6:$I$3307,G2068)</x:f>
        <x:v>1250</x:v>
      </x:c>
      <x:c r="F2068" s="13" t="n">
        <x:f>COUNTIFS('Stocking details'!$I$6:$I$3307,G2068)</x:f>
        <x:v>1</x:v>
      </x:c>
      <x:c r="G2068" s="8" t="str">
        <x:f>B2068&amp;" / "&amp;C2068&amp;" / "&amp;D2068</x:f>
        <x:v>6082 / 2023 / RAINBOW TROUT</x:v>
      </x:c>
    </x:row>
    <x:row r="2069" ht="23" customHeight="1">
      <x:c r="A2069" s="8" t="str">
        <x:v>Vermilion Park Pond</x:v>
      </x:c>
      <x:c r="B2069" s="8" t="str">
        <x:v>6082</x:v>
      </x:c>
      <x:c r="C2069" s="17" t="n">
        <x:v>2022</x:v>
      </x:c>
      <x:c r="D2069" s="8" t="str">
        <x:v>RAINBOW TROUT</x:v>
      </x:c>
      <x:c r="E2069" s="13" t="n">
        <x:f>SUMIFS('Stocking details'!$F$6:$F$3307,'Stocking details'!$I$6:$I$3307,G2069)</x:f>
        <x:v>1250</x:v>
      </x:c>
      <x:c r="F2069" s="13" t="n">
        <x:f>COUNTIFS('Stocking details'!$I$6:$I$3307,G2069)</x:f>
        <x:v>1</x:v>
      </x:c>
      <x:c r="G2069" s="8" t="str">
        <x:f>B2069&amp;" / "&amp;C2069&amp;" / "&amp;D2069</x:f>
        <x:v>6082 / 2022 / RAINBOW TROUT</x:v>
      </x:c>
    </x:row>
    <x:row r="2070" ht="23" customHeight="1">
      <x:c r="A2070" s="8" t="str">
        <x:v>Vermilion Park Pond</x:v>
      </x:c>
      <x:c r="B2070" s="8" t="str">
        <x:v>6082</x:v>
      </x:c>
      <x:c r="C2070" s="17" t="n">
        <x:v>2021</x:v>
      </x:c>
      <x:c r="D2070" s="8" t="str">
        <x:v>RAINBOW TROUT</x:v>
      </x:c>
      <x:c r="E2070" s="13" t="n">
        <x:f>SUMIFS('Stocking details'!$F$6:$F$3307,'Stocking details'!$I$6:$I$3307,G2070)</x:f>
        <x:v>1250</x:v>
      </x:c>
      <x:c r="F2070" s="13" t="n">
        <x:f>COUNTIFS('Stocking details'!$I$6:$I$3307,G2070)</x:f>
        <x:v>1</x:v>
      </x:c>
      <x:c r="G2070" s="8" t="str">
        <x:f>B2070&amp;" / "&amp;C2070&amp;" / "&amp;D2070</x:f>
        <x:v>6082 / 2021 / RAINBOW TROUT</x:v>
      </x:c>
    </x:row>
    <x:row r="2071" ht="23" customHeight="1">
      <x:c r="A2071" s="8" t="str">
        <x:v>Victor Lake</x:v>
      </x:c>
      <x:c r="B2071" s="8" t="str">
        <x:v>6086</x:v>
      </x:c>
      <x:c r="C2071" s="17" t="n">
        <x:v>2026</x:v>
      </x:c>
      <x:c r="D2071" s="8" t="str">
        <x:v>RAINBOW TROUT</x:v>
      </x:c>
      <x:c r="E2071" s="13" t="n">
        <x:f>SUMIFS('Stocking details'!$F$6:$F$3307,'Stocking details'!$I$6:$I$3307,G2071)</x:f>
        <x:v>15000</x:v>
      </x:c>
      <x:c r="F2071" s="13" t="n">
        <x:f>COUNTIFS('Stocking details'!$I$6:$I$3307,G2071)</x:f>
        <x:v>1</x:v>
      </x:c>
      <x:c r="G2071" s="8" t="str">
        <x:f>B2071&amp;" / "&amp;C2071&amp;" / "&amp;D2071</x:f>
        <x:v>6086 / 2026 / RAINBOW TROUT</x:v>
      </x:c>
    </x:row>
    <x:row r="2072" ht="23" customHeight="1">
      <x:c r="A2072" s="8" t="str">
        <x:v>Victor Lake</x:v>
      </x:c>
      <x:c r="B2072" s="8" t="str">
        <x:v>6086</x:v>
      </x:c>
      <x:c r="C2072" s="17" t="n">
        <x:v>2025</x:v>
      </x:c>
      <x:c r="D2072" s="8" t="str">
        <x:v>RAINBOW TROUT</x:v>
      </x:c>
      <x:c r="E2072" s="13" t="n">
        <x:f>SUMIFS('Stocking details'!$F$6:$F$3307,'Stocking details'!$I$6:$I$3307,G2072)</x:f>
        <x:v>15000</x:v>
      </x:c>
      <x:c r="F2072" s="13" t="n">
        <x:f>COUNTIFS('Stocking details'!$I$6:$I$3307,G2072)</x:f>
        <x:v>1</x:v>
      </x:c>
      <x:c r="G2072" s="8" t="str">
        <x:f>B2072&amp;" / "&amp;C2072&amp;" / "&amp;D2072</x:f>
        <x:v>6086 / 2025 / RAINBOW TROUT</x:v>
      </x:c>
    </x:row>
    <x:row r="2073" ht="23" customHeight="1">
      <x:c r="A2073" s="8" t="str">
        <x:v>Victor Lake</x:v>
      </x:c>
      <x:c r="B2073" s="8" t="str">
        <x:v>6086</x:v>
      </x:c>
      <x:c r="C2073" s="17" t="n">
        <x:v>2024</x:v>
      </x:c>
      <x:c r="D2073" s="8" t="str">
        <x:v>RAINBOW TROUT</x:v>
      </x:c>
      <x:c r="E2073" s="13" t="n">
        <x:f>SUMIFS('Stocking details'!$F$6:$F$3307,'Stocking details'!$I$6:$I$3307,G2073)</x:f>
        <x:v>22500</x:v>
      </x:c>
      <x:c r="F2073" s="13" t="n">
        <x:f>COUNTIFS('Stocking details'!$I$6:$I$3307,G2073)</x:f>
        <x:v>3</x:v>
      </x:c>
      <x:c r="G2073" s="8" t="str">
        <x:f>B2073&amp;" / "&amp;C2073&amp;" / "&amp;D2073</x:f>
        <x:v>6086 / 2024 / RAINBOW TROUT</x:v>
      </x:c>
    </x:row>
    <x:row r="2074" ht="23" customHeight="1">
      <x:c r="A2074" s="8" t="str">
        <x:v>Victor Lake</x:v>
      </x:c>
      <x:c r="B2074" s="8" t="str">
        <x:v>6086</x:v>
      </x:c>
      <x:c r="C2074" s="17" t="n">
        <x:v>2023</x:v>
      </x:c>
      <x:c r="D2074" s="8" t="str">
        <x:v>RAINBOW TROUT</x:v>
      </x:c>
      <x:c r="E2074" s="13" t="n">
        <x:f>SUMIFS('Stocking details'!$F$6:$F$3307,'Stocking details'!$I$6:$I$3307,G2074)</x:f>
        <x:v>7110</x:v>
      </x:c>
      <x:c r="F2074" s="13" t="n">
        <x:f>COUNTIFS('Stocking details'!$I$6:$I$3307,G2074)</x:f>
        <x:v>1</x:v>
      </x:c>
      <x:c r="G2074" s="8" t="str">
        <x:f>B2074&amp;" / "&amp;C2074&amp;" / "&amp;D2074</x:f>
        <x:v>6086 / 2023 / RAINBOW TROUT</x:v>
      </x:c>
    </x:row>
    <x:row r="2075" ht="23" customHeight="1">
      <x:c r="A2075" s="8" t="str">
        <x:v>Victor Lake</x:v>
      </x:c>
      <x:c r="B2075" s="8" t="str">
        <x:v>6086</x:v>
      </x:c>
      <x:c r="C2075" s="17" t="n">
        <x:v>2022</x:v>
      </x:c>
      <x:c r="D2075" s="8" t="str">
        <x:v>RAINBOW TROUT</x:v>
      </x:c>
      <x:c r="E2075" s="13" t="n">
        <x:f>SUMIFS('Stocking details'!$F$6:$F$3307,'Stocking details'!$I$6:$I$3307,G2075)</x:f>
        <x:v>15000</x:v>
      </x:c>
      <x:c r="F2075" s="13" t="n">
        <x:f>COUNTIFS('Stocking details'!$I$6:$I$3307,G2075)</x:f>
        <x:v>1</x:v>
      </x:c>
      <x:c r="G2075" s="8" t="str">
        <x:f>B2075&amp;" / "&amp;C2075&amp;" / "&amp;D2075</x:f>
        <x:v>6086 / 2022 / RAINBOW TROUT</x:v>
      </x:c>
    </x:row>
    <x:row r="2076" ht="23" customHeight="1">
      <x:c r="A2076" s="8" t="str">
        <x:v>Victor Lake</x:v>
      </x:c>
      <x:c r="B2076" s="8" t="str">
        <x:v>6086</x:v>
      </x:c>
      <x:c r="C2076" s="17" t="n">
        <x:v>2021</x:v>
      </x:c>
      <x:c r="D2076" s="8" t="str">
        <x:v>RAINBOW TROUT</x:v>
      </x:c>
      <x:c r="E2076" s="13" t="n">
        <x:f>SUMIFS('Stocking details'!$F$6:$F$3307,'Stocking details'!$I$6:$I$3307,G2076)</x:f>
        <x:v>15000</x:v>
      </x:c>
      <x:c r="F2076" s="13" t="n">
        <x:f>COUNTIFS('Stocking details'!$I$6:$I$3307,G2076)</x:f>
        <x:v>1</x:v>
      </x:c>
      <x:c r="G2076" s="8" t="str">
        <x:f>B2076&amp;" / "&amp;C2076&amp;" / "&amp;D2076</x:f>
        <x:v>6086 / 2021 / RAINBOW TROUT</x:v>
      </x:c>
    </x:row>
    <x:row r="2077" ht="23" customHeight="1">
      <x:c r="A2077" s="8" t="str">
        <x:v>Wadlin Lake</x:v>
      </x:c>
      <x:c r="B2077" s="8" t="str">
        <x:v>6097</x:v>
      </x:c>
      <x:c r="C2077" s="17" t="n">
        <x:v>2026</x:v>
      </x:c>
      <x:c r="D2077" s="8" t="str">
        <x:v>WALLEYE</x:v>
      </x:c>
      <x:c r="E2077" s="13" t="n">
        <x:f>SUMIFS('Stocking details'!$F$6:$F$3307,'Stocking details'!$I$6:$I$3307,G2077)</x:f>
        <x:v>486957</x:v>
      </x:c>
      <x:c r="F2077" s="13" t="n">
        <x:f>COUNTIFS('Stocking details'!$I$6:$I$3307,G2077)</x:f>
        <x:v>1</x:v>
      </x:c>
      <x:c r="G2077" s="8" t="str">
        <x:f>B2077&amp;" / "&amp;C2077&amp;" / "&amp;D2077</x:f>
        <x:v>6097 / 2026 / WALLEYE</x:v>
      </x:c>
    </x:row>
    <x:row r="2078" ht="23" customHeight="1">
      <x:c r="A2078" s="8" t="str">
        <x:v>Wadlin Lake</x:v>
      </x:c>
      <x:c r="B2078" s="8" t="str">
        <x:v>6097</x:v>
      </x:c>
      <x:c r="C2078" s="17" t="n">
        <x:v>2025</x:v>
      </x:c>
      <x:c r="D2078" s="8" t="str">
        <x:v>WALLEYE</x:v>
      </x:c>
      <x:c r="E2078" s="13" t="n">
        <x:f>SUMIFS('Stocking details'!$F$6:$F$3307,'Stocking details'!$I$6:$I$3307,G2078)</x:f>
        <x:v>1520390</x:v>
      </x:c>
      <x:c r="F2078" s="13" t="n">
        <x:f>COUNTIFS('Stocking details'!$I$6:$I$3307,G2078)</x:f>
        <x:v>1</x:v>
      </x:c>
      <x:c r="G2078" s="8" t="str">
        <x:f>B2078&amp;" / "&amp;C2078&amp;" / "&amp;D2078</x:f>
        <x:v>6097 / 2025 / WALLEYE</x:v>
      </x:c>
    </x:row>
    <x:row r="2079" ht="23" customHeight="1">
      <x:c r="A2079" s="8" t="str">
        <x:v>Wallace Park Pond</x:v>
      </x:c>
      <x:c r="B2079" s="8" t="str">
        <x:v>6622</x:v>
      </x:c>
      <x:c r="C2079" s="17" t="n">
        <x:v>2026</x:v>
      </x:c>
      <x:c r="D2079" s="8" t="str">
        <x:v>RAINBOW TROUT</x:v>
      </x:c>
      <x:c r="E2079" s="13" t="n">
        <x:f>SUMIFS('Stocking details'!$F$6:$F$3307,'Stocking details'!$I$6:$I$3307,G2079)</x:f>
        <x:v>500</x:v>
      </x:c>
      <x:c r="F2079" s="13" t="n">
        <x:f>COUNTIFS('Stocking details'!$I$6:$I$3307,G2079)</x:f>
        <x:v>1</x:v>
      </x:c>
      <x:c r="G2079" s="8" t="str">
        <x:f>B2079&amp;" / "&amp;C2079&amp;" / "&amp;D2079</x:f>
        <x:v>6622 / 2026 / RAINBOW TROUT</x:v>
      </x:c>
    </x:row>
    <x:row r="2080" ht="23" customHeight="1">
      <x:c r="A2080" s="8" t="str">
        <x:v>Wallace Park Pond</x:v>
      </x:c>
      <x:c r="B2080" s="8" t="str">
        <x:v>6622</x:v>
      </x:c>
      <x:c r="C2080" s="17" t="n">
        <x:v>2025</x:v>
      </x:c>
      <x:c r="D2080" s="8" t="str">
        <x:v>RAINBOW TROUT</x:v>
      </x:c>
      <x:c r="E2080" s="13" t="n">
        <x:f>SUMIFS('Stocking details'!$F$6:$F$3307,'Stocking details'!$I$6:$I$3307,G2080)</x:f>
        <x:v>500</x:v>
      </x:c>
      <x:c r="F2080" s="13" t="n">
        <x:f>COUNTIFS('Stocking details'!$I$6:$I$3307,G2080)</x:f>
        <x:v>1</x:v>
      </x:c>
      <x:c r="G2080" s="8" t="str">
        <x:f>B2080&amp;" / "&amp;C2080&amp;" / "&amp;D2080</x:f>
        <x:v>6622 / 2025 / RAINBOW TROUT</x:v>
      </x:c>
    </x:row>
    <x:row r="2081" ht="23" customHeight="1">
      <x:c r="A2081" s="8" t="str">
        <x:v>Wallace Park Pond</x:v>
      </x:c>
      <x:c r="B2081" s="8" t="str">
        <x:v>6622</x:v>
      </x:c>
      <x:c r="C2081" s="17" t="n">
        <x:v>2024</x:v>
      </x:c>
      <x:c r="D2081" s="8" t="str">
        <x:v>RAINBOW TROUT</x:v>
      </x:c>
      <x:c r="E2081" s="13" t="n">
        <x:f>SUMIFS('Stocking details'!$F$6:$F$3307,'Stocking details'!$I$6:$I$3307,G2081)</x:f>
        <x:v>500</x:v>
      </x:c>
      <x:c r="F2081" s="13" t="n">
        <x:f>COUNTIFS('Stocking details'!$I$6:$I$3307,G2081)</x:f>
        <x:v>1</x:v>
      </x:c>
      <x:c r="G2081" s="8" t="str">
        <x:f>B2081&amp;" / "&amp;C2081&amp;" / "&amp;D2081</x:f>
        <x:v>6622 / 2024 / RAINBOW TROUT</x:v>
      </x:c>
    </x:row>
    <x:row r="2082" ht="23" customHeight="1">
      <x:c r="A2082" s="8" t="str">
        <x:v>Wallace Park Pond</x:v>
      </x:c>
      <x:c r="B2082" s="8" t="str">
        <x:v>6622</x:v>
      </x:c>
      <x:c r="C2082" s="17" t="n">
        <x:v>2023</x:v>
      </x:c>
      <x:c r="D2082" s="8" t="str">
        <x:v>RAINBOW TROUT</x:v>
      </x:c>
      <x:c r="E2082" s="13" t="n">
        <x:f>SUMIFS('Stocking details'!$F$6:$F$3307,'Stocking details'!$I$6:$I$3307,G2082)</x:f>
        <x:v>500</x:v>
      </x:c>
      <x:c r="F2082" s="13" t="n">
        <x:f>COUNTIFS('Stocking details'!$I$6:$I$3307,G2082)</x:f>
        <x:v>1</x:v>
      </x:c>
      <x:c r="G2082" s="8" t="str">
        <x:f>B2082&amp;" / "&amp;C2082&amp;" / "&amp;D2082</x:f>
        <x:v>6622 / 2023 / RAINBOW TROUT</x:v>
      </x:c>
    </x:row>
    <x:row r="2083" ht="23" customHeight="1">
      <x:c r="A2083" s="8" t="str">
        <x:v>Wallace Park Pond</x:v>
      </x:c>
      <x:c r="B2083" s="8" t="str">
        <x:v>6622</x:v>
      </x:c>
      <x:c r="C2083" s="17" t="n">
        <x:v>2022</x:v>
      </x:c>
      <x:c r="D2083" s="8" t="str">
        <x:v>RAINBOW TROUT</x:v>
      </x:c>
      <x:c r="E2083" s="13" t="n">
        <x:f>SUMIFS('Stocking details'!$F$6:$F$3307,'Stocking details'!$I$6:$I$3307,G2083)</x:f>
        <x:v>500</x:v>
      </x:c>
      <x:c r="F2083" s="13" t="n">
        <x:f>COUNTIFS('Stocking details'!$I$6:$I$3307,G2083)</x:f>
        <x:v>1</x:v>
      </x:c>
      <x:c r="G2083" s="8" t="str">
        <x:f>B2083&amp;" / "&amp;C2083&amp;" / "&amp;D2083</x:f>
        <x:v>6622 / 2022 / RAINBOW TROUT</x:v>
      </x:c>
    </x:row>
    <x:row r="2084" ht="23" customHeight="1">
      <x:c r="A2084" s="8" t="str">
        <x:v>Wallace Park Pond</x:v>
      </x:c>
      <x:c r="B2084" s="8" t="str">
        <x:v>6622</x:v>
      </x:c>
      <x:c r="C2084" s="17" t="n">
        <x:v>2021</x:v>
      </x:c>
      <x:c r="D2084" s="8" t="str">
        <x:v>RAINBOW TROUT</x:v>
      </x:c>
      <x:c r="E2084" s="13" t="n">
        <x:f>SUMIFS('Stocking details'!$F$6:$F$3307,'Stocking details'!$I$6:$I$3307,G2084)</x:f>
        <x:v>500</x:v>
      </x:c>
      <x:c r="F2084" s="13" t="n">
        <x:f>COUNTIFS('Stocking details'!$I$6:$I$3307,G2084)</x:f>
        <x:v>1</x:v>
      </x:c>
      <x:c r="G2084" s="8" t="str">
        <x:f>B2084&amp;" / "&amp;C2084&amp;" / "&amp;D2084</x:f>
        <x:v>6622 / 2021 / RAINBOW TROUT</x:v>
      </x:c>
    </x:row>
    <x:row r="2085" ht="23" customHeight="1">
      <x:c r="A2085" s="8" t="str">
        <x:v>Waskasoo Park Pond</x:v>
      </x:c>
      <x:c r="B2085" s="8" t="str">
        <x:v>6623</x:v>
      </x:c>
      <x:c r="C2085" s="17" t="n">
        <x:v>2026</x:v>
      </x:c>
      <x:c r="D2085" s="8" t="str">
        <x:v>RAINBOW TROUT</x:v>
      </x:c>
      <x:c r="E2085" s="13" t="n">
        <x:f>SUMIFS('Stocking details'!$F$6:$F$3307,'Stocking details'!$I$6:$I$3307,G2085)</x:f>
        <x:v>2100</x:v>
      </x:c>
      <x:c r="F2085" s="13" t="n">
        <x:f>COUNTIFS('Stocking details'!$I$6:$I$3307,G2085)</x:f>
        <x:v>1</x:v>
      </x:c>
      <x:c r="G2085" s="8" t="str">
        <x:f>B2085&amp;" / "&amp;C2085&amp;" / "&amp;D2085</x:f>
        <x:v>6623 / 2026 / RAINBOW TROUT</x:v>
      </x:c>
    </x:row>
    <x:row r="2086" ht="23" customHeight="1">
      <x:c r="A2086" s="8" t="str">
        <x:v>Waskasoo Park Pond</x:v>
      </x:c>
      <x:c r="B2086" s="8" t="str">
        <x:v>6623</x:v>
      </x:c>
      <x:c r="C2086" s="17" t="n">
        <x:v>2025</x:v>
      </x:c>
      <x:c r="D2086" s="8" t="str">
        <x:v>RAINBOW TROUT</x:v>
      </x:c>
      <x:c r="E2086" s="13" t="n">
        <x:f>SUMIFS('Stocking details'!$F$6:$F$3307,'Stocking details'!$I$6:$I$3307,G2086)</x:f>
        <x:v>2150</x:v>
      </x:c>
      <x:c r="F2086" s="13" t="n">
        <x:f>COUNTIFS('Stocking details'!$I$6:$I$3307,G2086)</x:f>
        <x:v>2</x:v>
      </x:c>
      <x:c r="G2086" s="8" t="str">
        <x:f>B2086&amp;" / "&amp;C2086&amp;" / "&amp;D2086</x:f>
        <x:v>6623 / 2025 / RAINBOW TROUT</x:v>
      </x:c>
    </x:row>
    <x:row r="2087" ht="23" customHeight="1">
      <x:c r="A2087" s="8" t="str">
        <x:v>Waskasoo Park Pond</x:v>
      </x:c>
      <x:c r="B2087" s="8" t="str">
        <x:v>6623</x:v>
      </x:c>
      <x:c r="C2087" s="17" t="n">
        <x:v>2024</x:v>
      </x:c>
      <x:c r="D2087" s="8" t="str">
        <x:v>RAINBOW TROUT</x:v>
      </x:c>
      <x:c r="E2087" s="13" t="n">
        <x:f>SUMIFS('Stocking details'!$F$6:$F$3307,'Stocking details'!$I$6:$I$3307,G2087)</x:f>
        <x:v>2127</x:v>
      </x:c>
      <x:c r="F2087" s="13" t="n">
        <x:f>COUNTIFS('Stocking details'!$I$6:$I$3307,G2087)</x:f>
        <x:v>2</x:v>
      </x:c>
      <x:c r="G2087" s="8" t="str">
        <x:f>B2087&amp;" / "&amp;C2087&amp;" / "&amp;D2087</x:f>
        <x:v>6623 / 2024 / RAINBOW TROUT</x:v>
      </x:c>
    </x:row>
    <x:row r="2088" ht="23" customHeight="1">
      <x:c r="A2088" s="8" t="str">
        <x:v>Waskasoo Park Pond</x:v>
      </x:c>
      <x:c r="B2088" s="8" t="str">
        <x:v>6623</x:v>
      </x:c>
      <x:c r="C2088" s="17" t="n">
        <x:v>2023</x:v>
      </x:c>
      <x:c r="D2088" s="8" t="str">
        <x:v>RAINBOW TROUT</x:v>
      </x:c>
      <x:c r="E2088" s="13" t="n">
        <x:f>SUMIFS('Stocking details'!$F$6:$F$3307,'Stocking details'!$I$6:$I$3307,G2088)</x:f>
        <x:v>2500</x:v>
      </x:c>
      <x:c r="F2088" s="13" t="n">
        <x:f>COUNTIFS('Stocking details'!$I$6:$I$3307,G2088)</x:f>
        <x:v>2</x:v>
      </x:c>
      <x:c r="G2088" s="8" t="str">
        <x:f>B2088&amp;" / "&amp;C2088&amp;" / "&amp;D2088</x:f>
        <x:v>6623 / 2023 / RAINBOW TROUT</x:v>
      </x:c>
    </x:row>
    <x:row r="2089" ht="23" customHeight="1">
      <x:c r="A2089" s="8" t="str">
        <x:v>Waskasoo Park Pond</x:v>
      </x:c>
      <x:c r="B2089" s="8" t="str">
        <x:v>6623</x:v>
      </x:c>
      <x:c r="C2089" s="17" t="n">
        <x:v>2022</x:v>
      </x:c>
      <x:c r="D2089" s="8" t="str">
        <x:v>RAINBOW TROUT</x:v>
      </x:c>
      <x:c r="E2089" s="13" t="n">
        <x:f>SUMIFS('Stocking details'!$F$6:$F$3307,'Stocking details'!$I$6:$I$3307,G2089)</x:f>
        <x:v>1200</x:v>
      </x:c>
      <x:c r="F2089" s="13" t="n">
        <x:f>COUNTIFS('Stocking details'!$I$6:$I$3307,G2089)</x:f>
        <x:v>1</x:v>
      </x:c>
      <x:c r="G2089" s="8" t="str">
        <x:f>B2089&amp;" / "&amp;C2089&amp;" / "&amp;D2089</x:f>
        <x:v>6623 / 2022 / RAINBOW TROUT</x:v>
      </x:c>
    </x:row>
    <x:row r="2090" ht="23" customHeight="1">
      <x:c r="A2090" s="8" t="str">
        <x:v>Waskasoo Park Pond</x:v>
      </x:c>
      <x:c r="B2090" s="8" t="str">
        <x:v>6623</x:v>
      </x:c>
      <x:c r="C2090" s="17" t="n">
        <x:v>2021</x:v>
      </x:c>
      <x:c r="D2090" s="8" t="str">
        <x:v>RAINBOW TROUT</x:v>
      </x:c>
      <x:c r="E2090" s="13" t="n">
        <x:f>SUMIFS('Stocking details'!$F$6:$F$3307,'Stocking details'!$I$6:$I$3307,G2090)</x:f>
        <x:v>3100</x:v>
      </x:c>
      <x:c r="F2090" s="13" t="n">
        <x:f>COUNTIFS('Stocking details'!$I$6:$I$3307,G2090)</x:f>
        <x:v>3</x:v>
      </x:c>
      <x:c r="G2090" s="8" t="str">
        <x:f>B2090&amp;" / "&amp;C2090&amp;" / "&amp;D2090</x:f>
        <x:v>6623 / 2021 / RAINBOW TROUT</x:v>
      </x:c>
    </x:row>
    <x:row r="2091" ht="23" customHeight="1">
      <x:c r="A2091" s="8" t="str">
        <x:v>Watridge Lake</x:v>
      </x:c>
      <x:c r="B2091" s="8" t="str">
        <x:v>6120</x:v>
      </x:c>
      <x:c r="C2091" s="17" t="n">
        <x:v>2023</x:v>
      </x:c>
      <x:c r="D2091" s="8" t="str">
        <x:v>WESTSLOPE CUTTHROAT TROUT</x:v>
      </x:c>
      <x:c r="E2091" s="13" t="n">
        <x:f>SUMIFS('Stocking details'!$F$6:$F$3307,'Stocking details'!$I$6:$I$3307,G2091)</x:f>
        <x:v>1500</x:v>
      </x:c>
      <x:c r="F2091" s="13" t="n">
        <x:f>COUNTIFS('Stocking details'!$I$6:$I$3307,G2091)</x:f>
        <x:v>2</x:v>
      </x:c>
      <x:c r="G2091" s="8" t="str">
        <x:f>B2091&amp;" / "&amp;C2091&amp;" / "&amp;D2091</x:f>
        <x:v>6120 / 2023 / WESTSLOPE CUTTHROAT TROUT</x:v>
      </x:c>
    </x:row>
    <x:row r="2092" ht="23" customHeight="1">
      <x:c r="A2092" s="8" t="str">
        <x:v>Weberville Pond</x:v>
      </x:c>
      <x:c r="B2092" s="8" t="str">
        <x:v>6609</x:v>
      </x:c>
      <x:c r="C2092" s="17" t="n">
        <x:v>2026</x:v>
      </x:c>
      <x:c r="D2092" s="8" t="str">
        <x:v>RAINBOW TROUT</x:v>
      </x:c>
      <x:c r="E2092" s="13" t="n">
        <x:f>SUMIFS('Stocking details'!$F$6:$F$3307,'Stocking details'!$I$6:$I$3307,G2092)</x:f>
        <x:v>1000</x:v>
      </x:c>
      <x:c r="F2092" s="13" t="n">
        <x:f>COUNTIFS('Stocking details'!$I$6:$I$3307,G2092)</x:f>
        <x:v>1</x:v>
      </x:c>
      <x:c r="G2092" s="8" t="str">
        <x:f>B2092&amp;" / "&amp;C2092&amp;" / "&amp;D2092</x:f>
        <x:v>6609 / 2026 / RAINBOW TROUT</x:v>
      </x:c>
    </x:row>
    <x:row r="2093" ht="23" customHeight="1">
      <x:c r="A2093" s="8" t="str">
        <x:v>Weberville Pond</x:v>
      </x:c>
      <x:c r="B2093" s="8" t="str">
        <x:v>6609</x:v>
      </x:c>
      <x:c r="C2093" s="17" t="n">
        <x:v>2025</x:v>
      </x:c>
      <x:c r="D2093" s="8" t="str">
        <x:v>RAINBOW TROUT</x:v>
      </x:c>
      <x:c r="E2093" s="13" t="n">
        <x:f>SUMIFS('Stocking details'!$F$6:$F$3307,'Stocking details'!$I$6:$I$3307,G2093)</x:f>
        <x:v>1000</x:v>
      </x:c>
      <x:c r="F2093" s="13" t="n">
        <x:f>COUNTIFS('Stocking details'!$I$6:$I$3307,G2093)</x:f>
        <x:v>1</x:v>
      </x:c>
      <x:c r="G2093" s="8" t="str">
        <x:f>B2093&amp;" / "&amp;C2093&amp;" / "&amp;D2093</x:f>
        <x:v>6609 / 2025 / RAINBOW TROUT</x:v>
      </x:c>
    </x:row>
    <x:row r="2094" ht="23" customHeight="1">
      <x:c r="A2094" s="8" t="str">
        <x:v>Weberville Pond</x:v>
      </x:c>
      <x:c r="B2094" s="8" t="str">
        <x:v>6609</x:v>
      </x:c>
      <x:c r="C2094" s="17" t="n">
        <x:v>2024</x:v>
      </x:c>
      <x:c r="D2094" s="8" t="str">
        <x:v>RAINBOW TROUT</x:v>
      </x:c>
      <x:c r="E2094" s="13" t="n">
        <x:f>SUMIFS('Stocking details'!$F$6:$F$3307,'Stocking details'!$I$6:$I$3307,G2094)</x:f>
        <x:v>500</x:v>
      </x:c>
      <x:c r="F2094" s="13" t="n">
        <x:f>COUNTIFS('Stocking details'!$I$6:$I$3307,G2094)</x:f>
        <x:v>1</x:v>
      </x:c>
      <x:c r="G2094" s="8" t="str">
        <x:f>B2094&amp;" / "&amp;C2094&amp;" / "&amp;D2094</x:f>
        <x:v>6609 / 2024 / RAINBOW TROUT</x:v>
      </x:c>
    </x:row>
    <x:row r="2095" ht="23" customHeight="1">
      <x:c r="A2095" s="8" t="str">
        <x:v>Weberville Pond</x:v>
      </x:c>
      <x:c r="B2095" s="8" t="str">
        <x:v>6609</x:v>
      </x:c>
      <x:c r="C2095" s="17" t="n">
        <x:v>2023</x:v>
      </x:c>
      <x:c r="D2095" s="8" t="str">
        <x:v>RAINBOW TROUT</x:v>
      </x:c>
      <x:c r="E2095" s="13" t="n">
        <x:f>SUMIFS('Stocking details'!$F$6:$F$3307,'Stocking details'!$I$6:$I$3307,G2095)</x:f>
        <x:v>502</x:v>
      </x:c>
      <x:c r="F2095" s="13" t="n">
        <x:f>COUNTIFS('Stocking details'!$I$6:$I$3307,G2095)</x:f>
        <x:v>1</x:v>
      </x:c>
      <x:c r="G2095" s="8" t="str">
        <x:f>B2095&amp;" / "&amp;C2095&amp;" / "&amp;D2095</x:f>
        <x:v>6609 / 2023 / RAINBOW TROUT</x:v>
      </x:c>
    </x:row>
    <x:row r="2096" ht="23" customHeight="1">
      <x:c r="A2096" s="8" t="str">
        <x:v>Weberville Pond</x:v>
      </x:c>
      <x:c r="B2096" s="8" t="str">
        <x:v>6609</x:v>
      </x:c>
      <x:c r="C2096" s="17" t="n">
        <x:v>2022</x:v>
      </x:c>
      <x:c r="D2096" s="8" t="str">
        <x:v>RAINBOW TROUT</x:v>
      </x:c>
      <x:c r="E2096" s="13" t="n">
        <x:f>SUMIFS('Stocking details'!$F$6:$F$3307,'Stocking details'!$I$6:$I$3307,G2096)</x:f>
        <x:v>1000</x:v>
      </x:c>
      <x:c r="F2096" s="13" t="n">
        <x:f>COUNTIFS('Stocking details'!$I$6:$I$3307,G2096)</x:f>
        <x:v>1</x:v>
      </x:c>
      <x:c r="G2096" s="8" t="str">
        <x:f>B2096&amp;" / "&amp;C2096&amp;" / "&amp;D2096</x:f>
        <x:v>6609 / 2022 / RAINBOW TROUT</x:v>
      </x:c>
    </x:row>
    <x:row r="2097" ht="23" customHeight="1">
      <x:c r="A2097" s="8" t="str">
        <x:v>Weberville Pond</x:v>
      </x:c>
      <x:c r="B2097" s="8" t="str">
        <x:v>6609</x:v>
      </x:c>
      <x:c r="C2097" s="17" t="n">
        <x:v>2021</x:v>
      </x:c>
      <x:c r="D2097" s="8" t="str">
        <x:v>RAINBOW TROUT</x:v>
      </x:c>
      <x:c r="E2097" s="13" t="n">
        <x:f>SUMIFS('Stocking details'!$F$6:$F$3307,'Stocking details'!$I$6:$I$3307,G2097)</x:f>
        <x:v>1000</x:v>
      </x:c>
      <x:c r="F2097" s="13" t="n">
        <x:f>COUNTIFS('Stocking details'!$I$6:$I$3307,G2097)</x:f>
        <x:v>1</x:v>
      </x:c>
      <x:c r="G2097" s="8" t="str">
        <x:f>B2097&amp;" / "&amp;C2097&amp;" / "&amp;D2097</x:f>
        <x:v>6609 / 2021 / RAINBOW TROUT</x:v>
      </x:c>
    </x:row>
    <x:row r="2098" ht="23" customHeight="1">
      <x:c r="A2098" s="8" t="str">
        <x:v>West Dollar Lake</x:v>
      </x:c>
      <x:c r="B2098" s="8" t="str">
        <x:v>6524</x:v>
      </x:c>
      <x:c r="C2098" s="17" t="n">
        <x:v>2026</x:v>
      </x:c>
      <x:c r="D2098" s="8" t="str">
        <x:v>BROWN TROUT</x:v>
      </x:c>
      <x:c r="E2098" s="13" t="n">
        <x:f>SUMIFS('Stocking details'!$F$6:$F$3307,'Stocking details'!$I$6:$I$3307,G2098)</x:f>
        <x:v>500</x:v>
      </x:c>
      <x:c r="F2098" s="13" t="n">
        <x:f>COUNTIFS('Stocking details'!$I$6:$I$3307,G2098)</x:f>
        <x:v>1</x:v>
      </x:c>
      <x:c r="G2098" s="8" t="str">
        <x:f>B2098&amp;" / "&amp;C2098&amp;" / "&amp;D2098</x:f>
        <x:v>6524 / 2026 / BROWN TROUT</x:v>
      </x:c>
    </x:row>
    <x:row r="2099" ht="23" customHeight="1">
      <x:c r="A2099" s="8" t="str">
        <x:v>West Dollar Lake</x:v>
      </x:c>
      <x:c r="B2099" s="8" t="str">
        <x:v>6524</x:v>
      </x:c>
      <x:c r="C2099" s="17" t="n">
        <x:v>2026</x:v>
      </x:c>
      <x:c r="D2099" s="8" t="str">
        <x:v>RAINBOW TROUT</x:v>
      </x:c>
      <x:c r="E2099" s="13" t="n">
        <x:f>SUMIFS('Stocking details'!$F$6:$F$3307,'Stocking details'!$I$6:$I$3307,G2099)</x:f>
        <x:v>1000</x:v>
      </x:c>
      <x:c r="F2099" s="13" t="n">
        <x:f>COUNTIFS('Stocking details'!$I$6:$I$3307,G2099)</x:f>
        <x:v>1</x:v>
      </x:c>
      <x:c r="G2099" s="8" t="str">
        <x:f>B2099&amp;" / "&amp;C2099&amp;" / "&amp;D2099</x:f>
        <x:v>6524 / 2026 / RAINBOW TROUT</x:v>
      </x:c>
    </x:row>
    <x:row r="2100" ht="23" customHeight="1">
      <x:c r="A2100" s="8" t="str">
        <x:v>West Dollar Lake</x:v>
      </x:c>
      <x:c r="B2100" s="8" t="str">
        <x:v>6524</x:v>
      </x:c>
      <x:c r="C2100" s="17" t="n">
        <x:v>2025</x:v>
      </x:c>
      <x:c r="D2100" s="8" t="str">
        <x:v>BROWN TROUT</x:v>
      </x:c>
      <x:c r="E2100" s="13" t="n">
        <x:f>SUMIFS('Stocking details'!$F$6:$F$3307,'Stocking details'!$I$6:$I$3307,G2100)</x:f>
        <x:v>250</x:v>
      </x:c>
      <x:c r="F2100" s="13" t="n">
        <x:f>COUNTIFS('Stocking details'!$I$6:$I$3307,G2100)</x:f>
        <x:v>1</x:v>
      </x:c>
      <x:c r="G2100" s="8" t="str">
        <x:f>B2100&amp;" / "&amp;C2100&amp;" / "&amp;D2100</x:f>
        <x:v>6524 / 2025 / BROWN TROUT</x:v>
      </x:c>
    </x:row>
    <x:row r="2101" ht="23" customHeight="1">
      <x:c r="A2101" s="8" t="str">
        <x:v>West Dollar Lake</x:v>
      </x:c>
      <x:c r="B2101" s="8" t="str">
        <x:v>6524</x:v>
      </x:c>
      <x:c r="C2101" s="17" t="n">
        <x:v>2025</x:v>
      </x:c>
      <x:c r="D2101" s="8" t="str">
        <x:v>RAINBOW TROUT</x:v>
      </x:c>
      <x:c r="E2101" s="13" t="n">
        <x:f>SUMIFS('Stocking details'!$F$6:$F$3307,'Stocking details'!$I$6:$I$3307,G2101)</x:f>
        <x:v>1000</x:v>
      </x:c>
      <x:c r="F2101" s="13" t="n">
        <x:f>COUNTIFS('Stocking details'!$I$6:$I$3307,G2101)</x:f>
        <x:v>1</x:v>
      </x:c>
      <x:c r="G2101" s="8" t="str">
        <x:f>B2101&amp;" / "&amp;C2101&amp;" / "&amp;D2101</x:f>
        <x:v>6524 / 2025 / RAINBOW TROUT</x:v>
      </x:c>
    </x:row>
    <x:row r="2102" ht="23" customHeight="1">
      <x:c r="A2102" s="8" t="str">
        <x:v>West Dollar Lake</x:v>
      </x:c>
      <x:c r="B2102" s="8" t="str">
        <x:v>6524</x:v>
      </x:c>
      <x:c r="C2102" s="17" t="n">
        <x:v>2024</x:v>
      </x:c>
      <x:c r="D2102" s="8" t="str">
        <x:v>BROWN TROUT</x:v>
      </x:c>
      <x:c r="E2102" s="13" t="n">
        <x:f>SUMIFS('Stocking details'!$F$6:$F$3307,'Stocking details'!$I$6:$I$3307,G2102)</x:f>
        <x:v>250</x:v>
      </x:c>
      <x:c r="F2102" s="13" t="n">
        <x:f>COUNTIFS('Stocking details'!$I$6:$I$3307,G2102)</x:f>
        <x:v>1</x:v>
      </x:c>
      <x:c r="G2102" s="8" t="str">
        <x:f>B2102&amp;" / "&amp;C2102&amp;" / "&amp;D2102</x:f>
        <x:v>6524 / 2024 / BROWN TROUT</x:v>
      </x:c>
    </x:row>
    <x:row r="2103" ht="23" customHeight="1">
      <x:c r="A2103" s="8" t="str">
        <x:v>West Dollar Lake</x:v>
      </x:c>
      <x:c r="B2103" s="8" t="str">
        <x:v>6524</x:v>
      </x:c>
      <x:c r="C2103" s="17" t="n">
        <x:v>2024</x:v>
      </x:c>
      <x:c r="D2103" s="8" t="str">
        <x:v>RAINBOW TROUT</x:v>
      </x:c>
      <x:c r="E2103" s="13" t="n">
        <x:f>SUMIFS('Stocking details'!$F$6:$F$3307,'Stocking details'!$I$6:$I$3307,G2103)</x:f>
        <x:v>500</x:v>
      </x:c>
      <x:c r="F2103" s="13" t="n">
        <x:f>COUNTIFS('Stocking details'!$I$6:$I$3307,G2103)</x:f>
        <x:v>1</x:v>
      </x:c>
      <x:c r="G2103" s="8" t="str">
        <x:f>B2103&amp;" / "&amp;C2103&amp;" / "&amp;D2103</x:f>
        <x:v>6524 / 2024 / RAINBOW TROUT</x:v>
      </x:c>
    </x:row>
    <x:row r="2104" ht="23" customHeight="1">
      <x:c r="A2104" s="8" t="str">
        <x:v>West Dollar Lake</x:v>
      </x:c>
      <x:c r="B2104" s="8" t="str">
        <x:v>6524</x:v>
      </x:c>
      <x:c r="C2104" s="17" t="n">
        <x:v>2023</x:v>
      </x:c>
      <x:c r="D2104" s="8" t="str">
        <x:v>BROWN TROUT</x:v>
      </x:c>
      <x:c r="E2104" s="13" t="n">
        <x:f>SUMIFS('Stocking details'!$F$6:$F$3307,'Stocking details'!$I$6:$I$3307,G2104)</x:f>
        <x:v>250</x:v>
      </x:c>
      <x:c r="F2104" s="13" t="n">
        <x:f>COUNTIFS('Stocking details'!$I$6:$I$3307,G2104)</x:f>
        <x:v>1</x:v>
      </x:c>
      <x:c r="G2104" s="8" t="str">
        <x:f>B2104&amp;" / "&amp;C2104&amp;" / "&amp;D2104</x:f>
        <x:v>6524 / 2023 / BROWN TROUT</x:v>
      </x:c>
    </x:row>
    <x:row r="2105" ht="23" customHeight="1">
      <x:c r="A2105" s="8" t="str">
        <x:v>West Dollar Lake</x:v>
      </x:c>
      <x:c r="B2105" s="8" t="str">
        <x:v>6524</x:v>
      </x:c>
      <x:c r="C2105" s="17" t="n">
        <x:v>2023</x:v>
      </x:c>
      <x:c r="D2105" s="8" t="str">
        <x:v>RAINBOW TROUT</x:v>
      </x:c>
      <x:c r="E2105" s="13" t="n">
        <x:f>SUMIFS('Stocking details'!$F$6:$F$3307,'Stocking details'!$I$6:$I$3307,G2105)</x:f>
        <x:v>502</x:v>
      </x:c>
      <x:c r="F2105" s="13" t="n">
        <x:f>COUNTIFS('Stocking details'!$I$6:$I$3307,G2105)</x:f>
        <x:v>1</x:v>
      </x:c>
      <x:c r="G2105" s="8" t="str">
        <x:f>B2105&amp;" / "&amp;C2105&amp;" / "&amp;D2105</x:f>
        <x:v>6524 / 2023 / RAINBOW TROUT</x:v>
      </x:c>
    </x:row>
    <x:row r="2106" ht="23" customHeight="1">
      <x:c r="A2106" s="8" t="str">
        <x:v>West Dollar Lake</x:v>
      </x:c>
      <x:c r="B2106" s="8" t="str">
        <x:v>6524</x:v>
      </x:c>
      <x:c r="C2106" s="17" t="n">
        <x:v>2022</x:v>
      </x:c>
      <x:c r="D2106" s="8" t="str">
        <x:v>BROWN TROUT</x:v>
      </x:c>
      <x:c r="E2106" s="13" t="n">
        <x:f>SUMIFS('Stocking details'!$F$6:$F$3307,'Stocking details'!$I$6:$I$3307,G2106)</x:f>
        <x:v>250</x:v>
      </x:c>
      <x:c r="F2106" s="13" t="n">
        <x:f>COUNTIFS('Stocking details'!$I$6:$I$3307,G2106)</x:f>
        <x:v>1</x:v>
      </x:c>
      <x:c r="G2106" s="8" t="str">
        <x:f>B2106&amp;" / "&amp;C2106&amp;" / "&amp;D2106</x:f>
        <x:v>6524 / 2022 / BROWN TROUT</x:v>
      </x:c>
    </x:row>
    <x:row r="2107" ht="23" customHeight="1">
      <x:c r="A2107" s="8" t="str">
        <x:v>West Dollar Lake</x:v>
      </x:c>
      <x:c r="B2107" s="8" t="str">
        <x:v>6524</x:v>
      </x:c>
      <x:c r="C2107" s="17" t="n">
        <x:v>2022</x:v>
      </x:c>
      <x:c r="D2107" s="8" t="str">
        <x:v>RAINBOW TROUT</x:v>
      </x:c>
      <x:c r="E2107" s="13" t="n">
        <x:f>SUMIFS('Stocking details'!$F$6:$F$3307,'Stocking details'!$I$6:$I$3307,G2107)</x:f>
        <x:v>1000</x:v>
      </x:c>
      <x:c r="F2107" s="13" t="n">
        <x:f>COUNTIFS('Stocking details'!$I$6:$I$3307,G2107)</x:f>
        <x:v>1</x:v>
      </x:c>
      <x:c r="G2107" s="8" t="str">
        <x:f>B2107&amp;" / "&amp;C2107&amp;" / "&amp;D2107</x:f>
        <x:v>6524 / 2022 / RAINBOW TROUT</x:v>
      </x:c>
    </x:row>
    <x:row r="2108" ht="23" customHeight="1">
      <x:c r="A2108" s="8" t="str">
        <x:v>West Dollar Lake</x:v>
      </x:c>
      <x:c r="B2108" s="8" t="str">
        <x:v>6524</x:v>
      </x:c>
      <x:c r="C2108" s="17" t="n">
        <x:v>2021</x:v>
      </x:c>
      <x:c r="D2108" s="8" t="str">
        <x:v>BROWN TROUT</x:v>
      </x:c>
      <x:c r="E2108" s="13" t="n">
        <x:f>SUMIFS('Stocking details'!$F$6:$F$3307,'Stocking details'!$I$6:$I$3307,G2108)</x:f>
        <x:v>250</x:v>
      </x:c>
      <x:c r="F2108" s="13" t="n">
        <x:f>COUNTIFS('Stocking details'!$I$6:$I$3307,G2108)</x:f>
        <x:v>1</x:v>
      </x:c>
      <x:c r="G2108" s="8" t="str">
        <x:f>B2108&amp;" / "&amp;C2108&amp;" / "&amp;D2108</x:f>
        <x:v>6524 / 2021 / BROWN TROUT</x:v>
      </x:c>
    </x:row>
    <x:row r="2109" ht="23" customHeight="1">
      <x:c r="A2109" s="8" t="str">
        <x:v>West Dollar Lake</x:v>
      </x:c>
      <x:c r="B2109" s="8" t="str">
        <x:v>6524</x:v>
      </x:c>
      <x:c r="C2109" s="17" t="n">
        <x:v>2021</x:v>
      </x:c>
      <x:c r="D2109" s="8" t="str">
        <x:v>RAINBOW TROUT</x:v>
      </x:c>
      <x:c r="E2109" s="13" t="n">
        <x:f>SUMIFS('Stocking details'!$F$6:$F$3307,'Stocking details'!$I$6:$I$3307,G2109)</x:f>
        <x:v>1000</x:v>
      </x:c>
      <x:c r="F2109" s="13" t="n">
        <x:f>COUNTIFS('Stocking details'!$I$6:$I$3307,G2109)</x:f>
        <x:v>1</x:v>
      </x:c>
      <x:c r="G2109" s="8" t="str">
        <x:f>B2109&amp;" / "&amp;C2109&amp;" / "&amp;D2109</x:f>
        <x:v>6524 / 2021 / RAINBOW TROUT</x:v>
      </x:c>
    </x:row>
    <x:row r="2110" ht="23" customHeight="1">
      <x:c r="A2110" s="8" t="str">
        <x:v>West Memorial Lake</x:v>
      </x:c>
      <x:c r="B2110" s="8" t="str">
        <x:v>6610</x:v>
      </x:c>
      <x:c r="C2110" s="17" t="n">
        <x:v>2021</x:v>
      </x:c>
      <x:c r="D2110" s="8" t="str">
        <x:v>CUTTHROAT TROUT</x:v>
      </x:c>
      <x:c r="E2110" s="13" t="n">
        <x:f>SUMIFS('Stocking details'!$F$6:$F$3307,'Stocking details'!$I$6:$I$3307,G2110)</x:f>
        <x:v>400</x:v>
      </x:c>
      <x:c r="F2110" s="13" t="n">
        <x:f>COUNTIFS('Stocking details'!$I$6:$I$3307,G2110)</x:f>
        <x:v>1</x:v>
      </x:c>
      <x:c r="G2110" s="8" t="str">
        <x:f>B2110&amp;" / "&amp;C2110&amp;" / "&amp;D2110</x:f>
        <x:v>6610 / 2021 / CUTTHROAT TROUT</x:v>
      </x:c>
    </x:row>
    <x:row r="2111" ht="23" customHeight="1">
      <x:c r="A2111" s="8" t="str">
        <x:v>Westlock Recreation Pond</x:v>
      </x:c>
      <x:c r="B2111" s="8" t="str">
        <x:v>6613</x:v>
      </x:c>
      <x:c r="C2111" s="17" t="n">
        <x:v>2026</x:v>
      </x:c>
      <x:c r="D2111" s="8" t="str">
        <x:v>RAINBOW TROUT</x:v>
      </x:c>
      <x:c r="E2111" s="13" t="n">
        <x:f>SUMIFS('Stocking details'!$F$6:$F$3307,'Stocking details'!$I$6:$I$3307,G2111)</x:f>
        <x:v>1200</x:v>
      </x:c>
      <x:c r="F2111" s="13" t="n">
        <x:f>COUNTIFS('Stocking details'!$I$6:$I$3307,G2111)</x:f>
        <x:v>1</x:v>
      </x:c>
      <x:c r="G2111" s="8" t="str">
        <x:f>B2111&amp;" / "&amp;C2111&amp;" / "&amp;D2111</x:f>
        <x:v>6613 / 2026 / RAINBOW TROUT</x:v>
      </x:c>
    </x:row>
    <x:row r="2112" ht="23" customHeight="1">
      <x:c r="A2112" s="8" t="str">
        <x:v>Westlock Recreation Pond</x:v>
      </x:c>
      <x:c r="B2112" s="8" t="str">
        <x:v>6613</x:v>
      </x:c>
      <x:c r="C2112" s="17" t="n">
        <x:v>2025</x:v>
      </x:c>
      <x:c r="D2112" s="8" t="str">
        <x:v>RAINBOW TROUT</x:v>
      </x:c>
      <x:c r="E2112" s="13" t="n">
        <x:f>SUMIFS('Stocking details'!$F$6:$F$3307,'Stocking details'!$I$6:$I$3307,G2112)</x:f>
        <x:v>1200</x:v>
      </x:c>
      <x:c r="F2112" s="13" t="n">
        <x:f>COUNTIFS('Stocking details'!$I$6:$I$3307,G2112)</x:f>
        <x:v>1</x:v>
      </x:c>
      <x:c r="G2112" s="8" t="str">
        <x:f>B2112&amp;" / "&amp;C2112&amp;" / "&amp;D2112</x:f>
        <x:v>6613 / 2025 / RAINBOW TROUT</x:v>
      </x:c>
    </x:row>
    <x:row r="2113" ht="23" customHeight="1">
      <x:c r="A2113" s="8" t="str">
        <x:v>Westlock Recreation Pond</x:v>
      </x:c>
      <x:c r="B2113" s="8" t="str">
        <x:v>6613</x:v>
      </x:c>
      <x:c r="C2113" s="17" t="n">
        <x:v>2024</x:v>
      </x:c>
      <x:c r="D2113" s="8" t="str">
        <x:v>RAINBOW TROUT</x:v>
      </x:c>
      <x:c r="E2113" s="13" t="n">
        <x:f>SUMIFS('Stocking details'!$F$6:$F$3307,'Stocking details'!$I$6:$I$3307,G2113)</x:f>
        <x:v>1200</x:v>
      </x:c>
      <x:c r="F2113" s="13" t="n">
        <x:f>COUNTIFS('Stocking details'!$I$6:$I$3307,G2113)</x:f>
        <x:v>1</x:v>
      </x:c>
      <x:c r="G2113" s="8" t="str">
        <x:f>B2113&amp;" / "&amp;C2113&amp;" / "&amp;D2113</x:f>
        <x:v>6613 / 2024 / RAINBOW TROUT</x:v>
      </x:c>
    </x:row>
    <x:row r="2114" ht="23" customHeight="1">
      <x:c r="A2114" s="8" t="str">
        <x:v>Westlock Recreation Pond</x:v>
      </x:c>
      <x:c r="B2114" s="8" t="str">
        <x:v>6613</x:v>
      </x:c>
      <x:c r="C2114" s="17" t="n">
        <x:v>2023</x:v>
      </x:c>
      <x:c r="D2114" s="8" t="str">
        <x:v>RAINBOW TROUT</x:v>
      </x:c>
      <x:c r="E2114" s="13" t="n">
        <x:f>SUMIFS('Stocking details'!$F$6:$F$3307,'Stocking details'!$I$6:$I$3307,G2114)</x:f>
        <x:v>252</x:v>
      </x:c>
      <x:c r="F2114" s="13" t="n">
        <x:f>COUNTIFS('Stocking details'!$I$6:$I$3307,G2114)</x:f>
        <x:v>1</x:v>
      </x:c>
      <x:c r="G2114" s="8" t="str">
        <x:f>B2114&amp;" / "&amp;C2114&amp;" / "&amp;D2114</x:f>
        <x:v>6613 / 2023 / RAINBOW TROUT</x:v>
      </x:c>
    </x:row>
    <x:row r="2115" ht="23" customHeight="1">
      <x:c r="A2115" s="8" t="str">
        <x:v>Westlock Recreation Pond</x:v>
      </x:c>
      <x:c r="B2115" s="8" t="str">
        <x:v>6613</x:v>
      </x:c>
      <x:c r="C2115" s="17" t="n">
        <x:v>2022</x:v>
      </x:c>
      <x:c r="D2115" s="8" t="str">
        <x:v>RAINBOW TROUT</x:v>
      </x:c>
      <x:c r="E2115" s="13" t="n">
        <x:f>SUMIFS('Stocking details'!$F$6:$F$3307,'Stocking details'!$I$6:$I$3307,G2115)</x:f>
        <x:v>2000</x:v>
      </x:c>
      <x:c r="F2115" s="13" t="n">
        <x:f>COUNTIFS('Stocking details'!$I$6:$I$3307,G2115)</x:f>
        <x:v>2</x:v>
      </x:c>
      <x:c r="G2115" s="8" t="str">
        <x:f>B2115&amp;" / "&amp;C2115&amp;" / "&amp;D2115</x:f>
        <x:v>6613 / 2022 / RAINBOW TROUT</x:v>
      </x:c>
    </x:row>
    <x:row r="2116" ht="23" customHeight="1">
      <x:c r="A2116" s="8" t="str">
        <x:v>Westlock Recreation Pond</x:v>
      </x:c>
      <x:c r="B2116" s="8" t="str">
        <x:v>6613</x:v>
      </x:c>
      <x:c r="C2116" s="17" t="n">
        <x:v>2021</x:v>
      </x:c>
      <x:c r="D2116" s="8" t="str">
        <x:v>RAINBOW TROUT</x:v>
      </x:c>
      <x:c r="E2116" s="13" t="n">
        <x:f>SUMIFS('Stocking details'!$F$6:$F$3307,'Stocking details'!$I$6:$I$3307,G2116)</x:f>
        <x:v>1600</x:v>
      </x:c>
      <x:c r="F2116" s="13" t="n">
        <x:f>COUNTIFS('Stocking details'!$I$6:$I$3307,G2116)</x:f>
        <x:v>2</x:v>
      </x:c>
      <x:c r="G2116" s="8" t="str">
        <x:f>B2116&amp;" / "&amp;C2116&amp;" / "&amp;D2116</x:f>
        <x:v>6613 / 2021 / RAINBOW TROUT</x:v>
      </x:c>
    </x:row>
    <x:row r="2117" ht="23" customHeight="1">
      <x:c r="A2117" s="8" t="str">
        <x:v>Wetaskiwin Pond</x:v>
      </x:c>
      <x:c r="B2117" s="8" t="str">
        <x:v>18019</x:v>
      </x:c>
      <x:c r="C2117" s="17" t="n">
        <x:v>2026</x:v>
      </x:c>
      <x:c r="D2117" s="8" t="str">
        <x:v>BROOK TROUT</x:v>
      </x:c>
      <x:c r="E2117" s="13" t="n">
        <x:f>SUMIFS('Stocking details'!$F$6:$F$3307,'Stocking details'!$I$6:$I$3307,G2117)</x:f>
        <x:v>250</x:v>
      </x:c>
      <x:c r="F2117" s="13" t="n">
        <x:f>COUNTIFS('Stocking details'!$I$6:$I$3307,G2117)</x:f>
        <x:v>1</x:v>
      </x:c>
      <x:c r="G2117" s="8" t="str">
        <x:f>B2117&amp;" / "&amp;C2117&amp;" / "&amp;D2117</x:f>
        <x:v>18019 / 2026 / BROOK TROUT</x:v>
      </x:c>
    </x:row>
    <x:row r="2118" ht="23" customHeight="1">
      <x:c r="A2118" s="8" t="str">
        <x:v>Wetaskiwin Pond</x:v>
      </x:c>
      <x:c r="B2118" s="8" t="str">
        <x:v>18019</x:v>
      </x:c>
      <x:c r="C2118" s="17" t="n">
        <x:v>2026</x:v>
      </x:c>
      <x:c r="D2118" s="8" t="str">
        <x:v>RAINBOW TROUT</x:v>
      </x:c>
      <x:c r="E2118" s="13" t="n">
        <x:f>SUMIFS('Stocking details'!$F$6:$F$3307,'Stocking details'!$I$6:$I$3307,G2118)</x:f>
        <x:v>150</x:v>
      </x:c>
      <x:c r="F2118" s="13" t="n">
        <x:f>COUNTIFS('Stocking details'!$I$6:$I$3307,G2118)</x:f>
        <x:v>1</x:v>
      </x:c>
      <x:c r="G2118" s="8" t="str">
        <x:f>B2118&amp;" / "&amp;C2118&amp;" / "&amp;D2118</x:f>
        <x:v>18019 / 2026 / RAINBOW TROUT</x:v>
      </x:c>
    </x:row>
    <x:row r="2119" ht="23" customHeight="1">
      <x:c r="A2119" s="8" t="str">
        <x:v>Wetaskiwin Pond</x:v>
      </x:c>
      <x:c r="B2119" s="8" t="str">
        <x:v>18019</x:v>
      </x:c>
      <x:c r="C2119" s="17" t="n">
        <x:v>2025</x:v>
      </x:c>
      <x:c r="D2119" s="8" t="str">
        <x:v>BROOK TROUT</x:v>
      </x:c>
      <x:c r="E2119" s="13" t="n">
        <x:f>SUMIFS('Stocking details'!$F$6:$F$3307,'Stocking details'!$I$6:$I$3307,G2119)</x:f>
        <x:v>250</x:v>
      </x:c>
      <x:c r="F2119" s="13" t="n">
        <x:f>COUNTIFS('Stocking details'!$I$6:$I$3307,G2119)</x:f>
        <x:v>1</x:v>
      </x:c>
      <x:c r="G2119" s="8" t="str">
        <x:f>B2119&amp;" / "&amp;C2119&amp;" / "&amp;D2119</x:f>
        <x:v>18019 / 2025 / BROOK TROUT</x:v>
      </x:c>
    </x:row>
    <x:row r="2120" ht="23" customHeight="1">
      <x:c r="A2120" s="8" t="str">
        <x:v>Wetaskiwin Pond</x:v>
      </x:c>
      <x:c r="B2120" s="8" t="str">
        <x:v>18019</x:v>
      </x:c>
      <x:c r="C2120" s="17" t="n">
        <x:v>2025</x:v>
      </x:c>
      <x:c r="D2120" s="8" t="str">
        <x:v>RAINBOW TROUT</x:v>
      </x:c>
      <x:c r="E2120" s="13" t="n">
        <x:f>SUMIFS('Stocking details'!$F$6:$F$3307,'Stocking details'!$I$6:$I$3307,G2120)</x:f>
        <x:v>150</x:v>
      </x:c>
      <x:c r="F2120" s="13" t="n">
        <x:f>COUNTIFS('Stocking details'!$I$6:$I$3307,G2120)</x:f>
        <x:v>1</x:v>
      </x:c>
      <x:c r="G2120" s="8" t="str">
        <x:f>B2120&amp;" / "&amp;C2120&amp;" / "&amp;D2120</x:f>
        <x:v>18019 / 2025 / RAINBOW TROUT</x:v>
      </x:c>
    </x:row>
    <x:row r="2121" ht="23" customHeight="1">
      <x:c r="A2121" s="8" t="str">
        <x:v>Wetaskiwin Pond</x:v>
      </x:c>
      <x:c r="B2121" s="8" t="str">
        <x:v>18019</x:v>
      </x:c>
      <x:c r="C2121" s="17" t="n">
        <x:v>2024</x:v>
      </x:c>
      <x:c r="D2121" s="8" t="str">
        <x:v>BROOK TROUT</x:v>
      </x:c>
      <x:c r="E2121" s="13" t="n">
        <x:f>SUMIFS('Stocking details'!$F$6:$F$3307,'Stocking details'!$I$6:$I$3307,G2121)</x:f>
        <x:v>250</x:v>
      </x:c>
      <x:c r="F2121" s="13" t="n">
        <x:f>COUNTIFS('Stocking details'!$I$6:$I$3307,G2121)</x:f>
        <x:v>1</x:v>
      </x:c>
      <x:c r="G2121" s="8" t="str">
        <x:f>B2121&amp;" / "&amp;C2121&amp;" / "&amp;D2121</x:f>
        <x:v>18019 / 2024 / BROOK TROUT</x:v>
      </x:c>
    </x:row>
    <x:row r="2122" ht="23" customHeight="1">
      <x:c r="A2122" s="8" t="str">
        <x:v>Wetaskiwin Pond</x:v>
      </x:c>
      <x:c r="B2122" s="8" t="str">
        <x:v>18019</x:v>
      </x:c>
      <x:c r="C2122" s="17" t="n">
        <x:v>2024</x:v>
      </x:c>
      <x:c r="D2122" s="8" t="str">
        <x:v>RAINBOW TROUT</x:v>
      </x:c>
      <x:c r="E2122" s="13" t="n">
        <x:f>SUMIFS('Stocking details'!$F$6:$F$3307,'Stocking details'!$I$6:$I$3307,G2122)</x:f>
        <x:v>150</x:v>
      </x:c>
      <x:c r="F2122" s="13" t="n">
        <x:f>COUNTIFS('Stocking details'!$I$6:$I$3307,G2122)</x:f>
        <x:v>1</x:v>
      </x:c>
      <x:c r="G2122" s="8" t="str">
        <x:f>B2122&amp;" / "&amp;C2122&amp;" / "&amp;D2122</x:f>
        <x:v>18019 / 2024 / RAINBOW TROUT</x:v>
      </x:c>
    </x:row>
    <x:row r="2123" ht="23" customHeight="1">
      <x:c r="A2123" s="8" t="str">
        <x:v>Wetaskiwin Pond</x:v>
      </x:c>
      <x:c r="B2123" s="8" t="str">
        <x:v>18019</x:v>
      </x:c>
      <x:c r="C2123" s="17" t="n">
        <x:v>2023</x:v>
      </x:c>
      <x:c r="D2123" s="8" t="str">
        <x:v>BROOK TROUT</x:v>
      </x:c>
      <x:c r="E2123" s="13" t="n">
        <x:f>SUMIFS('Stocking details'!$F$6:$F$3307,'Stocking details'!$I$6:$I$3307,G2123)</x:f>
        <x:v>250</x:v>
      </x:c>
      <x:c r="F2123" s="13" t="n">
        <x:f>COUNTIFS('Stocking details'!$I$6:$I$3307,G2123)</x:f>
        <x:v>1</x:v>
      </x:c>
      <x:c r="G2123" s="8" t="str">
        <x:f>B2123&amp;" / "&amp;C2123&amp;" / "&amp;D2123</x:f>
        <x:v>18019 / 2023 / BROOK TROUT</x:v>
      </x:c>
    </x:row>
    <x:row r="2124" ht="23" customHeight="1">
      <x:c r="A2124" s="8" t="str">
        <x:v>Wetaskiwin Pond</x:v>
      </x:c>
      <x:c r="B2124" s="8" t="str">
        <x:v>18019</x:v>
      </x:c>
      <x:c r="C2124" s="17" t="n">
        <x:v>2023</x:v>
      </x:c>
      <x:c r="D2124" s="8" t="str">
        <x:v>RAINBOW TROUT</x:v>
      </x:c>
      <x:c r="E2124" s="13" t="n">
        <x:f>SUMIFS('Stocking details'!$F$6:$F$3307,'Stocking details'!$I$6:$I$3307,G2124)</x:f>
        <x:v>300</x:v>
      </x:c>
      <x:c r="F2124" s="13" t="n">
        <x:f>COUNTIFS('Stocking details'!$I$6:$I$3307,G2124)</x:f>
        <x:v>1</x:v>
      </x:c>
      <x:c r="G2124" s="8" t="str">
        <x:f>B2124&amp;" / "&amp;C2124&amp;" / "&amp;D2124</x:f>
        <x:v>18019 / 2023 / RAINBOW TROUT</x:v>
      </x:c>
    </x:row>
    <x:row r="2125" ht="23" customHeight="1">
      <x:c r="A2125" s="8" t="str">
        <x:v>Wetaskiwin Pond</x:v>
      </x:c>
      <x:c r="B2125" s="8" t="str">
        <x:v>18019</x:v>
      </x:c>
      <x:c r="C2125" s="17" t="n">
        <x:v>2022</x:v>
      </x:c>
      <x:c r="D2125" s="8" t="str">
        <x:v>BROOK TROUT</x:v>
      </x:c>
      <x:c r="E2125" s="13" t="n">
        <x:f>SUMIFS('Stocking details'!$F$6:$F$3307,'Stocking details'!$I$6:$I$3307,G2125)</x:f>
        <x:v>250</x:v>
      </x:c>
      <x:c r="F2125" s="13" t="n">
        <x:f>COUNTIFS('Stocking details'!$I$6:$I$3307,G2125)</x:f>
        <x:v>1</x:v>
      </x:c>
      <x:c r="G2125" s="8" t="str">
        <x:f>B2125&amp;" / "&amp;C2125&amp;" / "&amp;D2125</x:f>
        <x:v>18019 / 2022 / BROOK TROUT</x:v>
      </x:c>
    </x:row>
    <x:row r="2126" ht="23" customHeight="1">
      <x:c r="A2126" s="8" t="str">
        <x:v>Wetaskiwin Pond</x:v>
      </x:c>
      <x:c r="B2126" s="8" t="str">
        <x:v>18019</x:v>
      </x:c>
      <x:c r="C2126" s="17" t="n">
        <x:v>2022</x:v>
      </x:c>
      <x:c r="D2126" s="8" t="str">
        <x:v>RAINBOW TROUT</x:v>
      </x:c>
      <x:c r="E2126" s="13" t="n">
        <x:f>SUMIFS('Stocking details'!$F$6:$F$3307,'Stocking details'!$I$6:$I$3307,G2126)</x:f>
        <x:v>350</x:v>
      </x:c>
      <x:c r="F2126" s="13" t="n">
        <x:f>COUNTIFS('Stocking details'!$I$6:$I$3307,G2126)</x:f>
        <x:v>2</x:v>
      </x:c>
      <x:c r="G2126" s="8" t="str">
        <x:f>B2126&amp;" / "&amp;C2126&amp;" / "&amp;D2126</x:f>
        <x:v>18019 / 2022 / RAINBOW TROUT</x:v>
      </x:c>
    </x:row>
    <x:row r="2127" ht="23" customHeight="1">
      <x:c r="A2127" s="8" t="str">
        <x:v>Wetaskiwin Pond</x:v>
      </x:c>
      <x:c r="B2127" s="8" t="str">
        <x:v>18019</x:v>
      </x:c>
      <x:c r="C2127" s="17" t="n">
        <x:v>2021</x:v>
      </x:c>
      <x:c r="D2127" s="8" t="str">
        <x:v>BROOK TROUT</x:v>
      </x:c>
      <x:c r="E2127" s="13" t="n">
        <x:f>SUMIFS('Stocking details'!$F$6:$F$3307,'Stocking details'!$I$6:$I$3307,G2127)</x:f>
        <x:v>250</x:v>
      </x:c>
      <x:c r="F2127" s="13" t="n">
        <x:f>COUNTIFS('Stocking details'!$I$6:$I$3307,G2127)</x:f>
        <x:v>1</x:v>
      </x:c>
      <x:c r="G2127" s="8" t="str">
        <x:f>B2127&amp;" / "&amp;C2127&amp;" / "&amp;D2127</x:f>
        <x:v>18019 / 2021 / BROOK TROUT</x:v>
      </x:c>
    </x:row>
    <x:row r="2128" ht="23" customHeight="1">
      <x:c r="A2128" s="8" t="str">
        <x:v>Wetaskiwin Pond</x:v>
      </x:c>
      <x:c r="B2128" s="8" t="str">
        <x:v>18019</x:v>
      </x:c>
      <x:c r="C2128" s="17" t="n">
        <x:v>2021</x:v>
      </x:c>
      <x:c r="D2128" s="8" t="str">
        <x:v>RAINBOW TROUT</x:v>
      </x:c>
      <x:c r="E2128" s="13" t="n">
        <x:f>SUMIFS('Stocking details'!$F$6:$F$3307,'Stocking details'!$I$6:$I$3307,G2128)</x:f>
        <x:v>150</x:v>
      </x:c>
      <x:c r="F2128" s="13" t="n">
        <x:f>COUNTIFS('Stocking details'!$I$6:$I$3307,G2128)</x:f>
        <x:v>1</x:v>
      </x:c>
      <x:c r="G2128" s="8" t="str">
        <x:f>B2128&amp;" / "&amp;C2128&amp;" / "&amp;D2128</x:f>
        <x:v>18019 / 2021 / RAINBOW TROUT</x:v>
      </x:c>
    </x:row>
    <x:row r="2129" ht="23" customHeight="1">
      <x:c r="A2129" s="8" t="str">
        <x:v>Whitecourt Town Pond</x:v>
      </x:c>
      <x:c r="B2129" s="8" t="str">
        <x:v>21137</x:v>
      </x:c>
      <x:c r="C2129" s="17" t="n">
        <x:v>2026</x:v>
      </x:c>
      <x:c r="D2129" s="8" t="str">
        <x:v>RAINBOW TROUT</x:v>
      </x:c>
      <x:c r="E2129" s="13" t="n">
        <x:f>SUMIFS('Stocking details'!$F$6:$F$3307,'Stocking details'!$I$6:$I$3307,G2129)</x:f>
        <x:v>1500</x:v>
      </x:c>
      <x:c r="F2129" s="13" t="n">
        <x:f>COUNTIFS('Stocking details'!$I$6:$I$3307,G2129)</x:f>
        <x:v>1</x:v>
      </x:c>
      <x:c r="G2129" s="8" t="str">
        <x:f>B2129&amp;" / "&amp;C2129&amp;" / "&amp;D2129</x:f>
        <x:v>21137 / 2026 / RAINBOW TROUT</x:v>
      </x:c>
    </x:row>
    <x:row r="2130" ht="23" customHeight="1">
      <x:c r="A2130" s="8" t="str">
        <x:v>Whitecourt Town Pond</x:v>
      </x:c>
      <x:c r="B2130" s="8" t="str">
        <x:v>21137</x:v>
      </x:c>
      <x:c r="C2130" s="17" t="n">
        <x:v>2025</x:v>
      </x:c>
      <x:c r="D2130" s="8" t="str">
        <x:v>RAINBOW TROUT</x:v>
      </x:c>
      <x:c r="E2130" s="13" t="n">
        <x:f>SUMIFS('Stocking details'!$F$6:$F$3307,'Stocking details'!$I$6:$I$3307,G2130)</x:f>
        <x:v>1500</x:v>
      </x:c>
      <x:c r="F2130" s="13" t="n">
        <x:f>COUNTIFS('Stocking details'!$I$6:$I$3307,G2130)</x:f>
        <x:v>1</x:v>
      </x:c>
      <x:c r="G2130" s="8" t="str">
        <x:f>B2130&amp;" / "&amp;C2130&amp;" / "&amp;D2130</x:f>
        <x:v>21137 / 2025 / RAINBOW TROUT</x:v>
      </x:c>
    </x:row>
    <x:row r="2131" ht="23" customHeight="1">
      <x:c r="A2131" s="8" t="str">
        <x:v>Whitecourt Town Pond</x:v>
      </x:c>
      <x:c r="B2131" s="8" t="str">
        <x:v>21137</x:v>
      </x:c>
      <x:c r="C2131" s="17" t="n">
        <x:v>2024</x:v>
      </x:c>
      <x:c r="D2131" s="8" t="str">
        <x:v>RAINBOW TROUT</x:v>
      </x:c>
      <x:c r="E2131" s="13" t="n">
        <x:f>SUMIFS('Stocking details'!$F$6:$F$3307,'Stocking details'!$I$6:$I$3307,G2131)</x:f>
        <x:v>753</x:v>
      </x:c>
      <x:c r="F2131" s="13" t="n">
        <x:f>COUNTIFS('Stocking details'!$I$6:$I$3307,G2131)</x:f>
        <x:v>1</x:v>
      </x:c>
      <x:c r="G2131" s="8" t="str">
        <x:f>B2131&amp;" / "&amp;C2131&amp;" / "&amp;D2131</x:f>
        <x:v>21137 / 2024 / RAINBOW TROUT</x:v>
      </x:c>
    </x:row>
    <x:row r="2132" ht="23" customHeight="1">
      <x:c r="A2132" s="8" t="str">
        <x:v>Whitecourt Town Pond</x:v>
      </x:c>
      <x:c r="B2132" s="8" t="str">
        <x:v>21137</x:v>
      </x:c>
      <x:c r="C2132" s="17" t="n">
        <x:v>2023</x:v>
      </x:c>
      <x:c r="D2132" s="8" t="str">
        <x:v>RAINBOW TROUT</x:v>
      </x:c>
      <x:c r="E2132" s="13" t="n">
        <x:f>SUMIFS('Stocking details'!$F$6:$F$3307,'Stocking details'!$I$6:$I$3307,G2132)</x:f>
        <x:v>753</x:v>
      </x:c>
      <x:c r="F2132" s="13" t="n">
        <x:f>COUNTIFS('Stocking details'!$I$6:$I$3307,G2132)</x:f>
        <x:v>1</x:v>
      </x:c>
      <x:c r="G2132" s="8" t="str">
        <x:f>B2132&amp;" / "&amp;C2132&amp;" / "&amp;D2132</x:f>
        <x:v>21137 / 2023 / RAINBOW TROUT</x:v>
      </x:c>
    </x:row>
    <x:row r="2133" ht="23" customHeight="1">
      <x:c r="A2133" s="8" t="str">
        <x:v>Whitecourt Town Pond</x:v>
      </x:c>
      <x:c r="B2133" s="8" t="str">
        <x:v>21137</x:v>
      </x:c>
      <x:c r="C2133" s="17" t="n">
        <x:v>2022</x:v>
      </x:c>
      <x:c r="D2133" s="8" t="str">
        <x:v>RAINBOW TROUT</x:v>
      </x:c>
      <x:c r="E2133" s="13" t="n">
        <x:f>SUMIFS('Stocking details'!$F$6:$F$3307,'Stocking details'!$I$6:$I$3307,G2133)</x:f>
        <x:v>1500</x:v>
      </x:c>
      <x:c r="F2133" s="13" t="n">
        <x:f>COUNTIFS('Stocking details'!$I$6:$I$3307,G2133)</x:f>
        <x:v>1</x:v>
      </x:c>
      <x:c r="G2133" s="8" t="str">
        <x:f>B2133&amp;" / "&amp;C2133&amp;" / "&amp;D2133</x:f>
        <x:v>21137 / 2022 / RAINBOW TROUT</x:v>
      </x:c>
    </x:row>
    <x:row r="2134" ht="23" customHeight="1">
      <x:c r="A2134" s="8" t="str">
        <x:v>Whitecourt Town Pond</x:v>
      </x:c>
      <x:c r="B2134" s="8" t="str">
        <x:v>21137</x:v>
      </x:c>
      <x:c r="C2134" s="17" t="n">
        <x:v>2021</x:v>
      </x:c>
      <x:c r="D2134" s="8" t="str">
        <x:v>RAINBOW TROUT</x:v>
      </x:c>
      <x:c r="E2134" s="13" t="n">
        <x:f>SUMIFS('Stocking details'!$F$6:$F$3307,'Stocking details'!$I$6:$I$3307,G2134)</x:f>
        <x:v>1500</x:v>
      </x:c>
      <x:c r="F2134" s="13" t="n">
        <x:f>COUNTIFS('Stocking details'!$I$6:$I$3307,G2134)</x:f>
        <x:v>1</x:v>
      </x:c>
      <x:c r="G2134" s="8" t="str">
        <x:f>B2134&amp;" / "&amp;C2134&amp;" / "&amp;D2134</x:f>
        <x:v>21137 / 2021 / RAINBOW TROUT</x:v>
      </x:c>
    </x:row>
    <x:row r="2135" ht="23" customHeight="1">
      <x:c r="A2135" s="8" t="str">
        <x:v>Wildwood Pond</x:v>
      </x:c>
      <x:c r="B2135" s="8" t="str">
        <x:v>6625</x:v>
      </x:c>
      <x:c r="C2135" s="17" t="n">
        <x:v>2026</x:v>
      </x:c>
      <x:c r="D2135" s="8" t="str">
        <x:v>RAINBOW TROUT</x:v>
      </x:c>
      <x:c r="E2135" s="13" t="n">
        <x:f>SUMIFS('Stocking details'!$F$6:$F$3307,'Stocking details'!$I$6:$I$3307,G2135)</x:f>
        <x:v>1500</x:v>
      </x:c>
      <x:c r="F2135" s="13" t="n">
        <x:f>COUNTIFS('Stocking details'!$I$6:$I$3307,G2135)</x:f>
        <x:v>1</x:v>
      </x:c>
      <x:c r="G2135" s="8" t="str">
        <x:f>B2135&amp;" / "&amp;C2135&amp;" / "&amp;D2135</x:f>
        <x:v>6625 / 2026 / RAINBOW TROUT</x:v>
      </x:c>
    </x:row>
    <x:row r="2136" ht="23" customHeight="1">
      <x:c r="A2136" s="8" t="str">
        <x:v>Wildwood Pond</x:v>
      </x:c>
      <x:c r="B2136" s="8" t="str">
        <x:v>6625</x:v>
      </x:c>
      <x:c r="C2136" s="17" t="n">
        <x:v>2025</x:v>
      </x:c>
      <x:c r="D2136" s="8" t="str">
        <x:v>RAINBOW TROUT</x:v>
      </x:c>
      <x:c r="E2136" s="13" t="n">
        <x:f>SUMIFS('Stocking details'!$F$6:$F$3307,'Stocking details'!$I$6:$I$3307,G2136)</x:f>
        <x:v>1500</x:v>
      </x:c>
      <x:c r="F2136" s="13" t="n">
        <x:f>COUNTIFS('Stocking details'!$I$6:$I$3307,G2136)</x:f>
        <x:v>1</x:v>
      </x:c>
      <x:c r="G2136" s="8" t="str">
        <x:f>B2136&amp;" / "&amp;C2136&amp;" / "&amp;D2136</x:f>
        <x:v>6625 / 2025 / RAINBOW TROUT</x:v>
      </x:c>
    </x:row>
    <x:row r="2137" ht="23" customHeight="1">
      <x:c r="A2137" s="8" t="str">
        <x:v>Wildwood Pond</x:v>
      </x:c>
      <x:c r="B2137" s="8" t="str">
        <x:v>6625</x:v>
      </x:c>
      <x:c r="C2137" s="17" t="n">
        <x:v>2024</x:v>
      </x:c>
      <x:c r="D2137" s="8" t="str">
        <x:v>RAINBOW TROUT</x:v>
      </x:c>
      <x:c r="E2137" s="13" t="n">
        <x:f>SUMIFS('Stocking details'!$F$6:$F$3307,'Stocking details'!$I$6:$I$3307,G2137)</x:f>
        <x:v>753</x:v>
      </x:c>
      <x:c r="F2137" s="13" t="n">
        <x:f>COUNTIFS('Stocking details'!$I$6:$I$3307,G2137)</x:f>
        <x:v>1</x:v>
      </x:c>
      <x:c r="G2137" s="8" t="str">
        <x:f>B2137&amp;" / "&amp;C2137&amp;" / "&amp;D2137</x:f>
        <x:v>6625 / 2024 / RAINBOW TROUT</x:v>
      </x:c>
    </x:row>
    <x:row r="2138" ht="23" customHeight="1">
      <x:c r="A2138" s="8" t="str">
        <x:v>Wildwood Pond</x:v>
      </x:c>
      <x:c r="B2138" s="8" t="str">
        <x:v>6625</x:v>
      </x:c>
      <x:c r="C2138" s="17" t="n">
        <x:v>2023</x:v>
      </x:c>
      <x:c r="D2138" s="8" t="str">
        <x:v>RAINBOW TROUT</x:v>
      </x:c>
      <x:c r="E2138" s="13" t="n">
        <x:f>SUMIFS('Stocking details'!$F$6:$F$3307,'Stocking details'!$I$6:$I$3307,G2138)</x:f>
        <x:v>753</x:v>
      </x:c>
      <x:c r="F2138" s="13" t="n">
        <x:f>COUNTIFS('Stocking details'!$I$6:$I$3307,G2138)</x:f>
        <x:v>1</x:v>
      </x:c>
      <x:c r="G2138" s="8" t="str">
        <x:f>B2138&amp;" / "&amp;C2138&amp;" / "&amp;D2138</x:f>
        <x:v>6625 / 2023 / RAINBOW TROUT</x:v>
      </x:c>
    </x:row>
    <x:row r="2139" ht="23" customHeight="1">
      <x:c r="A2139" s="8" t="str">
        <x:v>Wildwood Pond</x:v>
      </x:c>
      <x:c r="B2139" s="8" t="str">
        <x:v>6625</x:v>
      </x:c>
      <x:c r="C2139" s="17" t="n">
        <x:v>2022</x:v>
      </x:c>
      <x:c r="D2139" s="8" t="str">
        <x:v>RAINBOW TROUT</x:v>
      </x:c>
      <x:c r="E2139" s="13" t="n">
        <x:f>SUMIFS('Stocking details'!$F$6:$F$3307,'Stocking details'!$I$6:$I$3307,G2139)</x:f>
        <x:v>1500</x:v>
      </x:c>
      <x:c r="F2139" s="13" t="n">
        <x:f>COUNTIFS('Stocking details'!$I$6:$I$3307,G2139)</x:f>
        <x:v>1</x:v>
      </x:c>
      <x:c r="G2139" s="8" t="str">
        <x:f>B2139&amp;" / "&amp;C2139&amp;" / "&amp;D2139</x:f>
        <x:v>6625 / 2022 / RAINBOW TROUT</x:v>
      </x:c>
    </x:row>
    <x:row r="2140" ht="23" customHeight="1">
      <x:c r="A2140" s="8" t="str">
        <x:v>Wildwood Pond</x:v>
      </x:c>
      <x:c r="B2140" s="8" t="str">
        <x:v>6625</x:v>
      </x:c>
      <x:c r="C2140" s="17" t="n">
        <x:v>2021</x:v>
      </x:c>
      <x:c r="D2140" s="8" t="str">
        <x:v>RAINBOW TROUT</x:v>
      </x:c>
      <x:c r="E2140" s="13" t="n">
        <x:f>SUMIFS('Stocking details'!$F$6:$F$3307,'Stocking details'!$I$6:$I$3307,G2140)</x:f>
        <x:v>1500</x:v>
      </x:c>
      <x:c r="F2140" s="13" t="n">
        <x:f>COUNTIFS('Stocking details'!$I$6:$I$3307,G2140)</x:f>
        <x:v>1</x:v>
      </x:c>
      <x:c r="G2140" s="8" t="str">
        <x:f>B2140&amp;" / "&amp;C2140&amp;" / "&amp;D2140</x:f>
        <x:v>6625 / 2021 / RAINBOW TROUT</x:v>
      </x:c>
    </x:row>
    <x:row r="2141" ht="23" customHeight="1">
      <x:c r="A2141" s="8" t="str">
        <x:v>Winagami Lake</x:v>
      </x:c>
      <x:c r="B2141" s="8" t="str">
        <x:v>6169</x:v>
      </x:c>
      <x:c r="C2141" s="17" t="n">
        <x:v>2025</x:v>
      </x:c>
      <x:c r="D2141" s="8" t="str">
        <x:v>WALLEYE</x:v>
      </x:c>
      <x:c r="E2141" s="13" t="n">
        <x:f>SUMIFS('Stocking details'!$F$6:$F$3307,'Stocking details'!$I$6:$I$3307,G2141)</x:f>
        <x:v>4285561</x:v>
      </x:c>
      <x:c r="F2141" s="13" t="n">
        <x:f>COUNTIFS('Stocking details'!$I$6:$I$3307,G2141)</x:f>
        <x:v>3</x:v>
      </x:c>
      <x:c r="G2141" s="8" t="str">
        <x:f>B2141&amp;" / "&amp;C2141&amp;" / "&amp;D2141</x:f>
        <x:v>6169 / 2025 / WALLEYE</x:v>
      </x:c>
    </x:row>
    <x:row r="2142" ht="23" customHeight="1">
      <x:c r="A2142" s="8" t="str">
        <x:v>Winagami Lake</x:v>
      </x:c>
      <x:c r="B2142" s="8" t="str">
        <x:v>6169</x:v>
      </x:c>
      <x:c r="C2142" s="17" t="n">
        <x:v>2024</x:v>
      </x:c>
      <x:c r="D2142" s="8" t="str">
        <x:v>WALLEYE</x:v>
      </x:c>
      <x:c r="E2142" s="13" t="n">
        <x:f>SUMIFS('Stocking details'!$F$6:$F$3307,'Stocking details'!$I$6:$I$3307,G2142)</x:f>
        <x:v>3468735</x:v>
      </x:c>
      <x:c r="F2142" s="13" t="n">
        <x:f>COUNTIFS('Stocking details'!$I$6:$I$3307,G2142)</x:f>
        <x:v>3</x:v>
      </x:c>
      <x:c r="G2142" s="8" t="str">
        <x:f>B2142&amp;" / "&amp;C2142&amp;" / "&amp;D2142</x:f>
        <x:v>6169 / 2024 / WALLEYE</x:v>
      </x:c>
    </x:row>
    <x:row r="2143" ht="23" customHeight="1">
      <x:c r="A2143" s="8" t="str">
        <x:v>Winagami Lake</x:v>
      </x:c>
      <x:c r="B2143" s="8" t="str">
        <x:v>6169</x:v>
      </x:c>
      <x:c r="C2143" s="17" t="n">
        <x:v>2023</x:v>
      </x:c>
      <x:c r="D2143" s="8" t="str">
        <x:v>WALLEYE</x:v>
      </x:c>
      <x:c r="E2143" s="13" t="n">
        <x:f>SUMIFS('Stocking details'!$F$6:$F$3307,'Stocking details'!$I$6:$I$3307,G2143)</x:f>
        <x:v>585176</x:v>
      </x:c>
      <x:c r="F2143" s="13" t="n">
        <x:f>COUNTIFS('Stocking details'!$I$6:$I$3307,G2143)</x:f>
        <x:v>1</x:v>
      </x:c>
      <x:c r="G2143" s="8" t="str">
        <x:f>B2143&amp;" / "&amp;C2143&amp;" / "&amp;D2143</x:f>
        <x:v>6169 / 2023 / WALLEYE</x:v>
      </x:c>
    </x:row>
    <x:row r="2144" ht="23" customHeight="1">
      <x:c r="A2144" s="8" t="str">
        <x:v>Winchell Lake</x:v>
      </x:c>
      <x:c r="B2144" s="8" t="str">
        <x:v>6617</x:v>
      </x:c>
      <x:c r="C2144" s="17" t="n">
        <x:v>2026</x:v>
      </x:c>
      <x:c r="D2144" s="8" t="str">
        <x:v>RAINBOW TROUT</x:v>
      </x:c>
      <x:c r="E2144" s="13" t="n">
        <x:f>SUMIFS('Stocking details'!$F$6:$F$3307,'Stocking details'!$I$6:$I$3307,G2144)</x:f>
        <x:v>4000</x:v>
      </x:c>
      <x:c r="F2144" s="13" t="n">
        <x:f>COUNTIFS('Stocking details'!$I$6:$I$3307,G2144)</x:f>
        <x:v>1</x:v>
      </x:c>
      <x:c r="G2144" s="8" t="str">
        <x:f>B2144&amp;" / "&amp;C2144&amp;" / "&amp;D2144</x:f>
        <x:v>6617 / 2026 / RAINBOW TROUT</x:v>
      </x:c>
    </x:row>
    <x:row r="2145" ht="23" customHeight="1">
      <x:c r="A2145" s="8" t="str">
        <x:v>Winchell Lake</x:v>
      </x:c>
      <x:c r="B2145" s="8" t="str">
        <x:v>6617</x:v>
      </x:c>
      <x:c r="C2145" s="17" t="n">
        <x:v>2025</x:v>
      </x:c>
      <x:c r="D2145" s="8" t="str">
        <x:v>RAINBOW TROUT</x:v>
      </x:c>
      <x:c r="E2145" s="13" t="n">
        <x:f>SUMIFS('Stocking details'!$F$6:$F$3307,'Stocking details'!$I$6:$I$3307,G2145)</x:f>
        <x:v>8916</x:v>
      </x:c>
      <x:c r="F2145" s="13" t="n">
        <x:f>COUNTIFS('Stocking details'!$I$6:$I$3307,G2145)</x:f>
        <x:v>3</x:v>
      </x:c>
      <x:c r="G2145" s="8" t="str">
        <x:f>B2145&amp;" / "&amp;C2145&amp;" / "&amp;D2145</x:f>
        <x:v>6617 / 2025 / RAINBOW TROUT</x:v>
      </x:c>
    </x:row>
    <x:row r="2146" ht="23" customHeight="1">
      <x:c r="A2146" s="8" t="str">
        <x:v>Winchell Lake</x:v>
      </x:c>
      <x:c r="B2146" s="8" t="str">
        <x:v>6617</x:v>
      </x:c>
      <x:c r="C2146" s="17" t="n">
        <x:v>2024</x:v>
      </x:c>
      <x:c r="D2146" s="8" t="str">
        <x:v>RAINBOW TROUT</x:v>
      </x:c>
      <x:c r="E2146" s="13" t="n">
        <x:f>SUMIFS('Stocking details'!$F$6:$F$3307,'Stocking details'!$I$6:$I$3307,G2146)</x:f>
        <x:v>3000</x:v>
      </x:c>
      <x:c r="F2146" s="13" t="n">
        <x:f>COUNTIFS('Stocking details'!$I$6:$I$3307,G2146)</x:f>
        <x:v>1</x:v>
      </x:c>
      <x:c r="G2146" s="8" t="str">
        <x:f>B2146&amp;" / "&amp;C2146&amp;" / "&amp;D2146</x:f>
        <x:v>6617 / 2024 / RAINBOW TROUT</x:v>
      </x:c>
    </x:row>
    <x:row r="2147" ht="23" customHeight="1">
      <x:c r="A2147" s="8" t="str">
        <x:v>Winchell Lake</x:v>
      </x:c>
      <x:c r="B2147" s="8" t="str">
        <x:v>6617</x:v>
      </x:c>
      <x:c r="C2147" s="17" t="n">
        <x:v>2023</x:v>
      </x:c>
      <x:c r="D2147" s="8" t="str">
        <x:v>RAINBOW TROUT</x:v>
      </x:c>
      <x:c r="E2147" s="13" t="n">
        <x:f>SUMIFS('Stocking details'!$F$6:$F$3307,'Stocking details'!$I$6:$I$3307,G2147)</x:f>
        <x:v>4000</x:v>
      </x:c>
      <x:c r="F2147" s="13" t="n">
        <x:f>COUNTIFS('Stocking details'!$I$6:$I$3307,G2147)</x:f>
        <x:v>1</x:v>
      </x:c>
      <x:c r="G2147" s="8" t="str">
        <x:f>B2147&amp;" / "&amp;C2147&amp;" / "&amp;D2147</x:f>
        <x:v>6617 / 2023 / RAINBOW TROUT</x:v>
      </x:c>
    </x:row>
    <x:row r="2148" ht="23" customHeight="1">
      <x:c r="A2148" s="8" t="str">
        <x:v>Winchell Lake</x:v>
      </x:c>
      <x:c r="B2148" s="8" t="str">
        <x:v>6617</x:v>
      </x:c>
      <x:c r="C2148" s="17" t="n">
        <x:v>2022</x:v>
      </x:c>
      <x:c r="D2148" s="8" t="str">
        <x:v>RAINBOW TROUT</x:v>
      </x:c>
      <x:c r="E2148" s="13" t="n">
        <x:f>SUMIFS('Stocking details'!$F$6:$F$3307,'Stocking details'!$I$6:$I$3307,G2148)</x:f>
        <x:v>6000</x:v>
      </x:c>
      <x:c r="F2148" s="13" t="n">
        <x:f>COUNTIFS('Stocking details'!$I$6:$I$3307,G2148)</x:f>
        <x:v>1</x:v>
      </x:c>
      <x:c r="G2148" s="8" t="str">
        <x:f>B2148&amp;" / "&amp;C2148&amp;" / "&amp;D2148</x:f>
        <x:v>6617 / 2022 / RAINBOW TROUT</x:v>
      </x:c>
    </x:row>
    <x:row r="2149" ht="23" customHeight="1">
      <x:c r="A2149" s="8" t="str">
        <x:v>Winchell Lake</x:v>
      </x:c>
      <x:c r="B2149" s="8" t="str">
        <x:v>6617</x:v>
      </x:c>
      <x:c r="C2149" s="17" t="n">
        <x:v>2021</x:v>
      </x:c>
      <x:c r="D2149" s="8" t="str">
        <x:v>RAINBOW TROUT</x:v>
      </x:c>
      <x:c r="E2149" s="13" t="n">
        <x:f>SUMIFS('Stocking details'!$F$6:$F$3307,'Stocking details'!$I$6:$I$3307,G2149)</x:f>
        <x:v>6000</x:v>
      </x:c>
      <x:c r="F2149" s="13" t="n">
        <x:f>COUNTIFS('Stocking details'!$I$6:$I$3307,G2149)</x:f>
        <x:v>1</x:v>
      </x:c>
      <x:c r="G2149" s="8" t="str">
        <x:f>B2149&amp;" / "&amp;C2149&amp;" / "&amp;D2149</x:f>
        <x:v>6617 / 2021 / RAINBOW TROUT</x:v>
      </x:c>
    </x:row>
    <x:row r="2150" ht="23" customHeight="1">
      <x:c r="A2150" s="8" t="str">
        <x:v>Windsor Lake</x:v>
      </x:c>
      <x:c r="B2150" s="8" t="str">
        <x:v>6173</x:v>
      </x:c>
      <x:c r="C2150" s="17" t="n">
        <x:v>2026</x:v>
      </x:c>
      <x:c r="D2150" s="8" t="str">
        <x:v>RAINBOW TROUT</x:v>
      </x:c>
      <x:c r="E2150" s="13" t="n">
        <x:f>SUMIFS('Stocking details'!$F$6:$F$3307,'Stocking details'!$I$6:$I$3307,G2150)</x:f>
        <x:v>2000</x:v>
      </x:c>
      <x:c r="F2150" s="13" t="n">
        <x:f>COUNTIFS('Stocking details'!$I$6:$I$3307,G2150)</x:f>
        <x:v>1</x:v>
      </x:c>
      <x:c r="G2150" s="8" t="str">
        <x:f>B2150&amp;" / "&amp;C2150&amp;" / "&amp;D2150</x:f>
        <x:v>6173 / 2026 / RAINBOW TROUT</x:v>
      </x:c>
    </x:row>
    <x:row r="2151" ht="23" customHeight="1">
      <x:c r="A2151" s="8" t="str">
        <x:v>Windsor Lake</x:v>
      </x:c>
      <x:c r="B2151" s="8" t="str">
        <x:v>6173</x:v>
      </x:c>
      <x:c r="C2151" s="17" t="n">
        <x:v>2025</x:v>
      </x:c>
      <x:c r="D2151" s="8" t="str">
        <x:v>RAINBOW TROUT</x:v>
      </x:c>
      <x:c r="E2151" s="13" t="n">
        <x:f>SUMIFS('Stocking details'!$F$6:$F$3307,'Stocking details'!$I$6:$I$3307,G2151)</x:f>
        <x:v>3500</x:v>
      </x:c>
      <x:c r="F2151" s="13" t="n">
        <x:f>COUNTIFS('Stocking details'!$I$6:$I$3307,G2151)</x:f>
        <x:v>2</x:v>
      </x:c>
      <x:c r="G2151" s="8" t="str">
        <x:f>B2151&amp;" / "&amp;C2151&amp;" / "&amp;D2151</x:f>
        <x:v>6173 / 2025 / RAINBOW TROUT</x:v>
      </x:c>
    </x:row>
    <x:row r="2152" ht="23" customHeight="1">
      <x:c r="A2152" s="8" t="str">
        <x:v>Windsor Lake</x:v>
      </x:c>
      <x:c r="B2152" s="8" t="str">
        <x:v>6173</x:v>
      </x:c>
      <x:c r="C2152" s="17" t="n">
        <x:v>2024</x:v>
      </x:c>
      <x:c r="D2152" s="8" t="str">
        <x:v>RAINBOW TROUT</x:v>
      </x:c>
      <x:c r="E2152" s="13" t="n">
        <x:f>SUMIFS('Stocking details'!$F$6:$F$3307,'Stocking details'!$I$6:$I$3307,G2152)</x:f>
        <x:v>4732</x:v>
      </x:c>
      <x:c r="F2152" s="13" t="n">
        <x:f>COUNTIFS('Stocking details'!$I$6:$I$3307,G2152)</x:f>
        <x:v>1</x:v>
      </x:c>
      <x:c r="G2152" s="8" t="str">
        <x:f>B2152&amp;" / "&amp;C2152&amp;" / "&amp;D2152</x:f>
        <x:v>6173 / 2024 / RAINBOW TROUT</x:v>
      </x:c>
    </x:row>
    <x:row r="2153" ht="23" customHeight="1">
      <x:c r="A2153" s="8" t="str">
        <x:v>Windsor Lake</x:v>
      </x:c>
      <x:c r="B2153" s="8" t="str">
        <x:v>6173</x:v>
      </x:c>
      <x:c r="C2153" s="17" t="n">
        <x:v>2023</x:v>
      </x:c>
      <x:c r="D2153" s="8" t="str">
        <x:v>RAINBOW TROUT</x:v>
      </x:c>
      <x:c r="E2153" s="13" t="n">
        <x:f>SUMIFS('Stocking details'!$F$6:$F$3307,'Stocking details'!$I$6:$I$3307,G2153)</x:f>
        <x:v>4300</x:v>
      </x:c>
      <x:c r="F2153" s="13" t="n">
        <x:f>COUNTIFS('Stocking details'!$I$6:$I$3307,G2153)</x:f>
        <x:v>1</x:v>
      </x:c>
      <x:c r="G2153" s="8" t="str">
        <x:f>B2153&amp;" / "&amp;C2153&amp;" / "&amp;D2153</x:f>
        <x:v>6173 / 2023 / RAINBOW TROUT</x:v>
      </x:c>
    </x:row>
    <x:row r="2154" ht="23" customHeight="1">
      <x:c r="A2154" s="8" t="str">
        <x:v>Windsor Lake</x:v>
      </x:c>
      <x:c r="B2154" s="8" t="str">
        <x:v>6173</x:v>
      </x:c>
      <x:c r="C2154" s="17" t="n">
        <x:v>2021</x:v>
      </x:c>
      <x:c r="D2154" s="8" t="str">
        <x:v>RAINBOW TROUT</x:v>
      </x:c>
      <x:c r="E2154" s="13" t="n">
        <x:f>SUMIFS('Stocking details'!$F$6:$F$3307,'Stocking details'!$I$6:$I$3307,G2154)</x:f>
        <x:v>6500</x:v>
      </x:c>
      <x:c r="F2154" s="13" t="n">
        <x:f>COUNTIFS('Stocking details'!$I$6:$I$3307,G2154)</x:f>
        <x:v>3</x:v>
      </x:c>
      <x:c r="G2154" s="8" t="str">
        <x:f>B2154&amp;" / "&amp;C2154&amp;" / "&amp;D2154</x:f>
        <x:v>6173 / 2021 / RAINBOW TROUT</x:v>
      </x:c>
    </x:row>
    <x:row r="2155" ht="23" customHeight="1">
      <x:c r="A2155" s="8" t="str">
        <x:v>Wolf Creek Pond</x:v>
      </x:c>
      <x:c r="B2155" s="8" t="str">
        <x:v>6626</x:v>
      </x:c>
      <x:c r="C2155" s="17" t="n">
        <x:v>2026</x:v>
      </x:c>
      <x:c r="D2155" s="8" t="str">
        <x:v>RAINBOW TROUT</x:v>
      </x:c>
      <x:c r="E2155" s="13" t="n">
        <x:f>SUMIFS('Stocking details'!$F$6:$F$3307,'Stocking details'!$I$6:$I$3307,G2155)</x:f>
        <x:v>750</x:v>
      </x:c>
      <x:c r="F2155" s="13" t="n">
        <x:f>COUNTIFS('Stocking details'!$I$6:$I$3307,G2155)</x:f>
        <x:v>1</x:v>
      </x:c>
      <x:c r="G2155" s="8" t="str">
        <x:f>B2155&amp;" / "&amp;C2155&amp;" / "&amp;D2155</x:f>
        <x:v>6626 / 2026 / RAINBOW TROUT</x:v>
      </x:c>
    </x:row>
    <x:row r="2156" ht="23" customHeight="1">
      <x:c r="A2156" s="8" t="str">
        <x:v>Wolf Creek Pond</x:v>
      </x:c>
      <x:c r="B2156" s="8" t="str">
        <x:v>6626</x:v>
      </x:c>
      <x:c r="C2156" s="17" t="n">
        <x:v>2025</x:v>
      </x:c>
      <x:c r="D2156" s="8" t="str">
        <x:v>RAINBOW TROUT</x:v>
      </x:c>
      <x:c r="E2156" s="13" t="n">
        <x:f>SUMIFS('Stocking details'!$F$6:$F$3307,'Stocking details'!$I$6:$I$3307,G2156)</x:f>
        <x:v>750</x:v>
      </x:c>
      <x:c r="F2156" s="13" t="n">
        <x:f>COUNTIFS('Stocking details'!$I$6:$I$3307,G2156)</x:f>
        <x:v>1</x:v>
      </x:c>
      <x:c r="G2156" s="8" t="str">
        <x:f>B2156&amp;" / "&amp;C2156&amp;" / "&amp;D2156</x:f>
        <x:v>6626 / 2025 / RAINBOW TROUT</x:v>
      </x:c>
    </x:row>
    <x:row r="2157" ht="23" customHeight="1">
      <x:c r="A2157" s="8" t="str">
        <x:v>Wolf Creek Pond</x:v>
      </x:c>
      <x:c r="B2157" s="8" t="str">
        <x:v>6626</x:v>
      </x:c>
      <x:c r="C2157" s="17" t="n">
        <x:v>2024</x:v>
      </x:c>
      <x:c r="D2157" s="8" t="str">
        <x:v>RAINBOW TROUT</x:v>
      </x:c>
      <x:c r="E2157" s="13" t="n">
        <x:f>SUMIFS('Stocking details'!$F$6:$F$3307,'Stocking details'!$I$6:$I$3307,G2157)</x:f>
        <x:v>375</x:v>
      </x:c>
      <x:c r="F2157" s="13" t="n">
        <x:f>COUNTIFS('Stocking details'!$I$6:$I$3307,G2157)</x:f>
        <x:v>1</x:v>
      </x:c>
      <x:c r="G2157" s="8" t="str">
        <x:f>B2157&amp;" / "&amp;C2157&amp;" / "&amp;D2157</x:f>
        <x:v>6626 / 2024 / RAINBOW TROUT</x:v>
      </x:c>
    </x:row>
    <x:row r="2158" ht="23" customHeight="1">
      <x:c r="A2158" s="8" t="str">
        <x:v>Wolf Creek Pond</x:v>
      </x:c>
      <x:c r="B2158" s="8" t="str">
        <x:v>6626</x:v>
      </x:c>
      <x:c r="C2158" s="17" t="n">
        <x:v>2023</x:v>
      </x:c>
      <x:c r="D2158" s="8" t="str">
        <x:v>RAINBOW TROUT</x:v>
      </x:c>
      <x:c r="E2158" s="13" t="n">
        <x:f>SUMIFS('Stocking details'!$F$6:$F$3307,'Stocking details'!$I$6:$I$3307,G2158)</x:f>
        <x:v>377</x:v>
      </x:c>
      <x:c r="F2158" s="13" t="n">
        <x:f>COUNTIFS('Stocking details'!$I$6:$I$3307,G2158)</x:f>
        <x:v>1</x:v>
      </x:c>
      <x:c r="G2158" s="8" t="str">
        <x:f>B2158&amp;" / "&amp;C2158&amp;" / "&amp;D2158</x:f>
        <x:v>6626 / 2023 / RAINBOW TROUT</x:v>
      </x:c>
    </x:row>
    <x:row r="2159" ht="23" customHeight="1">
      <x:c r="A2159" s="8" t="str">
        <x:v>Wolf Creek Pond</x:v>
      </x:c>
      <x:c r="B2159" s="8" t="str">
        <x:v>6626</x:v>
      </x:c>
      <x:c r="C2159" s="17" t="n">
        <x:v>2022</x:v>
      </x:c>
      <x:c r="D2159" s="8" t="str">
        <x:v>RAINBOW TROUT</x:v>
      </x:c>
      <x:c r="E2159" s="13" t="n">
        <x:f>SUMIFS('Stocking details'!$F$6:$F$3307,'Stocking details'!$I$6:$I$3307,G2159)</x:f>
        <x:v>750</x:v>
      </x:c>
      <x:c r="F2159" s="13" t="n">
        <x:f>COUNTIFS('Stocking details'!$I$6:$I$3307,G2159)</x:f>
        <x:v>1</x:v>
      </x:c>
      <x:c r="G2159" s="8" t="str">
        <x:f>B2159&amp;" / "&amp;C2159&amp;" / "&amp;D2159</x:f>
        <x:v>6626 / 2022 / RAINBOW TROUT</x:v>
      </x:c>
    </x:row>
    <x:row r="2160" ht="23" customHeight="1">
      <x:c r="A2160" s="8" t="str">
        <x:v>Wolf Creek Pond</x:v>
      </x:c>
      <x:c r="B2160" s="8" t="str">
        <x:v>6626</x:v>
      </x:c>
      <x:c r="C2160" s="17" t="n">
        <x:v>2021</x:v>
      </x:c>
      <x:c r="D2160" s="8" t="str">
        <x:v>RAINBOW TROUT</x:v>
      </x:c>
      <x:c r="E2160" s="13" t="n">
        <x:f>SUMIFS('Stocking details'!$F$6:$F$3307,'Stocking details'!$I$6:$I$3307,G2160)</x:f>
        <x:v>750</x:v>
      </x:c>
      <x:c r="F2160" s="13" t="n">
        <x:f>COUNTIFS('Stocking details'!$I$6:$I$3307,G2160)</x:f>
        <x:v>1</x:v>
      </x:c>
      <x:c r="G2160" s="8" t="str">
        <x:f>B2160&amp;" / "&amp;C2160&amp;" / "&amp;D2160</x:f>
        <x:v>6626 / 2021 / RAINBOW TROUT</x:v>
      </x:c>
    </x:row>
    <x:row r="2161" ht="23" customHeight="1">
      <x:c r="A2161" s="8" t="str">
        <x:v>Yellowhead Lake</x:v>
      </x:c>
      <x:c r="B2161" s="8" t="str">
        <x:v>6601</x:v>
      </x:c>
      <x:c r="C2161" s="17" t="n">
        <x:v>2026</x:v>
      </x:c>
      <x:c r="D2161" s="8" t="str">
        <x:v>BROOK TROUT</x:v>
      </x:c>
      <x:c r="E2161" s="13" t="n">
        <x:f>SUMIFS('Stocking details'!$F$6:$F$3307,'Stocking details'!$I$6:$I$3307,G2161)</x:f>
        <x:v>4000</x:v>
      </x:c>
      <x:c r="F2161" s="13" t="n">
        <x:f>COUNTIFS('Stocking details'!$I$6:$I$3307,G2161)</x:f>
        <x:v>1</x:v>
      </x:c>
      <x:c r="G2161" s="8" t="str">
        <x:f>B2161&amp;" / "&amp;C2161&amp;" / "&amp;D2161</x:f>
        <x:v>6601 / 2026 / BROOK TROUT</x:v>
      </x:c>
    </x:row>
    <x:row r="2162" ht="23" customHeight="1">
      <x:c r="A2162" s="8" t="str">
        <x:v>Yellowhead Lake</x:v>
      </x:c>
      <x:c r="B2162" s="8" t="str">
        <x:v>6601</x:v>
      </x:c>
      <x:c r="C2162" s="17" t="n">
        <x:v>2025</x:v>
      </x:c>
      <x:c r="D2162" s="8" t="str">
        <x:v>BROOK TROUT</x:v>
      </x:c>
      <x:c r="E2162" s="13" t="n">
        <x:f>SUMIFS('Stocking details'!$F$6:$F$3307,'Stocking details'!$I$6:$I$3307,G2162)</x:f>
        <x:v>4000</x:v>
      </x:c>
      <x:c r="F2162" s="13" t="n">
        <x:f>COUNTIFS('Stocking details'!$I$6:$I$3307,G2162)</x:f>
        <x:v>1</x:v>
      </x:c>
      <x:c r="G2162" s="8" t="str">
        <x:f>B2162&amp;" / "&amp;C2162&amp;" / "&amp;D2162</x:f>
        <x:v>6601 / 2025 / BROOK TROUT</x:v>
      </x:c>
    </x:row>
    <x:row r="2163" ht="23" customHeight="1">
      <x:c r="A2163" s="8" t="str">
        <x:v>Yellowhead Lake</x:v>
      </x:c>
      <x:c r="B2163" s="8" t="str">
        <x:v>6601</x:v>
      </x:c>
      <x:c r="C2163" s="17" t="n">
        <x:v>2024</x:v>
      </x:c>
      <x:c r="D2163" s="8" t="str">
        <x:v>BROOK TROUT</x:v>
      </x:c>
      <x:c r="E2163" s="13" t="n">
        <x:f>SUMIFS('Stocking details'!$F$6:$F$3307,'Stocking details'!$I$6:$I$3307,G2163)</x:f>
        <x:v>2000</x:v>
      </x:c>
      <x:c r="F2163" s="13" t="n">
        <x:f>COUNTIFS('Stocking details'!$I$6:$I$3307,G2163)</x:f>
        <x:v>1</x:v>
      </x:c>
      <x:c r="G2163" s="8" t="str">
        <x:f>B2163&amp;" / "&amp;C2163&amp;" / "&amp;D2163</x:f>
        <x:v>6601 / 2024 / BROOK TROUT</x:v>
      </x:c>
    </x:row>
    <x:row r="2164" ht="23" customHeight="1">
      <x:c r="A2164" s="8" t="str">
        <x:v>Yellowhead Lake</x:v>
      </x:c>
      <x:c r="B2164" s="8" t="str">
        <x:v>6601</x:v>
      </x:c>
      <x:c r="C2164" s="17" t="n">
        <x:v>2023</x:v>
      </x:c>
      <x:c r="D2164" s="8" t="str">
        <x:v>BROOK TROUT</x:v>
      </x:c>
      <x:c r="E2164" s="13" t="n">
        <x:f>SUMIFS('Stocking details'!$F$6:$F$3307,'Stocking details'!$I$6:$I$3307,G2164)</x:f>
        <x:v>4000</x:v>
      </x:c>
      <x:c r="F2164" s="13" t="n">
        <x:f>COUNTIFS('Stocking details'!$I$6:$I$3307,G2164)</x:f>
        <x:v>1</x:v>
      </x:c>
      <x:c r="G2164" s="8" t="str">
        <x:f>B2164&amp;" / "&amp;C2164&amp;" / "&amp;D2164</x:f>
        <x:v>6601 / 2023 / BROOK TROUT</x:v>
      </x:c>
    </x:row>
    <x:row r="2165" ht="23" customHeight="1">
      <x:c r="A2165" s="8" t="str">
        <x:v>Yellowhead Lake</x:v>
      </x:c>
      <x:c r="B2165" s="8" t="str">
        <x:v>6601</x:v>
      </x:c>
      <x:c r="C2165" s="17" t="n">
        <x:v>2022</x:v>
      </x:c>
      <x:c r="D2165" s="8" t="str">
        <x:v>BROOK TROUT</x:v>
      </x:c>
      <x:c r="E2165" s="13" t="n">
        <x:f>SUMIFS('Stocking details'!$F$6:$F$3307,'Stocking details'!$I$6:$I$3307,G2165)</x:f>
        <x:v>4000</x:v>
      </x:c>
      <x:c r="F2165" s="13" t="n">
        <x:f>COUNTIFS('Stocking details'!$I$6:$I$3307,G2165)</x:f>
        <x:v>1</x:v>
      </x:c>
      <x:c r="G2165" s="8" t="str">
        <x:f>B2165&amp;" / "&amp;C2165&amp;" / "&amp;D2165</x:f>
        <x:v>6601 / 2022 / BROOK TROUT</x:v>
      </x:c>
    </x:row>
    <x:row r="2166" ht="23" customHeight="1">
      <x:c r="A2166" s="8" t="str">
        <x:v>Yellowhead Lake</x:v>
      </x:c>
      <x:c r="B2166" s="8" t="str">
        <x:v>6601</x:v>
      </x:c>
      <x:c r="C2166" s="17" t="n">
        <x:v>2021</x:v>
      </x:c>
      <x:c r="D2166" s="8" t="str">
        <x:v>BROOK TROUT</x:v>
      </x:c>
      <x:c r="E2166" s="13" t="n">
        <x:f>SUMIFS('Stocking details'!$F$6:$F$3307,'Stocking details'!$I$6:$I$3307,G2166)</x:f>
        <x:v>4000</x:v>
      </x:c>
      <x:c r="F2166" s="13" t="n">
        <x:f>COUNTIFS('Stocking details'!$I$6:$I$3307,G2166)</x:f>
        <x:v>1</x:v>
      </x:c>
      <x:c r="G2166" s="8" t="str">
        <x:f>B2166&amp;" / "&amp;C2166&amp;" / "&amp;D2166</x:f>
        <x:v>6601 / 2021 / BROOK TROUT</x:v>
      </x:c>
    </x:row>
    <x:row r="2167" ht="23" customHeight="1">
      <x:c r="A2167" s="8" t="str">
        <x:v>Zama Community Pond</x:v>
      </x:c>
      <x:c r="B2167" s="8" t="str">
        <x:v>6598</x:v>
      </x:c>
      <x:c r="C2167" s="17" t="n">
        <x:v>2025</x:v>
      </x:c>
      <x:c r="D2167" s="8" t="str">
        <x:v>RAINBOW TROUT</x:v>
      </x:c>
      <x:c r="E2167" s="13" t="n">
        <x:f>SUMIFS('Stocking details'!$F$6:$F$3307,'Stocking details'!$I$6:$I$3307,G2167)</x:f>
        <x:v>500</x:v>
      </x:c>
      <x:c r="F2167" s="13" t="n">
        <x:f>COUNTIFS('Stocking details'!$I$6:$I$3307,G2167)</x:f>
        <x:v>1</x:v>
      </x:c>
      <x:c r="G2167" s="8" t="str">
        <x:f>B2167&amp;" / "&amp;C2167&amp;" / "&amp;D2167</x:f>
        <x:v>6598 / 2025 / RAINBOW TROUT</x:v>
      </x:c>
    </x:row>
    <x:row r="2168" ht="23" customHeight="1">
      <x:c r="A2168" s="8" t="str">
        <x:v>Zama Community Pond</x:v>
      </x:c>
      <x:c r="B2168" s="8" t="str">
        <x:v>6598</x:v>
      </x:c>
      <x:c r="C2168" s="17" t="n">
        <x:v>2023</x:v>
      </x:c>
      <x:c r="D2168" s="8" t="str">
        <x:v>RAINBOW TROUT</x:v>
      </x:c>
      <x:c r="E2168" s="13" t="n">
        <x:f>SUMIFS('Stocking details'!$F$6:$F$3307,'Stocking details'!$I$6:$I$3307,G2168)</x:f>
        <x:v>251</x:v>
      </x:c>
      <x:c r="F2168" s="13" t="n">
        <x:f>COUNTIFS('Stocking details'!$I$6:$I$3307,G2168)</x:f>
        <x:v>1</x:v>
      </x:c>
      <x:c r="G2168" s="8" t="str">
        <x:f>B2168&amp;" / "&amp;C2168&amp;" / "&amp;D2168</x:f>
        <x:v>6598 / 2023 / RAINBOW TROUT</x:v>
      </x:c>
    </x:row>
    <x:row r="2169" ht="23" customHeight="1">
      <x:c r="A2169" s="8" t="str">
        <x:v>Zama Community Pond</x:v>
      </x:c>
      <x:c r="B2169" s="8" t="str">
        <x:v>6598</x:v>
      </x:c>
      <x:c r="C2169" s="17" t="n">
        <x:v>2021</x:v>
      </x:c>
      <x:c r="D2169" s="8" t="str">
        <x:v>RAINBOW TROUT</x:v>
      </x:c>
      <x:c r="E2169" s="13" t="n">
        <x:f>SUMIFS('Stocking details'!$F$6:$F$3307,'Stocking details'!$I$6:$I$3307,G2169)</x:f>
        <x:v>500</x:v>
      </x:c>
      <x:c r="F2169" s="13" t="n">
        <x:f>COUNTIFS('Stocking details'!$I$6:$I$3307,G2169)</x:f>
        <x:v>1</x:v>
      </x:c>
      <x:c r="G2169" s="8" t="str">
        <x:f>B2169&amp;" / "&amp;C2169&amp;" / "&amp;D2169</x:f>
        <x:v>6598 / 2021 / RAINBOW TROUT</x:v>
      </x:c>
    </x:row>
  </x:sheetData>
  <x:pageMargins left="0.7" right="0.7" top="0.75" bottom="0.75" header="0.3" footer="0.3"/>
  <x:tableParts count="1">
    <x:tablePart xmlns:r="http://schemas.openxmlformats.org/officeDocument/2006/relationships" r:id="R7b2ec965c37043a2"/>
  </x:tableParts>
</x:worksheet>
</file>

<file path=xl/worksheets/sheet3.xml><?xml version="1.0" encoding="utf-8"?>
<x:worksheet xmlns:x="http://schemas.openxmlformats.org/spreadsheetml/2006/main">
  <x:sheetPr>
    <x:tabColor rgb="FF7595AA"/>
  </x:sheetPr>
  <x:sheetViews>
    <x:sheetView showGridLines="0" workbookViewId="0">
      <x:pane ySplit="5" topLeftCell="A6" activePane="bottomLeft" state="frozen"/>
    </x:sheetView>
  </x:sheetViews>
  <x:sheetFormatPr defaultRowHeight="15"/>
  <x:cols>
    <x:col min="1" max="1" width="35" hidden="0" customWidth="1"/>
    <x:col min="2" max="2" width="12" hidden="0" customWidth="1"/>
    <x:col min="3" max="3" width="10" hidden="0" customWidth="1"/>
    <x:col min="4" max="4" width="17" hidden="0" customWidth="1"/>
    <x:col min="5" max="5" width="24" hidden="0" customWidth="1"/>
    <x:col min="6" max="6" width="17" hidden="0" customWidth="1"/>
    <x:col min="7" max="7" width="18" hidden="0" customWidth="1"/>
    <x:col min="8" max="8" width="18" hidden="0" customWidth="1"/>
    <x:col min="9" max="9" width="38" hidden="0" customWidth="1"/>
  </x:cols>
  <x:sheetData>
    <x:row r="1">
      <x:c r="A1" s="1"/>
      <x:c r="B1" s="1"/>
      <x:c r="C1" s="1"/>
      <x:c r="D1" s="1"/>
      <x:c r="E1" s="1"/>
      <x:c r="F1" s="1"/>
      <x:c r="G1" s="1"/>
      <x:c r="H1" s="1"/>
      <x:c r="I1" s="1"/>
    </x:row>
    <x:row r="2">
      <x:c r="A2" s="2" t="str">
        <x:v>Individual stocking records</x:v>
      </x:c>
      <x:c r="B2" s="1"/>
      <x:c r="C2" s="1"/>
      <x:c r="D2" s="1"/>
      <x:c r="E2" s="1"/>
      <x:c r="F2" s="1"/>
      <x:c r="G2" s="1"/>
      <x:c r="H2" s="1"/>
      <x:c r="I2" s="1"/>
    </x:row>
    <x:row r="3">
      <x:c r="A3" s="1" t="str">
        <x:v>3,302 source records | All dates retained as published, including similar entries.</x:v>
      </x:c>
      <x:c r="B3" s="1"/>
      <x:c r="C3" s="1"/>
      <x:c r="D3" s="1"/>
      <x:c r="E3" s="1"/>
      <x:c r="F3" s="1"/>
      <x:c r="G3" s="1"/>
      <x:c r="H3" s="1"/>
      <x:c r="I3" s="1"/>
    </x:row>
    <x:row r="4">
      <x:c r="A4" s="1"/>
      <x:c r="B4" s="1"/>
      <x:c r="C4" s="1"/>
      <x:c r="D4" s="1"/>
      <x:c r="E4" s="1"/>
      <x:c r="F4" s="1"/>
      <x:c r="G4" s="1"/>
      <x:c r="H4" s="1"/>
      <x:c r="I4" s="1"/>
    </x:row>
    <x:row r="5" ht="32" customHeight="1">
      <x:c r="A5" s="7" t="str">
        <x:v>Waterbody name</x:v>
      </x:c>
      <x:c r="B5" s="7" t="str">
        <x:v>Lake ID</x:v>
      </x:c>
      <x:c r="C5" s="7" t="str">
        <x:v>Year</x:v>
      </x:c>
      <x:c r="D5" s="7" t="str">
        <x:v>Stocking date</x:v>
      </x:c>
      <x:c r="E5" s="7" t="str">
        <x:v>Species</x:v>
      </x:c>
      <x:c r="F5" s="7" t="str">
        <x:v>Fish stocked</x:v>
      </x:c>
      <x:c r="G5" s="7" t="str">
        <x:v>Avg length (cm)</x:v>
      </x:c>
      <x:c r="H5" s="7" t="str">
        <x:v>Avg weight (g)</x:v>
      </x:c>
      <x:c r="I5" s="7" t="str">
        <x:v>Lake-year-species</x:v>
      </x:c>
    </x:row>
    <x:row r="6" ht="23" customHeight="1">
      <x:c r="A6" s="8" t="str">
        <x:v>Acadia Valley Reservoir</x:v>
      </x:c>
      <x:c r="B6" s="8" t="str">
        <x:v>6900</x:v>
      </x:c>
      <x:c r="C6" s="17" t="n">
        <x:v>2026</x:v>
      </x:c>
      <x:c r="D6" s="18" t="n">
        <x:v>46133</x:v>
      </x:c>
      <x:c r="E6" s="8" t="str">
        <x:v>BROOK TROUT</x:v>
      </x:c>
      <x:c r="F6" s="13" t="n">
        <x:v>2000</x:v>
      </x:c>
      <x:c r="G6" s="9" t="n">
        <x:v>18.8</x:v>
      </x:c>
      <x:c r="H6" s="9" t="n">
        <x:v>72</x:v>
      </x:c>
      <x:c r="I6" s="8" t="str">
        <x:f>B6&amp;" / "&amp;C6&amp;" / "&amp;E6</x:f>
        <x:v>6900 / 2026 / BROOK TROUT</x:v>
      </x:c>
    </x:row>
    <x:row r="7" ht="23" customHeight="1">
      <x:c r="A7" s="8" t="str">
        <x:v>Acadia Valley Reservoir</x:v>
      </x:c>
      <x:c r="B7" s="8" t="str">
        <x:v>6900</x:v>
      </x:c>
      <x:c r="C7" s="17" t="n">
        <x:v>2026</x:v>
      </x:c>
      <x:c r="D7" s="18" t="n">
        <x:v>46133</x:v>
      </x:c>
      <x:c r="E7" s="8" t="str">
        <x:v>RAINBOW TROUT</x:v>
      </x:c>
      <x:c r="F7" s="13" t="n">
        <x:v>5000</x:v>
      </x:c>
      <x:c r="G7" s="9" t="n">
        <x:v>20.5</x:v>
      </x:c>
      <x:c r="H7" s="9" t="n">
        <x:v>92.9</x:v>
      </x:c>
      <x:c r="I7" s="8" t="str">
        <x:f>B7&amp;" / "&amp;C7&amp;" / "&amp;E7</x:f>
        <x:v>6900 / 2026 / RAINBOW TROUT</x:v>
      </x:c>
    </x:row>
    <x:row r="8" ht="23" customHeight="1">
      <x:c r="A8" s="8" t="str">
        <x:v>Acadia Valley Reservoir</x:v>
      </x:c>
      <x:c r="B8" s="8" t="str">
        <x:v>6900</x:v>
      </x:c>
      <x:c r="C8" s="17" t="n">
        <x:v>2025</x:v>
      </x:c>
      <x:c r="D8" s="18" t="n">
        <x:v>45770</x:v>
      </x:c>
      <x:c r="E8" s="8" t="str">
        <x:v>BROOK TROUT</x:v>
      </x:c>
      <x:c r="F8" s="13" t="n">
        <x:v>2000</x:v>
      </x:c>
      <x:c r="G8" s="9" t="n">
        <x:v>19.5</x:v>
      </x:c>
      <x:c r="H8" s="9" t="n">
        <x:v>80</x:v>
      </x:c>
      <x:c r="I8" s="8" t="str">
        <x:f>B8&amp;" / "&amp;C8&amp;" / "&amp;E8</x:f>
        <x:v>6900 / 2025 / BROOK TROUT</x:v>
      </x:c>
    </x:row>
    <x:row r="9" ht="23" customHeight="1">
      <x:c r="A9" s="8" t="str">
        <x:v>Acadia Valley Reservoir</x:v>
      </x:c>
      <x:c r="B9" s="8" t="str">
        <x:v>6900</x:v>
      </x:c>
      <x:c r="C9" s="17" t="n">
        <x:v>2025</x:v>
      </x:c>
      <x:c r="D9" s="18" t="n">
        <x:v>45769</x:v>
      </x:c>
      <x:c r="E9" s="8" t="str">
        <x:v>BROOK TROUT</x:v>
      </x:c>
      <x:c r="F9" s="13" t="n">
        <x:v>2000</x:v>
      </x:c>
      <x:c r="G9" s="9" t="n">
        <x:v>19.5</x:v>
      </x:c>
      <x:c r="H9" s="9" t="n">
        <x:v>80</x:v>
      </x:c>
      <x:c r="I9" s="8" t="str">
        <x:f>B9&amp;" / "&amp;C9&amp;" / "&amp;E9</x:f>
        <x:v>6900 / 2025 / BROOK TROUT</x:v>
      </x:c>
    </x:row>
    <x:row r="10" ht="23" customHeight="1">
      <x:c r="A10" s="8" t="str">
        <x:v>Acadia Valley Reservoir</x:v>
      </x:c>
      <x:c r="B10" s="8" t="str">
        <x:v>6900</x:v>
      </x:c>
      <x:c r="C10" s="17" t="n">
        <x:v>2025</x:v>
      </x:c>
      <x:c r="D10" s="18" t="n">
        <x:v>45770</x:v>
      </x:c>
      <x:c r="E10" s="8" t="str">
        <x:v>RAINBOW TROUT</x:v>
      </x:c>
      <x:c r="F10" s="13" t="n">
        <x:v>5000</x:v>
      </x:c>
      <x:c r="G10" s="9" t="n">
        <x:v>20.7</x:v>
      </x:c>
      <x:c r="H10" s="9" t="n">
        <x:v>96.5</x:v>
      </x:c>
      <x:c r="I10" s="8" t="str">
        <x:f>B10&amp;" / "&amp;C10&amp;" / "&amp;E10</x:f>
        <x:v>6900 / 2025 / RAINBOW TROUT</x:v>
      </x:c>
    </x:row>
    <x:row r="11" ht="23" customHeight="1">
      <x:c r="A11" s="8" t="str">
        <x:v>Acadia Valley Reservoir</x:v>
      </x:c>
      <x:c r="B11" s="8" t="str">
        <x:v>6900</x:v>
      </x:c>
      <x:c r="C11" s="17" t="n">
        <x:v>2025</x:v>
      </x:c>
      <x:c r="D11" s="18" t="n">
        <x:v>45769</x:v>
      </x:c>
      <x:c r="E11" s="8" t="str">
        <x:v>RAINBOW TROUT</x:v>
      </x:c>
      <x:c r="F11" s="13" t="n">
        <x:v>5000</x:v>
      </x:c>
      <x:c r="G11" s="9" t="n">
        <x:v>20.7</x:v>
      </x:c>
      <x:c r="H11" s="9" t="n">
        <x:v>96.5</x:v>
      </x:c>
      <x:c r="I11" s="8" t="str">
        <x:f>B11&amp;" / "&amp;C11&amp;" / "&amp;E11</x:f>
        <x:v>6900 / 2025 / RAINBOW TROUT</x:v>
      </x:c>
    </x:row>
    <x:row r="12" ht="23" customHeight="1">
      <x:c r="A12" s="8" t="str">
        <x:v>Acadia Valley Reservoir</x:v>
      </x:c>
      <x:c r="B12" s="8" t="str">
        <x:v>6900</x:v>
      </x:c>
      <x:c r="C12" s="17" t="n">
        <x:v>2024</x:v>
      </x:c>
      <x:c r="D12" s="18" t="n">
        <x:v>45405</x:v>
      </x:c>
      <x:c r="E12" s="8" t="str">
        <x:v>BROOK TROUT</x:v>
      </x:c>
      <x:c r="F12" s="13" t="n">
        <x:v>2000</x:v>
      </x:c>
      <x:c r="G12" s="9" t="n">
        <x:v>18.5</x:v>
      </x:c>
      <x:c r="H12" s="9" t="n">
        <x:v>70.1</x:v>
      </x:c>
      <x:c r="I12" s="8" t="str">
        <x:f>B12&amp;" / "&amp;C12&amp;" / "&amp;E12</x:f>
        <x:v>6900 / 2024 / BROOK TROUT</x:v>
      </x:c>
    </x:row>
    <x:row r="13" ht="23" customHeight="1">
      <x:c r="A13" s="8" t="str">
        <x:v>Acadia Valley Reservoir</x:v>
      </x:c>
      <x:c r="B13" s="8" t="str">
        <x:v>6900</x:v>
      </x:c>
      <x:c r="C13" s="17" t="n">
        <x:v>2024</x:v>
      </x:c>
      <x:c r="D13" s="18" t="n">
        <x:v>45405</x:v>
      </x:c>
      <x:c r="E13" s="8" t="str">
        <x:v>RAINBOW TROUT</x:v>
      </x:c>
      <x:c r="F13" s="13" t="n">
        <x:v>2000</x:v>
      </x:c>
      <x:c r="G13" s="9" t="n">
        <x:v>20.2</x:v>
      </x:c>
      <x:c r="H13" s="9" t="n">
        <x:v>88.4</x:v>
      </x:c>
      <x:c r="I13" s="8" t="str">
        <x:f>B13&amp;" / "&amp;C13&amp;" / "&amp;E13</x:f>
        <x:v>6900 / 2024 / RAINBOW TROUT</x:v>
      </x:c>
    </x:row>
    <x:row r="14" ht="23" customHeight="1">
      <x:c r="A14" s="8" t="str">
        <x:v>Acadia Valley Reservoir</x:v>
      </x:c>
      <x:c r="B14" s="8" t="str">
        <x:v>6900</x:v>
      </x:c>
      <x:c r="C14" s="17" t="n">
        <x:v>2023</x:v>
      </x:c>
      <x:c r="D14" s="18" t="n">
        <x:v>45056</x:v>
      </x:c>
      <x:c r="E14" s="8" t="str">
        <x:v>BROOK TROUT</x:v>
      </x:c>
      <x:c r="F14" s="13" t="n">
        <x:v>2000</x:v>
      </x:c>
      <x:c r="G14" s="9" t="n">
        <x:v>20.7</x:v>
      </x:c>
      <x:c r="H14" s="9" t="n">
        <x:v>90.3</x:v>
      </x:c>
      <x:c r="I14" s="8" t="str">
        <x:f>B14&amp;" / "&amp;C14&amp;" / "&amp;E14</x:f>
        <x:v>6900 / 2023 / BROOK TROUT</x:v>
      </x:c>
    </x:row>
    <x:row r="15" ht="23" customHeight="1">
      <x:c r="A15" s="8" t="str">
        <x:v>Acadia Valley Reservoir</x:v>
      </x:c>
      <x:c r="B15" s="8" t="str">
        <x:v>6900</x:v>
      </x:c>
      <x:c r="C15" s="17" t="n">
        <x:v>2023</x:v>
      </x:c>
      <x:c r="D15" s="18" t="n">
        <x:v>45050</x:v>
      </x:c>
      <x:c r="E15" s="8" t="str">
        <x:v>RAINBOW TROUT</x:v>
      </x:c>
      <x:c r="F15" s="13" t="n">
        <x:v>1995</x:v>
      </x:c>
      <x:c r="G15" s="9" t="n">
        <x:v>20.2</x:v>
      </x:c>
      <x:c r="H15" s="9" t="n">
        <x:v>88.4</x:v>
      </x:c>
      <x:c r="I15" s="8" t="str">
        <x:f>B15&amp;" / "&amp;C15&amp;" / "&amp;E15</x:f>
        <x:v>6900 / 2023 / RAINBOW TROUT</x:v>
      </x:c>
    </x:row>
    <x:row r="16" ht="23" customHeight="1">
      <x:c r="A16" s="8" t="str">
        <x:v>Acadia Valley Reservoir</x:v>
      </x:c>
      <x:c r="B16" s="8" t="str">
        <x:v>6900</x:v>
      </x:c>
      <x:c r="C16" s="17" t="n">
        <x:v>2022</x:v>
      </x:c>
      <x:c r="D16" s="18" t="n">
        <x:v>44816</x:v>
      </x:c>
      <x:c r="E16" s="8" t="str">
        <x:v>BROOK TROUT</x:v>
      </x:c>
      <x:c r="F16" s="13" t="n">
        <x:v>2000</x:v>
      </x:c>
      <x:c r="G16" s="9" t="n">
        <x:v>10.7</x:v>
      </x:c>
      <x:c r="H16" s="9" t="n">
        <x:v>13.3</x:v>
      </x:c>
      <x:c r="I16" s="8" t="str">
        <x:f>B16&amp;" / "&amp;C16&amp;" / "&amp;E16</x:f>
        <x:v>6900 / 2022 / BROOK TROUT</x:v>
      </x:c>
    </x:row>
    <x:row r="17" ht="23" customHeight="1">
      <x:c r="A17" s="8" t="str">
        <x:v>Acadia Valley Reservoir</x:v>
      </x:c>
      <x:c r="B17" s="8" t="str">
        <x:v>6900</x:v>
      </x:c>
      <x:c r="C17" s="17" t="n">
        <x:v>2022</x:v>
      </x:c>
      <x:c r="D17" s="18" t="n">
        <x:v>44679</x:v>
      </x:c>
      <x:c r="E17" s="8" t="str">
        <x:v>BROOK TROUT</x:v>
      </x:c>
      <x:c r="F17" s="13" t="n">
        <x:v>2000</x:v>
      </x:c>
      <x:c r="G17" s="9" t="n">
        <x:v>19.2</x:v>
      </x:c>
      <x:c r="H17" s="9" t="n">
        <x:v>78.2</x:v>
      </x:c>
      <x:c r="I17" s="8" t="str">
        <x:f>B17&amp;" / "&amp;C17&amp;" / "&amp;E17</x:f>
        <x:v>6900 / 2022 / BROOK TROUT</x:v>
      </x:c>
    </x:row>
    <x:row r="18" ht="23" customHeight="1">
      <x:c r="A18" s="8" t="str">
        <x:v>Acadia Valley Reservoir</x:v>
      </x:c>
      <x:c r="B18" s="8" t="str">
        <x:v>6900</x:v>
      </x:c>
      <x:c r="C18" s="17" t="n">
        <x:v>2022</x:v>
      </x:c>
      <x:c r="D18" s="18" t="n">
        <x:v>44679</x:v>
      </x:c>
      <x:c r="E18" s="8" t="str">
        <x:v>RAINBOW TROUT</x:v>
      </x:c>
      <x:c r="F18" s="13" t="n">
        <x:v>5000</x:v>
      </x:c>
      <x:c r="G18" s="9" t="n">
        <x:v>20.9</x:v>
      </x:c>
      <x:c r="H18" s="9" t="n">
        <x:v>100.1</x:v>
      </x:c>
      <x:c r="I18" s="8" t="str">
        <x:f>B18&amp;" / "&amp;C18&amp;" / "&amp;E18</x:f>
        <x:v>6900 / 2022 / RAINBOW TROUT</x:v>
      </x:c>
    </x:row>
    <x:row r="19" ht="23" customHeight="1">
      <x:c r="A19" s="8" t="str">
        <x:v>Acadia Valley Reservoir</x:v>
      </x:c>
      <x:c r="B19" s="8" t="str">
        <x:v>6900</x:v>
      </x:c>
      <x:c r="C19" s="17" t="n">
        <x:v>2021</x:v>
      </x:c>
      <x:c r="D19" s="18" t="n">
        <x:v>44309</x:v>
      </x:c>
      <x:c r="E19" s="8" t="str">
        <x:v>BROOK TROUT</x:v>
      </x:c>
      <x:c r="F19" s="13" t="n">
        <x:v>2000</x:v>
      </x:c>
      <x:c r="G19" s="9" t="n">
        <x:v>18.4</x:v>
      </x:c>
      <x:c r="H19" s="9" t="n">
        <x:v>68.8</x:v>
      </x:c>
      <x:c r="I19" s="8" t="str">
        <x:f>B19&amp;" / "&amp;C19&amp;" / "&amp;E19</x:f>
        <x:v>6900 / 2021 / BROOK TROUT</x:v>
      </x:c>
    </x:row>
    <x:row r="20" ht="23" customHeight="1">
      <x:c r="A20" s="8" t="str">
        <x:v>Acadia Valley Reservoir</x:v>
      </x:c>
      <x:c r="B20" s="8" t="str">
        <x:v>6900</x:v>
      </x:c>
      <x:c r="C20" s="17" t="n">
        <x:v>2021</x:v>
      </x:c>
      <x:c r="D20" s="18" t="n">
        <x:v>44314</x:v>
      </x:c>
      <x:c r="E20" s="8" t="str">
        <x:v>RAINBOW TROUT</x:v>
      </x:c>
      <x:c r="F20" s="13" t="n">
        <x:v>5000</x:v>
      </x:c>
      <x:c r="G20" s="9" t="n">
        <x:v>20.9</x:v>
      </x:c>
      <x:c r="H20" s="9" t="n">
        <x:v>100.6</x:v>
      </x:c>
      <x:c r="I20" s="8" t="str">
        <x:f>B20&amp;" / "&amp;C20&amp;" / "&amp;E20</x:f>
        <x:v>6900 / 2021 / RAINBOW TROUT</x:v>
      </x:c>
    </x:row>
    <x:row r="21" ht="23" customHeight="1">
      <x:c r="A21" s="8" t="str">
        <x:v>Alexander Hamilton Pond</x:v>
      </x:c>
      <x:c r="B21" s="8" t="str">
        <x:v>19760</x:v>
      </x:c>
      <x:c r="C21" s="17" t="n">
        <x:v>2026</x:v>
      </x:c>
      <x:c r="D21" s="18" t="n">
        <x:v>46155</x:v>
      </x:c>
      <x:c r="E21" s="8" t="str">
        <x:v>RAINBOW TROUT</x:v>
      </x:c>
      <x:c r="F21" s="13" t="n">
        <x:v>600</x:v>
      </x:c>
      <x:c r="G21" s="9" t="n">
        <x:v>23.1</x:v>
      </x:c>
      <x:c r="H21" s="9" t="n">
        <x:v>133.7</x:v>
      </x:c>
      <x:c r="I21" s="8" t="str">
        <x:f>B21&amp;" / "&amp;C21&amp;" / "&amp;E21</x:f>
        <x:v>19760 / 2026 / RAINBOW TROUT</x:v>
      </x:c>
    </x:row>
    <x:row r="22" ht="23" customHeight="1">
      <x:c r="A22" s="8" t="str">
        <x:v>Alexander Hamilton Pond</x:v>
      </x:c>
      <x:c r="B22" s="8" t="str">
        <x:v>19760</x:v>
      </x:c>
      <x:c r="C22" s="17" t="n">
        <x:v>2025</x:v>
      </x:c>
      <x:c r="D22" s="18" t="n">
        <x:v>45924</x:v>
      </x:c>
      <x:c r="E22" s="8" t="str">
        <x:v>RAINBOW TROUT</x:v>
      </x:c>
      <x:c r="F22" s="13" t="n">
        <x:v>600</x:v>
      </x:c>
      <x:c r="G22" s="9" t="n">
        <x:v>23.8</x:v>
      </x:c>
      <x:c r="H22" s="9" t="n">
        <x:v>149.9</x:v>
      </x:c>
      <x:c r="I22" s="8" t="str">
        <x:f>B22&amp;" / "&amp;C22&amp;" / "&amp;E22</x:f>
        <x:v>19760 / 2025 / RAINBOW TROUT</x:v>
      </x:c>
    </x:row>
    <x:row r="23" ht="23" customHeight="1">
      <x:c r="A23" s="8" t="str">
        <x:v>Alexander Hamilton Pond</x:v>
      </x:c>
      <x:c r="B23" s="8" t="str">
        <x:v>19760</x:v>
      </x:c>
      <x:c r="C23" s="17" t="n">
        <x:v>2025</x:v>
      </x:c>
      <x:c r="D23" s="18" t="n">
        <x:v>45777</x:v>
      </x:c>
      <x:c r="E23" s="8" t="str">
        <x:v>RAINBOW TROUT</x:v>
      </x:c>
      <x:c r="F23" s="13" t="n">
        <x:v>600</x:v>
      </x:c>
      <x:c r="G23" s="9" t="n">
        <x:v>22.8</x:v>
      </x:c>
      <x:c r="H23" s="9" t="n">
        <x:v>131.3</x:v>
      </x:c>
      <x:c r="I23" s="8" t="str">
        <x:f>B23&amp;" / "&amp;C23&amp;" / "&amp;E23</x:f>
        <x:v>19760 / 2025 / RAINBOW TROUT</x:v>
      </x:c>
    </x:row>
    <x:row r="24" ht="23" customHeight="1">
      <x:c r="A24" s="8" t="str">
        <x:v>Alexander Hamilton Pond</x:v>
      </x:c>
      <x:c r="B24" s="8" t="str">
        <x:v>19760</x:v>
      </x:c>
      <x:c r="C24" s="17" t="n">
        <x:v>2024</x:v>
      </x:c>
      <x:c r="D24" s="18" t="n">
        <x:v>45561</x:v>
      </x:c>
      <x:c r="E24" s="8" t="str">
        <x:v>RAINBOW TROUT</x:v>
      </x:c>
      <x:c r="F24" s="13" t="n">
        <x:v>600</x:v>
      </x:c>
      <x:c r="G24" s="9" t="n">
        <x:v>21.4</x:v>
      </x:c>
      <x:c r="H24" s="9" t="n">
        <x:v>108.8</x:v>
      </x:c>
      <x:c r="I24" s="8" t="str">
        <x:f>B24&amp;" / "&amp;C24&amp;" / "&amp;E24</x:f>
        <x:v>19760 / 2024 / RAINBOW TROUT</x:v>
      </x:c>
    </x:row>
    <x:row r="25" ht="23" customHeight="1">
      <x:c r="A25" s="8" t="str">
        <x:v>Alexander Hamilton Pond</x:v>
      </x:c>
      <x:c r="B25" s="8" t="str">
        <x:v>19760</x:v>
      </x:c>
      <x:c r="C25" s="17" t="n">
        <x:v>2024</x:v>
      </x:c>
      <x:c r="D25" s="18" t="n">
        <x:v>45421</x:v>
      </x:c>
      <x:c r="E25" s="8" t="str">
        <x:v>RAINBOW TROUT</x:v>
      </x:c>
      <x:c r="F25" s="13" t="n">
        <x:v>240</x:v>
      </x:c>
      <x:c r="G25" s="9" t="n">
        <x:v>20.3</x:v>
      </x:c>
      <x:c r="H25" s="9" t="n">
        <x:v>90.9</x:v>
      </x:c>
      <x:c r="I25" s="8" t="str">
        <x:f>B25&amp;" / "&amp;C25&amp;" / "&amp;E25</x:f>
        <x:v>19760 / 2024 / RAINBOW TROUT</x:v>
      </x:c>
    </x:row>
    <x:row r="26" ht="23" customHeight="1">
      <x:c r="A26" s="8" t="str">
        <x:v>Alexander Hamilton Pond</x:v>
      </x:c>
      <x:c r="B26" s="8" t="str">
        <x:v>19760</x:v>
      </x:c>
      <x:c r="C26" s="17" t="n">
        <x:v>2023</x:v>
      </x:c>
      <x:c r="D26" s="18" t="n">
        <x:v>45190</x:v>
      </x:c>
      <x:c r="E26" s="8" t="str">
        <x:v>RAINBOW TROUT</x:v>
      </x:c>
      <x:c r="F26" s="13" t="n">
        <x:v>310</x:v>
      </x:c>
      <x:c r="G26" s="9" t="n">
        <x:v>20.6</x:v>
      </x:c>
      <x:c r="H26" s="9" t="n">
        <x:v>92.9</x:v>
      </x:c>
      <x:c r="I26" s="8" t="str">
        <x:f>B26&amp;" / "&amp;C26&amp;" / "&amp;E26</x:f>
        <x:v>19760 / 2023 / RAINBOW TROUT</x:v>
      </x:c>
    </x:row>
    <x:row r="27" ht="23" customHeight="1">
      <x:c r="A27" s="8" t="str">
        <x:v>Alexander Hamilton Pond</x:v>
      </x:c>
      <x:c r="B27" s="8" t="str">
        <x:v>19760</x:v>
      </x:c>
      <x:c r="C27" s="17" t="n">
        <x:v>2023</x:v>
      </x:c>
      <x:c r="D27" s="18" t="n">
        <x:v>45057</x:v>
      </x:c>
      <x:c r="E27" s="8" t="str">
        <x:v>RAINBOW TROUT</x:v>
      </x:c>
      <x:c r="F27" s="13" t="n">
        <x:v>239</x:v>
      </x:c>
      <x:c r="G27" s="9" t="n">
        <x:v>20</x:v>
      </x:c>
      <x:c r="H27" s="9" t="n">
        <x:v>88</x:v>
      </x:c>
      <x:c r="I27" s="8" t="str">
        <x:f>B27&amp;" / "&amp;C27&amp;" / "&amp;E27</x:f>
        <x:v>19760 / 2023 / RAINBOW TROUT</x:v>
      </x:c>
    </x:row>
    <x:row r="28" ht="23" customHeight="1">
      <x:c r="A28" s="8" t="str">
        <x:v>Alexander Hamilton Pond</x:v>
      </x:c>
      <x:c r="B28" s="8" t="str">
        <x:v>19760</x:v>
      </x:c>
      <x:c r="C28" s="17" t="n">
        <x:v>2022</x:v>
      </x:c>
      <x:c r="D28" s="18" t="n">
        <x:v>44831</x:v>
      </x:c>
      <x:c r="E28" s="8" t="str">
        <x:v>RAINBOW TROUT</x:v>
      </x:c>
      <x:c r="F28" s="13" t="n">
        <x:v>600</x:v>
      </x:c>
      <x:c r="G28" s="9" t="n">
        <x:v>27.5</x:v>
      </x:c>
      <x:c r="H28" s="9" t="n">
        <x:v>231</x:v>
      </x:c>
      <x:c r="I28" s="8" t="str">
        <x:f>B28&amp;" / "&amp;C28&amp;" / "&amp;E28</x:f>
        <x:v>19760 / 2022 / RAINBOW TROUT</x:v>
      </x:c>
    </x:row>
    <x:row r="29" ht="23" customHeight="1">
      <x:c r="A29" s="8" t="str">
        <x:v>Alexander Hamilton Pond</x:v>
      </x:c>
      <x:c r="B29" s="8" t="str">
        <x:v>19760</x:v>
      </x:c>
      <x:c r="C29" s="17" t="n">
        <x:v>2022</x:v>
      </x:c>
      <x:c r="D29" s="18" t="n">
        <x:v>44699</x:v>
      </x:c>
      <x:c r="E29" s="8" t="str">
        <x:v>RAINBOW TROUT</x:v>
      </x:c>
      <x:c r="F29" s="13" t="n">
        <x:v>600</x:v>
      </x:c>
      <x:c r="G29" s="9" t="n">
        <x:v>23.4</x:v>
      </x:c>
      <x:c r="H29" s="9" t="n">
        <x:v>141.7</x:v>
      </x:c>
      <x:c r="I29" s="8" t="str">
        <x:f>B29&amp;" / "&amp;C29&amp;" / "&amp;E29</x:f>
        <x:v>19760 / 2022 / RAINBOW TROUT</x:v>
      </x:c>
    </x:row>
    <x:row r="30" ht="23" customHeight="1">
      <x:c r="A30" s="8" t="str">
        <x:v>Alexander Hamilton Pond</x:v>
      </x:c>
      <x:c r="B30" s="8" t="str">
        <x:v>19760</x:v>
      </x:c>
      <x:c r="C30" s="17" t="n">
        <x:v>2021</x:v>
      </x:c>
      <x:c r="D30" s="18" t="n">
        <x:v>44458</x:v>
      </x:c>
      <x:c r="E30" s="8" t="str">
        <x:v>RAINBOW TROUT</x:v>
      </x:c>
      <x:c r="F30" s="13" t="n">
        <x:v>600</x:v>
      </x:c>
      <x:c r="G30" s="9" t="n">
        <x:v>24.2</x:v>
      </x:c>
      <x:c r="H30" s="9" t="n">
        <x:v>156.3</x:v>
      </x:c>
      <x:c r="I30" s="8" t="str">
        <x:f>B30&amp;" / "&amp;C30&amp;" / "&amp;E30</x:f>
        <x:v>19760 / 2021 / RAINBOW TROUT</x:v>
      </x:c>
    </x:row>
    <x:row r="31" ht="23" customHeight="1">
      <x:c r="A31" s="8" t="str">
        <x:v>Alexander Hamilton Pond</x:v>
      </x:c>
      <x:c r="B31" s="8" t="str">
        <x:v>19760</x:v>
      </x:c>
      <x:c r="C31" s="17" t="n">
        <x:v>2021</x:v>
      </x:c>
      <x:c r="D31" s="18" t="n">
        <x:v>44327</x:v>
      </x:c>
      <x:c r="E31" s="8" t="str">
        <x:v>RAINBOW TROUT</x:v>
      </x:c>
      <x:c r="F31" s="13" t="n">
        <x:v>600</x:v>
      </x:c>
      <x:c r="G31" s="9" t="n">
        <x:v>19.1</x:v>
      </x:c>
      <x:c r="H31" s="9" t="n">
        <x:v>77.4</x:v>
      </x:c>
      <x:c r="I31" s="8" t="str">
        <x:f>B31&amp;" / "&amp;C31&amp;" / "&amp;E31</x:f>
        <x:v>19760 / 2021 / RAINBOW TROUT</x:v>
      </x:c>
    </x:row>
    <x:row r="32" ht="23" customHeight="1">
      <x:c r="A32" s="8" t="str">
        <x:v>Alford Lake</x:v>
      </x:c>
      <x:c r="B32" s="8" t="str">
        <x:v>3899</x:v>
      </x:c>
      <x:c r="C32" s="17" t="n">
        <x:v>2026</x:v>
      </x:c>
      <x:c r="D32" s="18" t="n">
        <x:v>46155</x:v>
      </x:c>
      <x:c r="E32" s="8" t="str">
        <x:v>RAINBOW TROUT</x:v>
      </x:c>
      <x:c r="F32" s="13" t="n">
        <x:v>3000</x:v>
      </x:c>
      <x:c r="G32" s="9" t="n">
        <x:v>20.9</x:v>
      </x:c>
      <x:c r="H32" s="9" t="n">
        <x:v>98.9</x:v>
      </x:c>
      <x:c r="I32" s="8" t="str">
        <x:f>B32&amp;" / "&amp;C32&amp;" / "&amp;E32</x:f>
        <x:v>3899 / 2026 / RAINBOW TROUT</x:v>
      </x:c>
    </x:row>
    <x:row r="33" ht="23" customHeight="1">
      <x:c r="A33" s="8" t="str">
        <x:v>Alford Lake</x:v>
      </x:c>
      <x:c r="B33" s="8" t="str">
        <x:v>3899</x:v>
      </x:c>
      <x:c r="C33" s="17" t="n">
        <x:v>2025</x:v>
      </x:c>
      <x:c r="D33" s="18" t="n">
        <x:v>45778</x:v>
      </x:c>
      <x:c r="E33" s="8" t="str">
        <x:v>RAINBOW TROUT</x:v>
      </x:c>
      <x:c r="F33" s="13" t="n">
        <x:v>3000</x:v>
      </x:c>
      <x:c r="G33" s="9" t="n">
        <x:v>20</x:v>
      </x:c>
      <x:c r="H33" s="9" t="n">
        <x:v>83.3</x:v>
      </x:c>
      <x:c r="I33" s="8" t="str">
        <x:f>B33&amp;" / "&amp;C33&amp;" / "&amp;E33</x:f>
        <x:v>3899 / 2025 / RAINBOW TROUT</x:v>
      </x:c>
    </x:row>
    <x:row r="34" ht="23" customHeight="1">
      <x:c r="A34" s="8" t="str">
        <x:v>Alford Lake</x:v>
      </x:c>
      <x:c r="B34" s="8" t="str">
        <x:v>3899</x:v>
      </x:c>
      <x:c r="C34" s="17" t="n">
        <x:v>2024</x:v>
      </x:c>
      <x:c r="D34" s="18" t="n">
        <x:v>45570</x:v>
      </x:c>
      <x:c r="E34" s="8" t="str">
        <x:v>RAINBOW TROUT</x:v>
      </x:c>
      <x:c r="F34" s="13" t="n">
        <x:v>20</x:v>
      </x:c>
      <x:c r="G34" s="9" t="n">
        <x:v>55</x:v>
      </x:c>
      <x:c r="H34" s="9" t="n">
        <x:v>6000</x:v>
      </x:c>
      <x:c r="I34" s="8" t="str">
        <x:f>B34&amp;" / "&amp;C34&amp;" / "&amp;E34</x:f>
        <x:v>3899 / 2024 / RAINBOW TROUT</x:v>
      </x:c>
    </x:row>
    <x:row r="35" ht="23" customHeight="1">
      <x:c r="A35" s="8" t="str">
        <x:v>Alford Lake</x:v>
      </x:c>
      <x:c r="B35" s="8" t="str">
        <x:v>3899</x:v>
      </x:c>
      <x:c r="C35" s="17" t="n">
        <x:v>2024</x:v>
      </x:c>
      <x:c r="D35" s="18" t="n">
        <x:v>45570</x:v>
      </x:c>
      <x:c r="E35" s="8" t="str">
        <x:v>RAINBOW TROUT</x:v>
      </x:c>
      <x:c r="F35" s="13" t="n">
        <x:v>30</x:v>
      </x:c>
      <x:c r="G35" s="9" t="n">
        <x:v>65</x:v>
      </x:c>
      <x:c r="H35" s="9" t="n">
        <x:v>9000</x:v>
      </x:c>
      <x:c r="I35" s="8" t="str">
        <x:f>B35&amp;" / "&amp;C35&amp;" / "&amp;E35</x:f>
        <x:v>3899 / 2024 / RAINBOW TROUT</x:v>
      </x:c>
    </x:row>
    <x:row r="36" ht="23" customHeight="1">
      <x:c r="A36" s="8" t="str">
        <x:v>Alford Lake</x:v>
      </x:c>
      <x:c r="B36" s="8" t="str">
        <x:v>3899</x:v>
      </x:c>
      <x:c r="C36" s="17" t="n">
        <x:v>2024</x:v>
      </x:c>
      <x:c r="D36" s="18" t="n">
        <x:v>45418</x:v>
      </x:c>
      <x:c r="E36" s="8" t="str">
        <x:v>RAINBOW TROUT</x:v>
      </x:c>
      <x:c r="F36" s="13" t="n">
        <x:v>2000</x:v>
      </x:c>
      <x:c r="G36" s="9" t="n">
        <x:v>20.2</x:v>
      </x:c>
      <x:c r="H36" s="9" t="n">
        <x:v>89.6</x:v>
      </x:c>
      <x:c r="I36" s="8" t="str">
        <x:f>B36&amp;" / "&amp;C36&amp;" / "&amp;E36</x:f>
        <x:v>3899 / 2024 / RAINBOW TROUT</x:v>
      </x:c>
    </x:row>
    <x:row r="37" ht="23" customHeight="1">
      <x:c r="A37" s="8" t="str">
        <x:v>Alford Lake</x:v>
      </x:c>
      <x:c r="B37" s="8" t="str">
        <x:v>3899</x:v>
      </x:c>
      <x:c r="C37" s="17" t="n">
        <x:v>2023</x:v>
      </x:c>
      <x:c r="D37" s="18" t="n">
        <x:v>45187</x:v>
      </x:c>
      <x:c r="E37" s="8" t="str">
        <x:v>RAINBOW TROUT</x:v>
      </x:c>
      <x:c r="F37" s="13" t="n">
        <x:v>1000</x:v>
      </x:c>
      <x:c r="G37" s="9" t="n">
        <x:v>14.4</x:v>
      </x:c>
      <x:c r="H37" s="9" t="n">
        <x:v>32.4</x:v>
      </x:c>
      <x:c r="I37" s="8" t="str">
        <x:f>B37&amp;" / "&amp;C37&amp;" / "&amp;E37</x:f>
        <x:v>3899 / 2023 / RAINBOW TROUT</x:v>
      </x:c>
    </x:row>
    <x:row r="38" ht="23" customHeight="1">
      <x:c r="A38" s="8" t="str">
        <x:v>Alford Lake</x:v>
      </x:c>
      <x:c r="B38" s="8" t="str">
        <x:v>3899</x:v>
      </x:c>
      <x:c r="C38" s="17" t="n">
        <x:v>2023</x:v>
      </x:c>
      <x:c r="D38" s="18" t="n">
        <x:v>45056</x:v>
      </x:c>
      <x:c r="E38" s="8" t="str">
        <x:v>RAINBOW TROUT</x:v>
      </x:c>
      <x:c r="F38" s="13" t="n">
        <x:v>2000</x:v>
      </x:c>
      <x:c r="G38" s="9" t="n">
        <x:v>20</x:v>
      </x:c>
      <x:c r="H38" s="9" t="n">
        <x:v>88.5</x:v>
      </x:c>
      <x:c r="I38" s="8" t="str">
        <x:f>B38&amp;" / "&amp;C38&amp;" / "&amp;E38</x:f>
        <x:v>3899 / 2023 / RAINBOW TROUT</x:v>
      </x:c>
    </x:row>
    <x:row r="39" ht="23" customHeight="1">
      <x:c r="A39" s="8" t="str">
        <x:v>Alford Lake</x:v>
      </x:c>
      <x:c r="B39" s="8" t="str">
        <x:v>3899</x:v>
      </x:c>
      <x:c r="C39" s="17" t="n">
        <x:v>2022</x:v>
      </x:c>
      <x:c r="D39" s="18" t="n">
        <x:v>44696</x:v>
      </x:c>
      <x:c r="E39" s="8" t="str">
        <x:v>RAINBOW TROUT</x:v>
      </x:c>
      <x:c r="F39" s="13" t="n">
        <x:v>3000</x:v>
      </x:c>
      <x:c r="G39" s="9" t="n">
        <x:v>22.1</x:v>
      </x:c>
      <x:c r="H39" s="9" t="n">
        <x:v>117.6</x:v>
      </x:c>
      <x:c r="I39" s="8" t="str">
        <x:f>B39&amp;" / "&amp;C39&amp;" / "&amp;E39</x:f>
        <x:v>3899 / 2022 / RAINBOW TROUT</x:v>
      </x:c>
    </x:row>
    <x:row r="40" ht="23" customHeight="1">
      <x:c r="A40" s="8" t="str">
        <x:v>Alford Lake</x:v>
      </x:c>
      <x:c r="B40" s="8" t="str">
        <x:v>3899</x:v>
      </x:c>
      <x:c r="C40" s="17" t="n">
        <x:v>2021</x:v>
      </x:c>
      <x:c r="D40" s="18" t="n">
        <x:v>44330</x:v>
      </x:c>
      <x:c r="E40" s="8" t="str">
        <x:v>RAINBOW TROUT</x:v>
      </x:c>
      <x:c r="F40" s="13" t="n">
        <x:v>3000</x:v>
      </x:c>
      <x:c r="G40" s="9" t="n">
        <x:v>21.6</x:v>
      </x:c>
      <x:c r="H40" s="9" t="n">
        <x:v>118.3</x:v>
      </x:c>
      <x:c r="I40" s="8" t="str">
        <x:f>B40&amp;" / "&amp;C40&amp;" / "&amp;E40</x:f>
        <x:v>3899 / 2021 / RAINBOW TROUT</x:v>
      </x:c>
    </x:row>
    <x:row r="41" ht="23" customHeight="1">
      <x:c r="A41" s="8" t="str">
        <x:v>Allison Lake</x:v>
      </x:c>
      <x:c r="B41" s="8" t="str">
        <x:v>6902</x:v>
      </x:c>
      <x:c r="C41" s="17" t="n">
        <x:v>2026</x:v>
      </x:c>
      <x:c r="D41" s="18" t="n">
        <x:v>46156</x:v>
      </x:c>
      <x:c r="E41" s="8" t="str">
        <x:v>WESTSLOPE CUTTHROAT TROUT</x:v>
      </x:c>
      <x:c r="F41" s="13" t="n">
        <x:v>2500</x:v>
      </x:c>
      <x:c r="G41" s="9" t="n">
        <x:v>14.1</x:v>
      </x:c>
      <x:c r="H41" s="9" t="n">
        <x:v>30.5</x:v>
      </x:c>
      <x:c r="I41" s="8" t="str">
        <x:f>B41&amp;" / "&amp;C41&amp;" / "&amp;E41</x:f>
        <x:v>6902 / 2026 / WESTSLOPE CUTTHROAT TROUT</x:v>
      </x:c>
    </x:row>
    <x:row r="42" ht="23" customHeight="1">
      <x:c r="A42" s="8" t="str">
        <x:v>Allison Lake</x:v>
      </x:c>
      <x:c r="B42" s="8" t="str">
        <x:v>6902</x:v>
      </x:c>
      <x:c r="C42" s="17" t="n">
        <x:v>2026</x:v>
      </x:c>
      <x:c r="D42" s="18" t="n">
        <x:v>46156</x:v>
      </x:c>
      <x:c r="E42" s="8" t="str">
        <x:v>WESTSLOPE CUTTHROAT TROUT</x:v>
      </x:c>
      <x:c r="F42" s="13" t="n">
        <x:v>1500</x:v>
      </x:c>
      <x:c r="G42" s="9" t="n">
        <x:v>17.5</x:v>
      </x:c>
      <x:c r="H42" s="9" t="n">
        <x:v>57.6</x:v>
      </x:c>
      <x:c r="I42" s="8" t="str">
        <x:f>B42&amp;" / "&amp;C42&amp;" / "&amp;E42</x:f>
        <x:v>6902 / 2026 / WESTSLOPE CUTTHROAT TROUT</x:v>
      </x:c>
    </x:row>
    <x:row r="43" ht="23" customHeight="1">
      <x:c r="A43" s="8" t="str">
        <x:v>Allison Lake</x:v>
      </x:c>
      <x:c r="B43" s="8" t="str">
        <x:v>6902</x:v>
      </x:c>
      <x:c r="C43" s="17" t="n">
        <x:v>2025</x:v>
      </x:c>
      <x:c r="D43" s="18" t="n">
        <x:v>45915</x:v>
      </x:c>
      <x:c r="E43" s="8" t="str">
        <x:v>CUTTHROAT TROUT</x:v>
      </x:c>
      <x:c r="F43" s="13" t="n">
        <x:v>1068</x:v>
      </x:c>
      <x:c r="G43" s="9" t="n">
        <x:v>20</x:v>
      </x:c>
      <x:c r="H43" s="9" t="n">
        <x:v>80</x:v>
      </x:c>
      <x:c r="I43" s="8" t="str">
        <x:f>B43&amp;" / "&amp;C43&amp;" / "&amp;E43</x:f>
        <x:v>6902 / 2025 / CUTTHROAT TROUT</x:v>
      </x:c>
    </x:row>
    <x:row r="44" ht="23" customHeight="1">
      <x:c r="A44" s="8" t="str">
        <x:v>Allison Lake</x:v>
      </x:c>
      <x:c r="B44" s="8" t="str">
        <x:v>6902</x:v>
      </x:c>
      <x:c r="C44" s="17" t="n">
        <x:v>2025</x:v>
      </x:c>
      <x:c r="D44" s="18" t="n">
        <x:v>45915</x:v>
      </x:c>
      <x:c r="E44" s="8" t="str">
        <x:v>CUTTHROAT TROUT</x:v>
      </x:c>
      <x:c r="F44" s="13" t="n">
        <x:v>41</x:v>
      </x:c>
      <x:c r="G44" s="9" t="n">
        <x:v>35</x:v>
      </x:c>
      <x:c r="H44" s="9" t="n">
        <x:v>800</x:v>
      </x:c>
      <x:c r="I44" s="8" t="str">
        <x:f>B44&amp;" / "&amp;C44&amp;" / "&amp;E44</x:f>
        <x:v>6902 / 2025 / CUTTHROAT TROUT</x:v>
      </x:c>
    </x:row>
    <x:row r="45" ht="23" customHeight="1">
      <x:c r="A45" s="8" t="str">
        <x:v>Allison Lake</x:v>
      </x:c>
      <x:c r="B45" s="8" t="str">
        <x:v>6902</x:v>
      </x:c>
      <x:c r="C45" s="17" t="n">
        <x:v>2025</x:v>
      </x:c>
      <x:c r="D45" s="18" t="n">
        <x:v>45805</x:v>
      </x:c>
      <x:c r="E45" s="8" t="str">
        <x:v>CUTTHROAT TROUT</x:v>
      </x:c>
      <x:c r="F45" s="13" t="n">
        <x:v>2500</x:v>
      </x:c>
      <x:c r="G45" s="9" t="n">
        <x:v>13.2</x:v>
      </x:c>
      <x:c r="H45" s="9" t="n">
        <x:v>25</x:v>
      </x:c>
      <x:c r="I45" s="8" t="str">
        <x:f>B45&amp;" / "&amp;C45&amp;" / "&amp;E45</x:f>
        <x:v>6902 / 2025 / CUTTHROAT TROUT</x:v>
      </x:c>
    </x:row>
    <x:row r="46" ht="23" customHeight="1">
      <x:c r="A46" s="8" t="str">
        <x:v>Allison Lake</x:v>
      </x:c>
      <x:c r="B46" s="8" t="str">
        <x:v>6902</x:v>
      </x:c>
      <x:c r="C46" s="17" t="n">
        <x:v>2024</x:v>
      </x:c>
      <x:c r="D46" s="18" t="n">
        <x:v>45429</x:v>
      </x:c>
      <x:c r="E46" s="8" t="str">
        <x:v>RAINBOW TROUT</x:v>
      </x:c>
      <x:c r="F46" s="13" t="n">
        <x:v>3740</x:v>
      </x:c>
      <x:c r="G46" s="9" t="n">
        <x:v>19.7</x:v>
      </x:c>
      <x:c r="H46" s="9" t="n">
        <x:v>85.1</x:v>
      </x:c>
      <x:c r="I46" s="8" t="str">
        <x:f>B46&amp;" / "&amp;C46&amp;" / "&amp;E46</x:f>
        <x:v>6902 / 2024 / RAINBOW TROUT</x:v>
      </x:c>
    </x:row>
    <x:row r="47" ht="23" customHeight="1">
      <x:c r="A47" s="8" t="str">
        <x:v>Allison Lake</x:v>
      </x:c>
      <x:c r="B47" s="8" t="str">
        <x:v>6902</x:v>
      </x:c>
      <x:c r="C47" s="17" t="n">
        <x:v>2023</x:v>
      </x:c>
      <x:c r="D47" s="18" t="n">
        <x:v>45062</x:v>
      </x:c>
      <x:c r="E47" s="8" t="str">
        <x:v>CUTTHROAT TROUT</x:v>
      </x:c>
      <x:c r="F47" s="13" t="n">
        <x:v>3740</x:v>
      </x:c>
      <x:c r="G47" s="9" t="n">
        <x:v>16</x:v>
      </x:c>
      <x:c r="H47" s="9" t="n">
        <x:v>47</x:v>
      </x:c>
      <x:c r="I47" s="8" t="str">
        <x:f>B47&amp;" / "&amp;C47&amp;" / "&amp;E47</x:f>
        <x:v>6902 / 2023 / CUTTHROAT TROUT</x:v>
      </x:c>
    </x:row>
    <x:row r="48" ht="23" customHeight="1">
      <x:c r="A48" s="8" t="str">
        <x:v>Allison Lake</x:v>
      </x:c>
      <x:c r="B48" s="8" t="str">
        <x:v>6902</x:v>
      </x:c>
      <x:c r="C48" s="17" t="n">
        <x:v>2022</x:v>
      </x:c>
      <x:c r="D48" s="18" t="n">
        <x:v>44726</x:v>
      </x:c>
      <x:c r="E48" s="8" t="str">
        <x:v>CUTTHROAT TROUT</x:v>
      </x:c>
      <x:c r="F48" s="13" t="n">
        <x:v>775</x:v>
      </x:c>
      <x:c r="G48" s="9" t="n">
        <x:v>17.1</x:v>
      </x:c>
      <x:c r="H48" s="9" t="n">
        <x:v>62.1</x:v>
      </x:c>
      <x:c r="I48" s="8" t="str">
        <x:f>B48&amp;" / "&amp;C48&amp;" / "&amp;E48</x:f>
        <x:v>6902 / 2022 / CUTTHROAT TROUT</x:v>
      </x:c>
    </x:row>
    <x:row r="49" ht="23" customHeight="1">
      <x:c r="A49" s="8" t="str">
        <x:v>Allison Lake</x:v>
      </x:c>
      <x:c r="B49" s="8" t="str">
        <x:v>6902</x:v>
      </x:c>
      <x:c r="C49" s="17" t="n">
        <x:v>2022</x:v>
      </x:c>
      <x:c r="D49" s="18" t="n">
        <x:v>44696</x:v>
      </x:c>
      <x:c r="E49" s="8" t="str">
        <x:v>CUTTHROAT TROUT</x:v>
      </x:c>
      <x:c r="F49" s="13" t="n">
        <x:v>2600</x:v>
      </x:c>
      <x:c r="G49" s="9" t="n">
        <x:v>16.1</x:v>
      </x:c>
      <x:c r="H49" s="9" t="n">
        <x:v>46.1</x:v>
      </x:c>
      <x:c r="I49" s="8" t="str">
        <x:f>B49&amp;" / "&amp;C49&amp;" / "&amp;E49</x:f>
        <x:v>6902 / 2022 / CUTTHROAT TROUT</x:v>
      </x:c>
    </x:row>
    <x:row r="50" ht="23" customHeight="1">
      <x:c r="A50" s="8" t="str">
        <x:v>Allison Lake</x:v>
      </x:c>
      <x:c r="B50" s="8" t="str">
        <x:v>6902</x:v>
      </x:c>
      <x:c r="C50" s="17" t="n">
        <x:v>2021</x:v>
      </x:c>
      <x:c r="D50" s="18" t="n">
        <x:v>44332</x:v>
      </x:c>
      <x:c r="E50" s="8" t="str">
        <x:v>RAINBOW TROUT</x:v>
      </x:c>
      <x:c r="F50" s="13" t="n">
        <x:v>3740</x:v>
      </x:c>
      <x:c r="G50" s="9" t="n">
        <x:v>21.2</x:v>
      </x:c>
      <x:c r="H50" s="9" t="n">
        <x:v>105.3</x:v>
      </x:c>
      <x:c r="I50" s="8" t="str">
        <x:f>B50&amp;" / "&amp;C50&amp;" / "&amp;E50</x:f>
        <x:v>6902 / 2021 / RAINBOW TROUT</x:v>
      </x:c>
    </x:row>
    <x:row r="51" ht="23" customHeight="1">
      <x:c r="A51" s="8" t="str">
        <x:v>Allstones Lake</x:v>
      </x:c>
      <x:c r="B51" s="8" t="str">
        <x:v>3909</x:v>
      </x:c>
      <x:c r="C51" s="17" t="n">
        <x:v>2025</x:v>
      </x:c>
      <x:c r="D51" s="18" t="n">
        <x:v>45924</x:v>
      </x:c>
      <x:c r="E51" s="8" t="str">
        <x:v>BROOK TROUT</x:v>
      </x:c>
      <x:c r="F51" s="13" t="n">
        <x:v>650</x:v>
      </x:c>
      <x:c r="G51" s="9" t="n">
        <x:v>12.1</x:v>
      </x:c>
      <x:c r="H51" s="9" t="n">
        <x:v>19.2</x:v>
      </x:c>
      <x:c r="I51" s="8" t="str">
        <x:f>B51&amp;" / "&amp;C51&amp;" / "&amp;E51</x:f>
        <x:v>3909 / 2025 / BROOK TROUT</x:v>
      </x:c>
    </x:row>
    <x:row r="52" ht="23" customHeight="1">
      <x:c r="A52" s="8" t="str">
        <x:v>Allstones Lake</x:v>
      </x:c>
      <x:c r="B52" s="8" t="str">
        <x:v>3909</x:v>
      </x:c>
      <x:c r="C52" s="17" t="n">
        <x:v>2023</x:v>
      </x:c>
      <x:c r="D52" s="18" t="n">
        <x:v>45176</x:v>
      </x:c>
      <x:c r="E52" s="8" t="str">
        <x:v>BROOK TROUT</x:v>
      </x:c>
      <x:c r="F52" s="13" t="n">
        <x:v>650</x:v>
      </x:c>
      <x:c r="G52" s="9" t="n">
        <x:v>10.7</x:v>
      </x:c>
      <x:c r="H52" s="9" t="n">
        <x:v>13.3</x:v>
      </x:c>
      <x:c r="I52" s="8" t="str">
        <x:f>B52&amp;" / "&amp;C52&amp;" / "&amp;E52</x:f>
        <x:v>3909 / 2023 / BROOK TROUT</x:v>
      </x:c>
    </x:row>
    <x:row r="53" ht="23" customHeight="1">
      <x:c r="A53" s="8" t="str">
        <x:v>Allstones Lake</x:v>
      </x:c>
      <x:c r="B53" s="8" t="str">
        <x:v>3909</x:v>
      </x:c>
      <x:c r="C53" s="17" t="n">
        <x:v>2021</x:v>
      </x:c>
      <x:c r="D53" s="18" t="n">
        <x:v>44447</x:v>
      </x:c>
      <x:c r="E53" s="8" t="str">
        <x:v>BROOK TROUT</x:v>
      </x:c>
      <x:c r="F53" s="13" t="n">
        <x:v>650</x:v>
      </x:c>
      <x:c r="G53" s="9" t="n">
        <x:v>13.7</x:v>
      </x:c>
      <x:c r="H53" s="9" t="n">
        <x:v>28.6</x:v>
      </x:c>
      <x:c r="I53" s="8" t="str">
        <x:f>B53&amp;" / "&amp;C53&amp;" / "&amp;E53</x:f>
        <x:v>3909 / 2021 / BROOK TROUT</x:v>
      </x:c>
    </x:row>
    <x:row r="54" ht="23" customHeight="1">
      <x:c r="A54" s="8" t="str">
        <x:v>Anderson Dam</x:v>
      </x:c>
      <x:c r="B54" s="8" t="str">
        <x:v>17894</x:v>
      </x:c>
      <x:c r="C54" s="17" t="n">
        <x:v>2025</x:v>
      </x:c>
      <x:c r="D54" s="18" t="n">
        <x:v>45763</x:v>
      </x:c>
      <x:c r="E54" s="8" t="str">
        <x:v>RAINBOW TROUT</x:v>
      </x:c>
      <x:c r="F54" s="13" t="n">
        <x:v>900</x:v>
      </x:c>
      <x:c r="G54" s="9" t="n">
        <x:v>20.3</x:v>
      </x:c>
      <x:c r="H54" s="9" t="n">
        <x:v>94.3</x:v>
      </x:c>
      <x:c r="I54" s="8" t="str">
        <x:f>B54&amp;" / "&amp;C54&amp;" / "&amp;E54</x:f>
        <x:v>17894 / 2025 / RAINBOW TROUT</x:v>
      </x:c>
    </x:row>
    <x:row r="55" ht="23" customHeight="1">
      <x:c r="A55" s="8" t="str">
        <x:v>Anderson Dam</x:v>
      </x:c>
      <x:c r="B55" s="8" t="str">
        <x:v>17894</x:v>
      </x:c>
      <x:c r="C55" s="17" t="n">
        <x:v>2024</x:v>
      </x:c>
      <x:c r="D55" s="18" t="n">
        <x:v>45404</x:v>
      </x:c>
      <x:c r="E55" s="8" t="str">
        <x:v>RAINBOW TROUT</x:v>
      </x:c>
      <x:c r="F55" s="13" t="n">
        <x:v>900</x:v>
      </x:c>
      <x:c r="G55" s="9" t="n">
        <x:v>20.5</x:v>
      </x:c>
      <x:c r="H55" s="9" t="n">
        <x:v>93.1</x:v>
      </x:c>
      <x:c r="I55" s="8" t="str">
        <x:f>B55&amp;" / "&amp;C55&amp;" / "&amp;E55</x:f>
        <x:v>17894 / 2024 / RAINBOW TROUT</x:v>
      </x:c>
    </x:row>
    <x:row r="56" ht="23" customHeight="1">
      <x:c r="A56" s="8" t="str">
        <x:v>Anderson Dam</x:v>
      </x:c>
      <x:c r="B56" s="8" t="str">
        <x:v>17894</x:v>
      </x:c>
      <x:c r="C56" s="17" t="n">
        <x:v>2023</x:v>
      </x:c>
      <x:c r="D56" s="18" t="n">
        <x:v>45046</x:v>
      </x:c>
      <x:c r="E56" s="8" t="str">
        <x:v>RAINBOW TROUT</x:v>
      </x:c>
      <x:c r="F56" s="13" t="n">
        <x:v>1000</x:v>
      </x:c>
      <x:c r="G56" s="9" t="n">
        <x:v>20.5</x:v>
      </x:c>
      <x:c r="H56" s="9" t="n">
        <x:v>89.9</x:v>
      </x:c>
      <x:c r="I56" s="8" t="str">
        <x:f>B56&amp;" / "&amp;C56&amp;" / "&amp;E56</x:f>
        <x:v>17894 / 2023 / RAINBOW TROUT</x:v>
      </x:c>
    </x:row>
    <x:row r="57" ht="23" customHeight="1">
      <x:c r="A57" s="8" t="str">
        <x:v>Anderson Dam</x:v>
      </x:c>
      <x:c r="B57" s="8" t="str">
        <x:v>17894</x:v>
      </x:c>
      <x:c r="C57" s="17" t="n">
        <x:v>2021</x:v>
      </x:c>
      <x:c r="D57" s="18" t="n">
        <x:v>44301</x:v>
      </x:c>
      <x:c r="E57" s="8" t="str">
        <x:v>RAINBOW TROUT</x:v>
      </x:c>
      <x:c r="F57" s="13" t="n">
        <x:v>1000</x:v>
      </x:c>
      <x:c r="G57" s="9" t="n">
        <x:v>21.1</x:v>
      </x:c>
      <x:c r="H57" s="9" t="n">
        <x:v>93.1</x:v>
      </x:c>
      <x:c r="I57" s="8" t="str">
        <x:f>B57&amp;" / "&amp;C57&amp;" / "&amp;E57</x:f>
        <x:v>17894 / 2021 / RAINBOW TROUT</x:v>
      </x:c>
    </x:row>
    <x:row r="58" ht="23" customHeight="1">
      <x:c r="A58" s="8" t="str">
        <x:v>Ardmore Community Pond</x:v>
      </x:c>
      <x:c r="B58" s="8" t="str">
        <x:v>21353</x:v>
      </x:c>
      <x:c r="C58" s="17" t="n">
        <x:v>2026</x:v>
      </x:c>
      <x:c r="D58" s="18" t="n">
        <x:v>46153</x:v>
      </x:c>
      <x:c r="E58" s="8" t="str">
        <x:v>RAINBOW TROUT</x:v>
      </x:c>
      <x:c r="F58" s="13" t="n">
        <x:v>400</x:v>
      </x:c>
      <x:c r="G58" s="9" t="n">
        <x:v>23.5</x:v>
      </x:c>
      <x:c r="H58" s="9" t="n">
        <x:v>144.4</x:v>
      </x:c>
      <x:c r="I58" s="8" t="str">
        <x:f>B58&amp;" / "&amp;C58&amp;" / "&amp;E58</x:f>
        <x:v>21353 / 2026 / RAINBOW TROUT</x:v>
      </x:c>
    </x:row>
    <x:row r="59" ht="23" customHeight="1">
      <x:c r="A59" s="8" t="str">
        <x:v>Ardmore Community Pond</x:v>
      </x:c>
      <x:c r="B59" s="8" t="str">
        <x:v>21353</x:v>
      </x:c>
      <x:c r="C59" s="17" t="n">
        <x:v>2025</x:v>
      </x:c>
      <x:c r="D59" s="18" t="n">
        <x:v>45924</x:v>
      </x:c>
      <x:c r="E59" s="8" t="str">
        <x:v>RAINBOW TROUT</x:v>
      </x:c>
      <x:c r="F59" s="13" t="n">
        <x:v>200</x:v>
      </x:c>
      <x:c r="G59" s="9" t="n">
        <x:v>23.8</x:v>
      </x:c>
      <x:c r="H59" s="9" t="n">
        <x:v>149.9</x:v>
      </x:c>
      <x:c r="I59" s="8" t="str">
        <x:f>B59&amp;" / "&amp;C59&amp;" / "&amp;E59</x:f>
        <x:v>21353 / 2025 / RAINBOW TROUT</x:v>
      </x:c>
    </x:row>
    <x:row r="60" ht="23" customHeight="1">
      <x:c r="A60" s="8" t="str">
        <x:v>Ardmore Community Pond</x:v>
      </x:c>
      <x:c r="B60" s="8" t="str">
        <x:v>21353</x:v>
      </x:c>
      <x:c r="C60" s="17" t="n">
        <x:v>2025</x:v>
      </x:c>
      <x:c r="D60" s="18" t="n">
        <x:v>45774</x:v>
      </x:c>
      <x:c r="E60" s="8" t="str">
        <x:v>RAINBOW TROUT</x:v>
      </x:c>
      <x:c r="F60" s="13" t="n">
        <x:v>400</x:v>
      </x:c>
      <x:c r="G60" s="9" t="n">
        <x:v>22.8</x:v>
      </x:c>
      <x:c r="H60" s="9" t="n">
        <x:v>131.3</x:v>
      </x:c>
      <x:c r="I60" s="8" t="str">
        <x:f>B60&amp;" / "&amp;C60&amp;" / "&amp;E60</x:f>
        <x:v>21353 / 2025 / RAINBOW TROUT</x:v>
      </x:c>
    </x:row>
    <x:row r="61" ht="23" customHeight="1">
      <x:c r="A61" s="8" t="str">
        <x:v>Ardmore Community Pond</x:v>
      </x:c>
      <x:c r="B61" s="8" t="str">
        <x:v>21353</x:v>
      </x:c>
      <x:c r="C61" s="17" t="n">
        <x:v>2024</x:v>
      </x:c>
      <x:c r="D61" s="18" t="n">
        <x:v>45415</x:v>
      </x:c>
      <x:c r="E61" s="8" t="str">
        <x:v>RAINBOW TROUT</x:v>
      </x:c>
      <x:c r="F61" s="13" t="n">
        <x:v>160</x:v>
      </x:c>
      <x:c r="G61" s="9" t="n">
        <x:v>20</x:v>
      </x:c>
      <x:c r="H61" s="9" t="n">
        <x:v>86.2</x:v>
      </x:c>
      <x:c r="I61" s="8" t="str">
        <x:f>B61&amp;" / "&amp;C61&amp;" / "&amp;E61</x:f>
        <x:v>21353 / 2024 / RAINBOW TROUT</x:v>
      </x:c>
    </x:row>
    <x:row r="62" ht="23" customHeight="1">
      <x:c r="A62" s="8" t="str">
        <x:v>Ardmore Community Pond</x:v>
      </x:c>
      <x:c r="B62" s="8" t="str">
        <x:v>21353</x:v>
      </x:c>
      <x:c r="C62" s="17" t="n">
        <x:v>2023</x:v>
      </x:c>
      <x:c r="D62" s="18" t="n">
        <x:v>45050</x:v>
      </x:c>
      <x:c r="E62" s="8" t="str">
        <x:v>RAINBOW TROUT</x:v>
      </x:c>
      <x:c r="F62" s="13" t="n">
        <x:v>160</x:v>
      </x:c>
      <x:c r="G62" s="9" t="n">
        <x:v>20.2</x:v>
      </x:c>
      <x:c r="H62" s="9" t="n">
        <x:v>88.8</x:v>
      </x:c>
      <x:c r="I62" s="8" t="str">
        <x:f>B62&amp;" / "&amp;C62&amp;" / "&amp;E62</x:f>
        <x:v>21353 / 2023 / RAINBOW TROUT</x:v>
      </x:c>
    </x:row>
    <x:row r="63" ht="23" customHeight="1">
      <x:c r="A63" s="8" t="str">
        <x:v>Ardmore Community Pond</x:v>
      </x:c>
      <x:c r="B63" s="8" t="str">
        <x:v>21353</x:v>
      </x:c>
      <x:c r="C63" s="17" t="n">
        <x:v>2022</x:v>
      </x:c>
      <x:c r="D63" s="18" t="n">
        <x:v>44679</x:v>
      </x:c>
      <x:c r="E63" s="8" t="str">
        <x:v>RAINBOW TROUT</x:v>
      </x:c>
      <x:c r="F63" s="13" t="n">
        <x:v>400</x:v>
      </x:c>
      <x:c r="G63" s="9" t="n">
        <x:v>23.6</x:v>
      </x:c>
      <x:c r="H63" s="9" t="n">
        <x:v>145.2</x:v>
      </x:c>
      <x:c r="I63" s="8" t="str">
        <x:f>B63&amp;" / "&amp;C63&amp;" / "&amp;E63</x:f>
        <x:v>21353 / 2022 / RAINBOW TROUT</x:v>
      </x:c>
    </x:row>
    <x:row r="64" ht="23" customHeight="1">
      <x:c r="A64" s="8" t="str">
        <x:v>Ardmore Community Pond</x:v>
      </x:c>
      <x:c r="B64" s="8" t="str">
        <x:v>21353</x:v>
      </x:c>
      <x:c r="C64" s="17" t="n">
        <x:v>2021</x:v>
      </x:c>
      <x:c r="D64" s="18" t="n">
        <x:v>44304</x:v>
      </x:c>
      <x:c r="E64" s="8" t="str">
        <x:v>RAINBOW TROUT</x:v>
      </x:c>
      <x:c r="F64" s="13" t="n">
        <x:v>50</x:v>
      </x:c>
      <x:c r="G64" s="9" t="n">
        <x:v>42</x:v>
      </x:c>
      <x:c r="H64" s="9" t="n">
        <x:v>821</x:v>
      </x:c>
      <x:c r="I64" s="8" t="str">
        <x:f>B64&amp;" / "&amp;C64&amp;" / "&amp;E64</x:f>
        <x:v>21353 / 2021 / RAINBOW TROUT</x:v>
      </x:c>
    </x:row>
    <x:row r="65" ht="23" customHeight="1">
      <x:c r="A65" s="8" t="str">
        <x:v>Ardmore Community Pond</x:v>
      </x:c>
      <x:c r="B65" s="8" t="str">
        <x:v>21353</x:v>
      </x:c>
      <x:c r="C65" s="17" t="n">
        <x:v>2021</x:v>
      </x:c>
      <x:c r="D65" s="18" t="n">
        <x:v>44304</x:v>
      </x:c>
      <x:c r="E65" s="8" t="str">
        <x:v>RAINBOW TROUT</x:v>
      </x:c>
      <x:c r="F65" s="13" t="n">
        <x:v>350</x:v>
      </x:c>
      <x:c r="G65" s="9" t="n">
        <x:v>20</x:v>
      </x:c>
      <x:c r="H65" s="9" t="n">
        <x:v>88</x:v>
      </x:c>
      <x:c r="I65" s="8" t="str">
        <x:f>B65&amp;" / "&amp;C65&amp;" / "&amp;E65</x:f>
        <x:v>21353 / 2021 / RAINBOW TROUT</x:v>
      </x:c>
    </x:row>
    <x:row r="66" ht="23" customHeight="1">
      <x:c r="A66" s="8" t="str">
        <x:v>Ashland Reservoir</x:v>
      </x:c>
      <x:c r="B66" s="8" t="str">
        <x:v>6903</x:v>
      </x:c>
      <x:c r="C66" s="17" t="n">
        <x:v>2026</x:v>
      </x:c>
      <x:c r="D66" s="18" t="n">
        <x:v>46154</x:v>
      </x:c>
      <x:c r="E66" s="8" t="str">
        <x:v>RAINBOW TROUT</x:v>
      </x:c>
      <x:c r="F66" s="13" t="n">
        <x:v>8000</x:v>
      </x:c>
      <x:c r="G66" s="9" t="n">
        <x:v>20.4</x:v>
      </x:c>
      <x:c r="H66" s="9" t="n">
        <x:v>92</x:v>
      </x:c>
      <x:c r="I66" s="8" t="str">
        <x:f>B66&amp;" / "&amp;C66&amp;" / "&amp;E66</x:f>
        <x:v>6903 / 2026 / RAINBOW TROUT</x:v>
      </x:c>
    </x:row>
    <x:row r="67" ht="23" customHeight="1">
      <x:c r="A67" s="8" t="str">
        <x:v>Ashland Reservoir</x:v>
      </x:c>
      <x:c r="B67" s="8" t="str">
        <x:v>6903</x:v>
      </x:c>
      <x:c r="C67" s="17" t="n">
        <x:v>2025</x:v>
      </x:c>
      <x:c r="D67" s="18" t="n">
        <x:v>45786</x:v>
      </x:c>
      <x:c r="E67" s="8" t="str">
        <x:v>RAINBOW TROUT</x:v>
      </x:c>
      <x:c r="F67" s="13" t="n">
        <x:v>8000</x:v>
      </x:c>
      <x:c r="G67" s="9" t="n">
        <x:v>20.3</x:v>
      </x:c>
      <x:c r="H67" s="9" t="n">
        <x:v>90.7</x:v>
      </x:c>
      <x:c r="I67" s="8" t="str">
        <x:f>B67&amp;" / "&amp;C67&amp;" / "&amp;E67</x:f>
        <x:v>6903 / 2025 / RAINBOW TROUT</x:v>
      </x:c>
    </x:row>
    <x:row r="68" ht="23" customHeight="1">
      <x:c r="A68" s="8" t="str">
        <x:v>Ashland Reservoir</x:v>
      </x:c>
      <x:c r="B68" s="8" t="str">
        <x:v>6903</x:v>
      </x:c>
      <x:c r="C68" s="17" t="n">
        <x:v>2024</x:v>
      </x:c>
      <x:c r="D68" s="18" t="n">
        <x:v>45411</x:v>
      </x:c>
      <x:c r="E68" s="8" t="str">
        <x:v>RAINBOW TROUT</x:v>
      </x:c>
      <x:c r="F68" s="13" t="n">
        <x:v>3200</x:v>
      </x:c>
      <x:c r="G68" s="9" t="n">
        <x:v>20</x:v>
      </x:c>
      <x:c r="H68" s="9" t="n">
        <x:v>85.8</x:v>
      </x:c>
      <x:c r="I68" s="8" t="str">
        <x:f>B68&amp;" / "&amp;C68&amp;" / "&amp;E68</x:f>
        <x:v>6903 / 2024 / RAINBOW TROUT</x:v>
      </x:c>
    </x:row>
    <x:row r="69" ht="23" customHeight="1">
      <x:c r="A69" s="8" t="str">
        <x:v>Ashland Reservoir</x:v>
      </x:c>
      <x:c r="B69" s="8" t="str">
        <x:v>6903</x:v>
      </x:c>
      <x:c r="C69" s="17" t="n">
        <x:v>2023</x:v>
      </x:c>
      <x:c r="D69" s="18" t="n">
        <x:v>45057</x:v>
      </x:c>
      <x:c r="E69" s="8" t="str">
        <x:v>RAINBOW TROUT</x:v>
      </x:c>
      <x:c r="F69" s="13" t="n">
        <x:v>3192</x:v>
      </x:c>
      <x:c r="G69" s="9" t="n">
        <x:v>20.1</x:v>
      </x:c>
      <x:c r="H69" s="9" t="n">
        <x:v>89.7</x:v>
      </x:c>
      <x:c r="I69" s="8" t="str">
        <x:f>B69&amp;" / "&amp;C69&amp;" / "&amp;E69</x:f>
        <x:v>6903 / 2023 / RAINBOW TROUT</x:v>
      </x:c>
    </x:row>
    <x:row r="70" ht="23" customHeight="1">
      <x:c r="A70" s="8" t="str">
        <x:v>Ashland Reservoir</x:v>
      </x:c>
      <x:c r="B70" s="8" t="str">
        <x:v>6903</x:v>
      </x:c>
      <x:c r="C70" s="17" t="n">
        <x:v>2023</x:v>
      </x:c>
      <x:c r="D70" s="18" t="n">
        <x:v>45053</x:v>
      </x:c>
      <x:c r="E70" s="8" t="str">
        <x:v>RAINBOW TROUT</x:v>
      </x:c>
      <x:c r="F70" s="13" t="n">
        <x:v>4000</x:v>
      </x:c>
      <x:c r="G70" s="9" t="n">
        <x:v>8.3</x:v>
      </x:c>
      <x:c r="H70" s="9" t="n">
        <x:v>6.2</x:v>
      </x:c>
      <x:c r="I70" s="8" t="str">
        <x:f>B70&amp;" / "&amp;C70&amp;" / "&amp;E70</x:f>
        <x:v>6903 / 2023 / RAINBOW TROUT</x:v>
      </x:c>
    </x:row>
    <x:row r="71" ht="23" customHeight="1">
      <x:c r="A71" s="8" t="str">
        <x:v>Ashland Reservoir</x:v>
      </x:c>
      <x:c r="B71" s="8" t="str">
        <x:v>6903</x:v>
      </x:c>
      <x:c r="C71" s="17" t="n">
        <x:v>2022</x:v>
      </x:c>
      <x:c r="D71" s="18" t="n">
        <x:v>44832</x:v>
      </x:c>
      <x:c r="E71" s="8" t="str">
        <x:v>RAINBOW TROUT</x:v>
      </x:c>
      <x:c r="F71" s="13" t="n">
        <x:v>1500</x:v>
      </x:c>
      <x:c r="G71" s="9" t="n">
        <x:v>19.2</x:v>
      </x:c>
      <x:c r="H71" s="9" t="n">
        <x:v>77.3</x:v>
      </x:c>
      <x:c r="I71" s="8" t="str">
        <x:f>B71&amp;" / "&amp;C71&amp;" / "&amp;E71</x:f>
        <x:v>6903 / 2022 / RAINBOW TROUT</x:v>
      </x:c>
    </x:row>
    <x:row r="72" ht="23" customHeight="1">
      <x:c r="A72" s="8" t="str">
        <x:v>Ashland Reservoir</x:v>
      </x:c>
      <x:c r="B72" s="8" t="str">
        <x:v>6903</x:v>
      </x:c>
      <x:c r="C72" s="17" t="n">
        <x:v>2022</x:v>
      </x:c>
      <x:c r="D72" s="18" t="n">
        <x:v>44690</x:v>
      </x:c>
      <x:c r="E72" s="8" t="str">
        <x:v>RAINBOW TROUT</x:v>
      </x:c>
      <x:c r="F72" s="13" t="n">
        <x:v>8000</x:v>
      </x:c>
      <x:c r="G72" s="9" t="n">
        <x:v>20.9</x:v>
      </x:c>
      <x:c r="H72" s="9" t="n">
        <x:v>98.2</x:v>
      </x:c>
      <x:c r="I72" s="8" t="str">
        <x:f>B72&amp;" / "&amp;C72&amp;" / "&amp;E72</x:f>
        <x:v>6903 / 2022 / RAINBOW TROUT</x:v>
      </x:c>
    </x:row>
    <x:row r="73" ht="23" customHeight="1">
      <x:c r="A73" s="8" t="str">
        <x:v>Ashland Reservoir</x:v>
      </x:c>
      <x:c r="B73" s="8" t="str">
        <x:v>6903</x:v>
      </x:c>
      <x:c r="C73" s="17" t="n">
        <x:v>2021</x:v>
      </x:c>
      <x:c r="D73" s="18" t="n">
        <x:v>44460</x:v>
      </x:c>
      <x:c r="E73" s="8" t="str">
        <x:v>RAINBOW TROUT</x:v>
      </x:c>
      <x:c r="F73" s="13" t="n">
        <x:v>2000</x:v>
      </x:c>
      <x:c r="G73" s="9" t="n">
        <x:v>19.9</x:v>
      </x:c>
      <x:c r="H73" s="9" t="n">
        <x:v>87.3</x:v>
      </x:c>
      <x:c r="I73" s="8" t="str">
        <x:f>B73&amp;" / "&amp;C73&amp;" / "&amp;E73</x:f>
        <x:v>6903 / 2021 / RAINBOW TROUT</x:v>
      </x:c>
    </x:row>
    <x:row r="74" ht="23" customHeight="1">
      <x:c r="A74" s="8" t="str">
        <x:v>Ashland Reservoir</x:v>
      </x:c>
      <x:c r="B74" s="8" t="str">
        <x:v>6903</x:v>
      </x:c>
      <x:c r="C74" s="17" t="n">
        <x:v>2021</x:v>
      </x:c>
      <x:c r="D74" s="18" t="n">
        <x:v>44332</x:v>
      </x:c>
      <x:c r="E74" s="8" t="str">
        <x:v>RAINBOW TROUT</x:v>
      </x:c>
      <x:c r="F74" s="13" t="n">
        <x:v>8000</x:v>
      </x:c>
      <x:c r="G74" s="9" t="n">
        <x:v>21.6</x:v>
      </x:c>
      <x:c r="H74" s="9" t="n">
        <x:v>111.2</x:v>
      </x:c>
      <x:c r="I74" s="8" t="str">
        <x:f>B74&amp;" / "&amp;C74&amp;" / "&amp;E74</x:f>
        <x:v>6903 / 2021 / RAINBOW TROUT</x:v>
      </x:c>
    </x:row>
    <x:row r="75" ht="23" customHeight="1">
      <x:c r="A75" s="8" t="str">
        <x:v>Aster Lake</x:v>
      </x:c>
      <x:c r="B75" s="8" t="str">
        <x:v>3948</x:v>
      </x:c>
      <x:c r="C75" s="17" t="n">
        <x:v>2025</x:v>
      </x:c>
      <x:c r="D75" s="18" t="n">
        <x:v>45908</x:v>
      </x:c>
      <x:c r="E75" s="8" t="str">
        <x:v>CUTTHROAT TROUT</x:v>
      </x:c>
      <x:c r="F75" s="13" t="n">
        <x:v>1300</x:v>
      </x:c>
      <x:c r="G75" s="9" t="n">
        <x:v>4.2</x:v>
      </x:c>
      <x:c r="H75" s="9" t="n">
        <x:v>0.8</x:v>
      </x:c>
      <x:c r="I75" s="8" t="str">
        <x:f>B75&amp;" / "&amp;C75&amp;" / "&amp;E75</x:f>
        <x:v>3948 / 2025 / CUTTHROAT TROUT</x:v>
      </x:c>
    </x:row>
    <x:row r="76" ht="23" customHeight="1">
      <x:c r="A76" s="8" t="str">
        <x:v>Aster Lake</x:v>
      </x:c>
      <x:c r="B76" s="8" t="str">
        <x:v>3948</x:v>
      </x:c>
      <x:c r="C76" s="17" t="n">
        <x:v>2021</x:v>
      </x:c>
      <x:c r="D76" s="18" t="n">
        <x:v>44447</x:v>
      </x:c>
      <x:c r="E76" s="8" t="str">
        <x:v>CUTTHROAT TROUT</x:v>
      </x:c>
      <x:c r="F76" s="13" t="n">
        <x:v>1300</x:v>
      </x:c>
      <x:c r="G76" s="9" t="n">
        <x:v>4.9</x:v>
      </x:c>
      <x:c r="H76" s="9" t="n">
        <x:v>1.3</x:v>
      </x:c>
      <x:c r="I76" s="8" t="str">
        <x:f>B76&amp;" / "&amp;C76&amp;" / "&amp;E76</x:f>
        <x:v>3948 / 2021 / CUTTHROAT TROUT</x:v>
      </x:c>
    </x:row>
    <x:row r="77" ht="23" customHeight="1">
      <x:c r="A77" s="8" t="str">
        <x:v>Atlantic Richfield Reservoir</x:v>
      </x:c>
      <x:c r="B77" s="8" t="str">
        <x:v>6904</x:v>
      </x:c>
      <x:c r="C77" s="17" t="n">
        <x:v>2026</x:v>
      </x:c>
      <x:c r="D77" s="18" t="n">
        <x:v>46188</x:v>
      </x:c>
      <x:c r="E77" s="8" t="str">
        <x:v>RAINBOW TROUT</x:v>
      </x:c>
      <x:c r="F77" s="13" t="n">
        <x:v>1800</x:v>
      </x:c>
      <x:c r="G77" s="9" t="n">
        <x:v>21.3</x:v>
      </x:c>
      <x:c r="H77" s="9" t="n">
        <x:v>107.3</x:v>
      </x:c>
      <x:c r="I77" s="8" t="str">
        <x:f>B77&amp;" / "&amp;C77&amp;" / "&amp;E77</x:f>
        <x:v>6904 / 2026 / RAINBOW TROUT</x:v>
      </x:c>
    </x:row>
    <x:row r="78" ht="23" customHeight="1">
      <x:c r="A78" s="8" t="str">
        <x:v>Atlantic Richfield Reservoir</x:v>
      </x:c>
      <x:c r="B78" s="8" t="str">
        <x:v>6904</x:v>
      </x:c>
      <x:c r="C78" s="17" t="n">
        <x:v>2025</x:v>
      </x:c>
      <x:c r="D78" s="18" t="n">
        <x:v>45818</x:v>
      </x:c>
      <x:c r="E78" s="8" t="str">
        <x:v>RAINBOW TROUT</x:v>
      </x:c>
      <x:c r="F78" s="13" t="n">
        <x:v>1800</x:v>
      </x:c>
      <x:c r="G78" s="9" t="n">
        <x:v>22.5</x:v>
      </x:c>
      <x:c r="H78" s="9" t="n">
        <x:v>126.9</x:v>
      </x:c>
      <x:c r="I78" s="8" t="str">
        <x:f>B78&amp;" / "&amp;C78&amp;" / "&amp;E78</x:f>
        <x:v>6904 / 2025 / RAINBOW TROUT</x:v>
      </x:c>
    </x:row>
    <x:row r="79" ht="23" customHeight="1">
      <x:c r="A79" s="8" t="str">
        <x:v>Atlantic Richfield Reservoir</x:v>
      </x:c>
      <x:c r="B79" s="8" t="str">
        <x:v>6904</x:v>
      </x:c>
      <x:c r="C79" s="17" t="n">
        <x:v>2024</x:v>
      </x:c>
      <x:c r="D79" s="18" t="n">
        <x:v>45428</x:v>
      </x:c>
      <x:c r="E79" s="8" t="str">
        <x:v>RAINBOW TROUT</x:v>
      </x:c>
      <x:c r="F79" s="13" t="n">
        <x:v>1220</x:v>
      </x:c>
      <x:c r="G79" s="9" t="n">
        <x:v>20.2</x:v>
      </x:c>
      <x:c r="H79" s="9" t="n">
        <x:v>88.9</x:v>
      </x:c>
      <x:c r="I79" s="8" t="str">
        <x:f>B79&amp;" / "&amp;C79&amp;" / "&amp;E79</x:f>
        <x:v>6904 / 2024 / RAINBOW TROUT</x:v>
      </x:c>
    </x:row>
    <x:row r="80" ht="23" customHeight="1">
      <x:c r="A80" s="8" t="str">
        <x:v>Atlantic Richfield Reservoir</x:v>
      </x:c>
      <x:c r="B80" s="8" t="str">
        <x:v>6904</x:v>
      </x:c>
      <x:c r="C80" s="17" t="n">
        <x:v>2023</x:v>
      </x:c>
      <x:c r="D80" s="18" t="n">
        <x:v>45188</x:v>
      </x:c>
      <x:c r="E80" s="8" t="str">
        <x:v>RAINBOW TROUT</x:v>
      </x:c>
      <x:c r="F80" s="13" t="n">
        <x:v>900</x:v>
      </x:c>
      <x:c r="G80" s="9" t="n">
        <x:v>25.6</x:v>
      </x:c>
      <x:c r="H80" s="9" t="n">
        <x:v>182.1</x:v>
      </x:c>
      <x:c r="I80" s="8" t="str">
        <x:f>B80&amp;" / "&amp;C80&amp;" / "&amp;E80</x:f>
        <x:v>6904 / 2023 / RAINBOW TROUT</x:v>
      </x:c>
    </x:row>
    <x:row r="81" ht="23" customHeight="1">
      <x:c r="A81" s="8" t="str">
        <x:v>Atlantic Richfield Reservoir</x:v>
      </x:c>
      <x:c r="B81" s="8" t="str">
        <x:v>6904</x:v>
      </x:c>
      <x:c r="C81" s="17" t="n">
        <x:v>2023</x:v>
      </x:c>
      <x:c r="D81" s="18" t="n">
        <x:v>45181</x:v>
      </x:c>
      <x:c r="E81" s="8" t="str">
        <x:v>RAINBOW TROUT</x:v>
      </x:c>
      <x:c r="F81" s="13" t="n">
        <x:v>1802</x:v>
      </x:c>
      <x:c r="G81" s="9" t="n">
        <x:v>17.1</x:v>
      </x:c>
      <x:c r="H81" s="9" t="n">
        <x:v>52.7</x:v>
      </x:c>
      <x:c r="I81" s="8" t="str">
        <x:f>B81&amp;" / "&amp;C81&amp;" / "&amp;E81</x:f>
        <x:v>6904 / 2023 / RAINBOW TROUT</x:v>
      </x:c>
    </x:row>
    <x:row r="82" ht="23" customHeight="1">
      <x:c r="A82" s="8" t="str">
        <x:v>Atlantic Richfield Reservoir</x:v>
      </x:c>
      <x:c r="B82" s="8" t="str">
        <x:v>6904</x:v>
      </x:c>
      <x:c r="C82" s="17" t="n">
        <x:v>2022</x:v>
      </x:c>
      <x:c r="D82" s="18" t="n">
        <x:v>44699</x:v>
      </x:c>
      <x:c r="E82" s="8" t="str">
        <x:v>RAINBOW TROUT</x:v>
      </x:c>
      <x:c r="F82" s="13" t="n">
        <x:v>1800</x:v>
      </x:c>
      <x:c r="G82" s="9" t="n">
        <x:v>21.9</x:v>
      </x:c>
      <x:c r="H82" s="9" t="n">
        <x:v>116.9</x:v>
      </x:c>
      <x:c r="I82" s="8" t="str">
        <x:f>B82&amp;" / "&amp;C82&amp;" / "&amp;E82</x:f>
        <x:v>6904 / 2022 / RAINBOW TROUT</x:v>
      </x:c>
    </x:row>
    <x:row r="83" ht="23" customHeight="1">
      <x:c r="A83" s="8" t="str">
        <x:v>Atlantic Richfield Reservoir</x:v>
      </x:c>
      <x:c r="B83" s="8" t="str">
        <x:v>6904</x:v>
      </x:c>
      <x:c r="C83" s="17" t="n">
        <x:v>2021</x:v>
      </x:c>
      <x:c r="D83" s="18" t="n">
        <x:v>44348</x:v>
      </x:c>
      <x:c r="E83" s="8" t="str">
        <x:v>RAINBOW TROUT</x:v>
      </x:c>
      <x:c r="F83" s="13" t="n">
        <x:v>1800</x:v>
      </x:c>
      <x:c r="G83" s="9" t="n">
        <x:v>20.9</x:v>
      </x:c>
      <x:c r="H83" s="9" t="n">
        <x:v>101.1</x:v>
      </x:c>
      <x:c r="I83" s="8" t="str">
        <x:f>B83&amp;" / "&amp;C83&amp;" / "&amp;E83</x:f>
        <x:v>6904 / 2021 / RAINBOW TROUT</x:v>
      </x:c>
    </x:row>
    <x:row r="84" ht="23" customHeight="1">
      <x:c r="A84" s="8" t="str">
        <x:v>Badger Lake Reservoir</x:v>
      </x:c>
      <x:c r="B84" s="8" t="str">
        <x:v>3959</x:v>
      </x:c>
      <x:c r="C84" s="17" t="n">
        <x:v>2023</x:v>
      </x:c>
      <x:c r="D84" s="18" t="n">
        <x:v>45077</x:v>
      </x:c>
      <x:c r="E84" s="8" t="str">
        <x:v>WALLEYE</x:v>
      </x:c>
      <x:c r="F84" s="13" t="n">
        <x:v>213000</x:v>
      </x:c>
      <x:c r="G84" s="9" t="n">
        <x:v>0.4</x:v>
      </x:c>
      <x:c r="H84" s="9" t="n">
        <x:v>0</x:v>
      </x:c>
      <x:c r="I84" s="8" t="str">
        <x:f>B84&amp;" / "&amp;C84&amp;" / "&amp;E84</x:f>
        <x:v>3959 / 2023 / WALLEYE</x:v>
      </x:c>
    </x:row>
    <x:row r="85" ht="23" customHeight="1">
      <x:c r="A85" s="8" t="str">
        <x:v>Bashaw Pond</x:v>
      </x:c>
      <x:c r="B85" s="8" t="str">
        <x:v>6905</x:v>
      </x:c>
      <x:c r="C85" s="17" t="n">
        <x:v>2026</x:v>
      </x:c>
      <x:c r="D85" s="18" t="n">
        <x:v>46149</x:v>
      </x:c>
      <x:c r="E85" s="8" t="str">
        <x:v>BROOK TROUT</x:v>
      </x:c>
      <x:c r="F85" s="13" t="n">
        <x:v>200</x:v>
      </x:c>
      <x:c r="G85" s="9" t="n">
        <x:v>19.5</x:v>
      </x:c>
      <x:c r="H85" s="9" t="n">
        <x:v>80</x:v>
      </x:c>
      <x:c r="I85" s="8" t="str">
        <x:f>B85&amp;" / "&amp;C85&amp;" / "&amp;E85</x:f>
        <x:v>6905 / 2026 / BROOK TROUT</x:v>
      </x:c>
    </x:row>
    <x:row r="86" ht="23" customHeight="1">
      <x:c r="A86" s="8" t="str">
        <x:v>Bashaw Pond</x:v>
      </x:c>
      <x:c r="B86" s="8" t="str">
        <x:v>6905</x:v>
      </x:c>
      <x:c r="C86" s="17" t="n">
        <x:v>2026</x:v>
      </x:c>
      <x:c r="D86" s="18" t="n">
        <x:v>46149</x:v>
      </x:c>
      <x:c r="E86" s="8" t="str">
        <x:v>RAINBOW TROUT</x:v>
      </x:c>
      <x:c r="F86" s="13" t="n">
        <x:v>500</x:v>
      </x:c>
      <x:c r="G86" s="9" t="n">
        <x:v>24.2</x:v>
      </x:c>
      <x:c r="H86" s="9" t="n">
        <x:v>152.2</x:v>
      </x:c>
      <x:c r="I86" s="8" t="str">
        <x:f>B86&amp;" / "&amp;C86&amp;" / "&amp;E86</x:f>
        <x:v>6905 / 2026 / RAINBOW TROUT</x:v>
      </x:c>
    </x:row>
    <x:row r="87" ht="23" customHeight="1">
      <x:c r="A87" s="8" t="str">
        <x:v>Bashaw Pond</x:v>
      </x:c>
      <x:c r="B87" s="8" t="str">
        <x:v>6905</x:v>
      </x:c>
      <x:c r="C87" s="17" t="n">
        <x:v>2025</x:v>
      </x:c>
      <x:c r="D87" s="18" t="n">
        <x:v>45771</x:v>
      </x:c>
      <x:c r="E87" s="8" t="str">
        <x:v>BROOK TROUT</x:v>
      </x:c>
      <x:c r="F87" s="13" t="n">
        <x:v>200</x:v>
      </x:c>
      <x:c r="G87" s="9" t="n">
        <x:v>20.2</x:v>
      </x:c>
      <x:c r="H87" s="9" t="n">
        <x:v>89.2</x:v>
      </x:c>
      <x:c r="I87" s="8" t="str">
        <x:f>B87&amp;" / "&amp;C87&amp;" / "&amp;E87</x:f>
        <x:v>6905 / 2025 / BROOK TROUT</x:v>
      </x:c>
    </x:row>
    <x:row r="88" ht="23" customHeight="1">
      <x:c r="A88" s="8" t="str">
        <x:v>Bashaw Pond</x:v>
      </x:c>
      <x:c r="B88" s="8" t="str">
        <x:v>6905</x:v>
      </x:c>
      <x:c r="C88" s="17" t="n">
        <x:v>2025</x:v>
      </x:c>
      <x:c r="D88" s="18" t="n">
        <x:v>45771</x:v>
      </x:c>
      <x:c r="E88" s="8" t="str">
        <x:v>RAINBOW TROUT</x:v>
      </x:c>
      <x:c r="F88" s="13" t="n">
        <x:v>500</x:v>
      </x:c>
      <x:c r="G88" s="9" t="n">
        <x:v>20.3</x:v>
      </x:c>
      <x:c r="H88" s="9" t="n">
        <x:v>90.9</x:v>
      </x:c>
      <x:c r="I88" s="8" t="str">
        <x:f>B88&amp;" / "&amp;C88&amp;" / "&amp;E88</x:f>
        <x:v>6905 / 2025 / RAINBOW TROUT</x:v>
      </x:c>
    </x:row>
    <x:row r="89" ht="23" customHeight="1">
      <x:c r="A89" s="8" t="str">
        <x:v>Bashaw Pond</x:v>
      </x:c>
      <x:c r="B89" s="8" t="str">
        <x:v>6905</x:v>
      </x:c>
      <x:c r="C89" s="17" t="n">
        <x:v>2024</x:v>
      </x:c>
      <x:c r="D89" s="18" t="n">
        <x:v>45400</x:v>
      </x:c>
      <x:c r="E89" s="8" t="str">
        <x:v>BROOK TROUT</x:v>
      </x:c>
      <x:c r="F89" s="13" t="n">
        <x:v>200</x:v>
      </x:c>
      <x:c r="G89" s="9" t="n">
        <x:v>19.1</x:v>
      </x:c>
      <x:c r="H89" s="9" t="n">
        <x:v>75</x:v>
      </x:c>
      <x:c r="I89" s="8" t="str">
        <x:f>B89&amp;" / "&amp;C89&amp;" / "&amp;E89</x:f>
        <x:v>6905 / 2024 / BROOK TROUT</x:v>
      </x:c>
    </x:row>
    <x:row r="90" ht="23" customHeight="1">
      <x:c r="A90" s="8" t="str">
        <x:v>Bashaw Pond</x:v>
      </x:c>
      <x:c r="B90" s="8" t="str">
        <x:v>6905</x:v>
      </x:c>
      <x:c r="C90" s="17" t="n">
        <x:v>2024</x:v>
      </x:c>
      <x:c r="D90" s="18" t="n">
        <x:v>45400</x:v>
      </x:c>
      <x:c r="E90" s="8" t="str">
        <x:v>RAINBOW TROUT</x:v>
      </x:c>
      <x:c r="F90" s="13" t="n">
        <x:v>500</x:v>
      </x:c>
      <x:c r="G90" s="9" t="n">
        <x:v>20.9</x:v>
      </x:c>
      <x:c r="H90" s="9" t="n">
        <x:v>98</x:v>
      </x:c>
      <x:c r="I90" s="8" t="str">
        <x:f>B90&amp;" / "&amp;C90&amp;" / "&amp;E90</x:f>
        <x:v>6905 / 2024 / RAINBOW TROUT</x:v>
      </x:c>
    </x:row>
    <x:row r="91" ht="23" customHeight="1">
      <x:c r="A91" s="8" t="str">
        <x:v>Bashaw Pond</x:v>
      </x:c>
      <x:c r="B91" s="8" t="str">
        <x:v>6905</x:v>
      </x:c>
      <x:c r="C91" s="17" t="n">
        <x:v>2023</x:v>
      </x:c>
      <x:c r="D91" s="18" t="n">
        <x:v>45049</x:v>
      </x:c>
      <x:c r="E91" s="8" t="str">
        <x:v>BROOK TROUT</x:v>
      </x:c>
      <x:c r="F91" s="13" t="n">
        <x:v>200</x:v>
      </x:c>
      <x:c r="G91" s="9" t="n">
        <x:v>19.7</x:v>
      </x:c>
      <x:c r="H91" s="9" t="n">
        <x:v>82</x:v>
      </x:c>
      <x:c r="I91" s="8" t="str">
        <x:f>B91&amp;" / "&amp;C91&amp;" / "&amp;E91</x:f>
        <x:v>6905 / 2023 / BROOK TROUT</x:v>
      </x:c>
    </x:row>
    <x:row r="92" ht="23" customHeight="1">
      <x:c r="A92" s="8" t="str">
        <x:v>Bashaw Pond</x:v>
      </x:c>
      <x:c r="B92" s="8" t="str">
        <x:v>6905</x:v>
      </x:c>
      <x:c r="C92" s="17" t="n">
        <x:v>2023</x:v>
      </x:c>
      <x:c r="D92" s="18" t="n">
        <x:v>45049</x:v>
      </x:c>
      <x:c r="E92" s="8" t="str">
        <x:v>RAINBOW TROUT</x:v>
      </x:c>
      <x:c r="F92" s="13" t="n">
        <x:v>500</x:v>
      </x:c>
      <x:c r="G92" s="9" t="n">
        <x:v>20</x:v>
      </x:c>
      <x:c r="H92" s="9" t="n">
        <x:v>85.9</x:v>
      </x:c>
      <x:c r="I92" s="8" t="str">
        <x:f>B92&amp;" / "&amp;C92&amp;" / "&amp;E92</x:f>
        <x:v>6905 / 2023 / RAINBOW TROUT</x:v>
      </x:c>
    </x:row>
    <x:row r="93" ht="23" customHeight="1">
      <x:c r="A93" s="8" t="str">
        <x:v>Bashaw Pond</x:v>
      </x:c>
      <x:c r="B93" s="8" t="str">
        <x:v>6905</x:v>
      </x:c>
      <x:c r="C93" s="17" t="n">
        <x:v>2022</x:v>
      </x:c>
      <x:c r="D93" s="18" t="n">
        <x:v>44679</x:v>
      </x:c>
      <x:c r="E93" s="8" t="str">
        <x:v>BROOK TROUT</x:v>
      </x:c>
      <x:c r="F93" s="13" t="n">
        <x:v>200</x:v>
      </x:c>
      <x:c r="G93" s="9" t="n">
        <x:v>19.2</x:v>
      </x:c>
      <x:c r="H93" s="9" t="n">
        <x:v>78.2</x:v>
      </x:c>
      <x:c r="I93" s="8" t="str">
        <x:f>B93&amp;" / "&amp;C93&amp;" / "&amp;E93</x:f>
        <x:v>6905 / 2022 / BROOK TROUT</x:v>
      </x:c>
    </x:row>
    <x:row r="94" ht="23" customHeight="1">
      <x:c r="A94" s="8" t="str">
        <x:v>Bashaw Pond</x:v>
      </x:c>
      <x:c r="B94" s="8" t="str">
        <x:v>6905</x:v>
      </x:c>
      <x:c r="C94" s="17" t="n">
        <x:v>2022</x:v>
      </x:c>
      <x:c r="D94" s="18" t="n">
        <x:v>44679</x:v>
      </x:c>
      <x:c r="E94" s="8" t="str">
        <x:v>RAINBOW TROUT</x:v>
      </x:c>
      <x:c r="F94" s="13" t="n">
        <x:v>500</x:v>
      </x:c>
      <x:c r="G94" s="9" t="n">
        <x:v>21.2</x:v>
      </x:c>
      <x:c r="H94" s="9" t="n">
        <x:v>105</x:v>
      </x:c>
      <x:c r="I94" s="8" t="str">
        <x:f>B94&amp;" / "&amp;C94&amp;" / "&amp;E94</x:f>
        <x:v>6905 / 2022 / RAINBOW TROUT</x:v>
      </x:c>
    </x:row>
    <x:row r="95" ht="23" customHeight="1">
      <x:c r="A95" s="8" t="str">
        <x:v>Bashaw Pond</x:v>
      </x:c>
      <x:c r="B95" s="8" t="str">
        <x:v>6905</x:v>
      </x:c>
      <x:c r="C95" s="17" t="n">
        <x:v>2021</x:v>
      </x:c>
      <x:c r="D95" s="18" t="n">
        <x:v>44308</x:v>
      </x:c>
      <x:c r="E95" s="8" t="str">
        <x:v>BROOK TROUT</x:v>
      </x:c>
      <x:c r="F95" s="13" t="n">
        <x:v>200</x:v>
      </x:c>
      <x:c r="G95" s="9" t="n">
        <x:v>18.4</x:v>
      </x:c>
      <x:c r="H95" s="9" t="n">
        <x:v>68.9</x:v>
      </x:c>
      <x:c r="I95" s="8" t="str">
        <x:f>B95&amp;" / "&amp;C95&amp;" / "&amp;E95</x:f>
        <x:v>6905 / 2021 / BROOK TROUT</x:v>
      </x:c>
    </x:row>
    <x:row r="96" ht="23" customHeight="1">
      <x:c r="A96" s="8" t="str">
        <x:v>Bashaw Pond</x:v>
      </x:c>
      <x:c r="B96" s="8" t="str">
        <x:v>6905</x:v>
      </x:c>
      <x:c r="C96" s="17" t="n">
        <x:v>2021</x:v>
      </x:c>
      <x:c r="D96" s="18" t="n">
        <x:v>44308</x:v>
      </x:c>
      <x:c r="E96" s="8" t="str">
        <x:v>RAINBOW TROUT</x:v>
      </x:c>
      <x:c r="F96" s="13" t="n">
        <x:v>500</x:v>
      </x:c>
      <x:c r="G96" s="9" t="n">
        <x:v>20.4</x:v>
      </x:c>
      <x:c r="H96" s="9" t="n">
        <x:v>93.3</x:v>
      </x:c>
      <x:c r="I96" s="8" t="str">
        <x:f>B96&amp;" / "&amp;C96&amp;" / "&amp;E96</x:f>
        <x:v>6905 / 2021 / RAINBOW TROUT</x:v>
      </x:c>
    </x:row>
    <x:row r="97" ht="23" customHeight="1">
      <x:c r="A97" s="8" t="str">
        <x:v>Bathing Lake</x:v>
      </x:c>
      <x:c r="B97" s="8" t="str">
        <x:v>6892</x:v>
      </x:c>
      <x:c r="C97" s="17" t="n">
        <x:v>2026</x:v>
      </x:c>
      <x:c r="D97" s="18" t="n">
        <x:v>46141</x:v>
      </x:c>
      <x:c r="E97" s="8" t="str">
        <x:v>RAINBOW TROUT</x:v>
      </x:c>
      <x:c r="F97" s="13" t="n">
        <x:v>500</x:v>
      </x:c>
      <x:c r="G97" s="9" t="n">
        <x:v>23.8</x:v>
      </x:c>
      <x:c r="H97" s="9" t="n">
        <x:v>145.5</x:v>
      </x:c>
      <x:c r="I97" s="8" t="str">
        <x:f>B97&amp;" / "&amp;C97&amp;" / "&amp;E97</x:f>
        <x:v>6892 / 2026 / RAINBOW TROUT</x:v>
      </x:c>
    </x:row>
    <x:row r="98" ht="23" customHeight="1">
      <x:c r="A98" s="8" t="str">
        <x:v>Bathing Lake</x:v>
      </x:c>
      <x:c r="B98" s="8" t="str">
        <x:v>6892</x:v>
      </x:c>
      <x:c r="C98" s="17" t="n">
        <x:v>2026</x:v>
      </x:c>
      <x:c r="D98" s="18" t="n">
        <x:v>46141</x:v>
      </x:c>
      <x:c r="E98" s="8" t="str">
        <x:v>WESTSLOPE CUTTHROAT TROUT</x:v>
      </x:c>
      <x:c r="F98" s="13" t="n">
        <x:v>500</x:v>
      </x:c>
      <x:c r="G98" s="9" t="n">
        <x:v>13.2</x:v>
      </x:c>
      <x:c r="H98" s="9" t="n">
        <x:v>25</x:v>
      </x:c>
      <x:c r="I98" s="8" t="str">
        <x:f>B98&amp;" / "&amp;C98&amp;" / "&amp;E98</x:f>
        <x:v>6892 / 2026 / WESTSLOPE CUTTHROAT TROUT</x:v>
      </x:c>
    </x:row>
    <x:row r="99" ht="23" customHeight="1">
      <x:c r="A99" s="8" t="str">
        <x:v>Bathing Lake</x:v>
      </x:c>
      <x:c r="B99" s="8" t="str">
        <x:v>6892</x:v>
      </x:c>
      <x:c r="C99" s="17" t="n">
        <x:v>2025</x:v>
      </x:c>
      <x:c r="D99" s="18" t="n">
        <x:v>45791</x:v>
      </x:c>
      <x:c r="E99" s="8" t="str">
        <x:v>CUTTHROAT TROUT</x:v>
      </x:c>
      <x:c r="F99" s="13" t="n">
        <x:v>1000</x:v>
      </x:c>
      <x:c r="G99" s="9" t="n">
        <x:v>13.2</x:v>
      </x:c>
      <x:c r="H99" s="9" t="n">
        <x:v>24.7</x:v>
      </x:c>
      <x:c r="I99" s="8" t="str">
        <x:f>B99&amp;" / "&amp;C99&amp;" / "&amp;E99</x:f>
        <x:v>6892 / 2025 / CUTTHROAT TROUT</x:v>
      </x:c>
    </x:row>
    <x:row r="100" ht="23" customHeight="1">
      <x:c r="A100" s="8" t="str">
        <x:v>Bathing Lake</x:v>
      </x:c>
      <x:c r="B100" s="8" t="str">
        <x:v>6892</x:v>
      </x:c>
      <x:c r="C100" s="17" t="n">
        <x:v>2024</x:v>
      </x:c>
      <x:c r="D100" s="18" t="n">
        <x:v>45421</x:v>
      </x:c>
      <x:c r="E100" s="8" t="str">
        <x:v>RAINBOW TROUT</x:v>
      </x:c>
      <x:c r="F100" s="13" t="n">
        <x:v>775</x:v>
      </x:c>
      <x:c r="G100" s="9" t="n">
        <x:v>18.6</x:v>
      </x:c>
      <x:c r="H100" s="9" t="n">
        <x:v>70</x:v>
      </x:c>
      <x:c r="I100" s="8" t="str">
        <x:f>B100&amp;" / "&amp;C100&amp;" / "&amp;E100</x:f>
        <x:v>6892 / 2024 / RAINBOW TROUT</x:v>
      </x:c>
    </x:row>
    <x:row r="101" ht="23" customHeight="1">
      <x:c r="A101" s="8" t="str">
        <x:v>Bathing Lake</x:v>
      </x:c>
      <x:c r="B101" s="8" t="str">
        <x:v>6892</x:v>
      </x:c>
      <x:c r="C101" s="17" t="n">
        <x:v>2023</x:v>
      </x:c>
      <x:c r="D101" s="18" t="n">
        <x:v>45048</x:v>
      </x:c>
      <x:c r="E101" s="8" t="str">
        <x:v>CUTTHROAT TROUT</x:v>
      </x:c>
      <x:c r="F101" s="13" t="n">
        <x:v>775</x:v>
      </x:c>
      <x:c r="G101" s="9" t="n">
        <x:v>15.5</x:v>
      </x:c>
      <x:c r="H101" s="9" t="n">
        <x:v>45</x:v>
      </x:c>
      <x:c r="I101" s="8" t="str">
        <x:f>B101&amp;" / "&amp;C101&amp;" / "&amp;E101</x:f>
        <x:v>6892 / 2023 / CUTTHROAT TROUT</x:v>
      </x:c>
    </x:row>
    <x:row r="102" ht="23" customHeight="1">
      <x:c r="A102" s="8" t="str">
        <x:v>Bathing Lake</x:v>
      </x:c>
      <x:c r="B102" s="8" t="str">
        <x:v>6892</x:v>
      </x:c>
      <x:c r="C102" s="17" t="n">
        <x:v>2022</x:v>
      </x:c>
      <x:c r="D102" s="18" t="n">
        <x:v>44691</x:v>
      </x:c>
      <x:c r="E102" s="8" t="str">
        <x:v>CUTTHROAT TROUT</x:v>
      </x:c>
      <x:c r="F102" s="13" t="n">
        <x:v>775</x:v>
      </x:c>
      <x:c r="G102" s="9" t="n">
        <x:v>16.7</x:v>
      </x:c>
      <x:c r="H102" s="9" t="n">
        <x:v>48.6</x:v>
      </x:c>
      <x:c r="I102" s="8" t="str">
        <x:f>B102&amp;" / "&amp;C102&amp;" / "&amp;E102</x:f>
        <x:v>6892 / 2022 / CUTTHROAT TROUT</x:v>
      </x:c>
    </x:row>
    <x:row r="103" ht="23" customHeight="1">
      <x:c r="A103" s="8" t="str">
        <x:v>Bathing Lake</x:v>
      </x:c>
      <x:c r="B103" s="8" t="str">
        <x:v>6892</x:v>
      </x:c>
      <x:c r="C103" s="17" t="n">
        <x:v>2021</x:v>
      </x:c>
      <x:c r="D103" s="18" t="n">
        <x:v>44316</x:v>
      </x:c>
      <x:c r="E103" s="8" t="str">
        <x:v>RAINBOW TROUT</x:v>
      </x:c>
      <x:c r="F103" s="13" t="n">
        <x:v>775</x:v>
      </x:c>
      <x:c r="G103" s="9" t="n">
        <x:v>21.2</x:v>
      </x:c>
      <x:c r="H103" s="9" t="n">
        <x:v>105.3</x:v>
      </x:c>
      <x:c r="I103" s="8" t="str">
        <x:f>B103&amp;" / "&amp;C103&amp;" / "&amp;E103</x:f>
        <x:v>6892 / 2021 / RAINBOW TROUT</x:v>
      </x:c>
    </x:row>
    <x:row r="104" ht="23" customHeight="1">
      <x:c r="A104" s="8" t="str">
        <x:v>Bear Pond</x:v>
      </x:c>
      <x:c r="B104" s="8" t="str">
        <x:v>4005</x:v>
      </x:c>
      <x:c r="C104" s="17" t="n">
        <x:v>2026</x:v>
      </x:c>
      <x:c r="D104" s="18" t="n">
        <x:v>46178</x:v>
      </x:c>
      <x:c r="E104" s="8" t="str">
        <x:v>TIGER TROUT</x:v>
      </x:c>
      <x:c r="F104" s="13" t="n">
        <x:v>750</x:v>
      </x:c>
      <x:c r="G104" s="9" t="n">
        <x:v>19.5</x:v>
      </x:c>
      <x:c r="H104" s="9" t="n">
        <x:v>80</x:v>
      </x:c>
      <x:c r="I104" s="8" t="str">
        <x:f>B104&amp;" / "&amp;C104&amp;" / "&amp;E104</x:f>
        <x:v>4005 / 2026 / TIGER TROUT</x:v>
      </x:c>
    </x:row>
    <x:row r="105" ht="23" customHeight="1">
      <x:c r="A105" s="8" t="str">
        <x:v>Bear Pond</x:v>
      </x:c>
      <x:c r="B105" s="8" t="str">
        <x:v>4005</x:v>
      </x:c>
      <x:c r="C105" s="17" t="n">
        <x:v>2025</x:v>
      </x:c>
      <x:c r="D105" s="18" t="n">
        <x:v>45810</x:v>
      </x:c>
      <x:c r="E105" s="8" t="str">
        <x:v>TIGER TROUT</x:v>
      </x:c>
      <x:c r="F105" s="13" t="n">
        <x:v>750</x:v>
      </x:c>
      <x:c r="G105" s="9" t="n">
        <x:v>21.2</x:v>
      </x:c>
      <x:c r="H105" s="9" t="n">
        <x:v>102.4</x:v>
      </x:c>
      <x:c r="I105" s="8" t="str">
        <x:f>B105&amp;" / "&amp;C105&amp;" / "&amp;E105</x:f>
        <x:v>4005 / 2025 / TIGER TROUT</x:v>
      </x:c>
    </x:row>
    <x:row r="106" ht="23" customHeight="1">
      <x:c r="A106" s="8" t="str">
        <x:v>Bear Pond</x:v>
      </x:c>
      <x:c r="B106" s="8" t="str">
        <x:v>4005</x:v>
      </x:c>
      <x:c r="C106" s="17" t="n">
        <x:v>2024</x:v>
      </x:c>
      <x:c r="D106" s="18" t="n">
        <x:v>45447</x:v>
      </x:c>
      <x:c r="E106" s="8" t="str">
        <x:v>TIGER TROUT</x:v>
      </x:c>
      <x:c r="F106" s="13" t="n">
        <x:v>750</x:v>
      </x:c>
      <x:c r="G106" s="9" t="n">
        <x:v>20</x:v>
      </x:c>
      <x:c r="H106" s="9" t="n">
        <x:v>86</x:v>
      </x:c>
      <x:c r="I106" s="8" t="str">
        <x:f>B106&amp;" / "&amp;C106&amp;" / "&amp;E106</x:f>
        <x:v>4005 / 2024 / TIGER TROUT</x:v>
      </x:c>
    </x:row>
    <x:row r="107" ht="23" customHeight="1">
      <x:c r="A107" s="8" t="str">
        <x:v>Bear Pond</x:v>
      </x:c>
      <x:c r="B107" s="8" t="str">
        <x:v>4005</x:v>
      </x:c>
      <x:c r="C107" s="17" t="n">
        <x:v>2023</x:v>
      </x:c>
      <x:c r="D107" s="18" t="n">
        <x:v>45089</x:v>
      </x:c>
      <x:c r="E107" s="8" t="str">
        <x:v>TIGER TROUT</x:v>
      </x:c>
      <x:c r="F107" s="13" t="n">
        <x:v>750</x:v>
      </x:c>
      <x:c r="G107" s="9" t="n">
        <x:v>20.3</x:v>
      </x:c>
      <x:c r="H107" s="9" t="n">
        <x:v>91.1</x:v>
      </x:c>
      <x:c r="I107" s="8" t="str">
        <x:f>B107&amp;" / "&amp;C107&amp;" / "&amp;E107</x:f>
        <x:v>4005 / 2023 / TIGER TROUT</x:v>
      </x:c>
    </x:row>
    <x:row r="108" ht="23" customHeight="1">
      <x:c r="A108" s="8" t="str">
        <x:v>Bear Pond</x:v>
      </x:c>
      <x:c r="B108" s="8" t="str">
        <x:v>4005</x:v>
      </x:c>
      <x:c r="C108" s="17" t="n">
        <x:v>2022</x:v>
      </x:c>
      <x:c r="D108" s="18" t="n">
        <x:v>44712</x:v>
      </x:c>
      <x:c r="E108" s="8" t="str">
        <x:v>TIGER TROUT</x:v>
      </x:c>
      <x:c r="F108" s="13" t="n">
        <x:v>750</x:v>
      </x:c>
      <x:c r="G108" s="9" t="n">
        <x:v>16.5</x:v>
      </x:c>
      <x:c r="H108" s="9" t="n">
        <x:v>49.1</x:v>
      </x:c>
      <x:c r="I108" s="8" t="str">
        <x:f>B108&amp;" / "&amp;C108&amp;" / "&amp;E108</x:f>
        <x:v>4005 / 2022 / TIGER TROUT</x:v>
      </x:c>
    </x:row>
    <x:row r="109" ht="23" customHeight="1">
      <x:c r="A109" s="8" t="str">
        <x:v>Bear Pond</x:v>
      </x:c>
      <x:c r="B109" s="8" t="str">
        <x:v>4005</x:v>
      </x:c>
      <x:c r="C109" s="17" t="n">
        <x:v>2021</x:v>
      </x:c>
      <x:c r="D109" s="18" t="n">
        <x:v>44363</x:v>
      </x:c>
      <x:c r="E109" s="8" t="str">
        <x:v>TIGER TROUT</x:v>
      </x:c>
      <x:c r="F109" s="13" t="n">
        <x:v>750</x:v>
      </x:c>
      <x:c r="G109" s="9" t="n">
        <x:v>16.5</x:v>
      </x:c>
      <x:c r="H109" s="9" t="n">
        <x:v>49.7</x:v>
      </x:c>
      <x:c r="I109" s="8" t="str">
        <x:f>B109&amp;" / "&amp;C109&amp;" / "&amp;E109</x:f>
        <x:v>4005 / 2021 / TIGER TROUT</x:v>
      </x:c>
    </x:row>
    <x:row r="110" ht="23" customHeight="1">
      <x:c r="A110" s="8" t="str">
        <x:v>Beaumont Pond</x:v>
      </x:c>
      <x:c r="B110" s="8" t="str">
        <x:v>6893</x:v>
      </x:c>
      <x:c r="C110" s="17" t="n">
        <x:v>2026</x:v>
      </x:c>
      <x:c r="D110" s="18" t="n">
        <x:v>46149</x:v>
      </x:c>
      <x:c r="E110" s="8" t="str">
        <x:v>BROWN TROUT</x:v>
      </x:c>
      <x:c r="F110" s="13" t="n">
        <x:v>1141</x:v>
      </x:c>
      <x:c r="G110" s="9" t="n">
        <x:v>18.2</x:v>
      </x:c>
      <x:c r="H110" s="9" t="n">
        <x:v>65.2</x:v>
      </x:c>
      <x:c r="I110" s="8" t="str">
        <x:f>B110&amp;" / "&amp;C110&amp;" / "&amp;E110</x:f>
        <x:v>6893 / 2026 / BROWN TROUT</x:v>
      </x:c>
    </x:row>
    <x:row r="111" ht="23" customHeight="1">
      <x:c r="A111" s="8" t="str">
        <x:v>Beaumont Pond</x:v>
      </x:c>
      <x:c r="B111" s="8" t="str">
        <x:v>6893</x:v>
      </x:c>
      <x:c r="C111" s="17" t="n">
        <x:v>2026</x:v>
      </x:c>
      <x:c r="D111" s="18" t="n">
        <x:v>46149</x:v>
      </x:c>
      <x:c r="E111" s="8" t="str">
        <x:v>TIGER TROUT</x:v>
      </x:c>
      <x:c r="F111" s="13" t="n">
        <x:v>200</x:v>
      </x:c>
      <x:c r="G111" s="9" t="n">
        <x:v>17.9</x:v>
      </x:c>
      <x:c r="H111" s="9" t="n">
        <x:v>62</x:v>
      </x:c>
      <x:c r="I111" s="8" t="str">
        <x:f>B111&amp;" / "&amp;C111&amp;" / "&amp;E111</x:f>
        <x:v>6893 / 2026 / TIGER TROUT</x:v>
      </x:c>
    </x:row>
    <x:row r="112" ht="23" customHeight="1">
      <x:c r="A112" s="8" t="str">
        <x:v>Beaumont Pond</x:v>
      </x:c>
      <x:c r="B112" s="8" t="str">
        <x:v>6893</x:v>
      </x:c>
      <x:c r="C112" s="17" t="n">
        <x:v>2025</x:v>
      </x:c>
      <x:c r="D112" s="18" t="n">
        <x:v>45785</x:v>
      </x:c>
      <x:c r="E112" s="8" t="str">
        <x:v>BROWN TROUT</x:v>
      </x:c>
      <x:c r="F112" s="13" t="n">
        <x:v>241</x:v>
      </x:c>
      <x:c r="G112" s="9" t="n">
        <x:v>19.4</x:v>
      </x:c>
      <x:c r="H112" s="9" t="n">
        <x:v>78.7</x:v>
      </x:c>
      <x:c r="I112" s="8" t="str">
        <x:f>B112&amp;" / "&amp;C112&amp;" / "&amp;E112</x:f>
        <x:v>6893 / 2025 / BROWN TROUT</x:v>
      </x:c>
    </x:row>
    <x:row r="113" ht="23" customHeight="1">
      <x:c r="A113" s="8" t="str">
        <x:v>Beaumont Pond</x:v>
      </x:c>
      <x:c r="B113" s="8" t="str">
        <x:v>6893</x:v>
      </x:c>
      <x:c r="C113" s="17" t="n">
        <x:v>2025</x:v>
      </x:c>
      <x:c r="D113" s="18" t="n">
        <x:v>45784</x:v>
      </x:c>
      <x:c r="E113" s="8" t="str">
        <x:v>RAINBOW TROUT</x:v>
      </x:c>
      <x:c r="F113" s="13" t="n">
        <x:v>1000</x:v>
      </x:c>
      <x:c r="G113" s="9" t="n">
        <x:v>20.4</x:v>
      </x:c>
      <x:c r="H113" s="9" t="n">
        <x:v>93.3</x:v>
      </x:c>
      <x:c r="I113" s="8" t="str">
        <x:f>B113&amp;" / "&amp;C113&amp;" / "&amp;E113</x:f>
        <x:v>6893 / 2025 / RAINBOW TROUT</x:v>
      </x:c>
    </x:row>
    <x:row r="114" ht="23" customHeight="1">
      <x:c r="A114" s="8" t="str">
        <x:v>Beaumont Pond</x:v>
      </x:c>
      <x:c r="B114" s="8" t="str">
        <x:v>6893</x:v>
      </x:c>
      <x:c r="C114" s="17" t="n">
        <x:v>2025</x:v>
      </x:c>
      <x:c r="D114" s="18" t="n">
        <x:v>45785</x:v>
      </x:c>
      <x:c r="E114" s="8" t="str">
        <x:v>TIGER TROUT</x:v>
      </x:c>
      <x:c r="F114" s="13" t="n">
        <x:v>200</x:v>
      </x:c>
      <x:c r="G114" s="9" t="n">
        <x:v>19.6</x:v>
      </x:c>
      <x:c r="H114" s="9" t="n">
        <x:v>81.2</x:v>
      </x:c>
      <x:c r="I114" s="8" t="str">
        <x:f>B114&amp;" / "&amp;C114&amp;" / "&amp;E114</x:f>
        <x:v>6893 / 2025 / TIGER TROUT</x:v>
      </x:c>
    </x:row>
    <x:row r="115" ht="23" customHeight="1">
      <x:c r="A115" s="8" t="str">
        <x:v>Beaumont Pond</x:v>
      </x:c>
      <x:c r="B115" s="8" t="str">
        <x:v>6893</x:v>
      </x:c>
      <x:c r="C115" s="17" t="n">
        <x:v>2024</x:v>
      </x:c>
      <x:c r="D115" s="18" t="n">
        <x:v>45415</x:v>
      </x:c>
      <x:c r="E115" s="8" t="str">
        <x:v>BROWN TROUT</x:v>
      </x:c>
      <x:c r="F115" s="13" t="n">
        <x:v>241</x:v>
      </x:c>
      <x:c r="G115" s="9" t="n">
        <x:v>20.3</x:v>
      </x:c>
      <x:c r="H115" s="9" t="n">
        <x:v>91</x:v>
      </x:c>
      <x:c r="I115" s="8" t="str">
        <x:f>B115&amp;" / "&amp;C115&amp;" / "&amp;E115</x:f>
        <x:v>6893 / 2024 / BROWN TROUT</x:v>
      </x:c>
    </x:row>
    <x:row r="116" ht="23" customHeight="1">
      <x:c r="A116" s="8" t="str">
        <x:v>Beaumont Pond</x:v>
      </x:c>
      <x:c r="B116" s="8" t="str">
        <x:v>6893</x:v>
      </x:c>
      <x:c r="C116" s="17" t="n">
        <x:v>2024</x:v>
      </x:c>
      <x:c r="D116" s="18" t="n">
        <x:v>45426</x:v>
      </x:c>
      <x:c r="E116" s="8" t="str">
        <x:v>RAINBOW TROUT</x:v>
      </x:c>
      <x:c r="F116" s="13" t="n">
        <x:v>2000</x:v>
      </x:c>
      <x:c r="G116" s="9" t="n">
        <x:v>20.4</x:v>
      </x:c>
      <x:c r="H116" s="9" t="n">
        <x:v>90.1</x:v>
      </x:c>
      <x:c r="I116" s="8" t="str">
        <x:f>B116&amp;" / "&amp;C116&amp;" / "&amp;E116</x:f>
        <x:v>6893 / 2024 / RAINBOW TROUT</x:v>
      </x:c>
    </x:row>
    <x:row r="117" ht="23" customHeight="1">
      <x:c r="A117" s="8" t="str">
        <x:v>Beaumont Pond</x:v>
      </x:c>
      <x:c r="B117" s="8" t="str">
        <x:v>6893</x:v>
      </x:c>
      <x:c r="C117" s="17" t="n">
        <x:v>2024</x:v>
      </x:c>
      <x:c r="D117" s="18" t="n">
        <x:v>45415</x:v>
      </x:c>
      <x:c r="E117" s="8" t="str">
        <x:v>TIGER TROUT</x:v>
      </x:c>
      <x:c r="F117" s="13" t="n">
        <x:v>200</x:v>
      </x:c>
      <x:c r="G117" s="9" t="n">
        <x:v>19.7</x:v>
      </x:c>
      <x:c r="H117" s="9" t="n">
        <x:v>83</x:v>
      </x:c>
      <x:c r="I117" s="8" t="str">
        <x:f>B117&amp;" / "&amp;C117&amp;" / "&amp;E117</x:f>
        <x:v>6893 / 2024 / TIGER TROUT</x:v>
      </x:c>
    </x:row>
    <x:row r="118" ht="23" customHeight="1">
      <x:c r="A118" s="8" t="str">
        <x:v>Beaumont Pond</x:v>
      </x:c>
      <x:c r="B118" s="8" t="str">
        <x:v>6893</x:v>
      </x:c>
      <x:c r="C118" s="17" t="n">
        <x:v>2023</x:v>
      </x:c>
      <x:c r="D118" s="18" t="n">
        <x:v>45047</x:v>
      </x:c>
      <x:c r="E118" s="8" t="str">
        <x:v>BROWN TROUT</x:v>
      </x:c>
      <x:c r="F118" s="13" t="n">
        <x:v>241</x:v>
      </x:c>
      <x:c r="G118" s="9" t="n">
        <x:v>18.9</x:v>
      </x:c>
      <x:c r="H118" s="9" t="n">
        <x:v>73</x:v>
      </x:c>
      <x:c r="I118" s="8" t="str">
        <x:f>B118&amp;" / "&amp;C118&amp;" / "&amp;E118</x:f>
        <x:v>6893 / 2023 / BROWN TROUT</x:v>
      </x:c>
    </x:row>
    <x:row r="119" ht="23" customHeight="1">
      <x:c r="A119" s="8" t="str">
        <x:v>Beaumont Pond</x:v>
      </x:c>
      <x:c r="B119" s="8" t="str">
        <x:v>6893</x:v>
      </x:c>
      <x:c r="C119" s="17" t="n">
        <x:v>2023</x:v>
      </x:c>
      <x:c r="D119" s="18" t="n">
        <x:v>45055</x:v>
      </x:c>
      <x:c r="E119" s="8" t="str">
        <x:v>RAINBOW TROUT</x:v>
      </x:c>
      <x:c r="F119" s="13" t="n">
        <x:v>2000</x:v>
      </x:c>
      <x:c r="G119" s="9" t="n">
        <x:v>20.5</x:v>
      </x:c>
      <x:c r="H119" s="9" t="n">
        <x:v>89.9</x:v>
      </x:c>
      <x:c r="I119" s="8" t="str">
        <x:f>B119&amp;" / "&amp;C119&amp;" / "&amp;E119</x:f>
        <x:v>6893 / 2023 / RAINBOW TROUT</x:v>
      </x:c>
    </x:row>
    <x:row r="120" ht="23" customHeight="1">
      <x:c r="A120" s="8" t="str">
        <x:v>Beaumont Pond</x:v>
      </x:c>
      <x:c r="B120" s="8" t="str">
        <x:v>6893</x:v>
      </x:c>
      <x:c r="C120" s="17" t="n">
        <x:v>2023</x:v>
      </x:c>
      <x:c r="D120" s="18" t="n">
        <x:v>45047</x:v>
      </x:c>
      <x:c r="E120" s="8" t="str">
        <x:v>TIGER TROUT</x:v>
      </x:c>
      <x:c r="F120" s="13" t="n">
        <x:v>200</x:v>
      </x:c>
      <x:c r="G120" s="9" t="n">
        <x:v>19.6</x:v>
      </x:c>
      <x:c r="H120" s="9" t="n">
        <x:v>81</x:v>
      </x:c>
      <x:c r="I120" s="8" t="str">
        <x:f>B120&amp;" / "&amp;C120&amp;" / "&amp;E120</x:f>
        <x:v>6893 / 2023 / TIGER TROUT</x:v>
      </x:c>
    </x:row>
    <x:row r="121" ht="23" customHeight="1">
      <x:c r="A121" s="8" t="str">
        <x:v>Beaumont Pond</x:v>
      </x:c>
      <x:c r="B121" s="8" t="str">
        <x:v>6893</x:v>
      </x:c>
      <x:c r="C121" s="17" t="n">
        <x:v>2022</x:v>
      </x:c>
      <x:c r="D121" s="18" t="n">
        <x:v>44691</x:v>
      </x:c>
      <x:c r="E121" s="8" t="str">
        <x:v>BROWN TROUT</x:v>
      </x:c>
      <x:c r="F121" s="13" t="n">
        <x:v>241</x:v>
      </x:c>
      <x:c r="G121" s="9" t="n">
        <x:v>17.7</x:v>
      </x:c>
      <x:c r="H121" s="9" t="n">
        <x:v>61.2</x:v>
      </x:c>
      <x:c r="I121" s="8" t="str">
        <x:f>B121&amp;" / "&amp;C121&amp;" / "&amp;E121</x:f>
        <x:v>6893 / 2022 / BROWN TROUT</x:v>
      </x:c>
    </x:row>
    <x:row r="122" ht="23" customHeight="1">
      <x:c r="A122" s="8" t="str">
        <x:v>Beaumont Pond</x:v>
      </x:c>
      <x:c r="B122" s="8" t="str">
        <x:v>6893</x:v>
      </x:c>
      <x:c r="C122" s="17" t="n">
        <x:v>2022</x:v>
      </x:c>
      <x:c r="D122" s="18" t="n">
        <x:v>44696</x:v>
      </x:c>
      <x:c r="E122" s="8" t="str">
        <x:v>RAINBOW TROUT</x:v>
      </x:c>
      <x:c r="F122" s="13" t="n">
        <x:v>2000</x:v>
      </x:c>
      <x:c r="G122" s="9" t="n">
        <x:v>20.7</x:v>
      </x:c>
      <x:c r="H122" s="9" t="n">
        <x:v>97.3</x:v>
      </x:c>
      <x:c r="I122" s="8" t="str">
        <x:f>B122&amp;" / "&amp;C122&amp;" / "&amp;E122</x:f>
        <x:v>6893 / 2022 / RAINBOW TROUT</x:v>
      </x:c>
    </x:row>
    <x:row r="123" ht="23" customHeight="1">
      <x:c r="A123" s="8" t="str">
        <x:v>Beaumont Pond</x:v>
      </x:c>
      <x:c r="B123" s="8" t="str">
        <x:v>6893</x:v>
      </x:c>
      <x:c r="C123" s="17" t="n">
        <x:v>2022</x:v>
      </x:c>
      <x:c r="D123" s="18" t="n">
        <x:v>44691</x:v>
      </x:c>
      <x:c r="E123" s="8" t="str">
        <x:v>TIGER TROUT</x:v>
      </x:c>
      <x:c r="F123" s="13" t="n">
        <x:v>200</x:v>
      </x:c>
      <x:c r="G123" s="9" t="n">
        <x:v>16.7</x:v>
      </x:c>
      <x:c r="H123" s="9" t="n">
        <x:v>51.8</x:v>
      </x:c>
      <x:c r="I123" s="8" t="str">
        <x:f>B123&amp;" / "&amp;C123&amp;" / "&amp;E123</x:f>
        <x:v>6893 / 2022 / TIGER TROUT</x:v>
      </x:c>
    </x:row>
    <x:row r="124" ht="23" customHeight="1">
      <x:c r="A124" s="8" t="str">
        <x:v>Beaumont Pond</x:v>
      </x:c>
      <x:c r="B124" s="8" t="str">
        <x:v>6893</x:v>
      </x:c>
      <x:c r="C124" s="17" t="n">
        <x:v>2021</x:v>
      </x:c>
      <x:c r="D124" s="18" t="n">
        <x:v>44311</x:v>
      </x:c>
      <x:c r="E124" s="8" t="str">
        <x:v>BROWN TROUT</x:v>
      </x:c>
      <x:c r="F124" s="13" t="n">
        <x:v>241</x:v>
      </x:c>
      <x:c r="G124" s="9" t="n">
        <x:v>17</x:v>
      </x:c>
      <x:c r="H124" s="9" t="n">
        <x:v>54</x:v>
      </x:c>
      <x:c r="I124" s="8" t="str">
        <x:f>B124&amp;" / "&amp;C124&amp;" / "&amp;E124</x:f>
        <x:v>6893 / 2021 / BROWN TROUT</x:v>
      </x:c>
    </x:row>
    <x:row r="125" ht="23" customHeight="1">
      <x:c r="A125" s="8" t="str">
        <x:v>Beaumont Pond</x:v>
      </x:c>
      <x:c r="B125" s="8" t="str">
        <x:v>6893</x:v>
      </x:c>
      <x:c r="C125" s="17" t="n">
        <x:v>2021</x:v>
      </x:c>
      <x:c r="D125" s="18" t="n">
        <x:v>44455</x:v>
      </x:c>
      <x:c r="E125" s="8" t="str">
        <x:v>RAINBOW TROUT</x:v>
      </x:c>
      <x:c r="F125" s="13" t="n">
        <x:v>800</x:v>
      </x:c>
      <x:c r="G125" s="9" t="n">
        <x:v>20.9</x:v>
      </x:c>
      <x:c r="H125" s="9" t="n">
        <x:v>92</x:v>
      </x:c>
      <x:c r="I125" s="8" t="str">
        <x:f>B125&amp;" / "&amp;C125&amp;" / "&amp;E125</x:f>
        <x:v>6893 / 2021 / RAINBOW TROUT</x:v>
      </x:c>
    </x:row>
    <x:row r="126" ht="23" customHeight="1">
      <x:c r="A126" s="8" t="str">
        <x:v>Beaumont Pond</x:v>
      </x:c>
      <x:c r="B126" s="8" t="str">
        <x:v>6893</x:v>
      </x:c>
      <x:c r="C126" s="17" t="n">
        <x:v>2021</x:v>
      </x:c>
      <x:c r="D126" s="18" t="n">
        <x:v>44329</x:v>
      </x:c>
      <x:c r="E126" s="8" t="str">
        <x:v>RAINBOW TROUT</x:v>
      </x:c>
      <x:c r="F126" s="13" t="n">
        <x:v>1150</x:v>
      </x:c>
      <x:c r="G126" s="9" t="n">
        <x:v>21.1</x:v>
      </x:c>
      <x:c r="H126" s="9" t="n">
        <x:v>90.5</x:v>
      </x:c>
      <x:c r="I126" s="8" t="str">
        <x:f>B126&amp;" / "&amp;C126&amp;" / "&amp;E126</x:f>
        <x:v>6893 / 2021 / RAINBOW TROUT</x:v>
      </x:c>
    </x:row>
    <x:row r="127" ht="23" customHeight="1">
      <x:c r="A127" s="8" t="str">
        <x:v>Beaumont Pond</x:v>
      </x:c>
      <x:c r="B127" s="8" t="str">
        <x:v>6893</x:v>
      </x:c>
      <x:c r="C127" s="17" t="n">
        <x:v>2021</x:v>
      </x:c>
      <x:c r="D127" s="18" t="n">
        <x:v>44311</x:v>
      </x:c>
      <x:c r="E127" s="8" t="str">
        <x:v>TIGER TROUT</x:v>
      </x:c>
      <x:c r="F127" s="13" t="n">
        <x:v>200</x:v>
      </x:c>
      <x:c r="G127" s="9" t="n">
        <x:v>16.3</x:v>
      </x:c>
      <x:c r="H127" s="9" t="n">
        <x:v>47.8</x:v>
      </x:c>
      <x:c r="I127" s="8" t="str">
        <x:f>B127&amp;" / "&amp;C127&amp;" / "&amp;E127</x:f>
        <x:v>6893 / 2021 / TIGER TROUT</x:v>
      </x:c>
    </x:row>
    <x:row r="128" ht="23" customHeight="1">
      <x:c r="A128" s="8" t="str">
        <x:v>Beauvais Lake</x:v>
      </x:c>
      <x:c r="B128" s="8" t="str">
        <x:v>4011</x:v>
      </x:c>
      <x:c r="C128" s="17" t="n">
        <x:v>2026</x:v>
      </x:c>
      <x:c r="D128" s="18" t="n">
        <x:v>46142</x:v>
      </x:c>
      <x:c r="E128" s="8" t="str">
        <x:v>WESTSLOPE CUTTHROAT TROUT</x:v>
      </x:c>
      <x:c r="F128" s="13" t="n">
        <x:v>2000</x:v>
      </x:c>
      <x:c r="G128" s="9" t="n">
        <x:v>15.5</x:v>
      </x:c>
      <x:c r="H128" s="9" t="n">
        <x:v>42</x:v>
      </x:c>
      <x:c r="I128" s="8" t="str">
        <x:f>B128&amp;" / "&amp;C128&amp;" / "&amp;E128</x:f>
        <x:v>4011 / 2026 / WESTSLOPE CUTTHROAT TROUT</x:v>
      </x:c>
    </x:row>
    <x:row r="129" ht="23" customHeight="1">
      <x:c r="A129" s="8" t="str">
        <x:v>Beauvais Lake</x:v>
      </x:c>
      <x:c r="B129" s="8" t="str">
        <x:v>4011</x:v>
      </x:c>
      <x:c r="C129" s="17" t="n">
        <x:v>2026</x:v>
      </x:c>
      <x:c r="D129" s="18" t="n">
        <x:v>46133</x:v>
      </x:c>
      <x:c r="E129" s="8" t="str">
        <x:v>WESTSLOPE CUTTHROAT TROUT</x:v>
      </x:c>
      <x:c r="F129" s="13" t="n">
        <x:v>16000</x:v>
      </x:c>
      <x:c r="G129" s="9" t="n">
        <x:v>10.2</x:v>
      </x:c>
      <x:c r="H129" s="9" t="n">
        <x:v>11.5</x:v>
      </x:c>
      <x:c r="I129" s="8" t="str">
        <x:f>B129&amp;" / "&amp;C129&amp;" / "&amp;E129</x:f>
        <x:v>4011 / 2026 / WESTSLOPE CUTTHROAT TROUT</x:v>
      </x:c>
    </x:row>
    <x:row r="130" ht="23" customHeight="1">
      <x:c r="A130" s="8" t="str">
        <x:v>Beauvais Lake</x:v>
      </x:c>
      <x:c r="B130" s="8" t="str">
        <x:v>4011</x:v>
      </x:c>
      <x:c r="C130" s="17" t="n">
        <x:v>2025</x:v>
      </x:c>
      <x:c r="D130" s="18" t="n">
        <x:v>45771</x:v>
      </x:c>
      <x:c r="E130" s="8" t="str">
        <x:v>CUTTHROAT TROUT</x:v>
      </x:c>
      <x:c r="F130" s="13" t="n">
        <x:v>16000</x:v>
      </x:c>
      <x:c r="G130" s="9" t="n">
        <x:v>12.3</x:v>
      </x:c>
      <x:c r="H130" s="9" t="n">
        <x:v>19.9</x:v>
      </x:c>
      <x:c r="I130" s="8" t="str">
        <x:f>B130&amp;" / "&amp;C130&amp;" / "&amp;E130</x:f>
        <x:v>4011 / 2025 / CUTTHROAT TROUT</x:v>
      </x:c>
    </x:row>
    <x:row r="131" ht="23" customHeight="1">
      <x:c r="A131" s="8" t="str">
        <x:v>Beauvais Lake</x:v>
      </x:c>
      <x:c r="B131" s="8" t="str">
        <x:v>4011</x:v>
      </x:c>
      <x:c r="C131" s="17" t="n">
        <x:v>2024</x:v>
      </x:c>
      <x:c r="D131" s="18" t="n">
        <x:v>45556</x:v>
      </x:c>
      <x:c r="E131" s="8" t="str">
        <x:v>RAINBOW TROUT</x:v>
      </x:c>
      <x:c r="F131" s="13" t="n">
        <x:v>20000</x:v>
      </x:c>
      <x:c r="G131" s="9" t="n">
        <x:v>5.5</x:v>
      </x:c>
      <x:c r="H131" s="9" t="n">
        <x:v>1.8</x:v>
      </x:c>
      <x:c r="I131" s="8" t="str">
        <x:f>B131&amp;" / "&amp;C131&amp;" / "&amp;E131</x:f>
        <x:v>4011 / 2024 / RAINBOW TROUT</x:v>
      </x:c>
    </x:row>
    <x:row r="132" ht="23" customHeight="1">
      <x:c r="A132" s="8" t="str">
        <x:v>Beauvais Lake</x:v>
      </x:c>
      <x:c r="B132" s="8" t="str">
        <x:v>4011</x:v>
      </x:c>
      <x:c r="C132" s="17" t="n">
        <x:v>2024</x:v>
      </x:c>
      <x:c r="D132" s="18" t="n">
        <x:v>45552</x:v>
      </x:c>
      <x:c r="E132" s="8" t="str">
        <x:v>RAINBOW TROUT</x:v>
      </x:c>
      <x:c r="F132" s="13" t="n">
        <x:v>15000</x:v>
      </x:c>
      <x:c r="G132" s="9" t="n">
        <x:v>22.5</x:v>
      </x:c>
      <x:c r="H132" s="9" t="n">
        <x:v>125.7</x:v>
      </x:c>
      <x:c r="I132" s="8" t="str">
        <x:f>B132&amp;" / "&amp;C132&amp;" / "&amp;E132</x:f>
        <x:v>4011 / 2024 / RAINBOW TROUT</x:v>
      </x:c>
    </x:row>
    <x:row r="133" ht="23" customHeight="1">
      <x:c r="A133" s="8" t="str">
        <x:v>Beauvais Lake</x:v>
      </x:c>
      <x:c r="B133" s="8" t="str">
        <x:v>4011</x:v>
      </x:c>
      <x:c r="C133" s="17" t="n">
        <x:v>2024</x:v>
      </x:c>
      <x:c r="D133" s="18" t="n">
        <x:v>45437</x:v>
      </x:c>
      <x:c r="E133" s="8" t="str">
        <x:v>RAINBOW TROUT</x:v>
      </x:c>
      <x:c r="F133" s="13" t="n">
        <x:v>8000</x:v>
      </x:c>
      <x:c r="G133" s="9" t="n">
        <x:v>20.5</x:v>
      </x:c>
      <x:c r="H133" s="9" t="n">
        <x:v>95.3</x:v>
      </x:c>
      <x:c r="I133" s="8" t="str">
        <x:f>B133&amp;" / "&amp;C133&amp;" / "&amp;E133</x:f>
        <x:v>4011 / 2024 / RAINBOW TROUT</x:v>
      </x:c>
    </x:row>
    <x:row r="134" ht="23" customHeight="1">
      <x:c r="A134" s="8" t="str">
        <x:v>Beauvais Lake</x:v>
      </x:c>
      <x:c r="B134" s="8" t="str">
        <x:v>4011</x:v>
      </x:c>
      <x:c r="C134" s="17" t="n">
        <x:v>2023</x:v>
      </x:c>
      <x:c r="D134" s="18" t="n">
        <x:v>45182</x:v>
      </x:c>
      <x:c r="E134" s="8" t="str">
        <x:v>CUTTHROAT TROUT</x:v>
      </x:c>
      <x:c r="F134" s="13" t="n">
        <x:v>5803</x:v>
      </x:c>
      <x:c r="G134" s="9" t="n">
        <x:v>17.5</x:v>
      </x:c>
      <x:c r="H134" s="9" t="n">
        <x:v>58.1</x:v>
      </x:c>
      <x:c r="I134" s="8" t="str">
        <x:f>B134&amp;" / "&amp;C134&amp;" / "&amp;E134</x:f>
        <x:v>4011 / 2023 / CUTTHROAT TROUT</x:v>
      </x:c>
    </x:row>
    <x:row r="135" ht="23" customHeight="1">
      <x:c r="A135" s="8" t="str">
        <x:v>Beauvais Lake</x:v>
      </x:c>
      <x:c r="B135" s="8" t="str">
        <x:v>4011</x:v>
      </x:c>
      <x:c r="C135" s="17" t="n">
        <x:v>2023</x:v>
      </x:c>
      <x:c r="D135" s="18" t="n">
        <x:v>45050</x:v>
      </x:c>
      <x:c r="E135" s="8" t="str">
        <x:v>CUTTHROAT TROUT</x:v>
      </x:c>
      <x:c r="F135" s="13" t="n">
        <x:v>17000</x:v>
      </x:c>
      <x:c r="G135" s="9" t="n">
        <x:v>13.6</x:v>
      </x:c>
      <x:c r="H135" s="9" t="n">
        <x:v>27</x:v>
      </x:c>
      <x:c r="I135" s="8" t="str">
        <x:f>B135&amp;" / "&amp;C135&amp;" / "&amp;E135</x:f>
        <x:v>4011 / 2023 / CUTTHROAT TROUT</x:v>
      </x:c>
    </x:row>
    <x:row r="136" ht="23" customHeight="1">
      <x:c r="A136" s="8" t="str">
        <x:v>Beauvais Lake</x:v>
      </x:c>
      <x:c r="B136" s="8" t="str">
        <x:v>4011</x:v>
      </x:c>
      <x:c r="C136" s="17" t="n">
        <x:v>2022</x:v>
      </x:c>
      <x:c r="D136" s="18" t="n">
        <x:v>44673</x:v>
      </x:c>
      <x:c r="E136" s="8" t="str">
        <x:v>RAINBOW TROUT</x:v>
      </x:c>
      <x:c r="F136" s="13" t="n">
        <x:v>23000</x:v>
      </x:c>
      <x:c r="G136" s="9" t="n">
        <x:v>18.2</x:v>
      </x:c>
      <x:c r="H136" s="9" t="n">
        <x:v>66</x:v>
      </x:c>
      <x:c r="I136" s="8" t="str">
        <x:f>B136&amp;" / "&amp;C136&amp;" / "&amp;E136</x:f>
        <x:v>4011 / 2022 / RAINBOW TROUT</x:v>
      </x:c>
    </x:row>
    <x:row r="137" ht="23" customHeight="1">
      <x:c r="A137" s="8" t="str">
        <x:v>Beauvais Lake</x:v>
      </x:c>
      <x:c r="B137" s="8" t="str">
        <x:v>4011</x:v>
      </x:c>
      <x:c r="C137" s="17" t="n">
        <x:v>2021</x:v>
      </x:c>
      <x:c r="D137" s="18" t="n">
        <x:v>44312</x:v>
      </x:c>
      <x:c r="E137" s="8" t="str">
        <x:v>RAINBOW TROUT</x:v>
      </x:c>
      <x:c r="F137" s="13" t="n">
        <x:v>23000</x:v>
      </x:c>
      <x:c r="G137" s="9" t="n">
        <x:v>17.7</x:v>
      </x:c>
      <x:c r="H137" s="9" t="n">
        <x:v>61.9</x:v>
      </x:c>
      <x:c r="I137" s="8" t="str">
        <x:f>B137&amp;" / "&amp;C137&amp;" / "&amp;E137</x:f>
        <x:v>4011 / 2021 / RAINBOW TROUT</x:v>
      </x:c>
    </x:row>
    <x:row r="138" ht="23" customHeight="1">
      <x:c r="A138" s="8" t="str">
        <x:v>Beaver Lake</x:v>
      </x:c>
      <x:c r="B138" s="8" t="str">
        <x:v>4014</x:v>
      </x:c>
      <x:c r="C138" s="17" t="n">
        <x:v>2026</x:v>
      </x:c>
      <x:c r="D138" s="18" t="n">
        <x:v>46163</x:v>
      </x:c>
      <x:c r="E138" s="8" t="str">
        <x:v>RAINBOW TROUT</x:v>
      </x:c>
      <x:c r="F138" s="13" t="n">
        <x:v>2500</x:v>
      </x:c>
      <x:c r="G138" s="9" t="n">
        <x:v>20.6</x:v>
      </x:c>
      <x:c r="H138" s="9" t="n">
        <x:v>95.1</x:v>
      </x:c>
      <x:c r="I138" s="8" t="str">
        <x:f>B138&amp;" / "&amp;C138&amp;" / "&amp;E138</x:f>
        <x:v>4014 / 2026 / RAINBOW TROUT</x:v>
      </x:c>
    </x:row>
    <x:row r="139" ht="23" customHeight="1">
      <x:c r="A139" s="8" t="str">
        <x:v>Beaver Lake</x:v>
      </x:c>
      <x:c r="B139" s="8" t="str">
        <x:v>4014</x:v>
      </x:c>
      <x:c r="C139" s="17" t="n">
        <x:v>2025</x:v>
      </x:c>
      <x:c r="D139" s="18" t="n">
        <x:v>45783</x:v>
      </x:c>
      <x:c r="E139" s="8" t="str">
        <x:v>RAINBOW TROUT</x:v>
      </x:c>
      <x:c r="F139" s="13" t="n">
        <x:v>2500</x:v>
      </x:c>
      <x:c r="G139" s="9" t="n">
        <x:v>20.5</x:v>
      </x:c>
      <x:c r="H139" s="9" t="n">
        <x:v>92.5</x:v>
      </x:c>
      <x:c r="I139" s="8" t="str">
        <x:f>B139&amp;" / "&amp;C139&amp;" / "&amp;E139</x:f>
        <x:v>4014 / 2025 / RAINBOW TROUT</x:v>
      </x:c>
    </x:row>
    <x:row r="140" ht="23" customHeight="1">
      <x:c r="A140" s="8" t="str">
        <x:v>Beaver Lake</x:v>
      </x:c>
      <x:c r="B140" s="8" t="str">
        <x:v>4014</x:v>
      </x:c>
      <x:c r="C140" s="17" t="n">
        <x:v>2025</x:v>
      </x:c>
      <x:c r="D140" s="18" t="n">
        <x:v>45930</x:v>
      </x:c>
      <x:c r="E140" s="8" t="str">
        <x:v>TIGER TROUT</x:v>
      </x:c>
      <x:c r="F140" s="13" t="n">
        <x:v>800</x:v>
      </x:c>
      <x:c r="G140" s="9" t="n">
        <x:v>10.6</x:v>
      </x:c>
      <x:c r="H140" s="9" t="n">
        <x:v>13.2</x:v>
      </x:c>
      <x:c r="I140" s="8" t="str">
        <x:f>B140&amp;" / "&amp;C140&amp;" / "&amp;E140</x:f>
        <x:v>4014 / 2025 / TIGER TROUT</x:v>
      </x:c>
    </x:row>
    <x:row r="141" ht="23" customHeight="1">
      <x:c r="A141" s="8" t="str">
        <x:v>Beaver Lake</x:v>
      </x:c>
      <x:c r="B141" s="8" t="str">
        <x:v>4014</x:v>
      </x:c>
      <x:c r="C141" s="17" t="n">
        <x:v>2025</x:v>
      </x:c>
      <x:c r="D141" s="18" t="n">
        <x:v>45930</x:v>
      </x:c>
      <x:c r="E141" s="8" t="str">
        <x:v>TIGER TROUT</x:v>
      </x:c>
      <x:c r="F141" s="13" t="n">
        <x:v>1000</x:v>
      </x:c>
      <x:c r="G141" s="9" t="n">
        <x:v>30.6</x:v>
      </x:c>
      <x:c r="H141" s="9" t="n">
        <x:v>318.1</x:v>
      </x:c>
      <x:c r="I141" s="8" t="str">
        <x:f>B141&amp;" / "&amp;C141&amp;" / "&amp;E141</x:f>
        <x:v>4014 / 2025 / TIGER TROUT</x:v>
      </x:c>
    </x:row>
    <x:row r="142" ht="23" customHeight="1">
      <x:c r="A142" s="8" t="str">
        <x:v>Beaver Lake</x:v>
      </x:c>
      <x:c r="B142" s="8" t="str">
        <x:v>4014</x:v>
      </x:c>
      <x:c r="C142" s="17" t="n">
        <x:v>2024</x:v>
      </x:c>
      <x:c r="D142" s="18" t="n">
        <x:v>45559</x:v>
      </x:c>
      <x:c r="E142" s="8" t="str">
        <x:v>RAINBOW TROUT</x:v>
      </x:c>
      <x:c r="F142" s="13" t="n">
        <x:v>1500</x:v>
      </x:c>
      <x:c r="G142" s="9" t="n">
        <x:v>20.1</x:v>
      </x:c>
      <x:c r="H142" s="9" t="n">
        <x:v>90</x:v>
      </x:c>
      <x:c r="I142" s="8" t="str">
        <x:f>B142&amp;" / "&amp;C142&amp;" / "&amp;E142</x:f>
        <x:v>4014 / 2024 / RAINBOW TROUT</x:v>
      </x:c>
    </x:row>
    <x:row r="143" ht="23" customHeight="1">
      <x:c r="A143" s="8" t="str">
        <x:v>Beaver Lake</x:v>
      </x:c>
      <x:c r="B143" s="8" t="str">
        <x:v>4014</x:v>
      </x:c>
      <x:c r="C143" s="17" t="n">
        <x:v>2024</x:v>
      </x:c>
      <x:c r="D143" s="18" t="n">
        <x:v>45420</x:v>
      </x:c>
      <x:c r="E143" s="8" t="str">
        <x:v>RAINBOW TROUT</x:v>
      </x:c>
      <x:c r="F143" s="13" t="n">
        <x:v>1250</x:v>
      </x:c>
      <x:c r="G143" s="9" t="n">
        <x:v>20</x:v>
      </x:c>
      <x:c r="H143" s="9" t="n">
        <x:v>87</x:v>
      </x:c>
      <x:c r="I143" s="8" t="str">
        <x:f>B143&amp;" / "&amp;C143&amp;" / "&amp;E143</x:f>
        <x:v>4014 / 2024 / RAINBOW TROUT</x:v>
      </x:c>
    </x:row>
    <x:row r="144" ht="23" customHeight="1">
      <x:c r="A144" s="8" t="str">
        <x:v>Beaver Lake</x:v>
      </x:c>
      <x:c r="B144" s="8" t="str">
        <x:v>4014</x:v>
      </x:c>
      <x:c r="C144" s="17" t="n">
        <x:v>2024</x:v>
      </x:c>
      <x:c r="D144" s="18" t="n">
        <x:v>45551</x:v>
      </x:c>
      <x:c r="E144" s="8" t="str">
        <x:v>TIGER TROUT</x:v>
      </x:c>
      <x:c r="F144" s="13" t="n">
        <x:v>1000</x:v>
      </x:c>
      <x:c r="G144" s="9" t="n">
        <x:v>23</x:v>
      </x:c>
      <x:c r="H144" s="9" t="n">
        <x:v>132.1</x:v>
      </x:c>
      <x:c r="I144" s="8" t="str">
        <x:f>B144&amp;" / "&amp;C144&amp;" / "&amp;E144</x:f>
        <x:v>4014 / 2024 / TIGER TROUT</x:v>
      </x:c>
    </x:row>
    <x:row r="145" ht="23" customHeight="1">
      <x:c r="A145" s="8" t="str">
        <x:v>Beaver Lake</x:v>
      </x:c>
      <x:c r="B145" s="8" t="str">
        <x:v>4014</x:v>
      </x:c>
      <x:c r="C145" s="17" t="n">
        <x:v>2023</x:v>
      </x:c>
      <x:c r="D145" s="18" t="n">
        <x:v>45057</x:v>
      </x:c>
      <x:c r="E145" s="8" t="str">
        <x:v>RAINBOW TROUT</x:v>
      </x:c>
      <x:c r="F145" s="13" t="n">
        <x:v>1185</x:v>
      </x:c>
      <x:c r="G145" s="9" t="n">
        <x:v>17.4</x:v>
      </x:c>
      <x:c r="H145" s="9" t="n">
        <x:v>58.4</x:v>
      </x:c>
      <x:c r="I145" s="8" t="str">
        <x:f>B145&amp;" / "&amp;C145&amp;" / "&amp;E145</x:f>
        <x:v>4014 / 2023 / RAINBOW TROUT</x:v>
      </x:c>
    </x:row>
    <x:row r="146" ht="23" customHeight="1">
      <x:c r="A146" s="8" t="str">
        <x:v>Beaver Lake</x:v>
      </x:c>
      <x:c r="B146" s="8" t="str">
        <x:v>4014</x:v>
      </x:c>
      <x:c r="C146" s="17" t="n">
        <x:v>2023</x:v>
      </x:c>
      <x:c r="D146" s="18" t="n">
        <x:v>45184</x:v>
      </x:c>
      <x:c r="E146" s="8" t="str">
        <x:v>TIGER TROUT</x:v>
      </x:c>
      <x:c r="F146" s="13" t="n">
        <x:v>1000</x:v>
      </x:c>
      <x:c r="G146" s="9" t="n">
        <x:v>23.2</x:v>
      </x:c>
      <x:c r="H146" s="9" t="n">
        <x:v>134.5</x:v>
      </x:c>
      <x:c r="I146" s="8" t="str">
        <x:f>B146&amp;" / "&amp;C146&amp;" / "&amp;E146</x:f>
        <x:v>4014 / 2023 / TIGER TROUT</x:v>
      </x:c>
    </x:row>
    <x:row r="147" ht="23" customHeight="1">
      <x:c r="A147" s="8" t="str">
        <x:v>Beaver Lake</x:v>
      </x:c>
      <x:c r="B147" s="8" t="str">
        <x:v>4014</x:v>
      </x:c>
      <x:c r="C147" s="17" t="n">
        <x:v>2022</x:v>
      </x:c>
      <x:c r="D147" s="18" t="n">
        <x:v>44698</x:v>
      </x:c>
      <x:c r="E147" s="8" t="str">
        <x:v>RAINBOW TROUT</x:v>
      </x:c>
      <x:c r="F147" s="13" t="n">
        <x:v>2500</x:v>
      </x:c>
      <x:c r="G147" s="9" t="n">
        <x:v>19.4</x:v>
      </x:c>
      <x:c r="H147" s="9" t="n">
        <x:v>79.1</x:v>
      </x:c>
      <x:c r="I147" s="8" t="str">
        <x:f>B147&amp;" / "&amp;C147&amp;" / "&amp;E147</x:f>
        <x:v>4014 / 2022 / RAINBOW TROUT</x:v>
      </x:c>
    </x:row>
    <x:row r="148" ht="23" customHeight="1">
      <x:c r="A148" s="8" t="str">
        <x:v>Beaver Lake</x:v>
      </x:c>
      <x:c r="B148" s="8" t="str">
        <x:v>4014</x:v>
      </x:c>
      <x:c r="C148" s="17" t="n">
        <x:v>2022</x:v>
      </x:c>
      <x:c r="D148" s="18" t="n">
        <x:v>44823</x:v>
      </x:c>
      <x:c r="E148" s="8" t="str">
        <x:v>TIGER TROUT</x:v>
      </x:c>
      <x:c r="F148" s="13" t="n">
        <x:v>1000</x:v>
      </x:c>
      <x:c r="G148" s="9" t="n">
        <x:v>21.3</x:v>
      </x:c>
      <x:c r="H148" s="9" t="n">
        <x:v>106.2</x:v>
      </x:c>
      <x:c r="I148" s="8" t="str">
        <x:f>B148&amp;" / "&amp;C148&amp;" / "&amp;E148</x:f>
        <x:v>4014 / 2022 / TIGER TROUT</x:v>
      </x:c>
    </x:row>
    <x:row r="149" ht="23" customHeight="1">
      <x:c r="A149" s="8" t="str">
        <x:v>Beaver Lake</x:v>
      </x:c>
      <x:c r="B149" s="8" t="str">
        <x:v>4014</x:v>
      </x:c>
      <x:c r="C149" s="17" t="n">
        <x:v>2021</x:v>
      </x:c>
      <x:c r="D149" s="18" t="n">
        <x:v>44322</x:v>
      </x:c>
      <x:c r="E149" s="8" t="str">
        <x:v>RAINBOW TROUT</x:v>
      </x:c>
      <x:c r="F149" s="13" t="n">
        <x:v>2500</x:v>
      </x:c>
      <x:c r="G149" s="9" t="n">
        <x:v>21.9</x:v>
      </x:c>
      <x:c r="H149" s="9" t="n">
        <x:v>115.7</x:v>
      </x:c>
      <x:c r="I149" s="8" t="str">
        <x:f>B149&amp;" / "&amp;C149&amp;" / "&amp;E149</x:f>
        <x:v>4014 / 2021 / RAINBOW TROUT</x:v>
      </x:c>
    </x:row>
    <x:row r="150" ht="23" customHeight="1">
      <x:c r="A150" s="8" t="str">
        <x:v>Beaver Lake</x:v>
      </x:c>
      <x:c r="B150" s="8" t="str">
        <x:v>4014</x:v>
      </x:c>
      <x:c r="C150" s="17" t="n">
        <x:v>2021</x:v>
      </x:c>
      <x:c r="D150" s="18" t="n">
        <x:v>44467</x:v>
      </x:c>
      <x:c r="E150" s="8" t="str">
        <x:v>TIGER TROUT</x:v>
      </x:c>
      <x:c r="F150" s="13" t="n">
        <x:v>1000</x:v>
      </x:c>
      <x:c r="G150" s="9" t="n">
        <x:v>19.6</x:v>
      </x:c>
      <x:c r="H150" s="9" t="n">
        <x:v>83.8</x:v>
      </x:c>
      <x:c r="I150" s="8" t="str">
        <x:f>B150&amp;" / "&amp;C150&amp;" / "&amp;E150</x:f>
        <x:v>4014 / 2021 / TIGER TROUT</x:v>
      </x:c>
    </x:row>
    <x:row r="151" ht="23" customHeight="1">
      <x:c r="A151" s="8" t="str">
        <x:v>Beaver Mines Lake</x:v>
      </x:c>
      <x:c r="B151" s="8" t="str">
        <x:v>4018</x:v>
      </x:c>
      <x:c r="C151" s="17" t="n">
        <x:v>2026</x:v>
      </x:c>
      <x:c r="D151" s="18" t="n">
        <x:v>46139</x:v>
      </x:c>
      <x:c r="E151" s="8" t="str">
        <x:v>WESTSLOPE CUTTHROAT TROUT</x:v>
      </x:c>
      <x:c r="F151" s="13" t="n">
        <x:v>2000</x:v>
      </x:c>
      <x:c r="G151" s="9" t="n">
        <x:v>15.5</x:v>
      </x:c>
      <x:c r="H151" s="9" t="n">
        <x:v>42</x:v>
      </x:c>
      <x:c r="I151" s="8" t="str">
        <x:f>B151&amp;" / "&amp;C151&amp;" / "&amp;E151</x:f>
        <x:v>4018 / 2026 / WESTSLOPE CUTTHROAT TROUT</x:v>
      </x:c>
    </x:row>
    <x:row r="152" ht="23" customHeight="1">
      <x:c r="A152" s="8" t="str">
        <x:v>Beaver Mines Lake</x:v>
      </x:c>
      <x:c r="B152" s="8" t="str">
        <x:v>4018</x:v>
      </x:c>
      <x:c r="C152" s="17" t="n">
        <x:v>2026</x:v>
      </x:c>
      <x:c r="D152" s="18" t="n">
        <x:v>46133</x:v>
      </x:c>
      <x:c r="E152" s="8" t="str">
        <x:v>WESTSLOPE CUTTHROAT TROUT</x:v>
      </x:c>
      <x:c r="F152" s="13" t="n">
        <x:v>16000</x:v>
      </x:c>
      <x:c r="G152" s="9" t="n">
        <x:v>10.6</x:v>
      </x:c>
      <x:c r="H152" s="9" t="n">
        <x:v>12.8</x:v>
      </x:c>
      <x:c r="I152" s="8" t="str">
        <x:f>B152&amp;" / "&amp;C152&amp;" / "&amp;E152</x:f>
        <x:v>4018 / 2026 / WESTSLOPE CUTTHROAT TROUT</x:v>
      </x:c>
    </x:row>
    <x:row r="153" ht="23" customHeight="1">
      <x:c r="A153" s="8" t="str">
        <x:v>Beaver Mines Lake</x:v>
      </x:c>
      <x:c r="B153" s="8" t="str">
        <x:v>4018</x:v>
      </x:c>
      <x:c r="C153" s="17" t="n">
        <x:v>2025</x:v>
      </x:c>
      <x:c r="D153" s="18" t="n">
        <x:v>45833</x:v>
      </x:c>
      <x:c r="E153" s="8" t="str">
        <x:v>CUTTHROAT TROUT</x:v>
      </x:c>
      <x:c r="F153" s="13" t="n">
        <x:v>200</x:v>
      </x:c>
      <x:c r="G153" s="9" t="n">
        <x:v>37.8</x:v>
      </x:c>
      <x:c r="H153" s="9" t="n">
        <x:v>583</x:v>
      </x:c>
      <x:c r="I153" s="8" t="str">
        <x:f>B153&amp;" / "&amp;C153&amp;" / "&amp;E153</x:f>
        <x:v>4018 / 2025 / CUTTHROAT TROUT</x:v>
      </x:c>
    </x:row>
    <x:row r="154" ht="23" customHeight="1">
      <x:c r="A154" s="8" t="str">
        <x:v>Beaver Mines Lake</x:v>
      </x:c>
      <x:c r="B154" s="8" t="str">
        <x:v>4018</x:v>
      </x:c>
      <x:c r="C154" s="17" t="n">
        <x:v>2025</x:v>
      </x:c>
      <x:c r="D154" s="18" t="n">
        <x:v>45771</x:v>
      </x:c>
      <x:c r="E154" s="8" t="str">
        <x:v>CUTTHROAT TROUT</x:v>
      </x:c>
      <x:c r="F154" s="13" t="n">
        <x:v>16000</x:v>
      </x:c>
      <x:c r="G154" s="9" t="n">
        <x:v>12.3</x:v>
      </x:c>
      <x:c r="H154" s="9" t="n">
        <x:v>19.9</x:v>
      </x:c>
      <x:c r="I154" s="8" t="str">
        <x:f>B154&amp;" / "&amp;C154&amp;" / "&amp;E154</x:f>
        <x:v>4018 / 2025 / CUTTHROAT TROUT</x:v>
      </x:c>
    </x:row>
    <x:row r="155" ht="23" customHeight="1">
      <x:c r="A155" s="8" t="str">
        <x:v>Beaver Mines Lake</x:v>
      </x:c>
      <x:c r="B155" s="8" t="str">
        <x:v>4018</x:v>
      </x:c>
      <x:c r="C155" s="17" t="n">
        <x:v>2024</x:v>
      </x:c>
      <x:c r="D155" s="18" t="n">
        <x:v>45565</x:v>
      </x:c>
      <x:c r="E155" s="8" t="str">
        <x:v>RAINBOW TROUT</x:v>
      </x:c>
      <x:c r="F155" s="13" t="n">
        <x:v>7500</x:v>
      </x:c>
      <x:c r="G155" s="9" t="n">
        <x:v>12.5</x:v>
      </x:c>
      <x:c r="H155" s="9" t="n">
        <x:v>21.9</x:v>
      </x:c>
      <x:c r="I155" s="8" t="str">
        <x:f>B155&amp;" / "&amp;C155&amp;" / "&amp;E155</x:f>
        <x:v>4018 / 2024 / RAINBOW TROUT</x:v>
      </x:c>
    </x:row>
    <x:row r="156" ht="23" customHeight="1">
      <x:c r="A156" s="8" t="str">
        <x:v>Beaver Mines Lake</x:v>
      </x:c>
      <x:c r="B156" s="8" t="str">
        <x:v>4018</x:v>
      </x:c>
      <x:c r="C156" s="17" t="n">
        <x:v>2024</x:v>
      </x:c>
      <x:c r="D156" s="18" t="n">
        <x:v>45556</x:v>
      </x:c>
      <x:c r="E156" s="8" t="str">
        <x:v>RAINBOW TROUT</x:v>
      </x:c>
      <x:c r="F156" s="13" t="n">
        <x:v>15000</x:v>
      </x:c>
      <x:c r="G156" s="9" t="n">
        <x:v>8.4</x:v>
      </x:c>
      <x:c r="H156" s="9" t="n">
        <x:v>6.5</x:v>
      </x:c>
      <x:c r="I156" s="8" t="str">
        <x:f>B156&amp;" / "&amp;C156&amp;" / "&amp;E156</x:f>
        <x:v>4018 / 2024 / RAINBOW TROUT</x:v>
      </x:c>
    </x:row>
    <x:row r="157" ht="23" customHeight="1">
      <x:c r="A157" s="8" t="str">
        <x:v>Beaver Mines Lake</x:v>
      </x:c>
      <x:c r="B157" s="8" t="str">
        <x:v>4018</x:v>
      </x:c>
      <x:c r="C157" s="17" t="n">
        <x:v>2024</x:v>
      </x:c>
      <x:c r="D157" s="18" t="n">
        <x:v>45433</x:v>
      </x:c>
      <x:c r="E157" s="8" t="str">
        <x:v>RAINBOW TROUT</x:v>
      </x:c>
      <x:c r="F157" s="13" t="n">
        <x:v>15000</x:v>
      </x:c>
      <x:c r="G157" s="9" t="n">
        <x:v>14.2</x:v>
      </x:c>
      <x:c r="H157" s="9" t="n">
        <x:v>31.7</x:v>
      </x:c>
      <x:c r="I157" s="8" t="str">
        <x:f>B157&amp;" / "&amp;C157&amp;" / "&amp;E157</x:f>
        <x:v>4018 / 2024 / RAINBOW TROUT</x:v>
      </x:c>
    </x:row>
    <x:row r="158" ht="23" customHeight="1">
      <x:c r="A158" s="8" t="str">
        <x:v>Beaver Mines Lake</x:v>
      </x:c>
      <x:c r="B158" s="8" t="str">
        <x:v>4018</x:v>
      </x:c>
      <x:c r="C158" s="17" t="n">
        <x:v>2024</x:v>
      </x:c>
      <x:c r="D158" s="18" t="n">
        <x:v>45408</x:v>
      </x:c>
      <x:c r="E158" s="8" t="str">
        <x:v>RAINBOW TROUT</x:v>
      </x:c>
      <x:c r="F158" s="13" t="n">
        <x:v>11500</x:v>
      </x:c>
      <x:c r="G158" s="9" t="n">
        <x:v>20.6</x:v>
      </x:c>
      <x:c r="H158" s="9" t="n">
        <x:v>93.9</x:v>
      </x:c>
      <x:c r="I158" s="8" t="str">
        <x:f>B158&amp;" / "&amp;C158&amp;" / "&amp;E158</x:f>
        <x:v>4018 / 2024 / RAINBOW TROUT</x:v>
      </x:c>
    </x:row>
    <x:row r="159" ht="23" customHeight="1">
      <x:c r="A159" s="8" t="str">
        <x:v>Beaver Mines Lake</x:v>
      </x:c>
      <x:c r="B159" s="8" t="str">
        <x:v>4018</x:v>
      </x:c>
      <x:c r="C159" s="17" t="n">
        <x:v>2023</x:v>
      </x:c>
      <x:c r="D159" s="18" t="n">
        <x:v>45041</x:v>
      </x:c>
      <x:c r="E159" s="8" t="str">
        <x:v>RAINBOW TROUT</x:v>
      </x:c>
      <x:c r="F159" s="13" t="n">
        <x:v>10902</x:v>
      </x:c>
      <x:c r="G159" s="9" t="n">
        <x:v>17.1</x:v>
      </x:c>
      <x:c r="H159" s="9" t="n">
        <x:v>55.6</x:v>
      </x:c>
      <x:c r="I159" s="8" t="str">
        <x:f>B159&amp;" / "&amp;C159&amp;" / "&amp;E159</x:f>
        <x:v>4018 / 2023 / RAINBOW TROUT</x:v>
      </x:c>
    </x:row>
    <x:row r="160" ht="23" customHeight="1">
      <x:c r="A160" s="8" t="str">
        <x:v>Beaver Mines Lake</x:v>
      </x:c>
      <x:c r="B160" s="8" t="str">
        <x:v>4018</x:v>
      </x:c>
      <x:c r="C160" s="17" t="n">
        <x:v>2023</x:v>
      </x:c>
      <x:c r="D160" s="18" t="n">
        <x:v>45041</x:v>
      </x:c>
      <x:c r="E160" s="8" t="str">
        <x:v>RAINBOW TROUT</x:v>
      </x:c>
      <x:c r="F160" s="13" t="n">
        <x:v>10000</x:v>
      </x:c>
      <x:c r="G160" s="9" t="n">
        <x:v>9.5</x:v>
      </x:c>
      <x:c r="H160" s="9" t="n">
        <x:v>9.6</x:v>
      </x:c>
      <x:c r="I160" s="8" t="str">
        <x:f>B160&amp;" / "&amp;C160&amp;" / "&amp;E160</x:f>
        <x:v>4018 / 2023 / RAINBOW TROUT</x:v>
      </x:c>
    </x:row>
    <x:row r="161" ht="23" customHeight="1">
      <x:c r="A161" s="8" t="str">
        <x:v>Beaver Mines Lake</x:v>
      </x:c>
      <x:c r="B161" s="8" t="str">
        <x:v>4018</x:v>
      </x:c>
      <x:c r="C161" s="17" t="n">
        <x:v>2022</x:v>
      </x:c>
      <x:c r="D161" s="18" t="n">
        <x:v>44676</x:v>
      </x:c>
      <x:c r="E161" s="8" t="str">
        <x:v>RAINBOW TROUT</x:v>
      </x:c>
      <x:c r="F161" s="13" t="n">
        <x:v>23000</x:v>
      </x:c>
      <x:c r="G161" s="9" t="n">
        <x:v>17.7</x:v>
      </x:c>
      <x:c r="H161" s="9" t="n">
        <x:v>60.9</x:v>
      </x:c>
      <x:c r="I161" s="8" t="str">
        <x:f>B161&amp;" / "&amp;C161&amp;" / "&amp;E161</x:f>
        <x:v>4018 / 2022 / RAINBOW TROUT</x:v>
      </x:c>
    </x:row>
    <x:row r="162" ht="23" customHeight="1">
      <x:c r="A162" s="8" t="str">
        <x:v>Beaver Mines Lake</x:v>
      </x:c>
      <x:c r="B162" s="8" t="str">
        <x:v>4018</x:v>
      </x:c>
      <x:c r="C162" s="17" t="n">
        <x:v>2021</x:v>
      </x:c>
      <x:c r="D162" s="18" t="n">
        <x:v>44313</x:v>
      </x:c>
      <x:c r="E162" s="8" t="str">
        <x:v>RAINBOW TROUT</x:v>
      </x:c>
      <x:c r="F162" s="13" t="n">
        <x:v>23000</x:v>
      </x:c>
      <x:c r="G162" s="9" t="n">
        <x:v>17.5</x:v>
      </x:c>
      <x:c r="H162" s="9" t="n">
        <x:v>59.3</x:v>
      </x:c>
      <x:c r="I162" s="8" t="str">
        <x:f>B162&amp;" / "&amp;C162&amp;" / "&amp;E162</x:f>
        <x:v>4018 / 2021 / RAINBOW TROUT</x:v>
      </x:c>
    </x:row>
    <x:row r="163" ht="23" customHeight="1">
      <x:c r="A163" s="8" t="str">
        <x:v>Bellis Beach Lake</x:v>
      </x:c>
      <x:c r="B163" s="8" t="str">
        <x:v>6894</x:v>
      </x:c>
      <x:c r="C163" s="17" t="n">
        <x:v>2026</x:v>
      </x:c>
      <x:c r="D163" s="18" t="n">
        <x:v>46156</x:v>
      </x:c>
      <x:c r="E163" s="8" t="str">
        <x:v>RAINBOW TROUT</x:v>
      </x:c>
      <x:c r="F163" s="13" t="n">
        <x:v>9835</x:v>
      </x:c>
      <x:c r="G163" s="9" t="n">
        <x:v>20.6</x:v>
      </x:c>
      <x:c r="H163" s="9" t="n">
        <x:v>96.8</x:v>
      </x:c>
      <x:c r="I163" s="8" t="str">
        <x:f>B163&amp;" / "&amp;C163&amp;" / "&amp;E163</x:f>
        <x:v>6894 / 2026 / RAINBOW TROUT</x:v>
      </x:c>
    </x:row>
    <x:row r="164" ht="23" customHeight="1">
      <x:c r="A164" s="8" t="str">
        <x:v>Bellis Beach Lake</x:v>
      </x:c>
      <x:c r="B164" s="8" t="str">
        <x:v>6894</x:v>
      </x:c>
      <x:c r="C164" s="17" t="n">
        <x:v>2026</x:v>
      </x:c>
      <x:c r="D164" s="18" t="n">
        <x:v>46156</x:v>
      </x:c>
      <x:c r="E164" s="8" t="str">
        <x:v>RAINBOW TROUT</x:v>
      </x:c>
      <x:c r="F164" s="13" t="n">
        <x:v>4165</x:v>
      </x:c>
      <x:c r="G164" s="9" t="n">
        <x:v>20.1</x:v>
      </x:c>
      <x:c r="H164" s="9" t="n">
        <x:v>95</x:v>
      </x:c>
      <x:c r="I164" s="8" t="str">
        <x:f>B164&amp;" / "&amp;C164&amp;" / "&amp;E164</x:f>
        <x:v>6894 / 2026 / RAINBOW TROUT</x:v>
      </x:c>
    </x:row>
    <x:row r="165" ht="23" customHeight="1">
      <x:c r="A165" s="8" t="str">
        <x:v>Bellis Beach Lake</x:v>
      </x:c>
      <x:c r="B165" s="8" t="str">
        <x:v>6894</x:v>
      </x:c>
      <x:c r="C165" s="17" t="n">
        <x:v>2025</x:v>
      </x:c>
      <x:c r="D165" s="18" t="n">
        <x:v>45782</x:v>
      </x:c>
      <x:c r="E165" s="8" t="str">
        <x:v>RAINBOW TROUT</x:v>
      </x:c>
      <x:c r="F165" s="13" t="n">
        <x:v>14000</x:v>
      </x:c>
      <x:c r="G165" s="9" t="n">
        <x:v>20.9</x:v>
      </x:c>
      <x:c r="H165" s="9" t="n">
        <x:v>101.6</x:v>
      </x:c>
      <x:c r="I165" s="8" t="str">
        <x:f>B165&amp;" / "&amp;C165&amp;" / "&amp;E165</x:f>
        <x:v>6894 / 2025 / RAINBOW TROUT</x:v>
      </x:c>
    </x:row>
    <x:row r="166" ht="23" customHeight="1">
      <x:c r="A166" s="8" t="str">
        <x:v>Bellis Beach Lake</x:v>
      </x:c>
      <x:c r="B166" s="8" t="str">
        <x:v>6894</x:v>
      </x:c>
      <x:c r="C166" s="17" t="n">
        <x:v>2024</x:v>
      </x:c>
      <x:c r="D166" s="18" t="n">
        <x:v>45414</x:v>
      </x:c>
      <x:c r="E166" s="8" t="str">
        <x:v>RAINBOW TROUT</x:v>
      </x:c>
      <x:c r="F166" s="13" t="n">
        <x:v>5600</x:v>
      </x:c>
      <x:c r="G166" s="9" t="n">
        <x:v>20</x:v>
      </x:c>
      <x:c r="H166" s="9" t="n">
        <x:v>86.9</x:v>
      </x:c>
      <x:c r="I166" s="8" t="str">
        <x:f>B166&amp;" / "&amp;C166&amp;" / "&amp;E166</x:f>
        <x:v>6894 / 2024 / RAINBOW TROUT</x:v>
      </x:c>
    </x:row>
    <x:row r="167" ht="23" customHeight="1">
      <x:c r="A167" s="8" t="str">
        <x:v>Bellis Beach Lake</x:v>
      </x:c>
      <x:c r="B167" s="8" t="str">
        <x:v>6894</x:v>
      </x:c>
      <x:c r="C167" s="17" t="n">
        <x:v>2023</x:v>
      </x:c>
      <x:c r="D167" s="18" t="n">
        <x:v>45063</x:v>
      </x:c>
      <x:c r="E167" s="8" t="str">
        <x:v>RAINBOW TROUT</x:v>
      </x:c>
      <x:c r="F167" s="13" t="n">
        <x:v>5586</x:v>
      </x:c>
      <x:c r="G167" s="9" t="n">
        <x:v>20</x:v>
      </x:c>
      <x:c r="H167" s="9" t="n">
        <x:v>86.2</x:v>
      </x:c>
      <x:c r="I167" s="8" t="str">
        <x:f>B167&amp;" / "&amp;C167&amp;" / "&amp;E167</x:f>
        <x:v>6894 / 2023 / RAINBOW TROUT</x:v>
      </x:c>
    </x:row>
    <x:row r="168" ht="23" customHeight="1">
      <x:c r="A168" s="8" t="str">
        <x:v>Bellis Beach Lake</x:v>
      </x:c>
      <x:c r="B168" s="8" t="str">
        <x:v>6894</x:v>
      </x:c>
      <x:c r="C168" s="17" t="n">
        <x:v>2022</x:v>
      </x:c>
      <x:c r="D168" s="18" t="n">
        <x:v>44707</x:v>
      </x:c>
      <x:c r="E168" s="8" t="str">
        <x:v>RAINBOW TROUT</x:v>
      </x:c>
      <x:c r="F168" s="13" t="n">
        <x:v>14000</x:v>
      </x:c>
      <x:c r="G168" s="9" t="n">
        <x:v>19.7</x:v>
      </x:c>
      <x:c r="H168" s="9" t="n">
        <x:v>84.6</x:v>
      </x:c>
      <x:c r="I168" s="8" t="str">
        <x:f>B168&amp;" / "&amp;C168&amp;" / "&amp;E168</x:f>
        <x:v>6894 / 2022 / RAINBOW TROUT</x:v>
      </x:c>
    </x:row>
    <x:row r="169" ht="23" customHeight="1">
      <x:c r="A169" s="8" t="str">
        <x:v>Bellis Beach Lake</x:v>
      </x:c>
      <x:c r="B169" s="8" t="str">
        <x:v>6894</x:v>
      </x:c>
      <x:c r="C169" s="17" t="n">
        <x:v>2021</x:v>
      </x:c>
      <x:c r="D169" s="18" t="n">
        <x:v>44322</x:v>
      </x:c>
      <x:c r="E169" s="8" t="str">
        <x:v>RAINBOW TROUT</x:v>
      </x:c>
      <x:c r="F169" s="13" t="n">
        <x:v>6000</x:v>
      </x:c>
      <x:c r="G169" s="9" t="n">
        <x:v>16.7</x:v>
      </x:c>
      <x:c r="H169" s="9" t="n">
        <x:v>52</x:v>
      </x:c>
      <x:c r="I169" s="8" t="str">
        <x:f>B169&amp;" / "&amp;C169&amp;" / "&amp;E169</x:f>
        <x:v>6894 / 2021 / RAINBOW TROUT</x:v>
      </x:c>
    </x:row>
    <x:row r="170" ht="23" customHeight="1">
      <x:c r="A170" s="8" t="str">
        <x:v>Bellis Beach Lake</x:v>
      </x:c>
      <x:c r="B170" s="8" t="str">
        <x:v>6894</x:v>
      </x:c>
      <x:c r="C170" s="17" t="n">
        <x:v>2021</x:v>
      </x:c>
      <x:c r="D170" s="18" t="n">
        <x:v>44322</x:v>
      </x:c>
      <x:c r="E170" s="8" t="str">
        <x:v>RAINBOW TROUT</x:v>
      </x:c>
      <x:c r="F170" s="13" t="n">
        <x:v>8000</x:v>
      </x:c>
      <x:c r="G170" s="9" t="n">
        <x:v>17.6</x:v>
      </x:c>
      <x:c r="H170" s="9" t="n">
        <x:v>60</x:v>
      </x:c>
      <x:c r="I170" s="8" t="str">
        <x:f>B170&amp;" / "&amp;C170&amp;" / "&amp;E170</x:f>
        <x:v>6894 / 2021 / RAINBOW TROUT</x:v>
      </x:c>
    </x:row>
    <x:row r="171" ht="23" customHeight="1">
      <x:c r="A171" s="8" t="str">
        <x:v>Big Iron Lake</x:v>
      </x:c>
      <x:c r="B171" s="8" t="str">
        <x:v>6897</x:v>
      </x:c>
      <x:c r="C171" s="17" t="n">
        <x:v>2026</x:v>
      </x:c>
      <x:c r="D171" s="18" t="n">
        <x:v>46178</x:v>
      </x:c>
      <x:c r="E171" s="8" t="str">
        <x:v>TIGER TROUT</x:v>
      </x:c>
      <x:c r="F171" s="13" t="n">
        <x:v>750</x:v>
      </x:c>
      <x:c r="G171" s="9" t="n">
        <x:v>19.5</x:v>
      </x:c>
      <x:c r="H171" s="9" t="n">
        <x:v>80</x:v>
      </x:c>
      <x:c r="I171" s="8" t="str">
        <x:f>B171&amp;" / "&amp;C171&amp;" / "&amp;E171</x:f>
        <x:v>6897 / 2026 / TIGER TROUT</x:v>
      </x:c>
    </x:row>
    <x:row r="172" ht="23" customHeight="1">
      <x:c r="A172" s="8" t="str">
        <x:v>Big Iron Lake</x:v>
      </x:c>
      <x:c r="B172" s="8" t="str">
        <x:v>6897</x:v>
      </x:c>
      <x:c r="C172" s="17" t="n">
        <x:v>2025</x:v>
      </x:c>
      <x:c r="D172" s="18" t="n">
        <x:v>45810</x:v>
      </x:c>
      <x:c r="E172" s="8" t="str">
        <x:v>TIGER TROUT</x:v>
      </x:c>
      <x:c r="F172" s="13" t="n">
        <x:v>750</x:v>
      </x:c>
      <x:c r="G172" s="9" t="n">
        <x:v>21.2</x:v>
      </x:c>
      <x:c r="H172" s="9" t="n">
        <x:v>102.4</x:v>
      </x:c>
      <x:c r="I172" s="8" t="str">
        <x:f>B172&amp;" / "&amp;C172&amp;" / "&amp;E172</x:f>
        <x:v>6897 / 2025 / TIGER TROUT</x:v>
      </x:c>
    </x:row>
    <x:row r="173" ht="23" customHeight="1">
      <x:c r="A173" s="8" t="str">
        <x:v>Big Iron Lake</x:v>
      </x:c>
      <x:c r="B173" s="8" t="str">
        <x:v>6897</x:v>
      </x:c>
      <x:c r="C173" s="17" t="n">
        <x:v>2024</x:v>
      </x:c>
      <x:c r="D173" s="18" t="n">
        <x:v>45447</x:v>
      </x:c>
      <x:c r="E173" s="8" t="str">
        <x:v>TIGER TROUT</x:v>
      </x:c>
      <x:c r="F173" s="13" t="n">
        <x:v>750</x:v>
      </x:c>
      <x:c r="G173" s="9" t="n">
        <x:v>20</x:v>
      </x:c>
      <x:c r="H173" s="9" t="n">
        <x:v>86</x:v>
      </x:c>
      <x:c r="I173" s="8" t="str">
        <x:f>B173&amp;" / "&amp;C173&amp;" / "&amp;E173</x:f>
        <x:v>6897 / 2024 / TIGER TROUT</x:v>
      </x:c>
    </x:row>
    <x:row r="174" ht="23" customHeight="1">
      <x:c r="A174" s="8" t="str">
        <x:v>Big Iron Lake</x:v>
      </x:c>
      <x:c r="B174" s="8" t="str">
        <x:v>6897</x:v>
      </x:c>
      <x:c r="C174" s="17" t="n">
        <x:v>2023</x:v>
      </x:c>
      <x:c r="D174" s="18" t="n">
        <x:v>45089</x:v>
      </x:c>
      <x:c r="E174" s="8" t="str">
        <x:v>TIGER TROUT</x:v>
      </x:c>
      <x:c r="F174" s="13" t="n">
        <x:v>750</x:v>
      </x:c>
      <x:c r="G174" s="9" t="n">
        <x:v>20.3</x:v>
      </x:c>
      <x:c r="H174" s="9" t="n">
        <x:v>91.1</x:v>
      </x:c>
      <x:c r="I174" s="8" t="str">
        <x:f>B174&amp;" / "&amp;C174&amp;" / "&amp;E174</x:f>
        <x:v>6897 / 2023 / TIGER TROUT</x:v>
      </x:c>
    </x:row>
    <x:row r="175" ht="23" customHeight="1">
      <x:c r="A175" s="8" t="str">
        <x:v>Big Iron Lake</x:v>
      </x:c>
      <x:c r="B175" s="8" t="str">
        <x:v>6897</x:v>
      </x:c>
      <x:c r="C175" s="17" t="n">
        <x:v>2022</x:v>
      </x:c>
      <x:c r="D175" s="18" t="n">
        <x:v>44712</x:v>
      </x:c>
      <x:c r="E175" s="8" t="str">
        <x:v>TIGER TROUT</x:v>
      </x:c>
      <x:c r="F175" s="13" t="n">
        <x:v>750</x:v>
      </x:c>
      <x:c r="G175" s="9" t="n">
        <x:v>16.5</x:v>
      </x:c>
      <x:c r="H175" s="9" t="n">
        <x:v>49.1</x:v>
      </x:c>
      <x:c r="I175" s="8" t="str">
        <x:f>B175&amp;" / "&amp;C175&amp;" / "&amp;E175</x:f>
        <x:v>6897 / 2022 / TIGER TROUT</x:v>
      </x:c>
    </x:row>
    <x:row r="176" ht="23" customHeight="1">
      <x:c r="A176" s="8" t="str">
        <x:v>Big Iron Lake</x:v>
      </x:c>
      <x:c r="B176" s="8" t="str">
        <x:v>6897</x:v>
      </x:c>
      <x:c r="C176" s="17" t="n">
        <x:v>2021</x:v>
      </x:c>
      <x:c r="D176" s="18" t="n">
        <x:v>44363</x:v>
      </x:c>
      <x:c r="E176" s="8" t="str">
        <x:v>TIGER TROUT</x:v>
      </x:c>
      <x:c r="F176" s="13" t="n">
        <x:v>750</x:v>
      </x:c>
      <x:c r="G176" s="9" t="n">
        <x:v>16.5</x:v>
      </x:c>
      <x:c r="H176" s="9" t="n">
        <x:v>49.7</x:v>
      </x:c>
      <x:c r="I176" s="8" t="str">
        <x:f>B176&amp;" / "&amp;C176&amp;" / "&amp;E176</x:f>
        <x:v>6897 / 2021 / TIGER TROUT</x:v>
      </x:c>
    </x:row>
    <x:row r="177" ht="23" customHeight="1">
      <x:c r="A177" s="8" t="str">
        <x:v>Birch Lake</x:v>
      </x:c>
      <x:c r="B177" s="8" t="str">
        <x:v>4061</x:v>
      </x:c>
      <x:c r="C177" s="17" t="n">
        <x:v>2026</x:v>
      </x:c>
      <x:c r="D177" s="18" t="n">
        <x:v>46163</x:v>
      </x:c>
      <x:c r="E177" s="8" t="str">
        <x:v>BROOK TROUT</x:v>
      </x:c>
      <x:c r="F177" s="13" t="n">
        <x:v>5000</x:v>
      </x:c>
      <x:c r="G177" s="9" t="n">
        <x:v>19.2</x:v>
      </x:c>
      <x:c r="H177" s="9" t="n">
        <x:v>77</x:v>
      </x:c>
      <x:c r="I177" s="8" t="str">
        <x:f>B177&amp;" / "&amp;C177&amp;" / "&amp;E177</x:f>
        <x:v>4061 / 2026 / BROOK TROUT</x:v>
      </x:c>
    </x:row>
    <x:row r="178" ht="23" customHeight="1">
      <x:c r="A178" s="8" t="str">
        <x:v>Birch Lake</x:v>
      </x:c>
      <x:c r="B178" s="8" t="str">
        <x:v>4061</x:v>
      </x:c>
      <x:c r="C178" s="17" t="n">
        <x:v>2026</x:v>
      </x:c>
      <x:c r="D178" s="18" t="n">
        <x:v>46163</x:v>
      </x:c>
      <x:c r="E178" s="8" t="str">
        <x:v>BROWN TROUT</x:v>
      </x:c>
      <x:c r="F178" s="13" t="n">
        <x:v>500</x:v>
      </x:c>
      <x:c r="G178" s="9" t="n">
        <x:v>19.1</x:v>
      </x:c>
      <x:c r="H178" s="9" t="n">
        <x:v>75.5</x:v>
      </x:c>
      <x:c r="I178" s="8" t="str">
        <x:f>B178&amp;" / "&amp;C178&amp;" / "&amp;E178</x:f>
        <x:v>4061 / 2026 / BROWN TROUT</x:v>
      </x:c>
    </x:row>
    <x:row r="179" ht="23" customHeight="1">
      <x:c r="A179" s="8" t="str">
        <x:v>Birch Lake</x:v>
      </x:c>
      <x:c r="B179" s="8" t="str">
        <x:v>4061</x:v>
      </x:c>
      <x:c r="C179" s="17" t="n">
        <x:v>2026</x:v>
      </x:c>
      <x:c r="D179" s="18" t="n">
        <x:v>46163</x:v>
      </x:c>
      <x:c r="E179" s="8" t="str">
        <x:v>RAINBOW TROUT</x:v>
      </x:c>
      <x:c r="F179" s="13" t="n">
        <x:v>3500</x:v>
      </x:c>
      <x:c r="G179" s="9" t="n">
        <x:v>20.1</x:v>
      </x:c>
      <x:c r="H179" s="9" t="n">
        <x:v>87.5</x:v>
      </x:c>
      <x:c r="I179" s="8" t="str">
        <x:f>B179&amp;" / "&amp;C179&amp;" / "&amp;E179</x:f>
        <x:v>4061 / 2026 / RAINBOW TROUT</x:v>
      </x:c>
    </x:row>
    <x:row r="180" ht="23" customHeight="1">
      <x:c r="A180" s="8" t="str">
        <x:v>Birch Lake</x:v>
      </x:c>
      <x:c r="B180" s="8" t="str">
        <x:v>4061</x:v>
      </x:c>
      <x:c r="C180" s="17" t="n">
        <x:v>2025</x:v>
      </x:c>
      <x:c r="D180" s="18" t="n">
        <x:v>45783</x:v>
      </x:c>
      <x:c r="E180" s="8" t="str">
        <x:v>BROOK TROUT</x:v>
      </x:c>
      <x:c r="F180" s="13" t="n">
        <x:v>5000</x:v>
      </x:c>
      <x:c r="G180" s="9" t="n">
        <x:v>19.3</x:v>
      </x:c>
      <x:c r="H180" s="9" t="n">
        <x:v>77.2</x:v>
      </x:c>
      <x:c r="I180" s="8" t="str">
        <x:f>B180&amp;" / "&amp;C180&amp;" / "&amp;E180</x:f>
        <x:v>4061 / 2025 / BROOK TROUT</x:v>
      </x:c>
    </x:row>
    <x:row r="181" ht="23" customHeight="1">
      <x:c r="A181" s="8" t="str">
        <x:v>Birch Lake</x:v>
      </x:c>
      <x:c r="B181" s="8" t="str">
        <x:v>4061</x:v>
      </x:c>
      <x:c r="C181" s="17" t="n">
        <x:v>2025</x:v>
      </x:c>
      <x:c r="D181" s="18" t="n">
        <x:v>45783</x:v>
      </x:c>
      <x:c r="E181" s="8" t="str">
        <x:v>BROWN TROUT</x:v>
      </x:c>
      <x:c r="F181" s="13" t="n">
        <x:v>500</x:v>
      </x:c>
      <x:c r="G181" s="9" t="n">
        <x:v>19.4</x:v>
      </x:c>
      <x:c r="H181" s="9" t="n">
        <x:v>78.7</x:v>
      </x:c>
      <x:c r="I181" s="8" t="str">
        <x:f>B181&amp;" / "&amp;C181&amp;" / "&amp;E181</x:f>
        <x:v>4061 / 2025 / BROWN TROUT</x:v>
      </x:c>
    </x:row>
    <x:row r="182" ht="23" customHeight="1">
      <x:c r="A182" s="8" t="str">
        <x:v>Birch Lake</x:v>
      </x:c>
      <x:c r="B182" s="8" t="str">
        <x:v>4061</x:v>
      </x:c>
      <x:c r="C182" s="17" t="n">
        <x:v>2025</x:v>
      </x:c>
      <x:c r="D182" s="18" t="n">
        <x:v>45783</x:v>
      </x:c>
      <x:c r="E182" s="8" t="str">
        <x:v>RAINBOW TROUT</x:v>
      </x:c>
      <x:c r="F182" s="13" t="n">
        <x:v>3500</x:v>
      </x:c>
      <x:c r="G182" s="9" t="n">
        <x:v>20</x:v>
      </x:c>
      <x:c r="H182" s="9" t="n">
        <x:v>86</x:v>
      </x:c>
      <x:c r="I182" s="8" t="str">
        <x:f>B182&amp;" / "&amp;C182&amp;" / "&amp;E182</x:f>
        <x:v>4061 / 2025 / RAINBOW TROUT</x:v>
      </x:c>
    </x:row>
    <x:row r="183" ht="23" customHeight="1">
      <x:c r="A183" s="8" t="str">
        <x:v>Birch Lake</x:v>
      </x:c>
      <x:c r="B183" s="8" t="str">
        <x:v>4061</x:v>
      </x:c>
      <x:c r="C183" s="17" t="n">
        <x:v>2024</x:v>
      </x:c>
      <x:c r="D183" s="18" t="n">
        <x:v>45449</x:v>
      </x:c>
      <x:c r="E183" s="8" t="str">
        <x:v>BROOK TROUT</x:v>
      </x:c>
      <x:c r="F183" s="13" t="n">
        <x:v>4000</x:v>
      </x:c>
      <x:c r="G183" s="9" t="n">
        <x:v>21</x:v>
      </x:c>
      <x:c r="H183" s="9" t="n">
        <x:v>70</x:v>
      </x:c>
      <x:c r="I183" s="8" t="str">
        <x:f>B183&amp;" / "&amp;C183&amp;" / "&amp;E183</x:f>
        <x:v>4061 / 2024 / BROOK TROUT</x:v>
      </x:c>
    </x:row>
    <x:row r="184" ht="23" customHeight="1">
      <x:c r="A184" s="8" t="str">
        <x:v>Birch Lake</x:v>
      </x:c>
      <x:c r="B184" s="8" t="str">
        <x:v>4061</x:v>
      </x:c>
      <x:c r="C184" s="17" t="n">
        <x:v>2024</x:v>
      </x:c>
      <x:c r="D184" s="18" t="n">
        <x:v>45449</x:v>
      </x:c>
      <x:c r="E184" s="8" t="str">
        <x:v>BROWN TROUT</x:v>
      </x:c>
      <x:c r="F184" s="13" t="n">
        <x:v>500</x:v>
      </x:c>
      <x:c r="G184" s="9" t="n">
        <x:v>20</x:v>
      </x:c>
      <x:c r="H184" s="9" t="n">
        <x:v>86</x:v>
      </x:c>
      <x:c r="I184" s="8" t="str">
        <x:f>B184&amp;" / "&amp;C184&amp;" / "&amp;E184</x:f>
        <x:v>4061 / 2024 / BROWN TROUT</x:v>
      </x:c>
    </x:row>
    <x:row r="185" ht="23" customHeight="1">
      <x:c r="A185" s="8" t="str">
        <x:v>Birch Lake</x:v>
      </x:c>
      <x:c r="B185" s="8" t="str">
        <x:v>4061</x:v>
      </x:c>
      <x:c r="C185" s="17" t="n">
        <x:v>2024</x:v>
      </x:c>
      <x:c r="D185" s="18" t="n">
        <x:v>45449</x:v>
      </x:c>
      <x:c r="E185" s="8" t="str">
        <x:v>RAINBOW TROUT</x:v>
      </x:c>
      <x:c r="F185" s="13" t="n">
        <x:v>1750</x:v>
      </x:c>
      <x:c r="G185" s="9" t="n">
        <x:v>20.8</x:v>
      </x:c>
      <x:c r="H185" s="9" t="n">
        <x:v>94</x:v>
      </x:c>
      <x:c r="I185" s="8" t="str">
        <x:f>B185&amp;" / "&amp;C185&amp;" / "&amp;E185</x:f>
        <x:v>4061 / 2024 / RAINBOW TROUT</x:v>
      </x:c>
    </x:row>
    <x:row r="186" ht="23" customHeight="1">
      <x:c r="A186" s="8" t="str">
        <x:v>Birch Lake</x:v>
      </x:c>
      <x:c r="B186" s="8" t="str">
        <x:v>4061</x:v>
      </x:c>
      <x:c r="C186" s="17" t="n">
        <x:v>2023</x:v>
      </x:c>
      <x:c r="D186" s="18" t="n">
        <x:v>45184</x:v>
      </x:c>
      <x:c r="E186" s="8" t="str">
        <x:v>BROOK TROUT</x:v>
      </x:c>
      <x:c r="F186" s="13" t="n">
        <x:v>5000</x:v>
      </x:c>
      <x:c r="G186" s="9" t="n">
        <x:v>11.3</x:v>
      </x:c>
      <x:c r="H186" s="9" t="n">
        <x:v>15.7</x:v>
      </x:c>
      <x:c r="I186" s="8" t="str">
        <x:f>B186&amp;" / "&amp;C186&amp;" / "&amp;E186</x:f>
        <x:v>4061 / 2023 / BROOK TROUT</x:v>
      </x:c>
    </x:row>
    <x:row r="187" ht="23" customHeight="1">
      <x:c r="A187" s="8" t="str">
        <x:v>Birch Lake</x:v>
      </x:c>
      <x:c r="B187" s="8" t="str">
        <x:v>4061</x:v>
      </x:c>
      <x:c r="C187" s="17" t="n">
        <x:v>2023</x:v>
      </x:c>
      <x:c r="D187" s="18" t="n">
        <x:v>45049</x:v>
      </x:c>
      <x:c r="E187" s="8" t="str">
        <x:v>BROOK TROUT</x:v>
      </x:c>
      <x:c r="F187" s="13" t="n">
        <x:v>3000</x:v>
      </x:c>
      <x:c r="G187" s="9" t="n">
        <x:v>21.5</x:v>
      </x:c>
      <x:c r="H187" s="9" t="n">
        <x:v>93</x:v>
      </x:c>
      <x:c r="I187" s="8" t="str">
        <x:f>B187&amp;" / "&amp;C187&amp;" / "&amp;E187</x:f>
        <x:v>4061 / 2023 / BROOK TROUT</x:v>
      </x:c>
    </x:row>
    <x:row r="188" ht="23" customHeight="1">
      <x:c r="A188" s="8" t="str">
        <x:v>Birch Lake</x:v>
      </x:c>
      <x:c r="B188" s="8" t="str">
        <x:v>4061</x:v>
      </x:c>
      <x:c r="C188" s="17" t="n">
        <x:v>2023</x:v>
      </x:c>
      <x:c r="D188" s="18" t="n">
        <x:v>45057</x:v>
      </x:c>
      <x:c r="E188" s="8" t="str">
        <x:v>BROWN TROUT</x:v>
      </x:c>
      <x:c r="F188" s="13" t="n">
        <x:v>500</x:v>
      </x:c>
      <x:c r="G188" s="9" t="n">
        <x:v>18.6</x:v>
      </x:c>
      <x:c r="H188" s="9" t="n">
        <x:v>71.4</x:v>
      </x:c>
      <x:c r="I188" s="8" t="str">
        <x:f>B188&amp;" / "&amp;C188&amp;" / "&amp;E188</x:f>
        <x:v>4061 / 2023 / BROWN TROUT</x:v>
      </x:c>
    </x:row>
    <x:row r="189" ht="23" customHeight="1">
      <x:c r="A189" s="8" t="str">
        <x:v>Birch Lake</x:v>
      </x:c>
      <x:c r="B189" s="8" t="str">
        <x:v>4061</x:v>
      </x:c>
      <x:c r="C189" s="17" t="n">
        <x:v>2023</x:v>
      </x:c>
      <x:c r="D189" s="18" t="n">
        <x:v>45057</x:v>
      </x:c>
      <x:c r="E189" s="8" t="str">
        <x:v>RAINBOW TROUT</x:v>
      </x:c>
      <x:c r="F189" s="13" t="n">
        <x:v>1659</x:v>
      </x:c>
      <x:c r="G189" s="9" t="n">
        <x:v>17.4</x:v>
      </x:c>
      <x:c r="H189" s="9" t="n">
        <x:v>58.4</x:v>
      </x:c>
      <x:c r="I189" s="8" t="str">
        <x:f>B189&amp;" / "&amp;C189&amp;" / "&amp;E189</x:f>
        <x:v>4061 / 2023 / RAINBOW TROUT</x:v>
      </x:c>
    </x:row>
    <x:row r="190" ht="23" customHeight="1">
      <x:c r="A190" s="8" t="str">
        <x:v>Birch Lake</x:v>
      </x:c>
      <x:c r="B190" s="8" t="str">
        <x:v>4061</x:v>
      </x:c>
      <x:c r="C190" s="17" t="n">
        <x:v>2022</x:v>
      </x:c>
      <x:c r="D190" s="18" t="n">
        <x:v>44824</x:v>
      </x:c>
      <x:c r="E190" s="8" t="str">
        <x:v>BROOK TROUT</x:v>
      </x:c>
      <x:c r="F190" s="13" t="n">
        <x:v>3400</x:v>
      </x:c>
      <x:c r="G190" s="9" t="n">
        <x:v>10.5</x:v>
      </x:c>
      <x:c r="H190" s="9" t="n">
        <x:v>12.7</x:v>
      </x:c>
      <x:c r="I190" s="8" t="str">
        <x:f>B190&amp;" / "&amp;C190&amp;" / "&amp;E190</x:f>
        <x:v>4061 / 2022 / BROOK TROUT</x:v>
      </x:c>
    </x:row>
    <x:row r="191" ht="23" customHeight="1">
      <x:c r="A191" s="8" t="str">
        <x:v>Birch Lake</x:v>
      </x:c>
      <x:c r="B191" s="8" t="str">
        <x:v>4061</x:v>
      </x:c>
      <x:c r="C191" s="17" t="n">
        <x:v>2022</x:v>
      </x:c>
      <x:c r="D191" s="18" t="n">
        <x:v>44698</x:v>
      </x:c>
      <x:c r="E191" s="8" t="str">
        <x:v>BROOK TROUT</x:v>
      </x:c>
      <x:c r="F191" s="13" t="n">
        <x:v>5000</x:v>
      </x:c>
      <x:c r="G191" s="9" t="n">
        <x:v>20.6</x:v>
      </x:c>
      <x:c r="H191" s="9" t="n">
        <x:v>92.8</x:v>
      </x:c>
      <x:c r="I191" s="8" t="str">
        <x:f>B191&amp;" / "&amp;C191&amp;" / "&amp;E191</x:f>
        <x:v>4061 / 2022 / BROOK TROUT</x:v>
      </x:c>
    </x:row>
    <x:row r="192" ht="23" customHeight="1">
      <x:c r="A192" s="8" t="str">
        <x:v>Birch Lake</x:v>
      </x:c>
      <x:c r="B192" s="8" t="str">
        <x:v>4061</x:v>
      </x:c>
      <x:c r="C192" s="17" t="n">
        <x:v>2022</x:v>
      </x:c>
      <x:c r="D192" s="18" t="n">
        <x:v>44705</x:v>
      </x:c>
      <x:c r="E192" s="8" t="str">
        <x:v>BROWN TROUT</x:v>
      </x:c>
      <x:c r="F192" s="13" t="n">
        <x:v>500</x:v>
      </x:c>
      <x:c r="G192" s="9" t="n">
        <x:v>17.7</x:v>
      </x:c>
      <x:c r="H192" s="9" t="n">
        <x:v>61.3</x:v>
      </x:c>
      <x:c r="I192" s="8" t="str">
        <x:f>B192&amp;" / "&amp;C192&amp;" / "&amp;E192</x:f>
        <x:v>4061 / 2022 / BROWN TROUT</x:v>
      </x:c>
    </x:row>
    <x:row r="193" ht="23" customHeight="1">
      <x:c r="A193" s="8" t="str">
        <x:v>Birch Lake</x:v>
      </x:c>
      <x:c r="B193" s="8" t="str">
        <x:v>4061</x:v>
      </x:c>
      <x:c r="C193" s="17" t="n">
        <x:v>2022</x:v>
      </x:c>
      <x:c r="D193" s="18" t="n">
        <x:v>44698</x:v>
      </x:c>
      <x:c r="E193" s="8" t="str">
        <x:v>RAINBOW TROUT</x:v>
      </x:c>
      <x:c r="F193" s="13" t="n">
        <x:v>3500</x:v>
      </x:c>
      <x:c r="G193" s="9" t="n">
        <x:v>18.8</x:v>
      </x:c>
      <x:c r="H193" s="9" t="n">
        <x:v>72.3</x:v>
      </x:c>
      <x:c r="I193" s="8" t="str">
        <x:f>B193&amp;" / "&amp;C193&amp;" / "&amp;E193</x:f>
        <x:v>4061 / 2022 / RAINBOW TROUT</x:v>
      </x:c>
    </x:row>
    <x:row r="194" ht="23" customHeight="1">
      <x:c r="A194" s="8" t="str">
        <x:v>Birch Lake</x:v>
      </x:c>
      <x:c r="B194" s="8" t="str">
        <x:v>4061</x:v>
      </x:c>
      <x:c r="C194" s="17" t="n">
        <x:v>2021</x:v>
      </x:c>
      <x:c r="D194" s="18" t="n">
        <x:v>44321</x:v>
      </x:c>
      <x:c r="E194" s="8" t="str">
        <x:v>BROOK TROUT</x:v>
      </x:c>
      <x:c r="F194" s="13" t="n">
        <x:v>5000</x:v>
      </x:c>
      <x:c r="G194" s="9" t="n">
        <x:v>18.2</x:v>
      </x:c>
      <x:c r="H194" s="9" t="n">
        <x:v>64.3</x:v>
      </x:c>
      <x:c r="I194" s="8" t="str">
        <x:f>B194&amp;" / "&amp;C194&amp;" / "&amp;E194</x:f>
        <x:v>4061 / 2021 / BROOK TROUT</x:v>
      </x:c>
    </x:row>
    <x:row r="195" ht="23" customHeight="1">
      <x:c r="A195" s="8" t="str">
        <x:v>Birch Lake</x:v>
      </x:c>
      <x:c r="B195" s="8" t="str">
        <x:v>4061</x:v>
      </x:c>
      <x:c r="C195" s="17" t="n">
        <x:v>2021</x:v>
      </x:c>
      <x:c r="D195" s="18" t="n">
        <x:v>44321</x:v>
      </x:c>
      <x:c r="E195" s="8" t="str">
        <x:v>BROWN TROUT</x:v>
      </x:c>
      <x:c r="F195" s="13" t="n">
        <x:v>500</x:v>
      </x:c>
      <x:c r="G195" s="9" t="n">
        <x:v>15.7</x:v>
      </x:c>
      <x:c r="H195" s="9" t="n">
        <x:v>42.6</x:v>
      </x:c>
      <x:c r="I195" s="8" t="str">
        <x:f>B195&amp;" / "&amp;C195&amp;" / "&amp;E195</x:f>
        <x:v>4061 / 2021 / BROWN TROUT</x:v>
      </x:c>
    </x:row>
    <x:row r="196" ht="23" customHeight="1">
      <x:c r="A196" s="8" t="str">
        <x:v>Birch Lake</x:v>
      </x:c>
      <x:c r="B196" s="8" t="str">
        <x:v>4061</x:v>
      </x:c>
      <x:c r="C196" s="17" t="n">
        <x:v>2021</x:v>
      </x:c>
      <x:c r="D196" s="18" t="n">
        <x:v>44322</x:v>
      </x:c>
      <x:c r="E196" s="8" t="str">
        <x:v>RAINBOW TROUT</x:v>
      </x:c>
      <x:c r="F196" s="13" t="n">
        <x:v>3500</x:v>
      </x:c>
      <x:c r="G196" s="9" t="n">
        <x:v>22.3</x:v>
      </x:c>
      <x:c r="H196" s="9" t="n">
        <x:v>123</x:v>
      </x:c>
      <x:c r="I196" s="8" t="str">
        <x:f>B196&amp;" / "&amp;C196&amp;" / "&amp;E196</x:f>
        <x:v>4061 / 2021 / RAINBOW TROUT</x:v>
      </x:c>
    </x:row>
    <x:row r="197" ht="23" customHeight="1">
      <x:c r="A197" s="8" t="str">
        <x:v>Birdwood Lake</x:v>
      </x:c>
      <x:c r="B197" s="8" t="str">
        <x:v>4318</x:v>
      </x:c>
      <x:c r="C197" s="17" t="n">
        <x:v>2025</x:v>
      </x:c>
      <x:c r="D197" s="18" t="n">
        <x:v>45908</x:v>
      </x:c>
      <x:c r="E197" s="8" t="str">
        <x:v>CUTTHROAT TROUT</x:v>
      </x:c>
      <x:c r="F197" s="13" t="n">
        <x:v>400</x:v>
      </x:c>
      <x:c r="G197" s="9" t="n">
        <x:v>4.2</x:v>
      </x:c>
      <x:c r="H197" s="9" t="n">
        <x:v>0.8</x:v>
      </x:c>
      <x:c r="I197" s="8" t="str">
        <x:f>B197&amp;" / "&amp;C197&amp;" / "&amp;E197</x:f>
        <x:v>4318 / 2025 / CUTTHROAT TROUT</x:v>
      </x:c>
    </x:row>
    <x:row r="198" ht="23" customHeight="1">
      <x:c r="A198" s="8" t="str">
        <x:v>Birdwood Lake</x:v>
      </x:c>
      <x:c r="B198" s="8" t="str">
        <x:v>4318</x:v>
      </x:c>
      <x:c r="C198" s="17" t="n">
        <x:v>2021</x:v>
      </x:c>
      <x:c r="D198" s="18" t="n">
        <x:v>44447</x:v>
      </x:c>
      <x:c r="E198" s="8" t="str">
        <x:v>CUTTHROAT TROUT</x:v>
      </x:c>
      <x:c r="F198" s="13" t="n">
        <x:v>400</x:v>
      </x:c>
      <x:c r="G198" s="9" t="n">
        <x:v>4.9</x:v>
      </x:c>
      <x:c r="H198" s="9" t="n">
        <x:v>1.3</x:v>
      </x:c>
      <x:c r="I198" s="8" t="str">
        <x:f>B198&amp;" / "&amp;C198&amp;" / "&amp;E198</x:f>
        <x:v>4318 / 2021 / CUTTHROAT TROUT</x:v>
      </x:c>
    </x:row>
    <x:row r="199" ht="23" customHeight="1">
      <x:c r="A199" s="8" t="str">
        <x:v>Black Nugget Mine Pit</x:v>
      </x:c>
      <x:c r="B199" s="8" t="str">
        <x:v>6923</x:v>
      </x:c>
      <x:c r="C199" s="17" t="n">
        <x:v>2026</x:v>
      </x:c>
      <x:c r="D199" s="18" t="n">
        <x:v>46146</x:v>
      </x:c>
      <x:c r="E199" s="8" t="str">
        <x:v>RAINBOW TROUT</x:v>
      </x:c>
      <x:c r="F199" s="13" t="n">
        <x:v>9000</x:v>
      </x:c>
      <x:c r="G199" s="9" t="n">
        <x:v>20.1</x:v>
      </x:c>
      <x:c r="H199" s="9" t="n">
        <x:v>89.6</x:v>
      </x:c>
      <x:c r="I199" s="8" t="str">
        <x:f>B199&amp;" / "&amp;C199&amp;" / "&amp;E199</x:f>
        <x:v>6923 / 2026 / RAINBOW TROUT</x:v>
      </x:c>
    </x:row>
    <x:row r="200" ht="23" customHeight="1">
      <x:c r="A200" s="8" t="str">
        <x:v>Black Nugget Mine Pit</x:v>
      </x:c>
      <x:c r="B200" s="8" t="str">
        <x:v>6923</x:v>
      </x:c>
      <x:c r="C200" s="17" t="n">
        <x:v>2026</x:v>
      </x:c>
      <x:c r="D200" s="18" t="n">
        <x:v>46146</x:v>
      </x:c>
      <x:c r="E200" s="8" t="str">
        <x:v>RAINBOW TROUT</x:v>
      </x:c>
      <x:c r="F200" s="13" t="n">
        <x:v>3500</x:v>
      </x:c>
      <x:c r="G200" s="9" t="n">
        <x:v>20.7</x:v>
      </x:c>
      <x:c r="H200" s="9" t="n">
        <x:v>98.2</x:v>
      </x:c>
      <x:c r="I200" s="8" t="str">
        <x:f>B200&amp;" / "&amp;C200&amp;" / "&amp;E200</x:f>
        <x:v>6923 / 2026 / RAINBOW TROUT</x:v>
      </x:c>
    </x:row>
    <x:row r="201" ht="23" customHeight="1">
      <x:c r="A201" s="8" t="str">
        <x:v>Black Nugget Mine Pit</x:v>
      </x:c>
      <x:c r="B201" s="8" t="str">
        <x:v>6923</x:v>
      </x:c>
      <x:c r="C201" s="17" t="n">
        <x:v>2026</x:v>
      </x:c>
      <x:c r="D201" s="18" t="n">
        <x:v>46146</x:v>
      </x:c>
      <x:c r="E201" s="8" t="str">
        <x:v>TIGER TROUT</x:v>
      </x:c>
      <x:c r="F201" s="13" t="n">
        <x:v>5000</x:v>
      </x:c>
      <x:c r="G201" s="9" t="n">
        <x:v>20.9</x:v>
      </x:c>
      <x:c r="H201" s="9" t="n">
        <x:v>101.3</x:v>
      </x:c>
      <x:c r="I201" s="8" t="str">
        <x:f>B201&amp;" / "&amp;C201&amp;" / "&amp;E201</x:f>
        <x:v>6923 / 2026 / TIGER TROUT</x:v>
      </x:c>
    </x:row>
    <x:row r="202" ht="23" customHeight="1">
      <x:c r="A202" s="8" t="str">
        <x:v>Black Nugget Mine Pit</x:v>
      </x:c>
      <x:c r="B202" s="8" t="str">
        <x:v>6923</x:v>
      </x:c>
      <x:c r="C202" s="17" t="n">
        <x:v>2025</x:v>
      </x:c>
      <x:c r="D202" s="18" t="n">
        <x:v>45774</x:v>
      </x:c>
      <x:c r="E202" s="8" t="str">
        <x:v>RAINBOW TROUT</x:v>
      </x:c>
      <x:c r="F202" s="13" t="n">
        <x:v>5929</x:v>
      </x:c>
      <x:c r="G202" s="9" t="n">
        <x:v>20.4</x:v>
      </x:c>
      <x:c r="H202" s="9" t="n">
        <x:v>93.6</x:v>
      </x:c>
      <x:c r="I202" s="8" t="str">
        <x:f>B202&amp;" / "&amp;C202&amp;" / "&amp;E202</x:f>
        <x:v>6923 / 2025 / RAINBOW TROUT</x:v>
      </x:c>
    </x:row>
    <x:row r="203" ht="23" customHeight="1">
      <x:c r="A203" s="8" t="str">
        <x:v>Black Nugget Mine Pit</x:v>
      </x:c>
      <x:c r="B203" s="8" t="str">
        <x:v>6923</x:v>
      </x:c>
      <x:c r="C203" s="17" t="n">
        <x:v>2025</x:v>
      </x:c>
      <x:c r="D203" s="18" t="n">
        <x:v>45774</x:v>
      </x:c>
      <x:c r="E203" s="8" t="str">
        <x:v>RAINBOW TROUT</x:v>
      </x:c>
      <x:c r="F203" s="13" t="n">
        <x:v>6571</x:v>
      </x:c>
      <x:c r="G203" s="9" t="n">
        <x:v>20.4</x:v>
      </x:c>
      <x:c r="H203" s="9" t="n">
        <x:v>93.6</x:v>
      </x:c>
      <x:c r="I203" s="8" t="str">
        <x:f>B203&amp;" / "&amp;C203&amp;" / "&amp;E203</x:f>
        <x:v>6923 / 2025 / RAINBOW TROUT</x:v>
      </x:c>
    </x:row>
    <x:row r="204" ht="23" customHeight="1">
      <x:c r="A204" s="8" t="str">
        <x:v>Black Nugget Mine Pit</x:v>
      </x:c>
      <x:c r="B204" s="8" t="str">
        <x:v>6923</x:v>
      </x:c>
      <x:c r="C204" s="17" t="n">
        <x:v>2025</x:v>
      </x:c>
      <x:c r="D204" s="18" t="n">
        <x:v>45769</x:v>
      </x:c>
      <x:c r="E204" s="8" t="str">
        <x:v>TIGER TROUT</x:v>
      </x:c>
      <x:c r="F204" s="13" t="n">
        <x:v>5000</x:v>
      </x:c>
      <x:c r="G204" s="9" t="n">
        <x:v>19.8</x:v>
      </x:c>
      <x:c r="H204" s="9" t="n">
        <x:v>83.7</x:v>
      </x:c>
      <x:c r="I204" s="8" t="str">
        <x:f>B204&amp;" / "&amp;C204&amp;" / "&amp;E204</x:f>
        <x:v>6923 / 2025 / TIGER TROUT</x:v>
      </x:c>
    </x:row>
    <x:row r="205" ht="23" customHeight="1">
      <x:c r="A205" s="8" t="str">
        <x:v>Black Nugget Mine Pit</x:v>
      </x:c>
      <x:c r="B205" s="8" t="str">
        <x:v>6923</x:v>
      </x:c>
      <x:c r="C205" s="17" t="n">
        <x:v>2024</x:v>
      </x:c>
      <x:c r="D205" s="18" t="n">
        <x:v>45400</x:v>
      </x:c>
      <x:c r="E205" s="8" t="str">
        <x:v>RAINBOW TROUT</x:v>
      </x:c>
      <x:c r="F205" s="13" t="n">
        <x:v>10000</x:v>
      </x:c>
      <x:c r="G205" s="9" t="n">
        <x:v>7.7</x:v>
      </x:c>
      <x:c r="H205" s="9" t="n">
        <x:v>4.9</x:v>
      </x:c>
      <x:c r="I205" s="8" t="str">
        <x:f>B205&amp;" / "&amp;C205&amp;" / "&amp;E205</x:f>
        <x:v>6923 / 2024 / RAINBOW TROUT</x:v>
      </x:c>
    </x:row>
    <x:row r="206" ht="23" customHeight="1">
      <x:c r="A206" s="8" t="str">
        <x:v>Black Nugget Mine Pit</x:v>
      </x:c>
      <x:c r="B206" s="8" t="str">
        <x:v>6923</x:v>
      </x:c>
      <x:c r="C206" s="17" t="n">
        <x:v>2024</x:v>
      </x:c>
      <x:c r="D206" s="18" t="n">
        <x:v>45400</x:v>
      </x:c>
      <x:c r="E206" s="8" t="str">
        <x:v>RAINBOW TROUT</x:v>
      </x:c>
      <x:c r="F206" s="13" t="n">
        <x:v>5000</x:v>
      </x:c>
      <x:c r="G206" s="9" t="n">
        <x:v>20.1</x:v>
      </x:c>
      <x:c r="H206" s="9" t="n">
        <x:v>87.8</x:v>
      </x:c>
      <x:c r="I206" s="8" t="str">
        <x:f>B206&amp;" / "&amp;C206&amp;" / "&amp;E206</x:f>
        <x:v>6923 / 2024 / RAINBOW TROUT</x:v>
      </x:c>
    </x:row>
    <x:row r="207" ht="23" customHeight="1">
      <x:c r="A207" s="8" t="str">
        <x:v>Black Nugget Mine Pit</x:v>
      </x:c>
      <x:c r="B207" s="8" t="str">
        <x:v>6923</x:v>
      </x:c>
      <x:c r="C207" s="17" t="n">
        <x:v>2024</x:v>
      </x:c>
      <x:c r="D207" s="18" t="n">
        <x:v>45400</x:v>
      </x:c>
      <x:c r="E207" s="8" t="str">
        <x:v>TIGER TROUT</x:v>
      </x:c>
      <x:c r="F207" s="13" t="n">
        <x:v>4000</x:v>
      </x:c>
      <x:c r="G207" s="9" t="n">
        <x:v>20.1</x:v>
      </x:c>
      <x:c r="H207" s="9" t="n">
        <x:v>87.3</x:v>
      </x:c>
      <x:c r="I207" s="8" t="str">
        <x:f>B207&amp;" / "&amp;C207&amp;" / "&amp;E207</x:f>
        <x:v>6923 / 2024 / TIGER TROUT</x:v>
      </x:c>
    </x:row>
    <x:row r="208" ht="23" customHeight="1">
      <x:c r="A208" s="8" t="str">
        <x:v>Black Nugget Mine Pit</x:v>
      </x:c>
      <x:c r="B208" s="8" t="str">
        <x:v>6923</x:v>
      </x:c>
      <x:c r="C208" s="17" t="n">
        <x:v>2023</x:v>
      </x:c>
      <x:c r="D208" s="18" t="n">
        <x:v>45047</x:v>
      </x:c>
      <x:c r="E208" s="8" t="str">
        <x:v>RAINBOW TROUT</x:v>
      </x:c>
      <x:c r="F208" s="13" t="n">
        <x:v>4988</x:v>
      </x:c>
      <x:c r="G208" s="9" t="n">
        <x:v>20.1</x:v>
      </x:c>
      <x:c r="H208" s="9" t="n">
        <x:v>87.6</x:v>
      </x:c>
      <x:c r="I208" s="8" t="str">
        <x:f>B208&amp;" / "&amp;C208&amp;" / "&amp;E208</x:f>
        <x:v>6923 / 2023 / RAINBOW TROUT</x:v>
      </x:c>
    </x:row>
    <x:row r="209" ht="23" customHeight="1">
      <x:c r="A209" s="8" t="str">
        <x:v>Black Nugget Mine Pit</x:v>
      </x:c>
      <x:c r="B209" s="8" t="str">
        <x:v>6923</x:v>
      </x:c>
      <x:c r="C209" s="17" t="n">
        <x:v>2023</x:v>
      </x:c>
      <x:c r="D209" s="18" t="n">
        <x:v>45047</x:v>
      </x:c>
      <x:c r="E209" s="8" t="str">
        <x:v>TIGER TROUT</x:v>
      </x:c>
      <x:c r="F209" s="13" t="n">
        <x:v>5000</x:v>
      </x:c>
      <x:c r="G209" s="9" t="n">
        <x:v>19.9</x:v>
      </x:c>
      <x:c r="H209" s="9" t="n">
        <x:v>84.8</x:v>
      </x:c>
      <x:c r="I209" s="8" t="str">
        <x:f>B209&amp;" / "&amp;C209&amp;" / "&amp;E209</x:f>
        <x:v>6923 / 2023 / TIGER TROUT</x:v>
      </x:c>
    </x:row>
    <x:row r="210" ht="23" customHeight="1">
      <x:c r="A210" s="8" t="str">
        <x:v>Black Nugget Mine Pit</x:v>
      </x:c>
      <x:c r="B210" s="8" t="str">
        <x:v>6923</x:v>
      </x:c>
      <x:c r="C210" s="17" t="n">
        <x:v>2022</x:v>
      </x:c>
      <x:c r="D210" s="18" t="n">
        <x:v>44683</x:v>
      </x:c>
      <x:c r="E210" s="8" t="str">
        <x:v>RAINBOW TROUT</x:v>
      </x:c>
      <x:c r="F210" s="13" t="n">
        <x:v>12500</x:v>
      </x:c>
      <x:c r="G210" s="9" t="n">
        <x:v>19</x:v>
      </x:c>
      <x:c r="H210" s="9" t="n">
        <x:v>75.7</x:v>
      </x:c>
      <x:c r="I210" s="8" t="str">
        <x:f>B210&amp;" / "&amp;C210&amp;" / "&amp;E210</x:f>
        <x:v>6923 / 2022 / RAINBOW TROUT</x:v>
      </x:c>
    </x:row>
    <x:row r="211" ht="23" customHeight="1">
      <x:c r="A211" s="8" t="str">
        <x:v>Black Nugget Mine Pit</x:v>
      </x:c>
      <x:c r="B211" s="8" t="str">
        <x:v>6923</x:v>
      </x:c>
      <x:c r="C211" s="17" t="n">
        <x:v>2022</x:v>
      </x:c>
      <x:c r="D211" s="18" t="n">
        <x:v>44683</x:v>
      </x:c>
      <x:c r="E211" s="8" t="str">
        <x:v>TIGER TROUT</x:v>
      </x:c>
      <x:c r="F211" s="13" t="n">
        <x:v>5000</x:v>
      </x:c>
      <x:c r="G211" s="9" t="n">
        <x:v>16.9</x:v>
      </x:c>
      <x:c r="H211" s="9" t="n">
        <x:v>53.1</x:v>
      </x:c>
      <x:c r="I211" s="8" t="str">
        <x:f>B211&amp;" / "&amp;C211&amp;" / "&amp;E211</x:f>
        <x:v>6923 / 2022 / TIGER TROUT</x:v>
      </x:c>
    </x:row>
    <x:row r="212" ht="23" customHeight="1">
      <x:c r="A212" s="8" t="str">
        <x:v>Black Nugget Mine Pit</x:v>
      </x:c>
      <x:c r="B212" s="8" t="str">
        <x:v>6923</x:v>
      </x:c>
      <x:c r="C212" s="17" t="n">
        <x:v>2021</x:v>
      </x:c>
      <x:c r="D212" s="18" t="n">
        <x:v>44469</x:v>
      </x:c>
      <x:c r="E212" s="8" t="str">
        <x:v>RAINBOW TROUT</x:v>
      </x:c>
      <x:c r="F212" s="13" t="n">
        <x:v>5000</x:v>
      </x:c>
      <x:c r="G212" s="9" t="n">
        <x:v>17.3</x:v>
      </x:c>
      <x:c r="H212" s="9" t="n">
        <x:v>57.3</x:v>
      </x:c>
      <x:c r="I212" s="8" t="str">
        <x:f>B212&amp;" / "&amp;C212&amp;" / "&amp;E212</x:f>
        <x:v>6923 / 2021 / RAINBOW TROUT</x:v>
      </x:c>
    </x:row>
    <x:row r="213" ht="23" customHeight="1">
      <x:c r="A213" s="8" t="str">
        <x:v>Black Nugget Mine Pit</x:v>
      </x:c>
      <x:c r="B213" s="8" t="str">
        <x:v>6923</x:v>
      </x:c>
      <x:c r="C213" s="17" t="n">
        <x:v>2021</x:v>
      </x:c>
      <x:c r="D213" s="18" t="n">
        <x:v>44467</x:v>
      </x:c>
      <x:c r="E213" s="8" t="str">
        <x:v>RAINBOW TROUT</x:v>
      </x:c>
      <x:c r="F213" s="13" t="n">
        <x:v>7990</x:v>
      </x:c>
      <x:c r="G213" s="9" t="n">
        <x:v>16.7</x:v>
      </x:c>
      <x:c r="H213" s="9" t="n">
        <x:v>50.7</x:v>
      </x:c>
      <x:c r="I213" s="8" t="str">
        <x:f>B213&amp;" / "&amp;C213&amp;" / "&amp;E213</x:f>
        <x:v>6923 / 2021 / RAINBOW TROUT</x:v>
      </x:c>
    </x:row>
    <x:row r="214" ht="23" customHeight="1">
      <x:c r="A214" s="8" t="str">
        <x:v>Black Nugget Mine Pit</x:v>
      </x:c>
      <x:c r="B214" s="8" t="str">
        <x:v>6923</x:v>
      </x:c>
      <x:c r="C214" s="17" t="n">
        <x:v>2021</x:v>
      </x:c>
      <x:c r="D214" s="18" t="n">
        <x:v>44315</x:v>
      </x:c>
      <x:c r="E214" s="8" t="str">
        <x:v>RAINBOW TROUT</x:v>
      </x:c>
      <x:c r="F214" s="13" t="n">
        <x:v>6000</x:v>
      </x:c>
      <x:c r="G214" s="9" t="n">
        <x:v>21.2</x:v>
      </x:c>
      <x:c r="H214" s="9" t="n">
        <x:v>105.9</x:v>
      </x:c>
      <x:c r="I214" s="8" t="str">
        <x:f>B214&amp;" / "&amp;C214&amp;" / "&amp;E214</x:f>
        <x:v>6923 / 2021 / RAINBOW TROUT</x:v>
      </x:c>
    </x:row>
    <x:row r="215" ht="23" customHeight="1">
      <x:c r="A215" s="8" t="str">
        <x:v>Black Nugget Mine Pit</x:v>
      </x:c>
      <x:c r="B215" s="8" t="str">
        <x:v>6923</x:v>
      </x:c>
      <x:c r="C215" s="17" t="n">
        <x:v>2021</x:v>
      </x:c>
      <x:c r="D215" s="18" t="n">
        <x:v>44315</x:v>
      </x:c>
      <x:c r="E215" s="8" t="str">
        <x:v>RAINBOW TROUT</x:v>
      </x:c>
      <x:c r="F215" s="13" t="n">
        <x:v>6500</x:v>
      </x:c>
      <x:c r="G215" s="9" t="n">
        <x:v>19.2</x:v>
      </x:c>
      <x:c r="H215" s="9" t="n">
        <x:v>78.9</x:v>
      </x:c>
      <x:c r="I215" s="8" t="str">
        <x:f>B215&amp;" / "&amp;C215&amp;" / "&amp;E215</x:f>
        <x:v>6923 / 2021 / RAINBOW TROUT</x:v>
      </x:c>
    </x:row>
    <x:row r="216" ht="23" customHeight="1">
      <x:c r="A216" s="8" t="str">
        <x:v>Black Nugget Mine Pit</x:v>
      </x:c>
      <x:c r="B216" s="8" t="str">
        <x:v>6923</x:v>
      </x:c>
      <x:c r="C216" s="17" t="n">
        <x:v>2021</x:v>
      </x:c>
      <x:c r="D216" s="18" t="n">
        <x:v>44313</x:v>
      </x:c>
      <x:c r="E216" s="8" t="str">
        <x:v>RAINBOW TROUT</x:v>
      </x:c>
      <x:c r="F216" s="13" t="n">
        <x:v>50</x:v>
      </x:c>
      <x:c r="G216" s="9" t="n">
        <x:v>30</x:v>
      </x:c>
      <x:c r="H216" s="9" t="n">
        <x:v>410</x:v>
      </x:c>
      <x:c r="I216" s="8" t="str">
        <x:f>B216&amp;" / "&amp;C216&amp;" / "&amp;E216</x:f>
        <x:v>6923 / 2021 / RAINBOW TROUT</x:v>
      </x:c>
    </x:row>
    <x:row r="217" ht="23" customHeight="1">
      <x:c r="A217" s="8" t="str">
        <x:v>Black Nugget Mine Pit</x:v>
      </x:c>
      <x:c r="B217" s="8" t="str">
        <x:v>6923</x:v>
      </x:c>
      <x:c r="C217" s="17" t="n">
        <x:v>2021</x:v>
      </x:c>
      <x:c r="D217" s="18" t="n">
        <x:v>44313</x:v>
      </x:c>
      <x:c r="E217" s="8" t="str">
        <x:v>RAINBOW TROUT</x:v>
      </x:c>
      <x:c r="F217" s="13" t="n">
        <x:v>20</x:v>
      </x:c>
      <x:c r="G217" s="9" t="n">
        <x:v>50</x:v>
      </x:c>
      <x:c r="H217" s="9" t="n">
        <x:v>2660</x:v>
      </x:c>
      <x:c r="I217" s="8" t="str">
        <x:f>B217&amp;" / "&amp;C217&amp;" / "&amp;E217</x:f>
        <x:v>6923 / 2021 / RAINBOW TROUT</x:v>
      </x:c>
    </x:row>
    <x:row r="218" ht="23" customHeight="1">
      <x:c r="A218" s="8" t="str">
        <x:v>Black Nugget Mine Pit</x:v>
      </x:c>
      <x:c r="B218" s="8" t="str">
        <x:v>6923</x:v>
      </x:c>
      <x:c r="C218" s="17" t="n">
        <x:v>2021</x:v>
      </x:c>
      <x:c r="D218" s="18" t="n">
        <x:v>44315</x:v>
      </x:c>
      <x:c r="E218" s="8" t="str">
        <x:v>TIGER TROUT</x:v>
      </x:c>
      <x:c r="F218" s="13" t="n">
        <x:v>5000</x:v>
      </x:c>
      <x:c r="G218" s="9" t="n">
        <x:v>16.5</x:v>
      </x:c>
      <x:c r="H218" s="9" t="n">
        <x:v>49.4</x:v>
      </x:c>
      <x:c r="I218" s="8" t="str">
        <x:f>B218&amp;" / "&amp;C218&amp;" / "&amp;E218</x:f>
        <x:v>6923 / 2021 / TIGER TROUT</x:v>
      </x:c>
    </x:row>
    <x:row r="219" ht="23" customHeight="1">
      <x:c r="A219" s="8" t="str">
        <x:v>Blood Indian Creek Reservoir</x:v>
      </x:c>
      <x:c r="B219" s="8" t="str">
        <x:v>3494</x:v>
      </x:c>
      <x:c r="C219" s="17" t="n">
        <x:v>2026</x:v>
      </x:c>
      <x:c r="D219" s="18" t="n">
        <x:v>46135</x:v>
      </x:c>
      <x:c r="E219" s="8" t="str">
        <x:v>BROWN TROUT</x:v>
      </x:c>
      <x:c r="F219" s="13" t="n">
        <x:v>7500</x:v>
      </x:c>
      <x:c r="G219" s="9" t="n">
        <x:v>17.6</x:v>
      </x:c>
      <x:c r="H219" s="9" t="n">
        <x:v>58.9</x:v>
      </x:c>
      <x:c r="I219" s="8" t="str">
        <x:f>B219&amp;" / "&amp;C219&amp;" / "&amp;E219</x:f>
        <x:v>3494 / 2026 / BROWN TROUT</x:v>
      </x:c>
    </x:row>
    <x:row r="220" ht="23" customHeight="1">
      <x:c r="A220" s="8" t="str">
        <x:v>Blood Indian Creek Reservoir</x:v>
      </x:c>
      <x:c r="B220" s="8" t="str">
        <x:v>3494</x:v>
      </x:c>
      <x:c r="C220" s="17" t="n">
        <x:v>2026</x:v>
      </x:c>
      <x:c r="D220" s="18" t="n">
        <x:v>46140</x:v>
      </x:c>
      <x:c r="E220" s="8" t="str">
        <x:v>RAINBOW TROUT</x:v>
      </x:c>
      <x:c r="F220" s="13" t="n">
        <x:v>10000</x:v>
      </x:c>
      <x:c r="G220" s="9" t="n">
        <x:v>20.1</x:v>
      </x:c>
      <x:c r="H220" s="9" t="n">
        <x:v>89.5</x:v>
      </x:c>
      <x:c r="I220" s="8" t="str">
        <x:f>B220&amp;" / "&amp;C220&amp;" / "&amp;E220</x:f>
        <x:v>3494 / 2026 / RAINBOW TROUT</x:v>
      </x:c>
    </x:row>
    <x:row r="221" ht="23" customHeight="1">
      <x:c r="A221" s="8" t="str">
        <x:v>Blood Indian Creek Reservoir</x:v>
      </x:c>
      <x:c r="B221" s="8" t="str">
        <x:v>3494</x:v>
      </x:c>
      <x:c r="C221" s="17" t="n">
        <x:v>2026</x:v>
      </x:c>
      <x:c r="D221" s="18" t="n">
        <x:v>46139</x:v>
      </x:c>
      <x:c r="E221" s="8" t="str">
        <x:v>RAINBOW TROUT</x:v>
      </x:c>
      <x:c r="F221" s="13" t="n">
        <x:v>7000</x:v>
      </x:c>
      <x:c r="G221" s="9" t="n">
        <x:v>22.8</x:v>
      </x:c>
      <x:c r="H221" s="9" t="n">
        <x:v>131.5</x:v>
      </x:c>
      <x:c r="I221" s="8" t="str">
        <x:f>B221&amp;" / "&amp;C221&amp;" / "&amp;E221</x:f>
        <x:v>3494 / 2026 / RAINBOW TROUT</x:v>
      </x:c>
    </x:row>
    <x:row r="222" ht="23" customHeight="1">
      <x:c r="A222" s="8" t="str">
        <x:v>Blood Indian Creek Reservoir</x:v>
      </x:c>
      <x:c r="B222" s="8" t="str">
        <x:v>3494</x:v>
      </x:c>
      <x:c r="C222" s="17" t="n">
        <x:v>2026</x:v>
      </x:c>
      <x:c r="D222" s="18" t="n">
        <x:v>46139</x:v>
      </x:c>
      <x:c r="E222" s="8" t="str">
        <x:v>TIGER TROUT</x:v>
      </x:c>
      <x:c r="F222" s="13" t="n">
        <x:v>6000</x:v>
      </x:c>
      <x:c r="G222" s="9" t="n">
        <x:v>20.5</x:v>
      </x:c>
      <x:c r="H222" s="9" t="n">
        <x:v>102.1</x:v>
      </x:c>
      <x:c r="I222" s="8" t="str">
        <x:f>B222&amp;" / "&amp;C222&amp;" / "&amp;E222</x:f>
        <x:v>3494 / 2026 / TIGER TROUT</x:v>
      </x:c>
    </x:row>
    <x:row r="223" ht="23" customHeight="1">
      <x:c r="A223" s="8" t="str">
        <x:v>Blood Indian Creek Reservoir</x:v>
      </x:c>
      <x:c r="B223" s="8" t="str">
        <x:v>3494</x:v>
      </x:c>
      <x:c r="C223" s="17" t="n">
        <x:v>2026</x:v>
      </x:c>
      <x:c r="D223" s="18" t="n">
        <x:v>46232</x:v>
      </x:c>
      <x:c r="E223" s="8" t="str">
        <x:v>WALLEYE</x:v>
      </x:c>
      <x:c r="F223" s="13" t="n">
        <x:v>2000</x:v>
      </x:c>
      <x:c r="G223" s="9" t="n">
        <x:v>5.1</x:v>
      </x:c>
      <x:c r="H223" s="9" t="n">
        <x:v>1.3</x:v>
      </x:c>
      <x:c r="I223" s="8" t="str">
        <x:f>B223&amp;" / "&amp;C223&amp;" / "&amp;E223</x:f>
        <x:v>3494 / 2026 / WALLEYE</x:v>
      </x:c>
    </x:row>
    <x:row r="224" ht="23" customHeight="1">
      <x:c r="A224" s="8" t="str">
        <x:v>Blood Indian Creek Reservoir</x:v>
      </x:c>
      <x:c r="B224" s="8" t="str">
        <x:v>3494</x:v>
      </x:c>
      <x:c r="C224" s="17" t="n">
        <x:v>2025</x:v>
      </x:c>
      <x:c r="D224" s="18" t="n">
        <x:v>45938</x:v>
      </x:c>
      <x:c r="E224" s="8" t="str">
        <x:v>BROWN TROUT</x:v>
      </x:c>
      <x:c r="F224" s="13" t="n">
        <x:v>3395</x:v>
      </x:c>
      <x:c r="G224" s="9" t="n">
        <x:v>9.7</x:v>
      </x:c>
      <x:c r="H224" s="9" t="n">
        <x:v>10</x:v>
      </x:c>
      <x:c r="I224" s="8" t="str">
        <x:f>B224&amp;" / "&amp;C224&amp;" / "&amp;E224</x:f>
        <x:v>3494 / 2025 / BROWN TROUT</x:v>
      </x:c>
    </x:row>
    <x:row r="225" ht="23" customHeight="1">
      <x:c r="A225" s="8" t="str">
        <x:v>Blood Indian Creek Reservoir</x:v>
      </x:c>
      <x:c r="B225" s="8" t="str">
        <x:v>3494</x:v>
      </x:c>
      <x:c r="C225" s="17" t="n">
        <x:v>2025</x:v>
      </x:c>
      <x:c r="D225" s="18" t="n">
        <x:v>45770</x:v>
      </x:c>
      <x:c r="E225" s="8" t="str">
        <x:v>BROWN TROUT</x:v>
      </x:c>
      <x:c r="F225" s="13" t="n">
        <x:v>7500</x:v>
      </x:c>
      <x:c r="G225" s="9" t="n">
        <x:v>17.9</x:v>
      </x:c>
      <x:c r="H225" s="9" t="n">
        <x:v>62.5</x:v>
      </x:c>
      <x:c r="I225" s="8" t="str">
        <x:f>B225&amp;" / "&amp;C225&amp;" / "&amp;E225</x:f>
        <x:v>3494 / 2025 / BROWN TROUT</x:v>
      </x:c>
    </x:row>
    <x:row r="226" ht="23" customHeight="1">
      <x:c r="A226" s="8" t="str">
        <x:v>Blood Indian Creek Reservoir</x:v>
      </x:c>
      <x:c r="B226" s="8" t="str">
        <x:v>3494</x:v>
      </x:c>
      <x:c r="C226" s="17" t="n">
        <x:v>2025</x:v>
      </x:c>
      <x:c r="D226" s="18" t="n">
        <x:v>45943</x:v>
      </x:c>
      <x:c r="E226" s="8" t="str">
        <x:v>RAINBOW TROUT</x:v>
      </x:c>
      <x:c r="F226" s="13" t="n">
        <x:v>10766</x:v>
      </x:c>
      <x:c r="G226" s="9" t="n">
        <x:v>19.7</x:v>
      </x:c>
      <x:c r="H226" s="9" t="n">
        <x:v>82.2</x:v>
      </x:c>
      <x:c r="I226" s="8" t="str">
        <x:f>B226&amp;" / "&amp;C226&amp;" / "&amp;E226</x:f>
        <x:v>3494 / 2025 / RAINBOW TROUT</x:v>
      </x:c>
    </x:row>
    <x:row r="227" ht="23" customHeight="1">
      <x:c r="A227" s="8" t="str">
        <x:v>Blood Indian Creek Reservoir</x:v>
      </x:c>
      <x:c r="B227" s="8" t="str">
        <x:v>3494</x:v>
      </x:c>
      <x:c r="C227" s="17" t="n">
        <x:v>2025</x:v>
      </x:c>
      <x:c r="D227" s="18" t="n">
        <x:v>45938</x:v>
      </x:c>
      <x:c r="E227" s="8" t="str">
        <x:v>RAINBOW TROUT</x:v>
      </x:c>
      <x:c r="F227" s="13" t="n">
        <x:v>2500</x:v>
      </x:c>
      <x:c r="G227" s="9" t="n">
        <x:v>11.8</x:v>
      </x:c>
      <x:c r="H227" s="9" t="n">
        <x:v>17.7</x:v>
      </x:c>
      <x:c r="I227" s="8" t="str">
        <x:f>B227&amp;" / "&amp;C227&amp;" / "&amp;E227</x:f>
        <x:v>3494 / 2025 / RAINBOW TROUT</x:v>
      </x:c>
    </x:row>
    <x:row r="228" ht="23" customHeight="1">
      <x:c r="A228" s="8" t="str">
        <x:v>Blood Indian Creek Reservoir</x:v>
      </x:c>
      <x:c r="B228" s="8" t="str">
        <x:v>3494</x:v>
      </x:c>
      <x:c r="C228" s="17" t="n">
        <x:v>2025</x:v>
      </x:c>
      <x:c r="D228" s="18" t="n">
        <x:v>45935</x:v>
      </x:c>
      <x:c r="E228" s="8" t="str">
        <x:v>RAINBOW TROUT</x:v>
      </x:c>
      <x:c r="F228" s="13" t="n">
        <x:v>5414</x:v>
      </x:c>
      <x:c r="G228" s="9" t="n">
        <x:v>20.5</x:v>
      </x:c>
      <x:c r="H228" s="9" t="n">
        <x:v>95.5</x:v>
      </x:c>
      <x:c r="I228" s="8" t="str">
        <x:f>B228&amp;" / "&amp;C228&amp;" / "&amp;E228</x:f>
        <x:v>3494 / 2025 / RAINBOW TROUT</x:v>
      </x:c>
    </x:row>
    <x:row r="229" ht="23" customHeight="1">
      <x:c r="A229" s="8" t="str">
        <x:v>Blood Indian Creek Reservoir</x:v>
      </x:c>
      <x:c r="B229" s="8" t="str">
        <x:v>3494</x:v>
      </x:c>
      <x:c r="C229" s="17" t="n">
        <x:v>2025</x:v>
      </x:c>
      <x:c r="D229" s="18" t="n">
        <x:v>45931</x:v>
      </x:c>
      <x:c r="E229" s="8" t="str">
        <x:v>RAINBOW TROUT</x:v>
      </x:c>
      <x:c r="F229" s="13" t="n">
        <x:v>5910</x:v>
      </x:c>
      <x:c r="G229" s="9" t="n">
        <x:v>21.4</x:v>
      </x:c>
      <x:c r="H229" s="9" t="n">
        <x:v>108.5</x:v>
      </x:c>
      <x:c r="I229" s="8" t="str">
        <x:f>B229&amp;" / "&amp;C229&amp;" / "&amp;E229</x:f>
        <x:v>3494 / 2025 / RAINBOW TROUT</x:v>
      </x:c>
    </x:row>
    <x:row r="230" ht="23" customHeight="1">
      <x:c r="A230" s="8" t="str">
        <x:v>Blood Indian Creek Reservoir</x:v>
      </x:c>
      <x:c r="B230" s="8" t="str">
        <x:v>3494</x:v>
      </x:c>
      <x:c r="C230" s="17" t="n">
        <x:v>2025</x:v>
      </x:c>
      <x:c r="D230" s="18" t="n">
        <x:v>45931</x:v>
      </x:c>
      <x:c r="E230" s="8" t="str">
        <x:v>RAINBOW TROUT</x:v>
      </x:c>
      <x:c r="F230" s="13" t="n">
        <x:v>9590</x:v>
      </x:c>
      <x:c r="G230" s="9" t="n">
        <x:v>19.8</x:v>
      </x:c>
      <x:c r="H230" s="9" t="n">
        <x:v>86.4</x:v>
      </x:c>
      <x:c r="I230" s="8" t="str">
        <x:f>B230&amp;" / "&amp;C230&amp;" / "&amp;E230</x:f>
        <x:v>3494 / 2025 / RAINBOW TROUT</x:v>
      </x:c>
    </x:row>
    <x:row r="231" ht="23" customHeight="1">
      <x:c r="A231" s="8" t="str">
        <x:v>Blood Indian Creek Reservoir</x:v>
      </x:c>
      <x:c r="B231" s="8" t="str">
        <x:v>3494</x:v>
      </x:c>
      <x:c r="C231" s="17" t="n">
        <x:v>2025</x:v>
      </x:c>
      <x:c r="D231" s="18" t="n">
        <x:v>45785</x:v>
      </x:c>
      <x:c r="E231" s="8" t="str">
        <x:v>RAINBOW TROUT</x:v>
      </x:c>
      <x:c r="F231" s="13" t="n">
        <x:v>10000</x:v>
      </x:c>
      <x:c r="G231" s="9" t="n">
        <x:v>20</x:v>
      </x:c>
      <x:c r="H231" s="9" t="n">
        <x:v>88.6</x:v>
      </x:c>
      <x:c r="I231" s="8" t="str">
        <x:f>B231&amp;" / "&amp;C231&amp;" / "&amp;E231</x:f>
        <x:v>3494 / 2025 / RAINBOW TROUT</x:v>
      </x:c>
    </x:row>
    <x:row r="232" ht="23" customHeight="1">
      <x:c r="A232" s="8" t="str">
        <x:v>Blood Indian Creek Reservoir</x:v>
      </x:c>
      <x:c r="B232" s="8" t="str">
        <x:v>3494</x:v>
      </x:c>
      <x:c r="C232" s="17" t="n">
        <x:v>2025</x:v>
      </x:c>
      <x:c r="D232" s="18" t="n">
        <x:v>45775</x:v>
      </x:c>
      <x:c r="E232" s="8" t="str">
        <x:v>RAINBOW TROUT</x:v>
      </x:c>
      <x:c r="F232" s="13" t="n">
        <x:v>7000</x:v>
      </x:c>
      <x:c r="G232" s="9" t="n">
        <x:v>22.3</x:v>
      </x:c>
      <x:c r="H232" s="9" t="n">
        <x:v>112.8</x:v>
      </x:c>
      <x:c r="I232" s="8" t="str">
        <x:f>B232&amp;" / "&amp;C232&amp;" / "&amp;E232</x:f>
        <x:v>3494 / 2025 / RAINBOW TROUT</x:v>
      </x:c>
    </x:row>
    <x:row r="233" ht="23" customHeight="1">
      <x:c r="A233" s="8" t="str">
        <x:v>Blood Indian Creek Reservoir</x:v>
      </x:c>
      <x:c r="B233" s="8" t="str">
        <x:v>3494</x:v>
      </x:c>
      <x:c r="C233" s="17" t="n">
        <x:v>2025</x:v>
      </x:c>
      <x:c r="D233" s="18" t="n">
        <x:v>45775</x:v>
      </x:c>
      <x:c r="E233" s="8" t="str">
        <x:v>TIGER TROUT</x:v>
      </x:c>
      <x:c r="F233" s="13" t="n">
        <x:v>7500</x:v>
      </x:c>
      <x:c r="G233" s="9" t="n">
        <x:v>22.2</x:v>
      </x:c>
      <x:c r="H233" s="9" t="n">
        <x:v>121.7</x:v>
      </x:c>
      <x:c r="I233" s="8" t="str">
        <x:f>B233&amp;" / "&amp;C233&amp;" / "&amp;E233</x:f>
        <x:v>3494 / 2025 / TIGER TROUT</x:v>
      </x:c>
    </x:row>
    <x:row r="234" ht="23" customHeight="1">
      <x:c r="A234" s="8" t="str">
        <x:v>Blood Indian Creek Reservoir</x:v>
      </x:c>
      <x:c r="B234" s="8" t="str">
        <x:v>3494</x:v>
      </x:c>
      <x:c r="C234" s="17" t="n">
        <x:v>2025</x:v>
      </x:c>
      <x:c r="D234" s="18" t="n">
        <x:v>45924</x:v>
      </x:c>
      <x:c r="E234" s="8" t="str">
        <x:v>WALLEYE</x:v>
      </x:c>
      <x:c r="F234" s="13" t="n">
        <x:v>1000</x:v>
      </x:c>
      <x:c r="G234" s="9" t="n">
        <x:v>11.7</x:v>
      </x:c>
      <x:c r="H234" s="9" t="n">
        <x:v>6.6</x:v>
      </x:c>
      <x:c r="I234" s="8" t="str">
        <x:f>B234&amp;" / "&amp;C234&amp;" / "&amp;E234</x:f>
        <x:v>3494 / 2025 / WALLEYE</x:v>
      </x:c>
    </x:row>
    <x:row r="235" ht="23" customHeight="1">
      <x:c r="A235" s="8" t="str">
        <x:v>Blood Indian Creek Reservoir</x:v>
      </x:c>
      <x:c r="B235" s="8" t="str">
        <x:v>3494</x:v>
      </x:c>
      <x:c r="C235" s="17" t="n">
        <x:v>2025</x:v>
      </x:c>
      <x:c r="D235" s="18" t="n">
        <x:v>45918</x:v>
      </x:c>
      <x:c r="E235" s="8" t="str">
        <x:v>WALLEYE</x:v>
      </x:c>
      <x:c r="F235" s="13" t="n">
        <x:v>96</x:v>
      </x:c>
      <x:c r="G235" s="9" t="n">
        <x:v>12.1</x:v>
      </x:c>
      <x:c r="H235" s="9" t="n">
        <x:v>12.9</x:v>
      </x:c>
      <x:c r="I235" s="8" t="str">
        <x:f>B235&amp;" / "&amp;C235&amp;" / "&amp;E235</x:f>
        <x:v>3494 / 2025 / WALLEYE</x:v>
      </x:c>
    </x:row>
    <x:row r="236" ht="23" customHeight="1">
      <x:c r="A236" s="8" t="str">
        <x:v>Blood Indian Creek Reservoir</x:v>
      </x:c>
      <x:c r="B236" s="8" t="str">
        <x:v>3494</x:v>
      </x:c>
      <x:c r="C236" s="17" t="n">
        <x:v>2025</x:v>
      </x:c>
      <x:c r="D236" s="18" t="n">
        <x:v>45917</x:v>
      </x:c>
      <x:c r="E236" s="8" t="str">
        <x:v>WALLEYE</x:v>
      </x:c>
      <x:c r="F236" s="13" t="n">
        <x:v>183</x:v>
      </x:c>
      <x:c r="G236" s="9" t="n">
        <x:v>11.9</x:v>
      </x:c>
      <x:c r="H236" s="9" t="n">
        <x:v>11.7</x:v>
      </x:c>
      <x:c r="I236" s="8" t="str">
        <x:f>B236&amp;" / "&amp;C236&amp;" / "&amp;E236</x:f>
        <x:v>3494 / 2025 / WALLEYE</x:v>
      </x:c>
    </x:row>
    <x:row r="237" ht="23" customHeight="1">
      <x:c r="A237" s="8" t="str">
        <x:v>Blood Indian Creek Reservoir</x:v>
      </x:c>
      <x:c r="B237" s="8" t="str">
        <x:v>3494</x:v>
      </x:c>
      <x:c r="C237" s="17" t="n">
        <x:v>2024</x:v>
      </x:c>
      <x:c r="D237" s="18" t="n">
        <x:v>45574</x:v>
      </x:c>
      <x:c r="E237" s="8" t="str">
        <x:v>BROWN TROUT</x:v>
      </x:c>
      <x:c r="F237" s="13" t="n">
        <x:v>3500</x:v>
      </x:c>
      <x:c r="G237" s="9" t="n">
        <x:v>9.8</x:v>
      </x:c>
      <x:c r="H237" s="9" t="n">
        <x:v>9.6</x:v>
      </x:c>
      <x:c r="I237" s="8" t="str">
        <x:f>B237&amp;" / "&amp;C237&amp;" / "&amp;E237</x:f>
        <x:v>3494 / 2024 / BROWN TROUT</x:v>
      </x:c>
    </x:row>
    <x:row r="238" ht="23" customHeight="1">
      <x:c r="A238" s="8" t="str">
        <x:v>Blood Indian Creek Reservoir</x:v>
      </x:c>
      <x:c r="B238" s="8" t="str">
        <x:v>3494</x:v>
      </x:c>
      <x:c r="C238" s="17" t="n">
        <x:v>2024</x:v>
      </x:c>
      <x:c r="D238" s="18" t="n">
        <x:v>45405</x:v>
      </x:c>
      <x:c r="E238" s="8" t="str">
        <x:v>BROWN TROUT</x:v>
      </x:c>
      <x:c r="F238" s="13" t="n">
        <x:v>72</x:v>
      </x:c>
      <x:c r="G238" s="9" t="n">
        <x:v>41.5</x:v>
      </x:c>
      <x:c r="H238" s="9" t="n">
        <x:v>1000</x:v>
      </x:c>
      <x:c r="I238" s="8" t="str">
        <x:f>B238&amp;" / "&amp;C238&amp;" / "&amp;E238</x:f>
        <x:v>3494 / 2024 / BROWN TROUT</x:v>
      </x:c>
    </x:row>
    <x:row r="239" ht="23" customHeight="1">
      <x:c r="A239" s="8" t="str">
        <x:v>Blood Indian Creek Reservoir</x:v>
      </x:c>
      <x:c r="B239" s="8" t="str">
        <x:v>3494</x:v>
      </x:c>
      <x:c r="C239" s="17" t="n">
        <x:v>2024</x:v>
      </x:c>
      <x:c r="D239" s="18" t="n">
        <x:v>45405</x:v>
      </x:c>
      <x:c r="E239" s="8" t="str">
        <x:v>BROWN TROUT</x:v>
      </x:c>
      <x:c r="F239" s="13" t="n">
        <x:v>109</x:v>
      </x:c>
      <x:c r="G239" s="9" t="n">
        <x:v>55.2</x:v>
      </x:c>
      <x:c r="H239" s="9" t="n">
        <x:v>2800</x:v>
      </x:c>
      <x:c r="I239" s="8" t="str">
        <x:f>B239&amp;" / "&amp;C239&amp;" / "&amp;E239</x:f>
        <x:v>3494 / 2024 / BROWN TROUT</x:v>
      </x:c>
    </x:row>
    <x:row r="240" ht="23" customHeight="1">
      <x:c r="A240" s="8" t="str">
        <x:v>Blood Indian Creek Reservoir</x:v>
      </x:c>
      <x:c r="B240" s="8" t="str">
        <x:v>3494</x:v>
      </x:c>
      <x:c r="C240" s="17" t="n">
        <x:v>2024</x:v>
      </x:c>
      <x:c r="D240" s="18" t="n">
        <x:v>45405</x:v>
      </x:c>
      <x:c r="E240" s="8" t="str">
        <x:v>BROWN TROUT</x:v>
      </x:c>
      <x:c r="F240" s="13" t="n">
        <x:v>2500</x:v>
      </x:c>
      <x:c r="G240" s="9" t="n">
        <x:v>20.4</x:v>
      </x:c>
      <x:c r="H240" s="9" t="n">
        <x:v>92</x:v>
      </x:c>
      <x:c r="I240" s="8" t="str">
        <x:f>B240&amp;" / "&amp;C240&amp;" / "&amp;E240</x:f>
        <x:v>3494 / 2024 / BROWN TROUT</x:v>
      </x:c>
    </x:row>
    <x:row r="241" ht="23" customHeight="1">
      <x:c r="A241" s="8" t="str">
        <x:v>Blood Indian Creek Reservoir</x:v>
      </x:c>
      <x:c r="B241" s="8" t="str">
        <x:v>3494</x:v>
      </x:c>
      <x:c r="C241" s="17" t="n">
        <x:v>2024</x:v>
      </x:c>
      <x:c r="D241" s="18" t="n">
        <x:v>45576</x:v>
      </x:c>
      <x:c r="E241" s="8" t="str">
        <x:v>RAINBOW TROUT</x:v>
      </x:c>
      <x:c r="F241" s="13" t="n">
        <x:v>9480</x:v>
      </x:c>
      <x:c r="G241" s="9" t="n">
        <x:v>16.1</x:v>
      </x:c>
      <x:c r="H241" s="9" t="n">
        <x:v>51.3</x:v>
      </x:c>
      <x:c r="I241" s="8" t="str">
        <x:f>B241&amp;" / "&amp;C241&amp;" / "&amp;E241</x:f>
        <x:v>3494 / 2024 / RAINBOW TROUT</x:v>
      </x:c>
    </x:row>
    <x:row r="242" ht="23" customHeight="1">
      <x:c r="A242" s="8" t="str">
        <x:v>Blood Indian Creek Reservoir</x:v>
      </x:c>
      <x:c r="B242" s="8" t="str">
        <x:v>3494</x:v>
      </x:c>
      <x:c r="C242" s="17" t="n">
        <x:v>2024</x:v>
      </x:c>
      <x:c r="D242" s="18" t="n">
        <x:v>45575</x:v>
      </x:c>
      <x:c r="E242" s="8" t="str">
        <x:v>RAINBOW TROUT</x:v>
      </x:c>
      <x:c r="F242" s="13" t="n">
        <x:v>147</x:v>
      </x:c>
      <x:c r="G242" s="9" t="n">
        <x:v>55</x:v>
      </x:c>
      <x:c r="H242" s="9" t="n">
        <x:v>6000</x:v>
      </x:c>
      <x:c r="I242" s="8" t="str">
        <x:f>B242&amp;" / "&amp;C242&amp;" / "&amp;E242</x:f>
        <x:v>3494 / 2024 / RAINBOW TROUT</x:v>
      </x:c>
    </x:row>
    <x:row r="243" ht="23" customHeight="1">
      <x:c r="A243" s="8" t="str">
        <x:v>Blood Indian Creek Reservoir</x:v>
      </x:c>
      <x:c r="B243" s="8" t="str">
        <x:v>3494</x:v>
      </x:c>
      <x:c r="C243" s="17" t="n">
        <x:v>2024</x:v>
      </x:c>
      <x:c r="D243" s="18" t="n">
        <x:v>45575</x:v>
      </x:c>
      <x:c r="E243" s="8" t="str">
        <x:v>RAINBOW TROUT</x:v>
      </x:c>
      <x:c r="F243" s="13" t="n">
        <x:v>23</x:v>
      </x:c>
      <x:c r="G243" s="9" t="n">
        <x:v>65</x:v>
      </x:c>
      <x:c r="H243" s="9" t="n">
        <x:v>9000</x:v>
      </x:c>
      <x:c r="I243" s="8" t="str">
        <x:f>B243&amp;" / "&amp;C243&amp;" / "&amp;E243</x:f>
        <x:v>3494 / 2024 / RAINBOW TROUT</x:v>
      </x:c>
    </x:row>
    <x:row r="244" ht="23" customHeight="1">
      <x:c r="A244" s="8" t="str">
        <x:v>Blood Indian Creek Reservoir</x:v>
      </x:c>
      <x:c r="B244" s="8" t="str">
        <x:v>3494</x:v>
      </x:c>
      <x:c r="C244" s="17" t="n">
        <x:v>2024</x:v>
      </x:c>
      <x:c r="D244" s="18" t="n">
        <x:v>45566</x:v>
      </x:c>
      <x:c r="E244" s="8" t="str">
        <x:v>RAINBOW TROUT</x:v>
      </x:c>
      <x:c r="F244" s="13" t="n">
        <x:v>8381</x:v>
      </x:c>
      <x:c r="G244" s="9" t="n">
        <x:v>18.4</x:v>
      </x:c>
      <x:c r="H244" s="9" t="n">
        <x:v>67.3</x:v>
      </x:c>
      <x:c r="I244" s="8" t="str">
        <x:f>B244&amp;" / "&amp;C244&amp;" / "&amp;E244</x:f>
        <x:v>3494 / 2024 / RAINBOW TROUT</x:v>
      </x:c>
    </x:row>
    <x:row r="245" ht="23" customHeight="1">
      <x:c r="A245" s="8" t="str">
        <x:v>Blood Indian Creek Reservoir</x:v>
      </x:c>
      <x:c r="B245" s="8" t="str">
        <x:v>3494</x:v>
      </x:c>
      <x:c r="C245" s="17" t="n">
        <x:v>2024</x:v>
      </x:c>
      <x:c r="D245" s="18" t="n">
        <x:v>45565</x:v>
      </x:c>
      <x:c r="E245" s="8" t="str">
        <x:v>RAINBOW TROUT</x:v>
      </x:c>
      <x:c r="F245" s="13" t="n">
        <x:v>28980</x:v>
      </x:c>
      <x:c r="G245" s="9" t="n">
        <x:v>18.4</x:v>
      </x:c>
      <x:c r="H245" s="9" t="n">
        <x:v>67.3</x:v>
      </x:c>
      <x:c r="I245" s="8" t="str">
        <x:f>B245&amp;" / "&amp;C245&amp;" / "&amp;E245</x:f>
        <x:v>3494 / 2024 / RAINBOW TROUT</x:v>
      </x:c>
    </x:row>
    <x:row r="246" ht="23" customHeight="1">
      <x:c r="A246" s="8" t="str">
        <x:v>Blood Indian Creek Reservoir</x:v>
      </x:c>
      <x:c r="B246" s="8" t="str">
        <x:v>3494</x:v>
      </x:c>
      <x:c r="C246" s="17" t="n">
        <x:v>2024</x:v>
      </x:c>
      <x:c r="D246" s="18" t="n">
        <x:v>45562</x:v>
      </x:c>
      <x:c r="E246" s="8" t="str">
        <x:v>RAINBOW TROUT</x:v>
      </x:c>
      <x:c r="F246" s="13" t="n">
        <x:v>15000</x:v>
      </x:c>
      <x:c r="G246" s="9" t="n">
        <x:v>20.1</x:v>
      </x:c>
      <x:c r="H246" s="9" t="n">
        <x:v>88.7</x:v>
      </x:c>
      <x:c r="I246" s="8" t="str">
        <x:f>B246&amp;" / "&amp;C246&amp;" / "&amp;E246</x:f>
        <x:v>3494 / 2024 / RAINBOW TROUT</x:v>
      </x:c>
    </x:row>
    <x:row r="247" ht="23" customHeight="1">
      <x:c r="A247" s="8" t="str">
        <x:v>Blood Indian Creek Reservoir</x:v>
      </x:c>
      <x:c r="B247" s="8" t="str">
        <x:v>3494</x:v>
      </x:c>
      <x:c r="C247" s="17" t="n">
        <x:v>2024</x:v>
      </x:c>
      <x:c r="D247" s="18" t="n">
        <x:v>45428</x:v>
      </x:c>
      <x:c r="E247" s="8" t="str">
        <x:v>RAINBOW TROUT</x:v>
      </x:c>
      <x:c r="F247" s="13" t="n">
        <x:v>7326</x:v>
      </x:c>
      <x:c r="G247" s="9" t="n">
        <x:v>20.1</x:v>
      </x:c>
      <x:c r="H247" s="9" t="n">
        <x:v>87.5</x:v>
      </x:c>
      <x:c r="I247" s="8" t="str">
        <x:f>B247&amp;" / "&amp;C247&amp;" / "&amp;E247</x:f>
        <x:v>3494 / 2024 / RAINBOW TROUT</x:v>
      </x:c>
    </x:row>
    <x:row r="248" ht="23" customHeight="1">
      <x:c r="A248" s="8" t="str">
        <x:v>Blood Indian Creek Reservoir</x:v>
      </x:c>
      <x:c r="B248" s="8" t="str">
        <x:v>3494</x:v>
      </x:c>
      <x:c r="C248" s="17" t="n">
        <x:v>2024</x:v>
      </x:c>
      <x:c r="D248" s="18" t="n">
        <x:v>45405</x:v>
      </x:c>
      <x:c r="E248" s="8" t="str">
        <x:v>RAINBOW TROUT</x:v>
      </x:c>
      <x:c r="F248" s="13" t="n">
        <x:v>2000</x:v>
      </x:c>
      <x:c r="G248" s="9" t="n">
        <x:v>17.6</x:v>
      </x:c>
      <x:c r="H248" s="9" t="n">
        <x:v>58.8</x:v>
      </x:c>
      <x:c r="I248" s="8" t="str">
        <x:f>B248&amp;" / "&amp;C248&amp;" / "&amp;E248</x:f>
        <x:v>3494 / 2024 / RAINBOW TROUT</x:v>
      </x:c>
    </x:row>
    <x:row r="249" ht="23" customHeight="1">
      <x:c r="A249" s="8" t="str">
        <x:v>Blood Indian Creek Reservoir</x:v>
      </x:c>
      <x:c r="B249" s="8" t="str">
        <x:v>3494</x:v>
      </x:c>
      <x:c r="C249" s="17" t="n">
        <x:v>2024</x:v>
      </x:c>
      <x:c r="D249" s="18" t="n">
        <x:v>45404</x:v>
      </x:c>
      <x:c r="E249" s="8" t="str">
        <x:v>RAINBOW TROUT</x:v>
      </x:c>
      <x:c r="F249" s="13" t="n">
        <x:v>10400</x:v>
      </x:c>
      <x:c r="G249" s="9" t="n">
        <x:v>20.1</x:v>
      </x:c>
      <x:c r="H249" s="9" t="n">
        <x:v>87.5</x:v>
      </x:c>
      <x:c r="I249" s="8" t="str">
        <x:f>B249&amp;" / "&amp;C249&amp;" / "&amp;E249</x:f>
        <x:v>3494 / 2024 / RAINBOW TROUT</x:v>
      </x:c>
    </x:row>
    <x:row r="250" ht="23" customHeight="1">
      <x:c r="A250" s="8" t="str">
        <x:v>Blood Indian Creek Reservoir</x:v>
      </x:c>
      <x:c r="B250" s="8" t="str">
        <x:v>3494</x:v>
      </x:c>
      <x:c r="C250" s="17" t="n">
        <x:v>2024</x:v>
      </x:c>
      <x:c r="D250" s="18" t="n">
        <x:v>45405</x:v>
      </x:c>
      <x:c r="E250" s="8" t="str">
        <x:v>TIGER TROUT</x:v>
      </x:c>
      <x:c r="F250" s="13" t="n">
        <x:v>4000</x:v>
      </x:c>
      <x:c r="G250" s="9" t="n">
        <x:v>19.4</x:v>
      </x:c>
      <x:c r="H250" s="9" t="n">
        <x:v>78.4</x:v>
      </x:c>
      <x:c r="I250" s="8" t="str">
        <x:f>B250&amp;" / "&amp;C250&amp;" / "&amp;E250</x:f>
        <x:v>3494 / 2024 / TIGER TROUT</x:v>
      </x:c>
    </x:row>
    <x:row r="251" ht="23" customHeight="1">
      <x:c r="A251" s="8" t="str">
        <x:v>Blood Indian Creek Reservoir</x:v>
      </x:c>
      <x:c r="B251" s="8" t="str">
        <x:v>3494</x:v>
      </x:c>
      <x:c r="C251" s="17" t="n">
        <x:v>2023</x:v>
      </x:c>
      <x:c r="D251" s="18" t="n">
        <x:v>45201</x:v>
      </x:c>
      <x:c r="E251" s="8" t="str">
        <x:v>BROWN TROUT</x:v>
      </x:c>
      <x:c r="F251" s="13" t="n">
        <x:v>310</x:v>
      </x:c>
      <x:c r="G251" s="9" t="n">
        <x:v>33.1</x:v>
      </x:c>
      <x:c r="H251" s="9" t="n">
        <x:v>515.1</x:v>
      </x:c>
      <x:c r="I251" s="8" t="str">
        <x:f>B251&amp;" / "&amp;C251&amp;" / "&amp;E251</x:f>
        <x:v>3494 / 2023 / BROWN TROUT</x:v>
      </x:c>
    </x:row>
    <x:row r="252" ht="23" customHeight="1">
      <x:c r="A252" s="8" t="str">
        <x:v>Blood Indian Creek Reservoir</x:v>
      </x:c>
      <x:c r="B252" s="8" t="str">
        <x:v>3494</x:v>
      </x:c>
      <x:c r="C252" s="17" t="n">
        <x:v>2023</x:v>
      </x:c>
      <x:c r="D252" s="18" t="n">
        <x:v>45201</x:v>
      </x:c>
      <x:c r="E252" s="8" t="str">
        <x:v>BROWN TROUT</x:v>
      </x:c>
      <x:c r="F252" s="13" t="n">
        <x:v>4625</x:v>
      </x:c>
      <x:c r="G252" s="9" t="n">
        <x:v>10.5</x:v>
      </x:c>
      <x:c r="H252" s="9" t="n">
        <x:v>13.1</x:v>
      </x:c>
      <x:c r="I252" s="8" t="str">
        <x:f>B252&amp;" / "&amp;C252&amp;" / "&amp;E252</x:f>
        <x:v>3494 / 2023 / BROWN TROUT</x:v>
      </x:c>
    </x:row>
    <x:row r="253" ht="23" customHeight="1">
      <x:c r="A253" s="8" t="str">
        <x:v>Blood Indian Creek Reservoir</x:v>
      </x:c>
      <x:c r="B253" s="8" t="str">
        <x:v>3494</x:v>
      </x:c>
      <x:c r="C253" s="17" t="n">
        <x:v>2023</x:v>
      </x:c>
      <x:c r="D253" s="18" t="n">
        <x:v>45048</x:v>
      </x:c>
      <x:c r="E253" s="8" t="str">
        <x:v>BROWN TROUT</x:v>
      </x:c>
      <x:c r="F253" s="13" t="n">
        <x:v>2500</x:v>
      </x:c>
      <x:c r="G253" s="9" t="n">
        <x:v>18.7</x:v>
      </x:c>
      <x:c r="H253" s="9" t="n">
        <x:v>70.7</x:v>
      </x:c>
      <x:c r="I253" s="8" t="str">
        <x:f>B253&amp;" / "&amp;C253&amp;" / "&amp;E253</x:f>
        <x:v>3494 / 2023 / BROWN TROUT</x:v>
      </x:c>
    </x:row>
    <x:row r="254" ht="23" customHeight="1">
      <x:c r="A254" s="8" t="str">
        <x:v>Blood Indian Creek Reservoir</x:v>
      </x:c>
      <x:c r="B254" s="8" t="str">
        <x:v>3494</x:v>
      </x:c>
      <x:c r="C254" s="17" t="n">
        <x:v>2023</x:v>
      </x:c>
      <x:c r="D254" s="18" t="n">
        <x:v>45195</x:v>
      </x:c>
      <x:c r="E254" s="8" t="str">
        <x:v>RAINBOW TROUT</x:v>
      </x:c>
      <x:c r="F254" s="13" t="n">
        <x:v>2500</x:v>
      </x:c>
      <x:c r="G254" s="9" t="n">
        <x:v>17.1</x:v>
      </x:c>
      <x:c r="H254" s="9" t="n">
        <x:v>53.1</x:v>
      </x:c>
      <x:c r="I254" s="8" t="str">
        <x:f>B254&amp;" / "&amp;C254&amp;" / "&amp;E254</x:f>
        <x:v>3494 / 2023 / RAINBOW TROUT</x:v>
      </x:c>
    </x:row>
    <x:row r="255" ht="23" customHeight="1">
      <x:c r="A255" s="8" t="str">
        <x:v>Blood Indian Creek Reservoir</x:v>
      </x:c>
      <x:c r="B255" s="8" t="str">
        <x:v>3494</x:v>
      </x:c>
      <x:c r="C255" s="17" t="n">
        <x:v>2023</x:v>
      </x:c>
      <x:c r="D255" s="18" t="n">
        <x:v>45194</x:v>
      </x:c>
      <x:c r="E255" s="8" t="str">
        <x:v>RAINBOW TROUT</x:v>
      </x:c>
      <x:c r="F255" s="13" t="n">
        <x:v>2500</x:v>
      </x:c>
      <x:c r="G255" s="9" t="n">
        <x:v>17.1</x:v>
      </x:c>
      <x:c r="H255" s="9" t="n">
        <x:v>53.1</x:v>
      </x:c>
      <x:c r="I255" s="8" t="str">
        <x:f>B255&amp;" / "&amp;C255&amp;" / "&amp;E255</x:f>
        <x:v>3494 / 2023 / RAINBOW TROUT</x:v>
      </x:c>
    </x:row>
    <x:row r="256" ht="23" customHeight="1">
      <x:c r="A256" s="8" t="str">
        <x:v>Blood Indian Creek Reservoir</x:v>
      </x:c>
      <x:c r="B256" s="8" t="str">
        <x:v>3494</x:v>
      </x:c>
      <x:c r="C256" s="17" t="n">
        <x:v>2023</x:v>
      </x:c>
      <x:c r="D256" s="18" t="n">
        <x:v>45048</x:v>
      </x:c>
      <x:c r="E256" s="8" t="str">
        <x:v>RAINBOW TROUT</x:v>
      </x:c>
      <x:c r="F256" s="13" t="n">
        <x:v>6975</x:v>
      </x:c>
      <x:c r="G256" s="9" t="n">
        <x:v>16.2</x:v>
      </x:c>
      <x:c r="H256" s="9" t="n">
        <x:v>45.5</x:v>
      </x:c>
      <x:c r="I256" s="8" t="str">
        <x:f>B256&amp;" / "&amp;C256&amp;" / "&amp;E256</x:f>
        <x:v>3494 / 2023 / RAINBOW TROUT</x:v>
      </x:c>
    </x:row>
    <x:row r="257" ht="23" customHeight="1">
      <x:c r="A257" s="8" t="str">
        <x:v>Blood Indian Creek Reservoir</x:v>
      </x:c>
      <x:c r="B257" s="8" t="str">
        <x:v>3494</x:v>
      </x:c>
      <x:c r="C257" s="17" t="n">
        <x:v>2023</x:v>
      </x:c>
      <x:c r="D257" s="18" t="n">
        <x:v>45048</x:v>
      </x:c>
      <x:c r="E257" s="8" t="str">
        <x:v>RAINBOW TROUT</x:v>
      </x:c>
      <x:c r="F257" s="13" t="n">
        <x:v>4389</x:v>
      </x:c>
      <x:c r="G257" s="9" t="n">
        <x:v>20.4</x:v>
      </x:c>
      <x:c r="H257" s="9" t="n">
        <x:v>92.1</x:v>
      </x:c>
      <x:c r="I257" s="8" t="str">
        <x:f>B257&amp;" / "&amp;C257&amp;" / "&amp;E257</x:f>
        <x:v>3494 / 2023 / RAINBOW TROUT</x:v>
      </x:c>
    </x:row>
    <x:row r="258" ht="23" customHeight="1">
      <x:c r="A258" s="8" t="str">
        <x:v>Blood Indian Creek Reservoir</x:v>
      </x:c>
      <x:c r="B258" s="8" t="str">
        <x:v>3494</x:v>
      </x:c>
      <x:c r="C258" s="17" t="n">
        <x:v>2023</x:v>
      </x:c>
      <x:c r="D258" s="18" t="n">
        <x:v>45047</x:v>
      </x:c>
      <x:c r="E258" s="8" t="str">
        <x:v>RAINBOW TROUT</x:v>
      </x:c>
      <x:c r="F258" s="13" t="n">
        <x:v>30999</x:v>
      </x:c>
      <x:c r="G258" s="9" t="n">
        <x:v>20.2</x:v>
      </x:c>
      <x:c r="H258" s="9" t="n">
        <x:v>88</x:v>
      </x:c>
      <x:c r="I258" s="8" t="str">
        <x:f>B258&amp;" / "&amp;C258&amp;" / "&amp;E258</x:f>
        <x:v>3494 / 2023 / RAINBOW TROUT</x:v>
      </x:c>
    </x:row>
    <x:row r="259" ht="23" customHeight="1">
      <x:c r="A259" s="8" t="str">
        <x:v>Blood Indian Creek Reservoir</x:v>
      </x:c>
      <x:c r="B259" s="8" t="str">
        <x:v>3494</x:v>
      </x:c>
      <x:c r="C259" s="17" t="n">
        <x:v>2023</x:v>
      </x:c>
      <x:c r="D259" s="18" t="n">
        <x:v>45048</x:v>
      </x:c>
      <x:c r="E259" s="8" t="str">
        <x:v>TIGER TROUT</x:v>
      </x:c>
      <x:c r="F259" s="13" t="n">
        <x:v>4000</x:v>
      </x:c>
      <x:c r="G259" s="9" t="n">
        <x:v>19.9</x:v>
      </x:c>
      <x:c r="H259" s="9" t="n">
        <x:v>84.9</x:v>
      </x:c>
      <x:c r="I259" s="8" t="str">
        <x:f>B259&amp;" / "&amp;C259&amp;" / "&amp;E259</x:f>
        <x:v>3494 / 2023 / TIGER TROUT</x:v>
      </x:c>
    </x:row>
    <x:row r="260" ht="23" customHeight="1">
      <x:c r="A260" s="8" t="str">
        <x:v>Blood Indian Creek Reservoir</x:v>
      </x:c>
      <x:c r="B260" s="8" t="str">
        <x:v>3494</x:v>
      </x:c>
      <x:c r="C260" s="17" t="n">
        <x:v>2022</x:v>
      </x:c>
      <x:c r="D260" s="18" t="n">
        <x:v>44826</x:v>
      </x:c>
      <x:c r="E260" s="8" t="str">
        <x:v>BROWN TROUT</x:v>
      </x:c>
      <x:c r="F260" s="13" t="n">
        <x:v>1900</x:v>
      </x:c>
      <x:c r="G260" s="9" t="n">
        <x:v>24.3</x:v>
      </x:c>
      <x:c r="H260" s="9" t="n">
        <x:v>158.7</x:v>
      </x:c>
      <x:c r="I260" s="8" t="str">
        <x:f>B260&amp;" / "&amp;C260&amp;" / "&amp;E260</x:f>
        <x:v>3494 / 2022 / BROWN TROUT</x:v>
      </x:c>
    </x:row>
    <x:row r="261" ht="23" customHeight="1">
      <x:c r="A261" s="8" t="str">
        <x:v>Blood Indian Creek Reservoir</x:v>
      </x:c>
      <x:c r="B261" s="8" t="str">
        <x:v>3494</x:v>
      </x:c>
      <x:c r="C261" s="17" t="n">
        <x:v>2022</x:v>
      </x:c>
      <x:c r="D261" s="18" t="n">
        <x:v>44816</x:v>
      </x:c>
      <x:c r="E261" s="8" t="str">
        <x:v>BROWN TROUT</x:v>
      </x:c>
      <x:c r="F261" s="13" t="n">
        <x:v>10327</x:v>
      </x:c>
      <x:c r="G261" s="9" t="n">
        <x:v>8.8</x:v>
      </x:c>
      <x:c r="H261" s="9" t="n">
        <x:v>7.4</x:v>
      </x:c>
      <x:c r="I261" s="8" t="str">
        <x:f>B261&amp;" / "&amp;C261&amp;" / "&amp;E261</x:f>
        <x:v>3494 / 2022 / BROWN TROUT</x:v>
      </x:c>
    </x:row>
    <x:row r="262" ht="23" customHeight="1">
      <x:c r="A262" s="8" t="str">
        <x:v>Blood Indian Creek Reservoir</x:v>
      </x:c>
      <x:c r="B262" s="8" t="str">
        <x:v>3494</x:v>
      </x:c>
      <x:c r="C262" s="17" t="n">
        <x:v>2022</x:v>
      </x:c>
      <x:c r="D262" s="18" t="n">
        <x:v>44816</x:v>
      </x:c>
      <x:c r="E262" s="8" t="str">
        <x:v>BROWN TROUT</x:v>
      </x:c>
      <x:c r="F262" s="13" t="n">
        <x:v>4673</x:v>
      </x:c>
      <x:c r="G262" s="9" t="n">
        <x:v>10.3</x:v>
      </x:c>
      <x:c r="H262" s="9" t="n">
        <x:v>12.1</x:v>
      </x:c>
      <x:c r="I262" s="8" t="str">
        <x:f>B262&amp;" / "&amp;C262&amp;" / "&amp;E262</x:f>
        <x:v>3494 / 2022 / BROWN TROUT</x:v>
      </x:c>
    </x:row>
    <x:row r="263" ht="23" customHeight="1">
      <x:c r="A263" s="8" t="str">
        <x:v>Blood Indian Creek Reservoir</x:v>
      </x:c>
      <x:c r="B263" s="8" t="str">
        <x:v>3494</x:v>
      </x:c>
      <x:c r="C263" s="17" t="n">
        <x:v>2022</x:v>
      </x:c>
      <x:c r="D263" s="18" t="n">
        <x:v>44682</x:v>
      </x:c>
      <x:c r="E263" s="8" t="str">
        <x:v>BROWN TROUT</x:v>
      </x:c>
      <x:c r="F263" s="13" t="n">
        <x:v>4995</x:v>
      </x:c>
      <x:c r="G263" s="9" t="n">
        <x:v>17.3</x:v>
      </x:c>
      <x:c r="H263" s="9" t="n">
        <x:v>57.6</x:v>
      </x:c>
      <x:c r="I263" s="8" t="str">
        <x:f>B263&amp;" / "&amp;C263&amp;" / "&amp;E263</x:f>
        <x:v>3494 / 2022 / BROWN TROUT</x:v>
      </x:c>
    </x:row>
    <x:row r="264" ht="23" customHeight="1">
      <x:c r="A264" s="8" t="str">
        <x:v>Blood Indian Creek Reservoir</x:v>
      </x:c>
      <x:c r="B264" s="8" t="str">
        <x:v>3494</x:v>
      </x:c>
      <x:c r="C264" s="17" t="n">
        <x:v>2022</x:v>
      </x:c>
      <x:c r="D264" s="18" t="n">
        <x:v>44680</x:v>
      </x:c>
      <x:c r="E264" s="8" t="str">
        <x:v>BROWN TROUT</x:v>
      </x:c>
      <x:c r="F264" s="13" t="n">
        <x:v>159</x:v>
      </x:c>
      <x:c r="G264" s="9" t="n">
        <x:v>65</x:v>
      </x:c>
      <x:c r="H264" s="9" t="n">
        <x:v>3000</x:v>
      </x:c>
      <x:c r="I264" s="8" t="str">
        <x:f>B264&amp;" / "&amp;C264&amp;" / "&amp;E264</x:f>
        <x:v>3494 / 2022 / BROWN TROUT</x:v>
      </x:c>
    </x:row>
    <x:row r="265" ht="23" customHeight="1">
      <x:c r="A265" s="8" t="str">
        <x:v>Blood Indian Creek Reservoir</x:v>
      </x:c>
      <x:c r="B265" s="8" t="str">
        <x:v>3494</x:v>
      </x:c>
      <x:c r="C265" s="17" t="n">
        <x:v>2022</x:v>
      </x:c>
      <x:c r="D265" s="18" t="n">
        <x:v>44826</x:v>
      </x:c>
      <x:c r="E265" s="8" t="str">
        <x:v>RAINBOW TROUT</x:v>
      </x:c>
      <x:c r="F265" s="13" t="n">
        <x:v>10874</x:v>
      </x:c>
      <x:c r="G265" s="9" t="n">
        <x:v>13.3</x:v>
      </x:c>
      <x:c r="H265" s="9" t="n">
        <x:v>25.9</x:v>
      </x:c>
      <x:c r="I265" s="8" t="str">
        <x:f>B265&amp;" / "&amp;C265&amp;" / "&amp;E265</x:f>
        <x:v>3494 / 2022 / RAINBOW TROUT</x:v>
      </x:c>
    </x:row>
    <x:row r="266" ht="23" customHeight="1">
      <x:c r="A266" s="8" t="str">
        <x:v>Blood Indian Creek Reservoir</x:v>
      </x:c>
      <x:c r="B266" s="8" t="str">
        <x:v>3494</x:v>
      </x:c>
      <x:c r="C266" s="17" t="n">
        <x:v>2022</x:v>
      </x:c>
      <x:c r="D266" s="18" t="n">
        <x:v>44826</x:v>
      </x:c>
      <x:c r="E266" s="8" t="str">
        <x:v>RAINBOW TROUT</x:v>
      </x:c>
      <x:c r="F266" s="13" t="n">
        <x:v>19126</x:v>
      </x:c>
      <x:c r="G266" s="9" t="n">
        <x:v>13.7</x:v>
      </x:c>
      <x:c r="H266" s="9" t="n">
        <x:v>28.7</x:v>
      </x:c>
      <x:c r="I266" s="8" t="str">
        <x:f>B266&amp;" / "&amp;C266&amp;" / "&amp;E266</x:f>
        <x:v>3494 / 2022 / RAINBOW TROUT</x:v>
      </x:c>
    </x:row>
    <x:row r="267" ht="23" customHeight="1">
      <x:c r="A267" s="8" t="str">
        <x:v>Blood Indian Creek Reservoir</x:v>
      </x:c>
      <x:c r="B267" s="8" t="str">
        <x:v>3494</x:v>
      </x:c>
      <x:c r="C267" s="17" t="n">
        <x:v>2022</x:v>
      </x:c>
      <x:c r="D267" s="18" t="n">
        <x:v>44717</x:v>
      </x:c>
      <x:c r="E267" s="8" t="str">
        <x:v>RAINBOW TROUT</x:v>
      </x:c>
      <x:c r="F267" s="13" t="n">
        <x:v>3718</x:v>
      </x:c>
      <x:c r="G267" s="9" t="n">
        <x:v>21.3</x:v>
      </x:c>
      <x:c r="H267" s="9" t="n">
        <x:v>105.8</x:v>
      </x:c>
      <x:c r="I267" s="8" t="str">
        <x:f>B267&amp;" / "&amp;C267&amp;" / "&amp;E267</x:f>
        <x:v>3494 / 2022 / RAINBOW TROUT</x:v>
      </x:c>
    </x:row>
    <x:row r="268" ht="23" customHeight="1">
      <x:c r="A268" s="8" t="str">
        <x:v>Blood Indian Creek Reservoir</x:v>
      </x:c>
      <x:c r="B268" s="8" t="str">
        <x:v>3494</x:v>
      </x:c>
      <x:c r="C268" s="17" t="n">
        <x:v>2022</x:v>
      </x:c>
      <x:c r="D268" s="18" t="n">
        <x:v>44700</x:v>
      </x:c>
      <x:c r="E268" s="8" t="str">
        <x:v>RAINBOW TROUT</x:v>
      </x:c>
      <x:c r="F268" s="13" t="n">
        <x:v>203</x:v>
      </x:c>
      <x:c r="G268" s="9" t="n">
        <x:v>30</x:v>
      </x:c>
      <x:c r="H268" s="9" t="n">
        <x:v>150</x:v>
      </x:c>
      <x:c r="I268" s="8" t="str">
        <x:f>B268&amp;" / "&amp;C268&amp;" / "&amp;E268</x:f>
        <x:v>3494 / 2022 / RAINBOW TROUT</x:v>
      </x:c>
    </x:row>
    <x:row r="269" ht="23" customHeight="1">
      <x:c r="A269" s="8" t="str">
        <x:v>Blood Indian Creek Reservoir</x:v>
      </x:c>
      <x:c r="B269" s="8" t="str">
        <x:v>3494</x:v>
      </x:c>
      <x:c r="C269" s="17" t="n">
        <x:v>2022</x:v>
      </x:c>
      <x:c r="D269" s="18" t="n">
        <x:v>44700</x:v>
      </x:c>
      <x:c r="E269" s="8" t="str">
        <x:v>RAINBOW TROUT</x:v>
      </x:c>
      <x:c r="F269" s="13" t="n">
        <x:v>1191</x:v>
      </x:c>
      <x:c r="G269" s="9" t="n">
        <x:v>18.7</x:v>
      </x:c>
      <x:c r="H269" s="9" t="n">
        <x:v>45</x:v>
      </x:c>
      <x:c r="I269" s="8" t="str">
        <x:f>B269&amp;" / "&amp;C269&amp;" / "&amp;E269</x:f>
        <x:v>3494 / 2022 / RAINBOW TROUT</x:v>
      </x:c>
    </x:row>
    <x:row r="270" ht="23" customHeight="1">
      <x:c r="A270" s="8" t="str">
        <x:v>Blood Indian Creek Reservoir</x:v>
      </x:c>
      <x:c r="B270" s="8" t="str">
        <x:v>3494</x:v>
      </x:c>
      <x:c r="C270" s="17" t="n">
        <x:v>2022</x:v>
      </x:c>
      <x:c r="D270" s="18" t="n">
        <x:v>44697</x:v>
      </x:c>
      <x:c r="E270" s="8" t="str">
        <x:v>RAINBOW TROUT</x:v>
      </x:c>
      <x:c r="F270" s="13" t="n">
        <x:v>4088</x:v>
      </x:c>
      <x:c r="G270" s="9" t="n">
        <x:v>18.7</x:v>
      </x:c>
      <x:c r="H270" s="9" t="n">
        <x:v>45</x:v>
      </x:c>
      <x:c r="I270" s="8" t="str">
        <x:f>B270&amp;" / "&amp;C270&amp;" / "&amp;E270</x:f>
        <x:v>3494 / 2022 / RAINBOW TROUT</x:v>
      </x:c>
    </x:row>
    <x:row r="271" ht="23" customHeight="1">
      <x:c r="A271" s="8" t="str">
        <x:v>Blood Indian Creek Reservoir</x:v>
      </x:c>
      <x:c r="B271" s="8" t="str">
        <x:v>3494</x:v>
      </x:c>
      <x:c r="C271" s="17" t="n">
        <x:v>2022</x:v>
      </x:c>
      <x:c r="D271" s="18" t="n">
        <x:v>44682</x:v>
      </x:c>
      <x:c r="E271" s="8" t="str">
        <x:v>RAINBOW TROUT</x:v>
      </x:c>
      <x:c r="F271" s="13" t="n">
        <x:v>35520</x:v>
      </x:c>
      <x:c r="G271" s="9" t="n">
        <x:v>12.6</x:v>
      </x:c>
      <x:c r="H271" s="9" t="n">
        <x:v>22.3</x:v>
      </x:c>
      <x:c r="I271" s="8" t="str">
        <x:f>B271&amp;" / "&amp;C271&amp;" / "&amp;E271</x:f>
        <x:v>3494 / 2022 / RAINBOW TROUT</x:v>
      </x:c>
    </x:row>
    <x:row r="272" ht="23" customHeight="1">
      <x:c r="A272" s="8" t="str">
        <x:v>Blood Indian Creek Reservoir</x:v>
      </x:c>
      <x:c r="B272" s="8" t="str">
        <x:v>3494</x:v>
      </x:c>
      <x:c r="C272" s="17" t="n">
        <x:v>2022</x:v>
      </x:c>
      <x:c r="D272" s="18" t="n">
        <x:v>44679</x:v>
      </x:c>
      <x:c r="E272" s="8" t="str">
        <x:v>RAINBOW TROUT</x:v>
      </x:c>
      <x:c r="F272" s="13" t="n">
        <x:v>15600</x:v>
      </x:c>
      <x:c r="G272" s="9" t="n">
        <x:v>17.1</x:v>
      </x:c>
      <x:c r="H272" s="9" t="n">
        <x:v>55.5</x:v>
      </x:c>
      <x:c r="I272" s="8" t="str">
        <x:f>B272&amp;" / "&amp;C272&amp;" / "&amp;E272</x:f>
        <x:v>3494 / 2022 / RAINBOW TROUT</x:v>
      </x:c>
    </x:row>
    <x:row r="273" ht="23" customHeight="1">
      <x:c r="A273" s="8" t="str">
        <x:v>Blood Indian Creek Reservoir</x:v>
      </x:c>
      <x:c r="B273" s="8" t="str">
        <x:v>3494</x:v>
      </x:c>
      <x:c r="C273" s="17" t="n">
        <x:v>2022</x:v>
      </x:c>
      <x:c r="D273" s="18" t="n">
        <x:v>44672</x:v>
      </x:c>
      <x:c r="E273" s="8" t="str">
        <x:v>RAINBOW TROUT</x:v>
      </x:c>
      <x:c r="F273" s="13" t="n">
        <x:v>11000</x:v>
      </x:c>
      <x:c r="G273" s="9" t="n">
        <x:v>20.4</x:v>
      </x:c>
      <x:c r="H273" s="9" t="n">
        <x:v>92.7</x:v>
      </x:c>
      <x:c r="I273" s="8" t="str">
        <x:f>B273&amp;" / "&amp;C273&amp;" / "&amp;E273</x:f>
        <x:v>3494 / 2022 / RAINBOW TROUT</x:v>
      </x:c>
    </x:row>
    <x:row r="274" ht="23" customHeight="1">
      <x:c r="A274" s="8" t="str">
        <x:v>Blood Indian Creek Reservoir</x:v>
      </x:c>
      <x:c r="B274" s="8" t="str">
        <x:v>3494</x:v>
      </x:c>
      <x:c r="C274" s="17" t="n">
        <x:v>2022</x:v>
      </x:c>
      <x:c r="D274" s="18" t="n">
        <x:v>44816</x:v>
      </x:c>
      <x:c r="E274" s="8" t="str">
        <x:v>TIGER TROUT</x:v>
      </x:c>
      <x:c r="F274" s="13" t="n">
        <x:v>5000</x:v>
      </x:c>
      <x:c r="G274" s="9" t="n">
        <x:v>11.8</x:v>
      </x:c>
      <x:c r="H274" s="9" t="n">
        <x:v>18.1</x:v>
      </x:c>
      <x:c r="I274" s="8" t="str">
        <x:f>B274&amp;" / "&amp;C274&amp;" / "&amp;E274</x:f>
        <x:v>3494 / 2022 / TIGER TROUT</x:v>
      </x:c>
    </x:row>
    <x:row r="275" ht="23" customHeight="1">
      <x:c r="A275" s="8" t="str">
        <x:v>Blood Indian Creek Reservoir</x:v>
      </x:c>
      <x:c r="B275" s="8" t="str">
        <x:v>3494</x:v>
      </x:c>
      <x:c r="C275" s="17" t="n">
        <x:v>2022</x:v>
      </x:c>
      <x:c r="D275" s="18" t="n">
        <x:v>44679</x:v>
      </x:c>
      <x:c r="E275" s="8" t="str">
        <x:v>TIGER TROUT</x:v>
      </x:c>
      <x:c r="F275" s="13" t="n">
        <x:v>5000</x:v>
      </x:c>
      <x:c r="G275" s="9" t="n">
        <x:v>17.1</x:v>
      </x:c>
      <x:c r="H275" s="9" t="n">
        <x:v>55.2</x:v>
      </x:c>
      <x:c r="I275" s="8" t="str">
        <x:f>B275&amp;" / "&amp;C275&amp;" / "&amp;E275</x:f>
        <x:v>3494 / 2022 / TIGER TROUT</x:v>
      </x:c>
    </x:row>
    <x:row r="276" ht="23" customHeight="1">
      <x:c r="A276" s="8" t="str">
        <x:v>Blood Indian Creek Reservoir</x:v>
      </x:c>
      <x:c r="B276" s="8" t="str">
        <x:v>3494</x:v>
      </x:c>
      <x:c r="C276" s="17" t="n">
        <x:v>2021</x:v>
      </x:c>
      <x:c r="D276" s="18" t="n">
        <x:v>44482</x:v>
      </x:c>
      <x:c r="E276" s="8" t="str">
        <x:v>BROWN TROUT</x:v>
      </x:c>
      <x:c r="F276" s="13" t="n">
        <x:v>24280</x:v>
      </x:c>
      <x:c r="G276" s="9" t="n">
        <x:v>9</x:v>
      </x:c>
      <x:c r="H276" s="9" t="n">
        <x:v>9.1</x:v>
      </x:c>
      <x:c r="I276" s="8" t="str">
        <x:f>B276&amp;" / "&amp;C276&amp;" / "&amp;E276</x:f>
        <x:v>3494 / 2021 / BROWN TROUT</x:v>
      </x:c>
    </x:row>
    <x:row r="277" ht="23" customHeight="1">
      <x:c r="A277" s="8" t="str">
        <x:v>Blood Indian Creek Reservoir</x:v>
      </x:c>
      <x:c r="B277" s="8" t="str">
        <x:v>3494</x:v>
      </x:c>
      <x:c r="C277" s="17" t="n">
        <x:v>2021</x:v>
      </x:c>
      <x:c r="D277" s="18" t="n">
        <x:v>44482</x:v>
      </x:c>
      <x:c r="E277" s="8" t="str">
        <x:v>BROWN TROUT</x:v>
      </x:c>
      <x:c r="F277" s="13" t="n">
        <x:v>2800</x:v>
      </x:c>
      <x:c r="G277" s="9" t="n">
        <x:v>23.5</x:v>
      </x:c>
      <x:c r="H277" s="9" t="n">
        <x:v>142.8</x:v>
      </x:c>
      <x:c r="I277" s="8" t="str">
        <x:f>B277&amp;" / "&amp;C277&amp;" / "&amp;E277</x:f>
        <x:v>3494 / 2021 / BROWN TROUT</x:v>
      </x:c>
    </x:row>
    <x:row r="278" ht="23" customHeight="1">
      <x:c r="A278" s="8" t="str">
        <x:v>Blood Indian Creek Reservoir</x:v>
      </x:c>
      <x:c r="B278" s="8" t="str">
        <x:v>3494</x:v>
      </x:c>
      <x:c r="C278" s="17" t="n">
        <x:v>2021</x:v>
      </x:c>
      <x:c r="D278" s="18" t="n">
        <x:v>44314</x:v>
      </x:c>
      <x:c r="E278" s="8" t="str">
        <x:v>BROWN TROUT</x:v>
      </x:c>
      <x:c r="F278" s="13" t="n">
        <x:v>10500</x:v>
      </x:c>
      <x:c r="G278" s="9" t="n">
        <x:v>17</x:v>
      </x:c>
      <x:c r="H278" s="9" t="n">
        <x:v>54</x:v>
      </x:c>
      <x:c r="I278" s="8" t="str">
        <x:f>B278&amp;" / "&amp;C278&amp;" / "&amp;E278</x:f>
        <x:v>3494 / 2021 / BROWN TROUT</x:v>
      </x:c>
    </x:row>
    <x:row r="279" ht="23" customHeight="1">
      <x:c r="A279" s="8" t="str">
        <x:v>Blood Indian Creek Reservoir</x:v>
      </x:c>
      <x:c r="B279" s="8" t="str">
        <x:v>3494</x:v>
      </x:c>
      <x:c r="C279" s="17" t="n">
        <x:v>2021</x:v>
      </x:c>
      <x:c r="D279" s="18" t="n">
        <x:v>44474</x:v>
      </x:c>
      <x:c r="E279" s="8" t="str">
        <x:v>RAINBOW TROUT</x:v>
      </x:c>
      <x:c r="F279" s="13" t="n">
        <x:v>1490</x:v>
      </x:c>
      <x:c r="G279" s="9" t="n">
        <x:v>24</x:v>
      </x:c>
      <x:c r="H279" s="9" t="n">
        <x:v>113.2</x:v>
      </x:c>
      <x:c r="I279" s="8" t="str">
        <x:f>B279&amp;" / "&amp;C279&amp;" / "&amp;E279</x:f>
        <x:v>3494 / 2021 / RAINBOW TROUT</x:v>
      </x:c>
    </x:row>
    <x:row r="280" ht="23" customHeight="1">
      <x:c r="A280" s="8" t="str">
        <x:v>Blood Indian Creek Reservoir</x:v>
      </x:c>
      <x:c r="B280" s="8" t="str">
        <x:v>3494</x:v>
      </x:c>
      <x:c r="C280" s="17" t="n">
        <x:v>2021</x:v>
      </x:c>
      <x:c r="D280" s="18" t="n">
        <x:v>44474</x:v>
      </x:c>
      <x:c r="E280" s="8" t="str">
        <x:v>RAINBOW TROUT</x:v>
      </x:c>
      <x:c r="F280" s="13" t="n">
        <x:v>1500</x:v>
      </x:c>
      <x:c r="G280" s="9" t="n">
        <x:v>19</x:v>
      </x:c>
      <x:c r="H280" s="9" t="n">
        <x:v>78.1</x:v>
      </x:c>
      <x:c r="I280" s="8" t="str">
        <x:f>B280&amp;" / "&amp;C280&amp;" / "&amp;E280</x:f>
        <x:v>3494 / 2021 / RAINBOW TROUT</x:v>
      </x:c>
    </x:row>
    <x:row r="281" ht="23" customHeight="1">
      <x:c r="A281" s="8" t="str">
        <x:v>Blood Indian Creek Reservoir</x:v>
      </x:c>
      <x:c r="B281" s="8" t="str">
        <x:v>3494</x:v>
      </x:c>
      <x:c r="C281" s="17" t="n">
        <x:v>2021</x:v>
      </x:c>
      <x:c r="D281" s="18" t="n">
        <x:v>44465</x:v>
      </x:c>
      <x:c r="E281" s="8" t="str">
        <x:v>RAINBOW TROUT</x:v>
      </x:c>
      <x:c r="F281" s="13" t="n">
        <x:v>14121</x:v>
      </x:c>
      <x:c r="G281" s="9" t="n">
        <x:v>17</x:v>
      </x:c>
      <x:c r="H281" s="9" t="n">
        <x:v>54</x:v>
      </x:c>
      <x:c r="I281" s="8" t="str">
        <x:f>B281&amp;" / "&amp;C281&amp;" / "&amp;E281</x:f>
        <x:v>3494 / 2021 / RAINBOW TROUT</x:v>
      </x:c>
    </x:row>
    <x:row r="282" ht="23" customHeight="1">
      <x:c r="A282" s="8" t="str">
        <x:v>Blood Indian Creek Reservoir</x:v>
      </x:c>
      <x:c r="B282" s="8" t="str">
        <x:v>3494</x:v>
      </x:c>
      <x:c r="C282" s="17" t="n">
        <x:v>2021</x:v>
      </x:c>
      <x:c r="D282" s="18" t="n">
        <x:v>44465</x:v>
      </x:c>
      <x:c r="E282" s="8" t="str">
        <x:v>RAINBOW TROUT</x:v>
      </x:c>
      <x:c r="F282" s="13" t="n">
        <x:v>17137</x:v>
      </x:c>
      <x:c r="G282" s="9" t="n">
        <x:v>17</x:v>
      </x:c>
      <x:c r="H282" s="9" t="n">
        <x:v>54</x:v>
      </x:c>
      <x:c r="I282" s="8" t="str">
        <x:f>B282&amp;" / "&amp;C282&amp;" / "&amp;E282</x:f>
        <x:v>3494 / 2021 / RAINBOW TROUT</x:v>
      </x:c>
    </x:row>
    <x:row r="283" ht="23" customHeight="1">
      <x:c r="A283" s="8" t="str">
        <x:v>Blood Indian Creek Reservoir</x:v>
      </x:c>
      <x:c r="B283" s="8" t="str">
        <x:v>3494</x:v>
      </x:c>
      <x:c r="C283" s="17" t="n">
        <x:v>2021</x:v>
      </x:c>
      <x:c r="D283" s="18" t="n">
        <x:v>44341</x:v>
      </x:c>
      <x:c r="E283" s="8" t="str">
        <x:v>RAINBOW TROUT</x:v>
      </x:c>
      <x:c r="F283" s="13" t="n">
        <x:v>87310</x:v>
      </x:c>
      <x:c r="G283" s="9" t="n">
        <x:v>10.7</x:v>
      </x:c>
      <x:c r="H283" s="9" t="n">
        <x:v>13.4</x:v>
      </x:c>
      <x:c r="I283" s="8" t="str">
        <x:f>B283&amp;" / "&amp;C283&amp;" / "&amp;E283</x:f>
        <x:v>3494 / 2021 / RAINBOW TROUT</x:v>
      </x:c>
    </x:row>
    <x:row r="284" ht="23" customHeight="1">
      <x:c r="A284" s="8" t="str">
        <x:v>Blood Indian Creek Reservoir</x:v>
      </x:c>
      <x:c r="B284" s="8" t="str">
        <x:v>3494</x:v>
      </x:c>
      <x:c r="C284" s="17" t="n">
        <x:v>2021</x:v>
      </x:c>
      <x:c r="D284" s="18" t="n">
        <x:v>44314</x:v>
      </x:c>
      <x:c r="E284" s="8" t="str">
        <x:v>RAINBOW TROUT</x:v>
      </x:c>
      <x:c r="F284" s="13" t="n">
        <x:v>5500</x:v>
      </x:c>
      <x:c r="G284" s="9" t="n">
        <x:v>20.9</x:v>
      </x:c>
      <x:c r="H284" s="9" t="n">
        <x:v>100.6</x:v>
      </x:c>
      <x:c r="I284" s="8" t="str">
        <x:f>B284&amp;" / "&amp;C284&amp;" / "&amp;E284</x:f>
        <x:v>3494 / 2021 / RAINBOW TROUT</x:v>
      </x:c>
    </x:row>
    <x:row r="285" ht="23" customHeight="1">
      <x:c r="A285" s="8" t="str">
        <x:v>Blood Indian Creek Reservoir</x:v>
      </x:c>
      <x:c r="B285" s="8" t="str">
        <x:v>3494</x:v>
      </x:c>
      <x:c r="C285" s="17" t="n">
        <x:v>2021</x:v>
      </x:c>
      <x:c r="D285" s="18" t="n">
        <x:v>44311</x:v>
      </x:c>
      <x:c r="E285" s="8" t="str">
        <x:v>RAINBOW TROUT</x:v>
      </x:c>
      <x:c r="F285" s="13" t="n">
        <x:v>75</x:v>
      </x:c>
      <x:c r="G285" s="9" t="n">
        <x:v>50</x:v>
      </x:c>
      <x:c r="H285" s="9" t="n">
        <x:v>2660</x:v>
      </x:c>
      <x:c r="I285" s="8" t="str">
        <x:f>B285&amp;" / "&amp;C285&amp;" / "&amp;E285</x:f>
        <x:v>3494 / 2021 / RAINBOW TROUT</x:v>
      </x:c>
    </x:row>
    <x:row r="286" ht="23" customHeight="1">
      <x:c r="A286" s="8" t="str">
        <x:v>Blood Indian Creek Reservoir</x:v>
      </x:c>
      <x:c r="B286" s="8" t="str">
        <x:v>3494</x:v>
      </x:c>
      <x:c r="C286" s="17" t="n">
        <x:v>2021</x:v>
      </x:c>
      <x:c r="D286" s="18" t="n">
        <x:v>44311</x:v>
      </x:c>
      <x:c r="E286" s="8" t="str">
        <x:v>RAINBOW TROUT</x:v>
      </x:c>
      <x:c r="F286" s="13" t="n">
        <x:v>150</x:v>
      </x:c>
      <x:c r="G286" s="9" t="n">
        <x:v>30</x:v>
      </x:c>
      <x:c r="H286" s="9" t="n">
        <x:v>410</x:v>
      </x:c>
      <x:c r="I286" s="8" t="str">
        <x:f>B286&amp;" / "&amp;C286&amp;" / "&amp;E286</x:f>
        <x:v>3494 / 2021 / RAINBOW TROUT</x:v>
      </x:c>
    </x:row>
    <x:row r="287" ht="23" customHeight="1">
      <x:c r="A287" s="8" t="str">
        <x:v>Blood Indian Creek Reservoir</x:v>
      </x:c>
      <x:c r="B287" s="8" t="str">
        <x:v>3494</x:v>
      </x:c>
      <x:c r="C287" s="17" t="n">
        <x:v>2021</x:v>
      </x:c>
      <x:c r="D287" s="18" t="n">
        <x:v>44314</x:v>
      </x:c>
      <x:c r="E287" s="8" t="str">
        <x:v>TIGER TROUT</x:v>
      </x:c>
      <x:c r="F287" s="13" t="n">
        <x:v>7500</x:v>
      </x:c>
      <x:c r="G287" s="9" t="n">
        <x:v>17.7</x:v>
      </x:c>
      <x:c r="H287" s="9" t="n">
        <x:v>60.9</x:v>
      </x:c>
      <x:c r="I287" s="8" t="str">
        <x:f>B287&amp;" / "&amp;C287&amp;" / "&amp;E287</x:f>
        <x:v>3494 / 2021 / TIGER TROUT</x:v>
      </x:c>
    </x:row>
    <x:row r="288" ht="23" customHeight="1">
      <x:c r="A288" s="8" t="str">
        <x:v>Blueridge Pit</x:v>
      </x:c>
      <x:c r="B288" s="8" t="str">
        <x:v>26033</x:v>
      </x:c>
      <x:c r="C288" s="17" t="n">
        <x:v>2026</x:v>
      </x:c>
      <x:c r="D288" s="18" t="n">
        <x:v>46153</x:v>
      </x:c>
      <x:c r="E288" s="8" t="str">
        <x:v>RAINBOW TROUT</x:v>
      </x:c>
      <x:c r="F288" s="13" t="n">
        <x:v>2100</x:v>
      </x:c>
      <x:c r="G288" s="9" t="n">
        <x:v>22</x:v>
      </x:c>
      <x:c r="H288" s="9" t="n">
        <x:v>117.2</x:v>
      </x:c>
      <x:c r="I288" s="8" t="str">
        <x:f>B288&amp;" / "&amp;C288&amp;" / "&amp;E288</x:f>
        <x:v>26033 / 2026 / RAINBOW TROUT</x:v>
      </x:c>
    </x:row>
    <x:row r="289" ht="23" customHeight="1">
      <x:c r="A289" s="8" t="str">
        <x:v>Blueridge Pit</x:v>
      </x:c>
      <x:c r="B289" s="8" t="str">
        <x:v>26033</x:v>
      </x:c>
      <x:c r="C289" s="17" t="n">
        <x:v>2025</x:v>
      </x:c>
      <x:c r="D289" s="18" t="n">
        <x:v>45788</x:v>
      </x:c>
      <x:c r="E289" s="8" t="str">
        <x:v>RAINBOW TROUT</x:v>
      </x:c>
      <x:c r="F289" s="13" t="n">
        <x:v>2100</x:v>
      </x:c>
      <x:c r="G289" s="9" t="n">
        <x:v>20.2</x:v>
      </x:c>
      <x:c r="H289" s="9" t="n">
        <x:v>91.3</x:v>
      </x:c>
      <x:c r="I289" s="8" t="str">
        <x:f>B289&amp;" / "&amp;C289&amp;" / "&amp;E289</x:f>
        <x:v>26033 / 2025 / RAINBOW TROUT</x:v>
      </x:c>
    </x:row>
    <x:row r="290" ht="23" customHeight="1">
      <x:c r="A290" s="8" t="str">
        <x:v>Blueridge Pit</x:v>
      </x:c>
      <x:c r="B290" s="8" t="str">
        <x:v>26033</x:v>
      </x:c>
      <x:c r="C290" s="17" t="n">
        <x:v>2024</x:v>
      </x:c>
      <x:c r="D290" s="18" t="n">
        <x:v>45441</x:v>
      </x:c>
      <x:c r="E290" s="8" t="str">
        <x:v>RAINBOW TROUT</x:v>
      </x:c>
      <x:c r="F290" s="13" t="n">
        <x:v>1050</x:v>
      </x:c>
      <x:c r="G290" s="9" t="n">
        <x:v>20.7</x:v>
      </x:c>
      <x:c r="H290" s="9" t="n">
        <x:v>95.2</x:v>
      </x:c>
      <x:c r="I290" s="8" t="str">
        <x:f>B290&amp;" / "&amp;C290&amp;" / "&amp;E290</x:f>
        <x:v>26033 / 2024 / RAINBOW TROUT</x:v>
      </x:c>
    </x:row>
    <x:row r="291" ht="23" customHeight="1">
      <x:c r="A291" s="8" t="str">
        <x:v>Blueridge Pit</x:v>
      </x:c>
      <x:c r="B291" s="8" t="str">
        <x:v>26033</x:v>
      </x:c>
      <x:c r="C291" s="17" t="n">
        <x:v>2023</x:v>
      </x:c>
      <x:c r="D291" s="18" t="n">
        <x:v>45054</x:v>
      </x:c>
      <x:c r="E291" s="8" t="str">
        <x:v>RAINBOW TROUT</x:v>
      </x:c>
      <x:c r="F291" s="13" t="n">
        <x:v>1054</x:v>
      </x:c>
      <x:c r="G291" s="9" t="n">
        <x:v>20.3</x:v>
      </x:c>
      <x:c r="H291" s="9" t="n">
        <x:v>92</x:v>
      </x:c>
      <x:c r="I291" s="8" t="str">
        <x:f>B291&amp;" / "&amp;C291&amp;" / "&amp;E291</x:f>
        <x:v>26033 / 2023 / RAINBOW TROUT</x:v>
      </x:c>
    </x:row>
    <x:row r="292" ht="23" customHeight="1">
      <x:c r="A292" s="8" t="str">
        <x:v>Blueridge Pit</x:v>
      </x:c>
      <x:c r="B292" s="8" t="str">
        <x:v>26033</x:v>
      </x:c>
      <x:c r="C292" s="17" t="n">
        <x:v>2022</x:v>
      </x:c>
      <x:c r="D292" s="18" t="n">
        <x:v>44696</x:v>
      </x:c>
      <x:c r="E292" s="8" t="str">
        <x:v>RAINBOW TROUT</x:v>
      </x:c>
      <x:c r="F292" s="13" t="n">
        <x:v>2100</x:v>
      </x:c>
      <x:c r="G292" s="9" t="n">
        <x:v>20.7</x:v>
      </x:c>
      <x:c r="H292" s="9" t="n">
        <x:v>98.6</x:v>
      </x:c>
      <x:c r="I292" s="8" t="str">
        <x:f>B292&amp;" / "&amp;C292&amp;" / "&amp;E292</x:f>
        <x:v>26033 / 2022 / RAINBOW TROUT</x:v>
      </x:c>
    </x:row>
    <x:row r="293" ht="23" customHeight="1">
      <x:c r="A293" s="8" t="str">
        <x:v>Blueridge Pit</x:v>
      </x:c>
      <x:c r="B293" s="8" t="str">
        <x:v>26033</x:v>
      </x:c>
      <x:c r="C293" s="17" t="n">
        <x:v>2021</x:v>
      </x:c>
      <x:c r="D293" s="18" t="n">
        <x:v>44333</x:v>
      </x:c>
      <x:c r="E293" s="8" t="str">
        <x:v>RAINBOW TROUT</x:v>
      </x:c>
      <x:c r="F293" s="13" t="n">
        <x:v>2100</x:v>
      </x:c>
      <x:c r="G293" s="9" t="n">
        <x:v>18</x:v>
      </x:c>
      <x:c r="H293" s="9" t="n">
        <x:v>64.2</x:v>
      </x:c>
      <x:c r="I293" s="8" t="str">
        <x:f>B293&amp;" / "&amp;C293&amp;" / "&amp;E293</x:f>
        <x:v>26033 / 2021 / RAINBOW TROUT</x:v>
      </x:c>
    </x:row>
    <x:row r="294" ht="23" customHeight="1">
      <x:c r="A294" s="8" t="str">
        <x:v>Boulder Lake</x:v>
      </x:c>
      <x:c r="B294" s="8" t="str">
        <x:v>417506</x:v>
      </x:c>
      <x:c r="C294" s="17" t="n">
        <x:v>2026</x:v>
      </x:c>
      <x:c r="D294" s="18" t="n">
        <x:v>46184</x:v>
      </x:c>
      <x:c r="E294" s="8" t="str">
        <x:v>RAINBOW TROUT</x:v>
      </x:c>
      <x:c r="F294" s="13" t="n">
        <x:v>1300</x:v>
      </x:c>
      <x:c r="G294" s="9" t="n">
        <x:v>21.1</x:v>
      </x:c>
      <x:c r="H294" s="9" t="n">
        <x:v>82.2</x:v>
      </x:c>
      <x:c r="I294" s="8" t="str">
        <x:f>B294&amp;" / "&amp;C294&amp;" / "&amp;E294</x:f>
        <x:v>417506 / 2026 / RAINBOW TROUT</x:v>
      </x:c>
    </x:row>
    <x:row r="295" ht="23" customHeight="1">
      <x:c r="A295" s="8" t="str">
        <x:v>Boulder Lake</x:v>
      </x:c>
      <x:c r="B295" s="8" t="str">
        <x:v>417506</x:v>
      </x:c>
      <x:c r="C295" s="17" t="n">
        <x:v>2026</x:v>
      </x:c>
      <x:c r="D295" s="18" t="n">
        <x:v>46135</x:v>
      </x:c>
      <x:c r="E295" s="8" t="str">
        <x:v>RAINBOW TROUT</x:v>
      </x:c>
      <x:c r="F295" s="13" t="n">
        <x:v>1200</x:v>
      </x:c>
      <x:c r="G295" s="9" t="n">
        <x:v>22.3</x:v>
      </x:c>
      <x:c r="H295" s="9" t="n">
        <x:v>92.6</x:v>
      </x:c>
      <x:c r="I295" s="8" t="str">
        <x:f>B295&amp;" / "&amp;C295&amp;" / "&amp;E295</x:f>
        <x:v>417506 / 2026 / RAINBOW TROUT</x:v>
      </x:c>
    </x:row>
    <x:row r="296" ht="23" customHeight="1">
      <x:c r="A296" s="8" t="str">
        <x:v>Boulder Lake</x:v>
      </x:c>
      <x:c r="B296" s="8" t="str">
        <x:v>417506</x:v>
      </x:c>
      <x:c r="C296" s="17" t="n">
        <x:v>2026</x:v>
      </x:c>
      <x:c r="D296" s="18" t="n">
        <x:v>46146</x:v>
      </x:c>
      <x:c r="E296" s="8" t="str">
        <x:v>TIGER TROUT</x:v>
      </x:c>
      <x:c r="F296" s="13" t="n">
        <x:v>200</x:v>
      </x:c>
      <x:c r="G296" s="9" t="n">
        <x:v>17.2</x:v>
      </x:c>
      <x:c r="H296" s="9" t="n">
        <x:v>55</x:v>
      </x:c>
      <x:c r="I296" s="8" t="str">
        <x:f>B296&amp;" / "&amp;C296&amp;" / "&amp;E296</x:f>
        <x:v>417506 / 2026 / TIGER TROUT</x:v>
      </x:c>
    </x:row>
    <x:row r="297" ht="23" customHeight="1">
      <x:c r="A297" s="8" t="str">
        <x:v>Boulder Lake</x:v>
      </x:c>
      <x:c r="B297" s="8" t="str">
        <x:v>417506</x:v>
      </x:c>
      <x:c r="C297" s="17" t="n">
        <x:v>2025</x:v>
      </x:c>
      <x:c r="D297" s="18" t="n">
        <x:v>45916</x:v>
      </x:c>
      <x:c r="E297" s="8" t="str">
        <x:v>RAINBOW TROUT</x:v>
      </x:c>
      <x:c r="F297" s="13" t="n">
        <x:v>1000</x:v>
      </x:c>
      <x:c r="G297" s="9" t="n">
        <x:v>23.1</x:v>
      </x:c>
      <x:c r="H297" s="9" t="n">
        <x:v>125.9</x:v>
      </x:c>
      <x:c r="I297" s="8" t="str">
        <x:f>B297&amp;" / "&amp;C297&amp;" / "&amp;E297</x:f>
        <x:v>417506 / 2025 / RAINBOW TROUT</x:v>
      </x:c>
    </x:row>
    <x:row r="298" ht="23" customHeight="1">
      <x:c r="A298" s="8" t="str">
        <x:v>Boulder Lake</x:v>
      </x:c>
      <x:c r="B298" s="8" t="str">
        <x:v>417506</x:v>
      </x:c>
      <x:c r="C298" s="17" t="n">
        <x:v>2025</x:v>
      </x:c>
      <x:c r="D298" s="18" t="n">
        <x:v>45776</x:v>
      </x:c>
      <x:c r="E298" s="8" t="str">
        <x:v>RAINBOW TROUT</x:v>
      </x:c>
      <x:c r="F298" s="13" t="n">
        <x:v>1200</x:v>
      </x:c>
      <x:c r="G298" s="9" t="n">
        <x:v>20.3</x:v>
      </x:c>
      <x:c r="H298" s="9" t="n">
        <x:v>94.3</x:v>
      </x:c>
      <x:c r="I298" s="8" t="str">
        <x:f>B298&amp;" / "&amp;C298&amp;" / "&amp;E298</x:f>
        <x:v>417506 / 2025 / RAINBOW TROUT</x:v>
      </x:c>
    </x:row>
    <x:row r="299" ht="23" customHeight="1">
      <x:c r="A299" s="8" t="str">
        <x:v>Boulder Lake</x:v>
      </x:c>
      <x:c r="B299" s="8" t="str">
        <x:v>417506</x:v>
      </x:c>
      <x:c r="C299" s="17" t="n">
        <x:v>2025</x:v>
      </x:c>
      <x:c r="D299" s="18" t="n">
        <x:v>45776</x:v>
      </x:c>
      <x:c r="E299" s="8" t="str">
        <x:v>TIGER TROUT</x:v>
      </x:c>
      <x:c r="F299" s="13" t="n">
        <x:v>200</x:v>
      </x:c>
      <x:c r="G299" s="9" t="n">
        <x:v>20.3</x:v>
      </x:c>
      <x:c r="H299" s="9" t="n">
        <x:v>90</x:v>
      </x:c>
      <x:c r="I299" s="8" t="str">
        <x:f>B299&amp;" / "&amp;C299&amp;" / "&amp;E299</x:f>
        <x:v>417506 / 2025 / TIGER TROUT</x:v>
      </x:c>
    </x:row>
    <x:row r="300" ht="23" customHeight="1">
      <x:c r="A300" s="8" t="str">
        <x:v>Boulder Lake</x:v>
      </x:c>
      <x:c r="B300" s="8" t="str">
        <x:v>417506</x:v>
      </x:c>
      <x:c r="C300" s="17" t="n">
        <x:v>2024</x:v>
      </x:c>
      <x:c r="D300" s="18" t="n">
        <x:v>45569</x:v>
      </x:c>
      <x:c r="E300" s="8" t="str">
        <x:v>RAINBOW TROUT</x:v>
      </x:c>
      <x:c r="F300" s="13" t="n">
        <x:v>500</x:v>
      </x:c>
      <x:c r="G300" s="9" t="n">
        <x:v>21.1</x:v>
      </x:c>
      <x:c r="H300" s="9" t="n">
        <x:v>93.4</x:v>
      </x:c>
      <x:c r="I300" s="8" t="str">
        <x:f>B300&amp;" / "&amp;C300&amp;" / "&amp;E300</x:f>
        <x:v>417506 / 2024 / RAINBOW TROUT</x:v>
      </x:c>
    </x:row>
    <x:row r="301" ht="23" customHeight="1">
      <x:c r="A301" s="8" t="str">
        <x:v>Boulder Lake</x:v>
      </x:c>
      <x:c r="B301" s="8" t="str">
        <x:v>417506</x:v>
      </x:c>
      <x:c r="C301" s="17" t="n">
        <x:v>2024</x:v>
      </x:c>
      <x:c r="D301" s="18" t="n">
        <x:v>45450</x:v>
      </x:c>
      <x:c r="E301" s="8" t="str">
        <x:v>RAINBOW TROUT</x:v>
      </x:c>
      <x:c r="F301" s="13" t="n">
        <x:v>1600</x:v>
      </x:c>
      <x:c r="G301" s="9" t="n">
        <x:v>21.6</x:v>
      </x:c>
      <x:c r="H301" s="9" t="n">
        <x:v>96</x:v>
      </x:c>
      <x:c r="I301" s="8" t="str">
        <x:f>B301&amp;" / "&amp;C301&amp;" / "&amp;E301</x:f>
        <x:v>417506 / 2024 / RAINBOW TROUT</x:v>
      </x:c>
    </x:row>
    <x:row r="302" ht="23" customHeight="1">
      <x:c r="A302" s="8" t="str">
        <x:v>Boulder Lake</x:v>
      </x:c>
      <x:c r="B302" s="8" t="str">
        <x:v>417506</x:v>
      </x:c>
      <x:c r="C302" s="17" t="n">
        <x:v>2024</x:v>
      </x:c>
      <x:c r="D302" s="18" t="n">
        <x:v>45406</x:v>
      </x:c>
      <x:c r="E302" s="8" t="str">
        <x:v>RAINBOW TROUT</x:v>
      </x:c>
      <x:c r="F302" s="13" t="n">
        <x:v>1356</x:v>
      </x:c>
      <x:c r="G302" s="9" t="n">
        <x:v>20.5</x:v>
      </x:c>
      <x:c r="H302" s="9" t="n">
        <x:v>92.4</x:v>
      </x:c>
      <x:c r="I302" s="8" t="str">
        <x:f>B302&amp;" / "&amp;C302&amp;" / "&amp;E302</x:f>
        <x:v>417506 / 2024 / RAINBOW TROUT</x:v>
      </x:c>
    </x:row>
    <x:row r="303" ht="23" customHeight="1">
      <x:c r="A303" s="8" t="str">
        <x:v>Boulder Lake</x:v>
      </x:c>
      <x:c r="B303" s="8" t="str">
        <x:v>417506</x:v>
      </x:c>
      <x:c r="C303" s="17" t="n">
        <x:v>2024</x:v>
      </x:c>
      <x:c r="D303" s="18" t="n">
        <x:v>45412</x:v>
      </x:c>
      <x:c r="E303" s="8" t="str">
        <x:v>TIGER TROUT</x:v>
      </x:c>
      <x:c r="F303" s="13" t="n">
        <x:v>200</x:v>
      </x:c>
      <x:c r="G303" s="9" t="n">
        <x:v>20.2</x:v>
      </x:c>
      <x:c r="H303" s="9" t="n">
        <x:v>88.6</x:v>
      </x:c>
      <x:c r="I303" s="8" t="str">
        <x:f>B303&amp;" / "&amp;C303&amp;" / "&amp;E303</x:f>
        <x:v>417506 / 2024 / TIGER TROUT</x:v>
      </x:c>
    </x:row>
    <x:row r="304" ht="23" customHeight="1">
      <x:c r="A304" s="8" t="str">
        <x:v>Boulder Lake</x:v>
      </x:c>
      <x:c r="B304" s="8" t="str">
        <x:v>417506</x:v>
      </x:c>
      <x:c r="C304" s="17" t="n">
        <x:v>2023</x:v>
      </x:c>
      <x:c r="D304" s="18" t="n">
        <x:v>45190</x:v>
      </x:c>
      <x:c r="E304" s="8" t="str">
        <x:v>RAINBOW TROUT</x:v>
      </x:c>
      <x:c r="F304" s="13" t="n">
        <x:v>812</x:v>
      </x:c>
      <x:c r="G304" s="9" t="n">
        <x:v>21.3</x:v>
      </x:c>
      <x:c r="H304" s="9" t="n">
        <x:v>101.2</x:v>
      </x:c>
      <x:c r="I304" s="8" t="str">
        <x:f>B304&amp;" / "&amp;C304&amp;" / "&amp;E304</x:f>
        <x:v>417506 / 2023 / RAINBOW TROUT</x:v>
      </x:c>
    </x:row>
    <x:row r="305" ht="23" customHeight="1">
      <x:c r="A305" s="8" t="str">
        <x:v>Boulder Lake</x:v>
      </x:c>
      <x:c r="B305" s="8" t="str">
        <x:v>417506</x:v>
      </x:c>
      <x:c r="C305" s="17" t="n">
        <x:v>2023</x:v>
      </x:c>
      <x:c r="D305" s="18" t="n">
        <x:v>45091</x:v>
      </x:c>
      <x:c r="E305" s="8" t="str">
        <x:v>RAINBOW TROUT</x:v>
      </x:c>
      <x:c r="F305" s="13" t="n">
        <x:v>1500</x:v>
      </x:c>
      <x:c r="G305" s="9" t="n">
        <x:v>20.1</x:v>
      </x:c>
      <x:c r="H305" s="9" t="n">
        <x:v>90.5</x:v>
      </x:c>
      <x:c r="I305" s="8" t="str">
        <x:f>B305&amp;" / "&amp;C305&amp;" / "&amp;E305</x:f>
        <x:v>417506 / 2023 / RAINBOW TROUT</x:v>
      </x:c>
    </x:row>
    <x:row r="306" ht="23" customHeight="1">
      <x:c r="A306" s="8" t="str">
        <x:v>Boulder Lake</x:v>
      </x:c>
      <x:c r="B306" s="8" t="str">
        <x:v>417506</x:v>
      </x:c>
      <x:c r="C306" s="17" t="n">
        <x:v>2023</x:v>
      </x:c>
      <x:c r="D306" s="18" t="n">
        <x:v>45048</x:v>
      </x:c>
      <x:c r="E306" s="8" t="str">
        <x:v>RAINBOW TROUT</x:v>
      </x:c>
      <x:c r="F306" s="13" t="n">
        <x:v>90</x:v>
      </x:c>
      <x:c r="G306" s="9" t="n">
        <x:v>30</x:v>
      </x:c>
      <x:c r="H306" s="9" t="n">
        <x:v>239</x:v>
      </x:c>
      <x:c r="I306" s="8" t="str">
        <x:f>B306&amp;" / "&amp;C306&amp;" / "&amp;E306</x:f>
        <x:v>417506 / 2023 / RAINBOW TROUT</x:v>
      </x:c>
    </x:row>
    <x:row r="307" ht="23" customHeight="1">
      <x:c r="A307" s="8" t="str">
        <x:v>Boulder Lake</x:v>
      </x:c>
      <x:c r="B307" s="8" t="str">
        <x:v>417506</x:v>
      </x:c>
      <x:c r="C307" s="17" t="n">
        <x:v>2023</x:v>
      </x:c>
      <x:c r="D307" s="18" t="n">
        <x:v>45048</x:v>
      </x:c>
      <x:c r="E307" s="8" t="str">
        <x:v>RAINBOW TROUT</x:v>
      </x:c>
      <x:c r="F307" s="13" t="n">
        <x:v>2000</x:v>
      </x:c>
      <x:c r="G307" s="9" t="n">
        <x:v>20.5</x:v>
      </x:c>
      <x:c r="H307" s="9" t="n">
        <x:v>89.9</x:v>
      </x:c>
      <x:c r="I307" s="8" t="str">
        <x:f>B307&amp;" / "&amp;C307&amp;" / "&amp;E307</x:f>
        <x:v>417506 / 2023 / RAINBOW TROUT</x:v>
      </x:c>
    </x:row>
    <x:row r="308" ht="23" customHeight="1">
      <x:c r="A308" s="8" t="str">
        <x:v>Boulder Lake</x:v>
      </x:c>
      <x:c r="B308" s="8" t="str">
        <x:v>417506</x:v>
      </x:c>
      <x:c r="C308" s="17" t="n">
        <x:v>2023</x:v>
      </x:c>
      <x:c r="D308" s="18" t="n">
        <x:v>45048</x:v>
      </x:c>
      <x:c r="E308" s="8" t="str">
        <x:v>TIGER TROUT</x:v>
      </x:c>
      <x:c r="F308" s="13" t="n">
        <x:v>200</x:v>
      </x:c>
      <x:c r="G308" s="9" t="n">
        <x:v>19.9</x:v>
      </x:c>
      <x:c r="H308" s="9" t="n">
        <x:v>85</x:v>
      </x:c>
      <x:c r="I308" s="8" t="str">
        <x:f>B308&amp;" / "&amp;C308&amp;" / "&amp;E308</x:f>
        <x:v>417506 / 2023 / TIGER TROUT</x:v>
      </x:c>
    </x:row>
    <x:row r="309" ht="23" customHeight="1">
      <x:c r="A309" s="8" t="str">
        <x:v>Boulder Lake</x:v>
      </x:c>
      <x:c r="B309" s="8" t="str">
        <x:v>417506</x:v>
      </x:c>
      <x:c r="C309" s="17" t="n">
        <x:v>2022</x:v>
      </x:c>
      <x:c r="D309" s="18" t="n">
        <x:v>44817</x:v>
      </x:c>
      <x:c r="E309" s="8" t="str">
        <x:v>RAINBOW TROUT</x:v>
      </x:c>
      <x:c r="F309" s="13" t="n">
        <x:v>1300</x:v>
      </x:c>
      <x:c r="G309" s="9" t="n">
        <x:v>22.2</x:v>
      </x:c>
      <x:c r="H309" s="9" t="n">
        <x:v>106.7</x:v>
      </x:c>
      <x:c r="I309" s="8" t="str">
        <x:f>B309&amp;" / "&amp;C309&amp;" / "&amp;E309</x:f>
        <x:v>417506 / 2022 / RAINBOW TROUT</x:v>
      </x:c>
    </x:row>
    <x:row r="310" ht="23" customHeight="1">
      <x:c r="A310" s="8" t="str">
        <x:v>Boulder Lake</x:v>
      </x:c>
      <x:c r="B310" s="8" t="str">
        <x:v>417506</x:v>
      </x:c>
      <x:c r="C310" s="17" t="n">
        <x:v>2022</x:v>
      </x:c>
      <x:c r="D310" s="18" t="n">
        <x:v>44724</x:v>
      </x:c>
      <x:c r="E310" s="8" t="str">
        <x:v>RAINBOW TROUT</x:v>
      </x:c>
      <x:c r="F310" s="13" t="n">
        <x:v>1500</x:v>
      </x:c>
      <x:c r="G310" s="9" t="n">
        <x:v>20.6</x:v>
      </x:c>
      <x:c r="H310" s="9" t="n">
        <x:v>91.5</x:v>
      </x:c>
      <x:c r="I310" s="8" t="str">
        <x:f>B310&amp;" / "&amp;C310&amp;" / "&amp;E310</x:f>
        <x:v>417506 / 2022 / RAINBOW TROUT</x:v>
      </x:c>
    </x:row>
    <x:row r="311" ht="23" customHeight="1">
      <x:c r="A311" s="8" t="str">
        <x:v>Boulder Lake</x:v>
      </x:c>
      <x:c r="B311" s="8" t="str">
        <x:v>417506</x:v>
      </x:c>
      <x:c r="C311" s="17" t="n">
        <x:v>2022</x:v>
      </x:c>
      <x:c r="D311" s="18" t="n">
        <x:v>44696</x:v>
      </x:c>
      <x:c r="E311" s="8" t="str">
        <x:v>RAINBOW TROUT</x:v>
      </x:c>
      <x:c r="F311" s="13" t="n">
        <x:v>200</x:v>
      </x:c>
      <x:c r="G311" s="9" t="n">
        <x:v>30</x:v>
      </x:c>
      <x:c r="H311" s="9" t="n">
        <x:v>225.1</x:v>
      </x:c>
      <x:c r="I311" s="8" t="str">
        <x:f>B311&amp;" / "&amp;C311&amp;" / "&amp;E311</x:f>
        <x:v>417506 / 2022 / RAINBOW TROUT</x:v>
      </x:c>
    </x:row>
    <x:row r="312" ht="23" customHeight="1">
      <x:c r="A312" s="8" t="str">
        <x:v>Boulder Lake</x:v>
      </x:c>
      <x:c r="B312" s="8" t="str">
        <x:v>417506</x:v>
      </x:c>
      <x:c r="C312" s="17" t="n">
        <x:v>2022</x:v>
      </x:c>
      <x:c r="D312" s="18" t="n">
        <x:v>44696</x:v>
      </x:c>
      <x:c r="E312" s="8" t="str">
        <x:v>RAINBOW TROUT</x:v>
      </x:c>
      <x:c r="F312" s="13" t="n">
        <x:v>1800</x:v>
      </x:c>
      <x:c r="G312" s="9" t="n">
        <x:v>20.7</x:v>
      </x:c>
      <x:c r="H312" s="9" t="n">
        <x:v>97.3</x:v>
      </x:c>
      <x:c r="I312" s="8" t="str">
        <x:f>B312&amp;" / "&amp;C312&amp;" / "&amp;E312</x:f>
        <x:v>417506 / 2022 / RAINBOW TROUT</x:v>
      </x:c>
    </x:row>
    <x:row r="313" ht="23" customHeight="1">
      <x:c r="A313" s="8" t="str">
        <x:v>Boulder Lake</x:v>
      </x:c>
      <x:c r="B313" s="8" t="str">
        <x:v>417506</x:v>
      </x:c>
      <x:c r="C313" s="17" t="n">
        <x:v>2022</x:v>
      </x:c>
      <x:c r="D313" s="18" t="n">
        <x:v>44817</x:v>
      </x:c>
      <x:c r="E313" s="8" t="str">
        <x:v>TIGER TROUT</x:v>
      </x:c>
      <x:c r="F313" s="13" t="n">
        <x:v>400</x:v>
      </x:c>
      <x:c r="G313" s="9" t="n">
        <x:v>11.8</x:v>
      </x:c>
      <x:c r="H313" s="9" t="n">
        <x:v>18.1</x:v>
      </x:c>
      <x:c r="I313" s="8" t="str">
        <x:f>B313&amp;" / "&amp;C313&amp;" / "&amp;E313</x:f>
        <x:v>417506 / 2022 / TIGER TROUT</x:v>
      </x:c>
    </x:row>
    <x:row r="314" ht="23" customHeight="1">
      <x:c r="A314" s="8" t="str">
        <x:v>Boulder Lake</x:v>
      </x:c>
      <x:c r="B314" s="8" t="str">
        <x:v>417506</x:v>
      </x:c>
      <x:c r="C314" s="17" t="n">
        <x:v>2022</x:v>
      </x:c>
      <x:c r="D314" s="18" t="n">
        <x:v>44682</x:v>
      </x:c>
      <x:c r="E314" s="8" t="str">
        <x:v>TIGER TROUT</x:v>
      </x:c>
      <x:c r="F314" s="13" t="n">
        <x:v>200</x:v>
      </x:c>
      <x:c r="G314" s="9" t="n">
        <x:v>17.7</x:v>
      </x:c>
      <x:c r="H314" s="9" t="n">
        <x:v>61</x:v>
      </x:c>
      <x:c r="I314" s="8" t="str">
        <x:f>B314&amp;" / "&amp;C314&amp;" / "&amp;E314</x:f>
        <x:v>417506 / 2022 / TIGER TROUT</x:v>
      </x:c>
    </x:row>
    <x:row r="315" ht="23" customHeight="1">
      <x:c r="A315" s="8" t="str">
        <x:v>Boulder Lake</x:v>
      </x:c>
      <x:c r="B315" s="8" t="str">
        <x:v>417506</x:v>
      </x:c>
      <x:c r="C315" s="17" t="n">
        <x:v>2021</x:v>
      </x:c>
      <x:c r="D315" s="18" t="n">
        <x:v>44448</x:v>
      </x:c>
      <x:c r="E315" s="8" t="str">
        <x:v>RAINBOW TROUT</x:v>
      </x:c>
      <x:c r="F315" s="13" t="n">
        <x:v>1250</x:v>
      </x:c>
      <x:c r="G315" s="9" t="n">
        <x:v>21.8</x:v>
      </x:c>
      <x:c r="H315" s="9" t="n">
        <x:v>101.1</x:v>
      </x:c>
      <x:c r="I315" s="8" t="str">
        <x:f>B315&amp;" / "&amp;C315&amp;" / "&amp;E315</x:f>
        <x:v>417506 / 2021 / RAINBOW TROUT</x:v>
      </x:c>
    </x:row>
    <x:row r="316" ht="23" customHeight="1">
      <x:c r="A316" s="8" t="str">
        <x:v>Boulder Lake</x:v>
      </x:c>
      <x:c r="B316" s="8" t="str">
        <x:v>417506</x:v>
      </x:c>
      <x:c r="C316" s="17" t="n">
        <x:v>2021</x:v>
      </x:c>
      <x:c r="D316" s="18" t="n">
        <x:v>44321</x:v>
      </x:c>
      <x:c r="E316" s="8" t="str">
        <x:v>RAINBOW TROUT</x:v>
      </x:c>
      <x:c r="F316" s="13" t="n">
        <x:v>1800</x:v>
      </x:c>
      <x:c r="G316" s="9" t="n">
        <x:v>21.1</x:v>
      </x:c>
      <x:c r="H316" s="9" t="n">
        <x:v>97.5</x:v>
      </x:c>
      <x:c r="I316" s="8" t="str">
        <x:f>B316&amp;" / "&amp;C316&amp;" / "&amp;E316</x:f>
        <x:v>417506 / 2021 / RAINBOW TROUT</x:v>
      </x:c>
    </x:row>
    <x:row r="317" ht="23" customHeight="1">
      <x:c r="A317" s="8" t="str">
        <x:v>Boulder Lake</x:v>
      </x:c>
      <x:c r="B317" s="8" t="str">
        <x:v>417506</x:v>
      </x:c>
      <x:c r="C317" s="17" t="n">
        <x:v>2021</x:v>
      </x:c>
      <x:c r="D317" s="18" t="n">
        <x:v>44327</x:v>
      </x:c>
      <x:c r="E317" s="8" t="str">
        <x:v>TIGER TROUT</x:v>
      </x:c>
      <x:c r="F317" s="13" t="n">
        <x:v>200</x:v>
      </x:c>
      <x:c r="G317" s="9" t="n">
        <x:v>16.3</x:v>
      </x:c>
      <x:c r="H317" s="9" t="n">
        <x:v>47.8</x:v>
      </x:c>
      <x:c r="I317" s="8" t="str">
        <x:f>B317&amp;" / "&amp;C317&amp;" / "&amp;E317</x:f>
        <x:v>417506 / 2021 / TIGER TROUT</x:v>
      </x:c>
    </x:row>
    <x:row r="318" ht="23" customHeight="1">
      <x:c r="A318" s="8" t="str">
        <x:v>Bow City East Ponds</x:v>
      </x:c>
      <x:c r="B318" s="8" t="str">
        <x:v>6882</x:v>
      </x:c>
      <x:c r="C318" s="17" t="n">
        <x:v>2026</x:v>
      </x:c>
      <x:c r="D318" s="18" t="n">
        <x:v>46143</x:v>
      </x:c>
      <x:c r="E318" s="8" t="str">
        <x:v>RAINBOW TROUT</x:v>
      </x:c>
      <x:c r="F318" s="13" t="n">
        <x:v>2000</x:v>
      </x:c>
      <x:c r="G318" s="9" t="n">
        <x:v>20.1</x:v>
      </x:c>
      <x:c r="H318" s="9" t="n">
        <x:v>92.6</x:v>
      </x:c>
      <x:c r="I318" s="8" t="str">
        <x:f>B318&amp;" / "&amp;C318&amp;" / "&amp;E318</x:f>
        <x:v>6882 / 2026 / RAINBOW TROUT</x:v>
      </x:c>
    </x:row>
    <x:row r="319" ht="23" customHeight="1">
      <x:c r="A319" s="8" t="str">
        <x:v>Bow City East Ponds</x:v>
      </x:c>
      <x:c r="B319" s="8" t="str">
        <x:v>6882</x:v>
      </x:c>
      <x:c r="C319" s="17" t="n">
        <x:v>2025</x:v>
      </x:c>
      <x:c r="D319" s="18" t="n">
        <x:v>45764</x:v>
      </x:c>
      <x:c r="E319" s="8" t="str">
        <x:v>RAINBOW TROUT</x:v>
      </x:c>
      <x:c r="F319" s="13" t="n">
        <x:v>2000</x:v>
      </x:c>
      <x:c r="G319" s="9" t="n">
        <x:v>20.3</x:v>
      </x:c>
      <x:c r="H319" s="9" t="n">
        <x:v>94.3</x:v>
      </x:c>
      <x:c r="I319" s="8" t="str">
        <x:f>B319&amp;" / "&amp;C319&amp;" / "&amp;E319</x:f>
        <x:v>6882 / 2025 / RAINBOW TROUT</x:v>
      </x:c>
    </x:row>
    <x:row r="320" ht="23" customHeight="1">
      <x:c r="A320" s="8" t="str">
        <x:v>Bow City East Ponds</x:v>
      </x:c>
      <x:c r="B320" s="8" t="str">
        <x:v>6882</x:v>
      </x:c>
      <x:c r="C320" s="17" t="n">
        <x:v>2024</x:v>
      </x:c>
      <x:c r="D320" s="18" t="n">
        <x:v>45400</x:v>
      </x:c>
      <x:c r="E320" s="8" t="str">
        <x:v>RAINBOW TROUT</x:v>
      </x:c>
      <x:c r="F320" s="13" t="n">
        <x:v>2000</x:v>
      </x:c>
      <x:c r="G320" s="9" t="n">
        <x:v>20.5</x:v>
      </x:c>
      <x:c r="H320" s="9" t="n">
        <x:v>93.1</x:v>
      </x:c>
      <x:c r="I320" s="8" t="str">
        <x:f>B320&amp;" / "&amp;C320&amp;" / "&amp;E320</x:f>
        <x:v>6882 / 2024 / RAINBOW TROUT</x:v>
      </x:c>
    </x:row>
    <x:row r="321" ht="23" customHeight="1">
      <x:c r="A321" s="8" t="str">
        <x:v>Bow City East Ponds</x:v>
      </x:c>
      <x:c r="B321" s="8" t="str">
        <x:v>6882</x:v>
      </x:c>
      <x:c r="C321" s="17" t="n">
        <x:v>2023</x:v>
      </x:c>
      <x:c r="D321" s="18" t="n">
        <x:v>45039</x:v>
      </x:c>
      <x:c r="E321" s="8" t="str">
        <x:v>RAINBOW TROUT</x:v>
      </x:c>
      <x:c r="F321" s="13" t="n">
        <x:v>2000</x:v>
      </x:c>
      <x:c r="G321" s="9" t="n">
        <x:v>21.7</x:v>
      </x:c>
      <x:c r="H321" s="9" t="n">
        <x:v>96.3</x:v>
      </x:c>
      <x:c r="I321" s="8" t="str">
        <x:f>B321&amp;" / "&amp;C321&amp;" / "&amp;E321</x:f>
        <x:v>6882 / 2023 / RAINBOW TROUT</x:v>
      </x:c>
    </x:row>
    <x:row r="322" ht="23" customHeight="1">
      <x:c r="A322" s="8" t="str">
        <x:v>Bow City East Ponds</x:v>
      </x:c>
      <x:c r="B322" s="8" t="str">
        <x:v>6882</x:v>
      </x:c>
      <x:c r="C322" s="17" t="n">
        <x:v>2022</x:v>
      </x:c>
      <x:c r="D322" s="18" t="n">
        <x:v>44671</x:v>
      </x:c>
      <x:c r="E322" s="8" t="str">
        <x:v>RAINBOW TROUT</x:v>
      </x:c>
      <x:c r="F322" s="13" t="n">
        <x:v>1000</x:v>
      </x:c>
      <x:c r="G322" s="9" t="n">
        <x:v>20.7</x:v>
      </x:c>
      <x:c r="H322" s="9" t="n">
        <x:v>97.1</x:v>
      </x:c>
      <x:c r="I322" s="8" t="str">
        <x:f>B322&amp;" / "&amp;C322&amp;" / "&amp;E322</x:f>
        <x:v>6882 / 2022 / RAINBOW TROUT</x:v>
      </x:c>
    </x:row>
    <x:row r="323" ht="23" customHeight="1">
      <x:c r="A323" s="8" t="str">
        <x:v>Bow City East Ponds</x:v>
      </x:c>
      <x:c r="B323" s="8" t="str">
        <x:v>6882</x:v>
      </x:c>
      <x:c r="C323" s="17" t="n">
        <x:v>2021</x:v>
      </x:c>
      <x:c r="D323" s="18" t="n">
        <x:v>44335</x:v>
      </x:c>
      <x:c r="E323" s="8" t="str">
        <x:v>RAINBOW TROUT</x:v>
      </x:c>
      <x:c r="F323" s="13" t="n">
        <x:v>2000</x:v>
      </x:c>
      <x:c r="G323" s="9" t="n">
        <x:v>21.1</x:v>
      </x:c>
      <x:c r="H323" s="9" t="n">
        <x:v>81.1</x:v>
      </x:c>
      <x:c r="I323" s="8" t="str">
        <x:f>B323&amp;" / "&amp;C323&amp;" / "&amp;E323</x:f>
        <x:v>6882 / 2021 / RAINBOW TROUT</x:v>
      </x:c>
    </x:row>
    <x:row r="324" ht="23" customHeight="1">
      <x:c r="A324" s="8" t="str">
        <x:v>Boyle Pond</x:v>
      </x:c>
      <x:c r="B324" s="8" t="str">
        <x:v>6884</x:v>
      </x:c>
      <x:c r="C324" s="17" t="n">
        <x:v>2026</x:v>
      </x:c>
      <x:c r="D324" s="18" t="n">
        <x:v>46154</x:v>
      </x:c>
      <x:c r="E324" s="8" t="str">
        <x:v>RAINBOW TROUT</x:v>
      </x:c>
      <x:c r="F324" s="13" t="n">
        <x:v>2200</x:v>
      </x:c>
      <x:c r="G324" s="9" t="n">
        <x:v>22.9</x:v>
      </x:c>
      <x:c r="H324" s="9" t="n">
        <x:v>132.3</x:v>
      </x:c>
      <x:c r="I324" s="8" t="str">
        <x:f>B324&amp;" / "&amp;C324&amp;" / "&amp;E324</x:f>
        <x:v>6884 / 2026 / RAINBOW TROUT</x:v>
      </x:c>
    </x:row>
    <x:row r="325" ht="23" customHeight="1">
      <x:c r="A325" s="8" t="str">
        <x:v>Boyle Pond</x:v>
      </x:c>
      <x:c r="B325" s="8" t="str">
        <x:v>6884</x:v>
      </x:c>
      <x:c r="C325" s="17" t="n">
        <x:v>2025</x:v>
      </x:c>
      <x:c r="D325" s="18" t="n">
        <x:v>45799</x:v>
      </x:c>
      <x:c r="E325" s="8" t="str">
        <x:v>RAINBOW TROUT</x:v>
      </x:c>
      <x:c r="F325" s="13" t="n">
        <x:v>2200</x:v>
      </x:c>
      <x:c r="G325" s="9" t="n">
        <x:v>24.2</x:v>
      </x:c>
      <x:c r="H325" s="9" t="n">
        <x:v>156.6</x:v>
      </x:c>
      <x:c r="I325" s="8" t="str">
        <x:f>B325&amp;" / "&amp;C325&amp;" / "&amp;E325</x:f>
        <x:v>6884 / 2025 / RAINBOW TROUT</x:v>
      </x:c>
    </x:row>
    <x:row r="326" ht="23" customHeight="1">
      <x:c r="A326" s="8" t="str">
        <x:v>Boyle Pond</x:v>
      </x:c>
      <x:c r="B326" s="8" t="str">
        <x:v>6884</x:v>
      </x:c>
      <x:c r="C326" s="17" t="n">
        <x:v>2024</x:v>
      </x:c>
      <x:c r="D326" s="18" t="n">
        <x:v>45415</x:v>
      </x:c>
      <x:c r="E326" s="8" t="str">
        <x:v>RAINBOW TROUT</x:v>
      </x:c>
      <x:c r="F326" s="13" t="n">
        <x:v>2200</x:v>
      </x:c>
      <x:c r="G326" s="9" t="n">
        <x:v>20.1</x:v>
      </x:c>
      <x:c r="H326" s="9" t="n">
        <x:v>87.7</x:v>
      </x:c>
      <x:c r="I326" s="8" t="str">
        <x:f>B326&amp;" / "&amp;C326&amp;" / "&amp;E326</x:f>
        <x:v>6884 / 2024 / RAINBOW TROUT</x:v>
      </x:c>
    </x:row>
    <x:row r="327" ht="23" customHeight="1">
      <x:c r="A327" s="8" t="str">
        <x:v>Boyle Pond</x:v>
      </x:c>
      <x:c r="B327" s="8" t="str">
        <x:v>6884</x:v>
      </x:c>
      <x:c r="C327" s="17" t="n">
        <x:v>2023</x:v>
      </x:c>
      <x:c r="D327" s="18" t="n">
        <x:v>45050</x:v>
      </x:c>
      <x:c r="E327" s="8" t="str">
        <x:v>RAINBOW TROUT</x:v>
      </x:c>
      <x:c r="F327" s="13" t="n">
        <x:v>2200</x:v>
      </x:c>
      <x:c r="G327" s="9" t="n">
        <x:v>20.5</x:v>
      </x:c>
      <x:c r="H327" s="9" t="n">
        <x:v>92.8</x:v>
      </x:c>
      <x:c r="I327" s="8" t="str">
        <x:f>B327&amp;" / "&amp;C327&amp;" / "&amp;E327</x:f>
        <x:v>6884 / 2023 / RAINBOW TROUT</x:v>
      </x:c>
    </x:row>
    <x:row r="328" ht="23" customHeight="1">
      <x:c r="A328" s="8" t="str">
        <x:v>Boyle Pond</x:v>
      </x:c>
      <x:c r="B328" s="8" t="str">
        <x:v>6884</x:v>
      </x:c>
      <x:c r="C328" s="17" t="n">
        <x:v>2022</x:v>
      </x:c>
      <x:c r="D328" s="18" t="n">
        <x:v>44699</x:v>
      </x:c>
      <x:c r="E328" s="8" t="str">
        <x:v>RAINBOW TROUT</x:v>
      </x:c>
      <x:c r="F328" s="13" t="n">
        <x:v>2200</x:v>
      </x:c>
      <x:c r="G328" s="9" t="n">
        <x:v>20.4</x:v>
      </x:c>
      <x:c r="H328" s="9" t="n">
        <x:v>94.2</x:v>
      </x:c>
      <x:c r="I328" s="8" t="str">
        <x:f>B328&amp;" / "&amp;C328&amp;" / "&amp;E328</x:f>
        <x:v>6884 / 2022 / RAINBOW TROUT</x:v>
      </x:c>
    </x:row>
    <x:row r="329" ht="23" customHeight="1">
      <x:c r="A329" s="8" t="str">
        <x:v>Boyle Pond</x:v>
      </x:c>
      <x:c r="B329" s="8" t="str">
        <x:v>6884</x:v>
      </x:c>
      <x:c r="C329" s="17" t="n">
        <x:v>2021</x:v>
      </x:c>
      <x:c r="D329" s="18" t="n">
        <x:v>44320</x:v>
      </x:c>
      <x:c r="E329" s="8" t="str">
        <x:v>RAINBOW TROUT</x:v>
      </x:c>
      <x:c r="F329" s="13" t="n">
        <x:v>2200</x:v>
      </x:c>
      <x:c r="G329" s="9" t="n">
        <x:v>20.3</x:v>
      </x:c>
      <x:c r="H329" s="9" t="n">
        <x:v>93.1</x:v>
      </x:c>
      <x:c r="I329" s="8" t="str">
        <x:f>B329&amp;" / "&amp;C329&amp;" / "&amp;E329</x:f>
        <x:v>6884 / 2021 / RAINBOW TROUT</x:v>
      </x:c>
    </x:row>
    <x:row r="330" ht="23" customHeight="1">
      <x:c r="A330" s="8" t="str">
        <x:v>Brazeau Borrow Pit #1</x:v>
      </x:c>
      <x:c r="B330" s="8" t="str">
        <x:v>6921</x:v>
      </x:c>
      <x:c r="C330" s="17" t="n">
        <x:v>2023</x:v>
      </x:c>
      <x:c r="D330" s="18" t="n">
        <x:v>45070</x:v>
      </x:c>
      <x:c r="E330" s="8" t="str">
        <x:v>RAINBOW TROUT</x:v>
      </x:c>
      <x:c r="F330" s="13" t="n">
        <x:v>753</x:v>
      </x:c>
      <x:c r="G330" s="9" t="n">
        <x:v>20</x:v>
      </x:c>
      <x:c r="H330" s="9" t="n">
        <x:v>85.8</x:v>
      </x:c>
      <x:c r="I330" s="8" t="str">
        <x:f>B330&amp;" / "&amp;C330&amp;" / "&amp;E330</x:f>
        <x:v>6921 / 2023 / RAINBOW TROUT</x:v>
      </x:c>
    </x:row>
    <x:row r="331" ht="23" customHeight="1">
      <x:c r="A331" s="8" t="str">
        <x:v>Brazeau Borrow Pit #1</x:v>
      </x:c>
      <x:c r="B331" s="8" t="str">
        <x:v>6921</x:v>
      </x:c>
      <x:c r="C331" s="17" t="n">
        <x:v>2022</x:v>
      </x:c>
      <x:c r="D331" s="18" t="n">
        <x:v>44706</x:v>
      </x:c>
      <x:c r="E331" s="8" t="str">
        <x:v>RAINBOW TROUT</x:v>
      </x:c>
      <x:c r="F331" s="13" t="n">
        <x:v>1500</x:v>
      </x:c>
      <x:c r="G331" s="9" t="n">
        <x:v>22.4</x:v>
      </x:c>
      <x:c r="H331" s="9" t="n">
        <x:v>100.1</x:v>
      </x:c>
      <x:c r="I331" s="8" t="str">
        <x:f>B331&amp;" / "&amp;C331&amp;" / "&amp;E331</x:f>
        <x:v>6921 / 2022 / RAINBOW TROUT</x:v>
      </x:c>
    </x:row>
    <x:row r="332" ht="23" customHeight="1">
      <x:c r="A332" s="8" t="str">
        <x:v>Brazeau Borrow Pit #1</x:v>
      </x:c>
      <x:c r="B332" s="8" t="str">
        <x:v>6921</x:v>
      </x:c>
      <x:c r="C332" s="17" t="n">
        <x:v>2021</x:v>
      </x:c>
      <x:c r="D332" s="18" t="n">
        <x:v>44327</x:v>
      </x:c>
      <x:c r="E332" s="8" t="str">
        <x:v>RAINBOW TROUT</x:v>
      </x:c>
      <x:c r="F332" s="13" t="n">
        <x:v>1500</x:v>
      </x:c>
      <x:c r="G332" s="9" t="n">
        <x:v>22.9</x:v>
      </x:c>
      <x:c r="H332" s="9" t="n">
        <x:v>133.3</x:v>
      </x:c>
      <x:c r="I332" s="8" t="str">
        <x:f>B332&amp;" / "&amp;C332&amp;" / "&amp;E332</x:f>
        <x:v>6921 / 2021 / RAINBOW TROUT</x:v>
      </x:c>
    </x:row>
    <x:row r="333" ht="23" customHeight="1">
      <x:c r="A333" s="8" t="str">
        <x:v>Brazeau Borrow Pit #2</x:v>
      </x:c>
      <x:c r="B333" s="8" t="str">
        <x:v>6922</x:v>
      </x:c>
      <x:c r="C333" s="17" t="n">
        <x:v>2023</x:v>
      </x:c>
      <x:c r="D333" s="18" t="n">
        <x:v>45070</x:v>
      </x:c>
      <x:c r="E333" s="8" t="str">
        <x:v>RAINBOW TROUT</x:v>
      </x:c>
      <x:c r="F333" s="13" t="n">
        <x:v>251</x:v>
      </x:c>
      <x:c r="G333" s="9" t="n">
        <x:v>20</x:v>
      </x:c>
      <x:c r="H333" s="9" t="n">
        <x:v>85.8</x:v>
      </x:c>
      <x:c r="I333" s="8" t="str">
        <x:f>B333&amp;" / "&amp;C333&amp;" / "&amp;E333</x:f>
        <x:v>6922 / 2023 / RAINBOW TROUT</x:v>
      </x:c>
    </x:row>
    <x:row r="334" ht="23" customHeight="1">
      <x:c r="A334" s="8" t="str">
        <x:v>Brazeau Borrow Pit #2</x:v>
      </x:c>
      <x:c r="B334" s="8" t="str">
        <x:v>6922</x:v>
      </x:c>
      <x:c r="C334" s="17" t="n">
        <x:v>2022</x:v>
      </x:c>
      <x:c r="D334" s="18" t="n">
        <x:v>44706</x:v>
      </x:c>
      <x:c r="E334" s="8" t="str">
        <x:v>RAINBOW TROUT</x:v>
      </x:c>
      <x:c r="F334" s="13" t="n">
        <x:v>500</x:v>
      </x:c>
      <x:c r="G334" s="9" t="n">
        <x:v>22.4</x:v>
      </x:c>
      <x:c r="H334" s="9" t="n">
        <x:v>100.1</x:v>
      </x:c>
      <x:c r="I334" s="8" t="str">
        <x:f>B334&amp;" / "&amp;C334&amp;" / "&amp;E334</x:f>
        <x:v>6922 / 2022 / RAINBOW TROUT</x:v>
      </x:c>
    </x:row>
    <x:row r="335" ht="23" customHeight="1">
      <x:c r="A335" s="8" t="str">
        <x:v>Brazeau Borrow Pit #2</x:v>
      </x:c>
      <x:c r="B335" s="8" t="str">
        <x:v>6922</x:v>
      </x:c>
      <x:c r="C335" s="17" t="n">
        <x:v>2021</x:v>
      </x:c>
      <x:c r="D335" s="18" t="n">
        <x:v>44327</x:v>
      </x:c>
      <x:c r="E335" s="8" t="str">
        <x:v>RAINBOW TROUT</x:v>
      </x:c>
      <x:c r="F335" s="13" t="n">
        <x:v>500</x:v>
      </x:c>
      <x:c r="G335" s="9" t="n">
        <x:v>22.9</x:v>
      </x:c>
      <x:c r="H335" s="9" t="n">
        <x:v>133.3</x:v>
      </x:c>
      <x:c r="I335" s="8" t="str">
        <x:f>B335&amp;" / "&amp;C335&amp;" / "&amp;E335</x:f>
        <x:v>6922 / 2021 / RAINBOW TROUT</x:v>
      </x:c>
    </x:row>
    <x:row r="336" ht="23" customHeight="1">
      <x:c r="A336" s="8" t="str">
        <x:v>Brazeau Canal</x:v>
      </x:c>
      <x:c r="B336" s="8" t="str">
        <x:v>24236</x:v>
      </x:c>
      <x:c r="C336" s="17" t="n">
        <x:v>2023</x:v>
      </x:c>
      <x:c r="D336" s="18" t="n">
        <x:v>45072</x:v>
      </x:c>
      <x:c r="E336" s="8" t="str">
        <x:v>WALLEYE</x:v>
      </x:c>
      <x:c r="F336" s="13" t="n">
        <x:v>165000</x:v>
      </x:c>
      <x:c r="G336" s="9" t="n">
        <x:v>0.4</x:v>
      </x:c>
      <x:c r="H336" s="9" t="n">
        <x:v>0</x:v>
      </x:c>
      <x:c r="I336" s="8" t="str">
        <x:f>B336&amp;" / "&amp;C336&amp;" / "&amp;E336</x:f>
        <x:v>24236 / 2023 / WALLEYE</x:v>
      </x:c>
    </x:row>
    <x:row r="337" ht="23" customHeight="1">
      <x:c r="A337" s="8" t="str">
        <x:v>Brazeau Canal</x:v>
      </x:c>
      <x:c r="B337" s="8" t="str">
        <x:v>24236</x:v>
      </x:c>
      <x:c r="C337" s="17" t="n">
        <x:v>2022</x:v>
      </x:c>
      <x:c r="D337" s="18" t="n">
        <x:v>44709</x:v>
      </x:c>
      <x:c r="E337" s="8" t="str">
        <x:v>WALLEYE</x:v>
      </x:c>
      <x:c r="F337" s="13" t="n">
        <x:v>165000</x:v>
      </x:c>
      <x:c r="G337" s="9" t="n">
        <x:v>0.4</x:v>
      </x:c>
      <x:c r="H337" s="9" t="n">
        <x:v>0</x:v>
      </x:c>
      <x:c r="I337" s="8" t="str">
        <x:f>B337&amp;" / "&amp;C337&amp;" / "&amp;E337</x:f>
        <x:v>24236 / 2022 / WALLEYE</x:v>
      </x:c>
    </x:row>
    <x:row r="338" ht="23" customHeight="1">
      <x:c r="A338" s="8" t="str">
        <x:v>Brooks Aqueduct Pond</x:v>
      </x:c>
      <x:c r="B338" s="8" t="str">
        <x:v>6873</x:v>
      </x:c>
      <x:c r="C338" s="17" t="n">
        <x:v>2026</x:v>
      </x:c>
      <x:c r="D338" s="18" t="n">
        <x:v>46127</x:v>
      </x:c>
      <x:c r="E338" s="8" t="str">
        <x:v>RAINBOW TROUT</x:v>
      </x:c>
      <x:c r="F338" s="13" t="n">
        <x:v>10000</x:v>
      </x:c>
      <x:c r="G338" s="9" t="n">
        <x:v>20.6</x:v>
      </x:c>
      <x:c r="H338" s="9" t="n">
        <x:v>94.3</x:v>
      </x:c>
      <x:c r="I338" s="8" t="str">
        <x:f>B338&amp;" / "&amp;C338&amp;" / "&amp;E338</x:f>
        <x:v>6873 / 2026 / RAINBOW TROUT</x:v>
      </x:c>
    </x:row>
    <x:row r="339" ht="23" customHeight="1">
      <x:c r="A339" s="8" t="str">
        <x:v>Brooks Aqueduct Pond</x:v>
      </x:c>
      <x:c r="B339" s="8" t="str">
        <x:v>6873</x:v>
      </x:c>
      <x:c r="C339" s="17" t="n">
        <x:v>2025</x:v>
      </x:c>
      <x:c r="D339" s="18" t="n">
        <x:v>45762</x:v>
      </x:c>
      <x:c r="E339" s="8" t="str">
        <x:v>RAINBOW TROUT</x:v>
      </x:c>
      <x:c r="F339" s="13" t="n">
        <x:v>10000</x:v>
      </x:c>
      <x:c r="G339" s="9" t="n">
        <x:v>20</x:v>
      </x:c>
      <x:c r="H339" s="9" t="n">
        <x:v>86</x:v>
      </x:c>
      <x:c r="I339" s="8" t="str">
        <x:f>B339&amp;" / "&amp;C339&amp;" / "&amp;E339</x:f>
        <x:v>6873 / 2025 / RAINBOW TROUT</x:v>
      </x:c>
    </x:row>
    <x:row r="340" ht="23" customHeight="1">
      <x:c r="A340" s="8" t="str">
        <x:v>Brooks Aqueduct Pond</x:v>
      </x:c>
      <x:c r="B340" s="8" t="str">
        <x:v>6873</x:v>
      </x:c>
      <x:c r="C340" s="17" t="n">
        <x:v>2024</x:v>
      </x:c>
      <x:c r="D340" s="18" t="n">
        <x:v>45428</x:v>
      </x:c>
      <x:c r="E340" s="8" t="str">
        <x:v>RAINBOW TROUT</x:v>
      </x:c>
      <x:c r="F340" s="13" t="n">
        <x:v>4885</x:v>
      </x:c>
      <x:c r="G340" s="9" t="n">
        <x:v>20.1</x:v>
      </x:c>
      <x:c r="H340" s="9" t="n">
        <x:v>88</x:v>
      </x:c>
      <x:c r="I340" s="8" t="str">
        <x:f>B340&amp;" / "&amp;C340&amp;" / "&amp;E340</x:f>
        <x:v>6873 / 2024 / RAINBOW TROUT</x:v>
      </x:c>
    </x:row>
    <x:row r="341" ht="23" customHeight="1">
      <x:c r="A341" s="8" t="str">
        <x:v>Brooks Aqueduct Pond</x:v>
      </x:c>
      <x:c r="B341" s="8" t="str">
        <x:v>6873</x:v>
      </x:c>
      <x:c r="C341" s="17" t="n">
        <x:v>2024</x:v>
      </x:c>
      <x:c r="D341" s="18" t="n">
        <x:v>45428</x:v>
      </x:c>
      <x:c r="E341" s="8" t="str">
        <x:v>RAINBOW TROUT</x:v>
      </x:c>
      <x:c r="F341" s="13" t="n">
        <x:v>10000</x:v>
      </x:c>
      <x:c r="G341" s="9" t="n">
        <x:v>9.9</x:v>
      </x:c>
      <x:c r="H341" s="9" t="n">
        <x:v>10.7</x:v>
      </x:c>
      <x:c r="I341" s="8" t="str">
        <x:f>B341&amp;" / "&amp;C341&amp;" / "&amp;E341</x:f>
        <x:v>6873 / 2024 / RAINBOW TROUT</x:v>
      </x:c>
    </x:row>
    <x:row r="342" ht="23" customHeight="1">
      <x:c r="A342" s="8" t="str">
        <x:v>Brooks Aqueduct Pond</x:v>
      </x:c>
      <x:c r="B342" s="8" t="str">
        <x:v>6873</x:v>
      </x:c>
      <x:c r="C342" s="17" t="n">
        <x:v>2024</x:v>
      </x:c>
      <x:c r="D342" s="18" t="n">
        <x:v>45397</x:v>
      </x:c>
      <x:c r="E342" s="8" t="str">
        <x:v>RAINBOW TROUT</x:v>
      </x:c>
      <x:c r="F342" s="13" t="n">
        <x:v>10000</x:v>
      </x:c>
      <x:c r="G342" s="9" t="n">
        <x:v>7.4</x:v>
      </x:c>
      <x:c r="H342" s="9" t="n">
        <x:v>4.5</x:v>
      </x:c>
      <x:c r="I342" s="8" t="str">
        <x:f>B342&amp;" / "&amp;C342&amp;" / "&amp;E342</x:f>
        <x:v>6873 / 2024 / RAINBOW TROUT</x:v>
      </x:c>
    </x:row>
    <x:row r="343" ht="23" customHeight="1">
      <x:c r="A343" s="8" t="str">
        <x:v>Brooks Aqueduct Pond</x:v>
      </x:c>
      <x:c r="B343" s="8" t="str">
        <x:v>6873</x:v>
      </x:c>
      <x:c r="C343" s="17" t="n">
        <x:v>2024</x:v>
      </x:c>
      <x:c r="D343" s="18" t="n">
        <x:v>45397</x:v>
      </x:c>
      <x:c r="E343" s="8" t="str">
        <x:v>RAINBOW TROUT</x:v>
      </x:c>
      <x:c r="F343" s="13" t="n">
        <x:v>4000</x:v>
      </x:c>
      <x:c r="G343" s="9" t="n">
        <x:v>20.4</x:v>
      </x:c>
      <x:c r="H343" s="9" t="n">
        <x:v>92</x:v>
      </x:c>
      <x:c r="I343" s="8" t="str">
        <x:f>B343&amp;" / "&amp;C343&amp;" / "&amp;E343</x:f>
        <x:v>6873 / 2024 / RAINBOW TROUT</x:v>
      </x:c>
    </x:row>
    <x:row r="344" ht="23" customHeight="1">
      <x:c r="A344" s="8" t="str">
        <x:v>Brooks Aqueduct Pond</x:v>
      </x:c>
      <x:c r="B344" s="8" t="str">
        <x:v>6873</x:v>
      </x:c>
      <x:c r="C344" s="17" t="n">
        <x:v>2023</x:v>
      </x:c>
      <x:c r="D344" s="18" t="n">
        <x:v>45041</x:v>
      </x:c>
      <x:c r="E344" s="8" t="str">
        <x:v>RAINBOW TROUT</x:v>
      </x:c>
      <x:c r="F344" s="13" t="n">
        <x:v>10000</x:v>
      </x:c>
      <x:c r="G344" s="9" t="n">
        <x:v>7.4</x:v>
      </x:c>
      <x:c r="H344" s="9" t="n">
        <x:v>4.4</x:v>
      </x:c>
      <x:c r="I344" s="8" t="str">
        <x:f>B344&amp;" / "&amp;C344&amp;" / "&amp;E344</x:f>
        <x:v>6873 / 2023 / RAINBOW TROUT</x:v>
      </x:c>
    </x:row>
    <x:row r="345" ht="23" customHeight="1">
      <x:c r="A345" s="8" t="str">
        <x:v>Brooks Aqueduct Pond</x:v>
      </x:c>
      <x:c r="B345" s="8" t="str">
        <x:v>6873</x:v>
      </x:c>
      <x:c r="C345" s="17" t="n">
        <x:v>2023</x:v>
      </x:c>
      <x:c r="D345" s="18" t="n">
        <x:v>45041</x:v>
      </x:c>
      <x:c r="E345" s="8" t="str">
        <x:v>RAINBOW TROUT</x:v>
      </x:c>
      <x:c r="F345" s="13" t="n">
        <x:v>3990</x:v>
      </x:c>
      <x:c r="G345" s="9" t="n">
        <x:v>20.2</x:v>
      </x:c>
      <x:c r="H345" s="9" t="n">
        <x:v>90.9</x:v>
      </x:c>
      <x:c r="I345" s="8" t="str">
        <x:f>B345&amp;" / "&amp;C345&amp;" / "&amp;E345</x:f>
        <x:v>6873 / 2023 / RAINBOW TROUT</x:v>
      </x:c>
    </x:row>
    <x:row r="346" ht="23" customHeight="1">
      <x:c r="A346" s="8" t="str">
        <x:v>Brooks Aqueduct Pond</x:v>
      </x:c>
      <x:c r="B346" s="8" t="str">
        <x:v>6873</x:v>
      </x:c>
      <x:c r="C346" s="17" t="n">
        <x:v>2022</x:v>
      </x:c>
      <x:c r="D346" s="18" t="n">
        <x:v>44672</x:v>
      </x:c>
      <x:c r="E346" s="8" t="str">
        <x:v>RAINBOW TROUT</x:v>
      </x:c>
      <x:c r="F346" s="13" t="n">
        <x:v>10000</x:v>
      </x:c>
      <x:c r="G346" s="9" t="n">
        <x:v>20.8</x:v>
      </x:c>
      <x:c r="H346" s="9" t="n">
        <x:v>98.2</x:v>
      </x:c>
      <x:c r="I346" s="8" t="str">
        <x:f>B346&amp;" / "&amp;C346&amp;" / "&amp;E346</x:f>
        <x:v>6873 / 2022 / RAINBOW TROUT</x:v>
      </x:c>
    </x:row>
    <x:row r="347" ht="23" customHeight="1">
      <x:c r="A347" s="8" t="str">
        <x:v>Brooks Aqueduct Pond</x:v>
      </x:c>
      <x:c r="B347" s="8" t="str">
        <x:v>6873</x:v>
      </x:c>
      <x:c r="C347" s="17" t="n">
        <x:v>2021</x:v>
      </x:c>
      <x:c r="D347" s="18" t="n">
        <x:v>44469</x:v>
      </x:c>
      <x:c r="E347" s="8" t="str">
        <x:v>RAINBOW TROUT</x:v>
      </x:c>
      <x:c r="F347" s="13" t="n">
        <x:v>2213</x:v>
      </x:c>
      <x:c r="G347" s="9" t="n">
        <x:v>26.9</x:v>
      </x:c>
      <x:c r="H347" s="9" t="n">
        <x:v>214.9</x:v>
      </x:c>
      <x:c r="I347" s="8" t="str">
        <x:f>B347&amp;" / "&amp;C347&amp;" / "&amp;E347</x:f>
        <x:v>6873 / 2021 / RAINBOW TROUT</x:v>
      </x:c>
    </x:row>
    <x:row r="348" ht="23" customHeight="1">
      <x:c r="A348" s="8" t="str">
        <x:v>Brooks Aqueduct Pond</x:v>
      </x:c>
      <x:c r="B348" s="8" t="str">
        <x:v>6873</x:v>
      </x:c>
      <x:c r="C348" s="17" t="n">
        <x:v>2021</x:v>
      </x:c>
      <x:c r="D348" s="18" t="n">
        <x:v>44468</x:v>
      </x:c>
      <x:c r="E348" s="8" t="str">
        <x:v>RAINBOW TROUT</x:v>
      </x:c>
      <x:c r="F348" s="13" t="n">
        <x:v>2978</x:v>
      </x:c>
      <x:c r="G348" s="9" t="n">
        <x:v>26.9</x:v>
      </x:c>
      <x:c r="H348" s="9" t="n">
        <x:v>214.9</x:v>
      </x:c>
      <x:c r="I348" s="8" t="str">
        <x:f>B348&amp;" / "&amp;C348&amp;" / "&amp;E348</x:f>
        <x:v>6873 / 2021 / RAINBOW TROUT</x:v>
      </x:c>
    </x:row>
    <x:row r="349" ht="23" customHeight="1">
      <x:c r="A349" s="8" t="str">
        <x:v>Brooks Aqueduct Pond</x:v>
      </x:c>
      <x:c r="B349" s="8" t="str">
        <x:v>6873</x:v>
      </x:c>
      <x:c r="C349" s="17" t="n">
        <x:v>2021</x:v>
      </x:c>
      <x:c r="D349" s="18" t="n">
        <x:v>44329</x:v>
      </x:c>
      <x:c r="E349" s="8" t="str">
        <x:v>RAINBOW TROUT</x:v>
      </x:c>
      <x:c r="F349" s="13" t="n">
        <x:v>75</x:v>
      </x:c>
      <x:c r="G349" s="9" t="n">
        <x:v>45</x:v>
      </x:c>
      <x:c r="H349" s="9" t="n">
        <x:v>820</x:v>
      </x:c>
      <x:c r="I349" s="8" t="str">
        <x:f>B349&amp;" / "&amp;C349&amp;" / "&amp;E349</x:f>
        <x:v>6873 / 2021 / RAINBOW TROUT</x:v>
      </x:c>
    </x:row>
    <x:row r="350" ht="23" customHeight="1">
      <x:c r="A350" s="8" t="str">
        <x:v>Brooks Aqueduct Pond</x:v>
      </x:c>
      <x:c r="B350" s="8" t="str">
        <x:v>6873</x:v>
      </x:c>
      <x:c r="C350" s="17" t="n">
        <x:v>2021</x:v>
      </x:c>
      <x:c r="D350" s="18" t="n">
        <x:v>44299</x:v>
      </x:c>
      <x:c r="E350" s="8" t="str">
        <x:v>RAINBOW TROUT</x:v>
      </x:c>
      <x:c r="F350" s="13" t="n">
        <x:v>11000</x:v>
      </x:c>
      <x:c r="G350" s="9" t="n">
        <x:v>17.7</x:v>
      </x:c>
      <x:c r="H350" s="9" t="n">
        <x:v>61.6</x:v>
      </x:c>
      <x:c r="I350" s="8" t="str">
        <x:f>B350&amp;" / "&amp;C350&amp;" / "&amp;E350</x:f>
        <x:v>6873 / 2021 / RAINBOW TROUT</x:v>
      </x:c>
    </x:row>
    <x:row r="351" ht="23" customHeight="1">
      <x:c r="A351" s="8" t="str">
        <x:v>Brooks Aqueduct Pond</x:v>
      </x:c>
      <x:c r="B351" s="8" t="str">
        <x:v>6873</x:v>
      </x:c>
      <x:c r="C351" s="17" t="n">
        <x:v>2021</x:v>
      </x:c>
      <x:c r="D351" s="18" t="n">
        <x:v>44299</x:v>
      </x:c>
      <x:c r="E351" s="8" t="str">
        <x:v>RAINBOW TROUT</x:v>
      </x:c>
      <x:c r="F351" s="13" t="n">
        <x:v>4000</x:v>
      </x:c>
      <x:c r="G351" s="9" t="n">
        <x:v>21.2</x:v>
      </x:c>
      <x:c r="H351" s="9" t="n">
        <x:v>100.5</x:v>
      </x:c>
      <x:c r="I351" s="8" t="str">
        <x:f>B351&amp;" / "&amp;C351&amp;" / "&amp;E351</x:f>
        <x:v>6873 / 2021 / RAINBOW TROUT</x:v>
      </x:c>
    </x:row>
    <x:row r="352" ht="23" customHeight="1">
      <x:c r="A352" s="8" t="str">
        <x:v>Bud Miller Park Pond</x:v>
      </x:c>
      <x:c r="B352" s="8" t="str">
        <x:v>6876</x:v>
      </x:c>
      <x:c r="C352" s="17" t="n">
        <x:v>2026</x:v>
      </x:c>
      <x:c r="D352" s="18" t="n">
        <x:v>46148</x:v>
      </x:c>
      <x:c r="E352" s="8" t="str">
        <x:v>RAINBOW TROUT</x:v>
      </x:c>
      <x:c r="F352" s="13" t="n">
        <x:v>1500</x:v>
      </x:c>
      <x:c r="G352" s="9" t="n">
        <x:v>24.5</x:v>
      </x:c>
      <x:c r="H352" s="9" t="n">
        <x:v>163.2</x:v>
      </x:c>
      <x:c r="I352" s="8" t="str">
        <x:f>B352&amp;" / "&amp;C352&amp;" / "&amp;E352</x:f>
        <x:v>6876 / 2026 / RAINBOW TROUT</x:v>
      </x:c>
    </x:row>
    <x:row r="353" ht="23" customHeight="1">
      <x:c r="A353" s="8" t="str">
        <x:v>Bud Miller Park Pond</x:v>
      </x:c>
      <x:c r="B353" s="8" t="str">
        <x:v>6876</x:v>
      </x:c>
      <x:c r="C353" s="17" t="n">
        <x:v>2025</x:v>
      </x:c>
      <x:c r="D353" s="18" t="n">
        <x:v>45778</x:v>
      </x:c>
      <x:c r="E353" s="8" t="str">
        <x:v>RAINBOW TROUT</x:v>
      </x:c>
      <x:c r="F353" s="13" t="n">
        <x:v>1500</x:v>
      </x:c>
      <x:c r="G353" s="9" t="n">
        <x:v>23.5</x:v>
      </x:c>
      <x:c r="H353" s="9" t="n">
        <x:v>140.1</x:v>
      </x:c>
      <x:c r="I353" s="8" t="str">
        <x:f>B353&amp;" / "&amp;C353&amp;" / "&amp;E353</x:f>
        <x:v>6876 / 2025 / RAINBOW TROUT</x:v>
      </x:c>
    </x:row>
    <x:row r="354" ht="23" customHeight="1">
      <x:c r="A354" s="8" t="str">
        <x:v>Bud Miller Park Pond</x:v>
      </x:c>
      <x:c r="B354" s="8" t="str">
        <x:v>6876</x:v>
      </x:c>
      <x:c r="C354" s="17" t="n">
        <x:v>2024</x:v>
      </x:c>
      <x:c r="D354" s="18" t="n">
        <x:v>45414</x:v>
      </x:c>
      <x:c r="E354" s="8" t="str">
        <x:v>RAINBOW TROUT</x:v>
      </x:c>
      <x:c r="F354" s="13" t="n">
        <x:v>1500</x:v>
      </x:c>
      <x:c r="G354" s="9" t="n">
        <x:v>20.9</x:v>
      </x:c>
      <x:c r="H354" s="9" t="n">
        <x:v>99</x:v>
      </x:c>
      <x:c r="I354" s="8" t="str">
        <x:f>B354&amp;" / "&amp;C354&amp;" / "&amp;E354</x:f>
        <x:v>6876 / 2024 / RAINBOW TROUT</x:v>
      </x:c>
    </x:row>
    <x:row r="355" ht="23" customHeight="1">
      <x:c r="A355" s="8" t="str">
        <x:v>Bud Miller Park Pond</x:v>
      </x:c>
      <x:c r="B355" s="8" t="str">
        <x:v>6876</x:v>
      </x:c>
      <x:c r="C355" s="17" t="n">
        <x:v>2023</x:v>
      </x:c>
      <x:c r="D355" s="18" t="n">
        <x:v>45050</x:v>
      </x:c>
      <x:c r="E355" s="8" t="str">
        <x:v>RAINBOW TROUT</x:v>
      </x:c>
      <x:c r="F355" s="13" t="n">
        <x:v>1500</x:v>
      </x:c>
      <x:c r="G355" s="9" t="n">
        <x:v>20.3</x:v>
      </x:c>
      <x:c r="H355" s="9" t="n">
        <x:v>89.7</x:v>
      </x:c>
      <x:c r="I355" s="8" t="str">
        <x:f>B355&amp;" / "&amp;C355&amp;" / "&amp;E355</x:f>
        <x:v>6876 / 2023 / RAINBOW TROUT</x:v>
      </x:c>
    </x:row>
    <x:row r="356" ht="23" customHeight="1">
      <x:c r="A356" s="8" t="str">
        <x:v>Bud Miller Park Pond</x:v>
      </x:c>
      <x:c r="B356" s="8" t="str">
        <x:v>6876</x:v>
      </x:c>
      <x:c r="C356" s="17" t="n">
        <x:v>2022</x:v>
      </x:c>
      <x:c r="D356" s="18" t="n">
        <x:v>44697</x:v>
      </x:c>
      <x:c r="E356" s="8" t="str">
        <x:v>RAINBOW TROUT</x:v>
      </x:c>
      <x:c r="F356" s="13" t="n">
        <x:v>1500</x:v>
      </x:c>
      <x:c r="G356" s="9" t="n">
        <x:v>21.5</x:v>
      </x:c>
      <x:c r="H356" s="9" t="n">
        <x:v>110.3</x:v>
      </x:c>
      <x:c r="I356" s="8" t="str">
        <x:f>B356&amp;" / "&amp;C356&amp;" / "&amp;E356</x:f>
        <x:v>6876 / 2022 / RAINBOW TROUT</x:v>
      </x:c>
    </x:row>
    <x:row r="357" ht="23" customHeight="1">
      <x:c r="A357" s="8" t="str">
        <x:v>Bud Miller Park Pond</x:v>
      </x:c>
      <x:c r="B357" s="8" t="str">
        <x:v>6876</x:v>
      </x:c>
      <x:c r="C357" s="17" t="n">
        <x:v>2021</x:v>
      </x:c>
      <x:c r="D357" s="18" t="n">
        <x:v>44311</x:v>
      </x:c>
      <x:c r="E357" s="8" t="str">
        <x:v>RAINBOW TROUT</x:v>
      </x:c>
      <x:c r="F357" s="13" t="n">
        <x:v>1500</x:v>
      </x:c>
      <x:c r="G357" s="9" t="n">
        <x:v>20.6</x:v>
      </x:c>
      <x:c r="H357" s="9" t="n">
        <x:v>97.3</x:v>
      </x:c>
      <x:c r="I357" s="8" t="str">
        <x:f>B357&amp;" / "&amp;C357&amp;" / "&amp;E357</x:f>
        <x:v>6876 / 2021 / RAINBOW TROUT</x:v>
      </x:c>
    </x:row>
    <x:row r="358" ht="23" customHeight="1">
      <x:c r="A358" s="8" t="str">
        <x:v>Bullshead Creek Reservoir</x:v>
      </x:c>
      <x:c r="B358" s="8" t="str">
        <x:v>6878</x:v>
      </x:c>
      <x:c r="C358" s="17" t="n">
        <x:v>2026</x:v>
      </x:c>
      <x:c r="D358" s="18" t="n">
        <x:v>46151</x:v>
      </x:c>
      <x:c r="E358" s="8" t="str">
        <x:v>RAINBOW TROUT</x:v>
      </x:c>
      <x:c r="F358" s="13" t="n">
        <x:v>1000</x:v>
      </x:c>
      <x:c r="G358" s="9" t="n">
        <x:v>24.2</x:v>
      </x:c>
      <x:c r="H358" s="9" t="n">
        <x:v>154</x:v>
      </x:c>
      <x:c r="I358" s="8" t="str">
        <x:f>B358&amp;" / "&amp;C358&amp;" / "&amp;E358</x:f>
        <x:v>6878 / 2026 / RAINBOW TROUT</x:v>
      </x:c>
    </x:row>
    <x:row r="359" ht="23" customHeight="1">
      <x:c r="A359" s="8" t="str">
        <x:v>Burmis Lake</x:v>
      </x:c>
      <x:c r="B359" s="8" t="str">
        <x:v>6879</x:v>
      </x:c>
      <x:c r="C359" s="17" t="n">
        <x:v>2026</x:v>
      </x:c>
      <x:c r="D359" s="18" t="n">
        <x:v>46141</x:v>
      </x:c>
      <x:c r="E359" s="8" t="str">
        <x:v>WESTSLOPE CUTTHROAT TROUT</x:v>
      </x:c>
      <x:c r="F359" s="13" t="n">
        <x:v>1000</x:v>
      </x:c>
      <x:c r="G359" s="9" t="n">
        <x:v>13.2</x:v>
      </x:c>
      <x:c r="H359" s="9" t="n">
        <x:v>25</x:v>
      </x:c>
      <x:c r="I359" s="8" t="str">
        <x:f>B359&amp;" / "&amp;C359&amp;" / "&amp;E359</x:f>
        <x:v>6879 / 2026 / WESTSLOPE CUTTHROAT TROUT</x:v>
      </x:c>
    </x:row>
    <x:row r="360" ht="23" customHeight="1">
      <x:c r="A360" s="8" t="str">
        <x:v>Burmis Lake</x:v>
      </x:c>
      <x:c r="B360" s="8" t="str">
        <x:v>6879</x:v>
      </x:c>
      <x:c r="C360" s="17" t="n">
        <x:v>2025</x:v>
      </x:c>
      <x:c r="D360" s="18" t="n">
        <x:v>45776</x:v>
      </x:c>
      <x:c r="E360" s="8" t="str">
        <x:v>CUTTHROAT TROUT</x:v>
      </x:c>
      <x:c r="F360" s="13" t="n">
        <x:v>1000</x:v>
      </x:c>
      <x:c r="G360" s="9" t="n">
        <x:v>12.5</x:v>
      </x:c>
      <x:c r="H360" s="9" t="n">
        <x:v>21</x:v>
      </x:c>
      <x:c r="I360" s="8" t="str">
        <x:f>B360&amp;" / "&amp;C360&amp;" / "&amp;E360</x:f>
        <x:v>6879 / 2025 / CUTTHROAT TROUT</x:v>
      </x:c>
    </x:row>
    <x:row r="361" ht="23" customHeight="1">
      <x:c r="A361" s="8" t="str">
        <x:v>Burmis Lake</x:v>
      </x:c>
      <x:c r="B361" s="8" t="str">
        <x:v>6879</x:v>
      </x:c>
      <x:c r="C361" s="17" t="n">
        <x:v>2024</x:v>
      </x:c>
      <x:c r="D361" s="18" t="n">
        <x:v>45422</x:v>
      </x:c>
      <x:c r="E361" s="8" t="str">
        <x:v>RAINBOW TROUT</x:v>
      </x:c>
      <x:c r="F361" s="13" t="n">
        <x:v>1000</x:v>
      </x:c>
      <x:c r="G361" s="9" t="n">
        <x:v>18.9</x:v>
      </x:c>
      <x:c r="H361" s="9" t="n">
        <x:v>74</x:v>
      </x:c>
      <x:c r="I361" s="8" t="str">
        <x:f>B361&amp;" / "&amp;C361&amp;" / "&amp;E361</x:f>
        <x:v>6879 / 2024 / RAINBOW TROUT</x:v>
      </x:c>
    </x:row>
    <x:row r="362" ht="23" customHeight="1">
      <x:c r="A362" s="8" t="str">
        <x:v>Burmis Lake</x:v>
      </x:c>
      <x:c r="B362" s="8" t="str">
        <x:v>6879</x:v>
      </x:c>
      <x:c r="C362" s="17" t="n">
        <x:v>2023</x:v>
      </x:c>
      <x:c r="D362" s="18" t="n">
        <x:v>45040</x:v>
      </x:c>
      <x:c r="E362" s="8" t="str">
        <x:v>CUTTHROAT TROUT</x:v>
      </x:c>
      <x:c r="F362" s="13" t="n">
        <x:v>1000</x:v>
      </x:c>
      <x:c r="G362" s="9" t="n">
        <x:v>15.5</x:v>
      </x:c>
      <x:c r="H362" s="9" t="n">
        <x:v>44</x:v>
      </x:c>
      <x:c r="I362" s="8" t="str">
        <x:f>B362&amp;" / "&amp;C362&amp;" / "&amp;E362</x:f>
        <x:v>6879 / 2023 / CUTTHROAT TROUT</x:v>
      </x:c>
    </x:row>
    <x:row r="363" ht="23" customHeight="1">
      <x:c r="A363" s="8" t="str">
        <x:v>Burmis Lake</x:v>
      </x:c>
      <x:c r="B363" s="8" t="str">
        <x:v>6879</x:v>
      </x:c>
      <x:c r="C363" s="17" t="n">
        <x:v>2022</x:v>
      </x:c>
      <x:c r="D363" s="18" t="n">
        <x:v>44678</x:v>
      </x:c>
      <x:c r="E363" s="8" t="str">
        <x:v>CUTTHROAT TROUT</x:v>
      </x:c>
      <x:c r="F363" s="13" t="n">
        <x:v>1000</x:v>
      </x:c>
      <x:c r="G363" s="9" t="n">
        <x:v>15.1</x:v>
      </x:c>
      <x:c r="H363" s="9" t="n">
        <x:v>37.1</x:v>
      </x:c>
      <x:c r="I363" s="8" t="str">
        <x:f>B363&amp;" / "&amp;C363&amp;" / "&amp;E363</x:f>
        <x:v>6879 / 2022 / CUTTHROAT TROUT</x:v>
      </x:c>
    </x:row>
    <x:row r="364" ht="23" customHeight="1">
      <x:c r="A364" s="8" t="str">
        <x:v>Burmis Lake</x:v>
      </x:c>
      <x:c r="B364" s="8" t="str">
        <x:v>6879</x:v>
      </x:c>
      <x:c r="C364" s="17" t="n">
        <x:v>2021</x:v>
      </x:c>
      <x:c r="D364" s="18" t="n">
        <x:v>44313</x:v>
      </x:c>
      <x:c r="E364" s="8" t="str">
        <x:v>RAINBOW TROUT</x:v>
      </x:c>
      <x:c r="F364" s="13" t="n">
        <x:v>1000</x:v>
      </x:c>
      <x:c r="G364" s="9" t="n">
        <x:v>21</x:v>
      </x:c>
      <x:c r="H364" s="9" t="n">
        <x:v>103</x:v>
      </x:c>
      <x:c r="I364" s="8" t="str">
        <x:f>B364&amp;" / "&amp;C364&amp;" / "&amp;E364</x:f>
        <x:v>6879 / 2021 / RAINBOW TROUT</x:v>
      </x:c>
    </x:row>
    <x:row r="365" ht="23" customHeight="1">
      <x:c r="A365" s="8" t="str">
        <x:v>Burn's Reservoir</x:v>
      </x:c>
      <x:c r="B365" s="8" t="str">
        <x:v>6880</x:v>
      </x:c>
      <x:c r="C365" s="17" t="n">
        <x:v>2026</x:v>
      </x:c>
      <x:c r="D365" s="18" t="n">
        <x:v>46141</x:v>
      </x:c>
      <x:c r="E365" s="8" t="str">
        <x:v>WESTSLOPE CUTTHROAT TROUT</x:v>
      </x:c>
      <x:c r="F365" s="13" t="n">
        <x:v>1000</x:v>
      </x:c>
      <x:c r="G365" s="9" t="n">
        <x:v>13.2</x:v>
      </x:c>
      <x:c r="H365" s="9" t="n">
        <x:v>25</x:v>
      </x:c>
      <x:c r="I365" s="8" t="str">
        <x:f>B365&amp;" / "&amp;C365&amp;" / "&amp;E365</x:f>
        <x:v>6880 / 2026 / WESTSLOPE CUTTHROAT TROUT</x:v>
      </x:c>
    </x:row>
    <x:row r="366" ht="23" customHeight="1">
      <x:c r="A366" s="8" t="str">
        <x:v>Burn's Reservoir</x:v>
      </x:c>
      <x:c r="B366" s="8" t="str">
        <x:v>6880</x:v>
      </x:c>
      <x:c r="C366" s="17" t="n">
        <x:v>2025</x:v>
      </x:c>
      <x:c r="D366" s="18" t="n">
        <x:v>45792</x:v>
      </x:c>
      <x:c r="E366" s="8" t="str">
        <x:v>CUTTHROAT TROUT</x:v>
      </x:c>
      <x:c r="F366" s="13" t="n">
        <x:v>1000</x:v>
      </x:c>
      <x:c r="G366" s="9" t="n">
        <x:v>13.2</x:v>
      </x:c>
      <x:c r="H366" s="9" t="n">
        <x:v>24.7</x:v>
      </x:c>
      <x:c r="I366" s="8" t="str">
        <x:f>B366&amp;" / "&amp;C366&amp;" / "&amp;E366</x:f>
        <x:v>6880 / 2025 / CUTTHROAT TROUT</x:v>
      </x:c>
    </x:row>
    <x:row r="367" ht="23" customHeight="1">
      <x:c r="A367" s="8" t="str">
        <x:v>Burn's Reservoir</x:v>
      </x:c>
      <x:c r="B367" s="8" t="str">
        <x:v>6880</x:v>
      </x:c>
      <x:c r="C367" s="17" t="n">
        <x:v>2024</x:v>
      </x:c>
      <x:c r="D367" s="18" t="n">
        <x:v>45421</x:v>
      </x:c>
      <x:c r="E367" s="8" t="str">
        <x:v>RAINBOW TROUT</x:v>
      </x:c>
      <x:c r="F367" s="13" t="n">
        <x:v>1000</x:v>
      </x:c>
      <x:c r="G367" s="9" t="n">
        <x:v>18.6</x:v>
      </x:c>
      <x:c r="H367" s="9" t="n">
        <x:v>70</x:v>
      </x:c>
      <x:c r="I367" s="8" t="str">
        <x:f>B367&amp;" / "&amp;C367&amp;" / "&amp;E367</x:f>
        <x:v>6880 / 2024 / RAINBOW TROUT</x:v>
      </x:c>
    </x:row>
    <x:row r="368" ht="23" customHeight="1">
      <x:c r="A368" s="8" t="str">
        <x:v>Burn's Reservoir</x:v>
      </x:c>
      <x:c r="B368" s="8" t="str">
        <x:v>6880</x:v>
      </x:c>
      <x:c r="C368" s="17" t="n">
        <x:v>2023</x:v>
      </x:c>
      <x:c r="D368" s="18" t="n">
        <x:v>45041</x:v>
      </x:c>
      <x:c r="E368" s="8" t="str">
        <x:v>CUTTHROAT TROUT</x:v>
      </x:c>
      <x:c r="F368" s="13" t="n">
        <x:v>1000</x:v>
      </x:c>
      <x:c r="G368" s="9" t="n">
        <x:v>15.5</x:v>
      </x:c>
      <x:c r="H368" s="9" t="n">
        <x:v>44</x:v>
      </x:c>
      <x:c r="I368" s="8" t="str">
        <x:f>B368&amp;" / "&amp;C368&amp;" / "&amp;E368</x:f>
        <x:v>6880 / 2023 / CUTTHROAT TROUT</x:v>
      </x:c>
    </x:row>
    <x:row r="369" ht="23" customHeight="1">
      <x:c r="A369" s="8" t="str">
        <x:v>Burn's Reservoir</x:v>
      </x:c>
      <x:c r="B369" s="8" t="str">
        <x:v>6880</x:v>
      </x:c>
      <x:c r="C369" s="17" t="n">
        <x:v>2022</x:v>
      </x:c>
      <x:c r="D369" s="18" t="n">
        <x:v>44678</x:v>
      </x:c>
      <x:c r="E369" s="8" t="str">
        <x:v>CUTTHROAT TROUT</x:v>
      </x:c>
      <x:c r="F369" s="13" t="n">
        <x:v>1000</x:v>
      </x:c>
      <x:c r="G369" s="9" t="n">
        <x:v>15.1</x:v>
      </x:c>
      <x:c r="H369" s="9" t="n">
        <x:v>37.1</x:v>
      </x:c>
      <x:c r="I369" s="8" t="str">
        <x:f>B369&amp;" / "&amp;C369&amp;" / "&amp;E369</x:f>
        <x:v>6880 / 2022 / CUTTHROAT TROUT</x:v>
      </x:c>
    </x:row>
    <x:row r="370" ht="23" customHeight="1">
      <x:c r="A370" s="8" t="str">
        <x:v>Burn's Reservoir</x:v>
      </x:c>
      <x:c r="B370" s="8" t="str">
        <x:v>6880</x:v>
      </x:c>
      <x:c r="C370" s="17" t="n">
        <x:v>2021</x:v>
      </x:c>
      <x:c r="D370" s="18" t="n">
        <x:v>44316</x:v>
      </x:c>
      <x:c r="E370" s="8" t="str">
        <x:v>RAINBOW TROUT</x:v>
      </x:c>
      <x:c r="F370" s="13" t="n">
        <x:v>1000</x:v>
      </x:c>
      <x:c r="G370" s="9" t="n">
        <x:v>21.2</x:v>
      </x:c>
      <x:c r="H370" s="9" t="n">
        <x:v>105.3</x:v>
      </x:c>
      <x:c r="I370" s="8" t="str">
        <x:f>B370&amp;" / "&amp;C370&amp;" / "&amp;E370</x:f>
        <x:v>6880 / 2021 / RAINBOW TROUT</x:v>
      </x:c>
    </x:row>
    <x:row r="371" ht="23" customHeight="1">
      <x:c r="A371" s="8" t="str">
        <x:v>Burns Lake</x:v>
      </x:c>
      <x:c r="B371" s="8" t="str">
        <x:v>4159</x:v>
      </x:c>
      <x:c r="C371" s="17" t="n">
        <x:v>2021</x:v>
      </x:c>
      <x:c r="D371" s="18" t="n">
        <x:v>44447</x:v>
      </x:c>
      <x:c r="E371" s="8" t="str">
        <x:v>CUTTHROAT TROUT</x:v>
      </x:c>
      <x:c r="F371" s="13" t="n">
        <x:v>300</x:v>
      </x:c>
      <x:c r="G371" s="9" t="n">
        <x:v>4.9</x:v>
      </x:c>
      <x:c r="H371" s="9" t="n">
        <x:v>1.3</x:v>
      </x:c>
      <x:c r="I371" s="8" t="str">
        <x:f>B371&amp;" / "&amp;C371&amp;" / "&amp;E371</x:f>
        <x:v>4159 / 2021 / CUTTHROAT TROUT</x:v>
      </x:c>
    </x:row>
    <x:row r="372" ht="23" customHeight="1">
      <x:c r="A372" s="8" t="str">
        <x:v>Burnstick Lake</x:v>
      </x:c>
      <x:c r="B372" s="8" t="str">
        <x:v>4161</x:v>
      </x:c>
      <x:c r="C372" s="17" t="n">
        <x:v>2026</x:v>
      </x:c>
      <x:c r="D372" s="18" t="n">
        <x:v>46231</x:v>
      </x:c>
      <x:c r="E372" s="8" t="str">
        <x:v>WALLEYE</x:v>
      </x:c>
      <x:c r="F372" s="13" t="n">
        <x:v>6100</x:v>
      </x:c>
      <x:c r="G372" s="9" t="n">
        <x:v>5.1</x:v>
      </x:c>
      <x:c r="H372" s="9" t="n">
        <x:v>0.9</x:v>
      </x:c>
      <x:c r="I372" s="8" t="str">
        <x:f>B372&amp;" / "&amp;C372&amp;" / "&amp;E372</x:f>
        <x:v>4161 / 2026 / WALLEYE</x:v>
      </x:c>
    </x:row>
    <x:row r="373" ht="23" customHeight="1">
      <x:c r="A373" s="8" t="str">
        <x:v>Burnstick Lake</x:v>
      </x:c>
      <x:c r="B373" s="8" t="str">
        <x:v>4161</x:v>
      </x:c>
      <x:c r="C373" s="17" t="n">
        <x:v>2025</x:v>
      </x:c>
      <x:c r="D373" s="18" t="n">
        <x:v>45860</x:v>
      </x:c>
      <x:c r="E373" s="8" t="str">
        <x:v>WALLEYE</x:v>
      </x:c>
      <x:c r="F373" s="13" t="n">
        <x:v>1805</x:v>
      </x:c>
      <x:c r="G373" s="9" t="n">
        <x:v>6.1</x:v>
      </x:c>
      <x:c r="H373" s="9" t="n">
        <x:v>1.7</x:v>
      </x:c>
      <x:c r="I373" s="8" t="str">
        <x:f>B373&amp;" / "&amp;C373&amp;" / "&amp;E373</x:f>
        <x:v>4161 / 2025 / WALLEYE</x:v>
      </x:c>
    </x:row>
    <x:row r="374" ht="23" customHeight="1">
      <x:c r="A374" s="8" t="str">
        <x:v>Burnstick Lake</x:v>
      </x:c>
      <x:c r="B374" s="8" t="str">
        <x:v>4161</x:v>
      </x:c>
      <x:c r="C374" s="17" t="n">
        <x:v>2023</x:v>
      </x:c>
      <x:c r="D374" s="18" t="n">
        <x:v>45072</x:v>
      </x:c>
      <x:c r="E374" s="8" t="str">
        <x:v>WALLEYE</x:v>
      </x:c>
      <x:c r="F374" s="13" t="n">
        <x:v>28900</x:v>
      </x:c>
      <x:c r="G374" s="9" t="n">
        <x:v>0.4</x:v>
      </x:c>
      <x:c r="H374" s="9" t="n">
        <x:v>0</x:v>
      </x:c>
      <x:c r="I374" s="8" t="str">
        <x:f>B374&amp;" / "&amp;C374&amp;" / "&amp;E374</x:f>
        <x:v>4161 / 2023 / WALLEYE</x:v>
      </x:c>
    </x:row>
    <x:row r="375" ht="23" customHeight="1">
      <x:c r="A375" s="8" t="str">
        <x:v>Burnstick Lake</x:v>
      </x:c>
      <x:c r="B375" s="8" t="str">
        <x:v>4161</x:v>
      </x:c>
      <x:c r="C375" s="17" t="n">
        <x:v>2022</x:v>
      </x:c>
      <x:c r="D375" s="18" t="n">
        <x:v>44709</x:v>
      </x:c>
      <x:c r="E375" s="8" t="str">
        <x:v>WALLEYE</x:v>
      </x:c>
      <x:c r="F375" s="13" t="n">
        <x:v>28900</x:v>
      </x:c>
      <x:c r="G375" s="9" t="n">
        <x:v>0.4</x:v>
      </x:c>
      <x:c r="H375" s="9" t="n">
        <x:v>0</x:v>
      </x:c>
      <x:c r="I375" s="8" t="str">
        <x:f>B375&amp;" / "&amp;C375&amp;" / "&amp;E375</x:f>
        <x:v>4161 / 2022 / WALLEYE</x:v>
      </x:c>
    </x:row>
    <x:row r="376" ht="23" customHeight="1">
      <x:c r="A376" s="8" t="str">
        <x:v>Burnstick Lake</x:v>
      </x:c>
      <x:c r="B376" s="8" t="str">
        <x:v>4161</x:v>
      </x:c>
      <x:c r="C376" s="17" t="n">
        <x:v>2021</x:v>
      </x:c>
      <x:c r="D376" s="18" t="n">
        <x:v>44340</x:v>
      </x:c>
      <x:c r="E376" s="8" t="str">
        <x:v>WALLEYE</x:v>
      </x:c>
      <x:c r="F376" s="13" t="n">
        <x:v>34680</x:v>
      </x:c>
      <x:c r="G376" s="9" t="n">
        <x:v>0.4</x:v>
      </x:c>
      <x:c r="H376" s="9" t="str">
        <x:v>Unknown</x:v>
      </x:c>
      <x:c r="I376" s="8" t="str">
        <x:f>B376&amp;" / "&amp;C376&amp;" / "&amp;E376</x:f>
        <x:v>4161 / 2021 / WALLEYE</x:v>
      </x:c>
    </x:row>
    <x:row r="377" ht="23" customHeight="1">
      <x:c r="A377" s="8" t="str">
        <x:v>Butcher's Lake</x:v>
      </x:c>
      <x:c r="B377" s="8" t="str">
        <x:v>4171</x:v>
      </x:c>
      <x:c r="C377" s="17" t="n">
        <x:v>2026</x:v>
      </x:c>
      <x:c r="D377" s="18" t="n">
        <x:v>46141</x:v>
      </x:c>
      <x:c r="E377" s="8" t="str">
        <x:v>BROOK TROUT</x:v>
      </x:c>
      <x:c r="F377" s="13" t="n">
        <x:v>3000</x:v>
      </x:c>
      <x:c r="G377" s="9" t="n">
        <x:v>18.6</x:v>
      </x:c>
      <x:c r="H377" s="9" t="n">
        <x:v>70</x:v>
      </x:c>
      <x:c r="I377" s="8" t="str">
        <x:f>B377&amp;" / "&amp;C377&amp;" / "&amp;E377</x:f>
        <x:v>4171 / 2026 / BROOK TROUT</x:v>
      </x:c>
    </x:row>
    <x:row r="378" ht="23" customHeight="1">
      <x:c r="A378" s="8" t="str">
        <x:v>Butcher's Lake</x:v>
      </x:c>
      <x:c r="B378" s="8" t="str">
        <x:v>4171</x:v>
      </x:c>
      <x:c r="C378" s="17" t="n">
        <x:v>2025</x:v>
      </x:c>
      <x:c r="D378" s="18" t="n">
        <x:v>45792</x:v>
      </x:c>
      <x:c r="E378" s="8" t="str">
        <x:v>BROOK TROUT</x:v>
      </x:c>
      <x:c r="F378" s="13" t="n">
        <x:v>1500</x:v>
      </x:c>
      <x:c r="G378" s="9" t="n">
        <x:v>19.8</x:v>
      </x:c>
      <x:c r="H378" s="9" t="n">
        <x:v>83.7</x:v>
      </x:c>
      <x:c r="I378" s="8" t="str">
        <x:f>B378&amp;" / "&amp;C378&amp;" / "&amp;E378</x:f>
        <x:v>4171 / 2025 / BROOK TROUT</x:v>
      </x:c>
    </x:row>
    <x:row r="379" ht="23" customHeight="1">
      <x:c r="A379" s="8" t="str">
        <x:v>Butcher's Lake</x:v>
      </x:c>
      <x:c r="B379" s="8" t="str">
        <x:v>4171</x:v>
      </x:c>
      <x:c r="C379" s="17" t="n">
        <x:v>2025</x:v>
      </x:c>
      <x:c r="D379" s="18" t="n">
        <x:v>45791</x:v>
      </x:c>
      <x:c r="E379" s="8" t="str">
        <x:v>BROOK TROUT</x:v>
      </x:c>
      <x:c r="F379" s="13" t="n">
        <x:v>1500</x:v>
      </x:c>
      <x:c r="G379" s="9" t="n">
        <x:v>19.8</x:v>
      </x:c>
      <x:c r="H379" s="9" t="n">
        <x:v>83.7</x:v>
      </x:c>
      <x:c r="I379" s="8" t="str">
        <x:f>B379&amp;" / "&amp;C379&amp;" / "&amp;E379</x:f>
        <x:v>4171 / 2025 / BROOK TROUT</x:v>
      </x:c>
    </x:row>
    <x:row r="380" ht="23" customHeight="1">
      <x:c r="A380" s="8" t="str">
        <x:v>Butcher's Lake</x:v>
      </x:c>
      <x:c r="B380" s="8" t="str">
        <x:v>4171</x:v>
      </x:c>
      <x:c r="C380" s="17" t="n">
        <x:v>2024</x:v>
      </x:c>
      <x:c r="D380" s="18" t="n">
        <x:v>45405</x:v>
      </x:c>
      <x:c r="E380" s="8" t="str">
        <x:v>BROOK TROUT</x:v>
      </x:c>
      <x:c r="F380" s="13" t="n">
        <x:v>2000</x:v>
      </x:c>
      <x:c r="G380" s="9" t="n">
        <x:v>18.5</x:v>
      </x:c>
      <x:c r="H380" s="9" t="n">
        <x:v>70.1</x:v>
      </x:c>
      <x:c r="I380" s="8" t="str">
        <x:f>B380&amp;" / "&amp;C380&amp;" / "&amp;E380</x:f>
        <x:v>4171 / 2024 / BROOK TROUT</x:v>
      </x:c>
    </x:row>
    <x:row r="381" ht="23" customHeight="1">
      <x:c r="A381" s="8" t="str">
        <x:v>Butcher's Lake</x:v>
      </x:c>
      <x:c r="B381" s="8" t="str">
        <x:v>4171</x:v>
      </x:c>
      <x:c r="C381" s="17" t="n">
        <x:v>2023</x:v>
      </x:c>
      <x:c r="D381" s="18" t="n">
        <x:v>45055</x:v>
      </x:c>
      <x:c r="E381" s="8" t="str">
        <x:v>BROOK TROUT</x:v>
      </x:c>
      <x:c r="F381" s="13" t="n">
        <x:v>2000</x:v>
      </x:c>
      <x:c r="G381" s="9" t="n">
        <x:v>20.7</x:v>
      </x:c>
      <x:c r="H381" s="9" t="n">
        <x:v>90.3</x:v>
      </x:c>
      <x:c r="I381" s="8" t="str">
        <x:f>B381&amp;" / "&amp;C381&amp;" / "&amp;E381</x:f>
        <x:v>4171 / 2023 / BROOK TROUT</x:v>
      </x:c>
    </x:row>
    <x:row r="382" ht="23" customHeight="1">
      <x:c r="A382" s="8" t="str">
        <x:v>Butcher's Lake</x:v>
      </x:c>
      <x:c r="B382" s="8" t="str">
        <x:v>4171</x:v>
      </x:c>
      <x:c r="C382" s="17" t="n">
        <x:v>2022</x:v>
      </x:c>
      <x:c r="D382" s="18" t="n">
        <x:v>44692</x:v>
      </x:c>
      <x:c r="E382" s="8" t="str">
        <x:v>BROOK TROUT</x:v>
      </x:c>
      <x:c r="F382" s="13" t="n">
        <x:v>3004</x:v>
      </x:c>
      <x:c r="G382" s="9" t="n">
        <x:v>20.5</x:v>
      </x:c>
      <x:c r="H382" s="9" t="n">
        <x:v>96</x:v>
      </x:c>
      <x:c r="I382" s="8" t="str">
        <x:f>B382&amp;" / "&amp;C382&amp;" / "&amp;E382</x:f>
        <x:v>4171 / 2022 / BROOK TROUT</x:v>
      </x:c>
    </x:row>
    <x:row r="383" ht="23" customHeight="1">
      <x:c r="A383" s="8" t="str">
        <x:v>Butcher's Lake</x:v>
      </x:c>
      <x:c r="B383" s="8" t="str">
        <x:v>4171</x:v>
      </x:c>
      <x:c r="C383" s="17" t="n">
        <x:v>2021</x:v>
      </x:c>
      <x:c r="D383" s="18" t="n">
        <x:v>44320</x:v>
      </x:c>
      <x:c r="E383" s="8" t="str">
        <x:v>BROOK TROUT</x:v>
      </x:c>
      <x:c r="F383" s="13" t="n">
        <x:v>3000</x:v>
      </x:c>
      <x:c r="G383" s="9" t="n">
        <x:v>18.2</x:v>
      </x:c>
      <x:c r="H383" s="9" t="n">
        <x:v>64.3</x:v>
      </x:c>
      <x:c r="I383" s="8" t="str">
        <x:f>B383&amp;" / "&amp;C383&amp;" / "&amp;E383</x:f>
        <x:v>4171 / 2021 / BROOK TROUT</x:v>
      </x:c>
    </x:row>
    <x:row r="384" ht="23" customHeight="1">
      <x:c r="A384" s="8" t="str">
        <x:v>By the Lake Park</x:v>
      </x:c>
      <x:c r="B384" s="8" t="str">
        <x:v>6614</x:v>
      </x:c>
      <x:c r="C384" s="17" t="n">
        <x:v>2026</x:v>
      </x:c>
      <x:c r="D384" s="18" t="n">
        <x:v>46149</x:v>
      </x:c>
      <x:c r="E384" s="8" t="str">
        <x:v>RAINBOW TROUT</x:v>
      </x:c>
      <x:c r="F384" s="13" t="n">
        <x:v>5000</x:v>
      </x:c>
      <x:c r="G384" s="9" t="n">
        <x:v>20.7</x:v>
      </x:c>
      <x:c r="H384" s="9" t="n">
        <x:v>95.9</x:v>
      </x:c>
      <x:c r="I384" s="8" t="str">
        <x:f>B384&amp;" / "&amp;C384&amp;" / "&amp;E384</x:f>
        <x:v>6614 / 2026 / RAINBOW TROUT</x:v>
      </x:c>
    </x:row>
    <x:row r="385" ht="23" customHeight="1">
      <x:c r="A385" s="8" t="str">
        <x:v>By the Lake Park</x:v>
      </x:c>
      <x:c r="B385" s="8" t="str">
        <x:v>6614</x:v>
      </x:c>
      <x:c r="C385" s="17" t="n">
        <x:v>2025</x:v>
      </x:c>
      <x:c r="D385" s="18" t="n">
        <x:v>45771</x:v>
      </x:c>
      <x:c r="E385" s="8" t="str">
        <x:v>RAINBOW TROUT</x:v>
      </x:c>
      <x:c r="F385" s="13" t="n">
        <x:v>5000</x:v>
      </x:c>
      <x:c r="G385" s="9" t="n">
        <x:v>20.2</x:v>
      </x:c>
      <x:c r="H385" s="9" t="n">
        <x:v>89.2</x:v>
      </x:c>
      <x:c r="I385" s="8" t="str">
        <x:f>B385&amp;" / "&amp;C385&amp;" / "&amp;E385</x:f>
        <x:v>6614 / 2025 / RAINBOW TROUT</x:v>
      </x:c>
    </x:row>
    <x:row r="386" ht="23" customHeight="1">
      <x:c r="A386" s="8" t="str">
        <x:v>By the Lake Park</x:v>
      </x:c>
      <x:c r="B386" s="8" t="str">
        <x:v>6614</x:v>
      </x:c>
      <x:c r="C386" s="17" t="n">
        <x:v>2024</x:v>
      </x:c>
      <x:c r="D386" s="18" t="n">
        <x:v>45411</x:v>
      </x:c>
      <x:c r="E386" s="8" t="str">
        <x:v>RAINBOW TROUT</x:v>
      </x:c>
      <x:c r="F386" s="13" t="n">
        <x:v>2000</x:v>
      </x:c>
      <x:c r="G386" s="9" t="n">
        <x:v>20.7</x:v>
      </x:c>
      <x:c r="H386" s="9" t="n">
        <x:v>96</x:v>
      </x:c>
      <x:c r="I386" s="8" t="str">
        <x:f>B386&amp;" / "&amp;C386&amp;" / "&amp;E386</x:f>
        <x:v>6614 / 2024 / RAINBOW TROUT</x:v>
      </x:c>
    </x:row>
    <x:row r="387" ht="23" customHeight="1">
      <x:c r="A387" s="8" t="str">
        <x:v>By the Lake Park</x:v>
      </x:c>
      <x:c r="B387" s="8" t="str">
        <x:v>6614</x:v>
      </x:c>
      <x:c r="C387" s="17" t="n">
        <x:v>2023</x:v>
      </x:c>
      <x:c r="D387" s="18" t="n">
        <x:v>45053</x:v>
      </x:c>
      <x:c r="E387" s="8" t="str">
        <x:v>RAINBOW TROUT</x:v>
      </x:c>
      <x:c r="F387" s="13" t="n">
        <x:v>3000</x:v>
      </x:c>
      <x:c r="G387" s="9" t="n">
        <x:v>8.3</x:v>
      </x:c>
      <x:c r="H387" s="9" t="n">
        <x:v>6.3</x:v>
      </x:c>
      <x:c r="I387" s="8" t="str">
        <x:f>B387&amp;" / "&amp;C387&amp;" / "&amp;E387</x:f>
        <x:v>6614 / 2023 / RAINBOW TROUT</x:v>
      </x:c>
    </x:row>
    <x:row r="388" ht="23" customHeight="1">
      <x:c r="A388" s="8" t="str">
        <x:v>By the Lake Park</x:v>
      </x:c>
      <x:c r="B388" s="8" t="str">
        <x:v>6614</x:v>
      </x:c>
      <x:c r="C388" s="17" t="n">
        <x:v>2023</x:v>
      </x:c>
      <x:c r="D388" s="18" t="n">
        <x:v>45049</x:v>
      </x:c>
      <x:c r="E388" s="8" t="str">
        <x:v>RAINBOW TROUT</x:v>
      </x:c>
      <x:c r="F388" s="13" t="n">
        <x:v>1995</x:v>
      </x:c>
      <x:c r="G388" s="9" t="n">
        <x:v>20</x:v>
      </x:c>
      <x:c r="H388" s="9" t="n">
        <x:v>85.8</x:v>
      </x:c>
      <x:c r="I388" s="8" t="str">
        <x:f>B388&amp;" / "&amp;C388&amp;" / "&amp;E388</x:f>
        <x:v>6614 / 2023 / RAINBOW TROUT</x:v>
      </x:c>
    </x:row>
    <x:row r="389" ht="23" customHeight="1">
      <x:c r="A389" s="8" t="str">
        <x:v>By the Lake Park</x:v>
      </x:c>
      <x:c r="B389" s="8" t="str">
        <x:v>6614</x:v>
      </x:c>
      <x:c r="C389" s="17" t="n">
        <x:v>2022</x:v>
      </x:c>
      <x:c r="D389" s="18" t="n">
        <x:v>44683</x:v>
      </x:c>
      <x:c r="E389" s="8" t="str">
        <x:v>RAINBOW TROUT</x:v>
      </x:c>
      <x:c r="F389" s="13" t="n">
        <x:v>5000</x:v>
      </x:c>
      <x:c r="G389" s="9" t="n">
        <x:v>21.6</x:v>
      </x:c>
      <x:c r="H389" s="9" t="n">
        <x:v>109.8</x:v>
      </x:c>
      <x:c r="I389" s="8" t="str">
        <x:f>B389&amp;" / "&amp;C389&amp;" / "&amp;E389</x:f>
        <x:v>6614 / 2022 / RAINBOW TROUT</x:v>
      </x:c>
    </x:row>
    <x:row r="390" ht="23" customHeight="1">
      <x:c r="A390" s="8" t="str">
        <x:v>By the Lake Park</x:v>
      </x:c>
      <x:c r="B390" s="8" t="str">
        <x:v>6614</x:v>
      </x:c>
      <x:c r="C390" s="17" t="n">
        <x:v>2021</x:v>
      </x:c>
      <x:c r="D390" s="18" t="n">
        <x:v>44306</x:v>
      </x:c>
      <x:c r="E390" s="8" t="str">
        <x:v>RAINBOW TROUT</x:v>
      </x:c>
      <x:c r="F390" s="13" t="n">
        <x:v>5000</x:v>
      </x:c>
      <x:c r="G390" s="9" t="n">
        <x:v>20</x:v>
      </x:c>
      <x:c r="H390" s="9" t="n">
        <x:v>88</x:v>
      </x:c>
      <x:c r="I390" s="8" t="str">
        <x:f>B390&amp;" / "&amp;C390&amp;" / "&amp;E390</x:f>
        <x:v>6614 / 2021 / RAINBOW TROUT</x:v>
      </x:c>
    </x:row>
    <x:row r="391" ht="23" customHeight="1">
      <x:c r="A391" s="8" t="str">
        <x:v>Camp 9 Trout Pond</x:v>
      </x:c>
      <x:c r="B391" s="8" t="str">
        <x:v>21332</x:v>
      </x:c>
      <x:c r="C391" s="17" t="n">
        <x:v>2024</x:v>
      </x:c>
      <x:c r="D391" s="18" t="n">
        <x:v>45433</x:v>
      </x:c>
      <x:c r="E391" s="8" t="str">
        <x:v>RAINBOW TROUT</x:v>
      </x:c>
      <x:c r="F391" s="13" t="n">
        <x:v>250</x:v>
      </x:c>
      <x:c r="G391" s="9" t="n">
        <x:v>20.7</x:v>
      </x:c>
      <x:c r="H391" s="9" t="n">
        <x:v>96</x:v>
      </x:c>
      <x:c r="I391" s="8" t="str">
        <x:f>B391&amp;" / "&amp;C391&amp;" / "&amp;E391</x:f>
        <x:v>21332 / 2024 / RAINBOW TROUT</x:v>
      </x:c>
    </x:row>
    <x:row r="392" ht="23" customHeight="1">
      <x:c r="A392" s="8" t="str">
        <x:v>Camp 9 Trout Pond</x:v>
      </x:c>
      <x:c r="B392" s="8" t="str">
        <x:v>21332</x:v>
      </x:c>
      <x:c r="C392" s="17" t="n">
        <x:v>2023</x:v>
      </x:c>
      <x:c r="D392" s="18" t="n">
        <x:v>45071</x:v>
      </x:c>
      <x:c r="E392" s="8" t="str">
        <x:v>RAINBOW TROUT</x:v>
      </x:c>
      <x:c r="F392" s="13" t="n">
        <x:v>251</x:v>
      </x:c>
      <x:c r="G392" s="9" t="n">
        <x:v>20</x:v>
      </x:c>
      <x:c r="H392" s="9" t="n">
        <x:v>85.8</x:v>
      </x:c>
      <x:c r="I392" s="8" t="str">
        <x:f>B392&amp;" / "&amp;C392&amp;" / "&amp;E392</x:f>
        <x:v>21332 / 2023 / RAINBOW TROUT</x:v>
      </x:c>
    </x:row>
    <x:row r="393" ht="23" customHeight="1">
      <x:c r="A393" s="8" t="str">
        <x:v>Camp 9 Trout Pond</x:v>
      </x:c>
      <x:c r="B393" s="8" t="str">
        <x:v>21332</x:v>
      </x:c>
      <x:c r="C393" s="17" t="n">
        <x:v>2022</x:v>
      </x:c>
      <x:c r="D393" s="18" t="n">
        <x:v>44707</x:v>
      </x:c>
      <x:c r="E393" s="8" t="str">
        <x:v>RAINBOW TROUT</x:v>
      </x:c>
      <x:c r="F393" s="13" t="n">
        <x:v>500</x:v>
      </x:c>
      <x:c r="G393" s="9" t="n">
        <x:v>22.4</x:v>
      </x:c>
      <x:c r="H393" s="9" t="n">
        <x:v>100.1</x:v>
      </x:c>
      <x:c r="I393" s="8" t="str">
        <x:f>B393&amp;" / "&amp;C393&amp;" / "&amp;E393</x:f>
        <x:v>21332 / 2022 / RAINBOW TROUT</x:v>
      </x:c>
    </x:row>
    <x:row r="394" ht="23" customHeight="1">
      <x:c r="A394" s="8" t="str">
        <x:v>Camp 9 Trout Pond</x:v>
      </x:c>
      <x:c r="B394" s="8" t="str">
        <x:v>21332</x:v>
      </x:c>
      <x:c r="C394" s="17" t="n">
        <x:v>2021</x:v>
      </x:c>
      <x:c r="D394" s="18" t="n">
        <x:v>44328</x:v>
      </x:c>
      <x:c r="E394" s="8" t="str">
        <x:v>RAINBOW TROUT</x:v>
      </x:c>
      <x:c r="F394" s="13" t="n">
        <x:v>500</x:v>
      </x:c>
      <x:c r="G394" s="9" t="n">
        <x:v>16.3</x:v>
      </x:c>
      <x:c r="H394" s="9" t="n">
        <x:v>47.7</x:v>
      </x:c>
      <x:c r="I394" s="8" t="str">
        <x:f>B394&amp;" / "&amp;C394&amp;" / "&amp;E394</x:f>
        <x:v>21332 / 2021 / RAINBOW TROUT</x:v>
      </x:c>
    </x:row>
    <x:row r="395" ht="23" customHeight="1">
      <x:c r="A395" s="8" t="str">
        <x:v>Capt Ayre</x:v>
      </x:c>
      <x:c r="B395" s="8" t="str">
        <x:v>4208</x:v>
      </x:c>
      <x:c r="C395" s="17" t="n">
        <x:v>2026</x:v>
      </x:c>
      <x:c r="D395" s="18" t="n">
        <x:v>46140</x:v>
      </x:c>
      <x:c r="E395" s="8" t="str">
        <x:v>RAINBOW TROUT</x:v>
      </x:c>
      <x:c r="F395" s="13" t="n">
        <x:v>5000</x:v>
      </x:c>
      <x:c r="G395" s="9" t="n">
        <x:v>20.5</x:v>
      </x:c>
      <x:c r="H395" s="9" t="n">
        <x:v>93.4</x:v>
      </x:c>
      <x:c r="I395" s="8" t="str">
        <x:f>B395&amp;" / "&amp;C395&amp;" / "&amp;E395</x:f>
        <x:v>4208 / 2026 / RAINBOW TROUT</x:v>
      </x:c>
    </x:row>
    <x:row r="396" ht="23" customHeight="1">
      <x:c r="A396" s="8" t="str">
        <x:v>Capt Ayre</x:v>
      </x:c>
      <x:c r="B396" s="8" t="str">
        <x:v>4208</x:v>
      </x:c>
      <x:c r="C396" s="17" t="n">
        <x:v>2026</x:v>
      </x:c>
      <x:c r="D396" s="18" t="n">
        <x:v>46140</x:v>
      </x:c>
      <x:c r="E396" s="8" t="str">
        <x:v>TIGER TROUT</x:v>
      </x:c>
      <x:c r="F396" s="13" t="n">
        <x:v>2000</x:v>
      </x:c>
      <x:c r="G396" s="9" t="n">
        <x:v>17</x:v>
      </x:c>
      <x:c r="H396" s="9" t="n">
        <x:v>53</x:v>
      </x:c>
      <x:c r="I396" s="8" t="str">
        <x:f>B396&amp;" / "&amp;C396&amp;" / "&amp;E396</x:f>
        <x:v>4208 / 2026 / TIGER TROUT</x:v>
      </x:c>
    </x:row>
    <x:row r="397" ht="23" customHeight="1">
      <x:c r="A397" s="8" t="str">
        <x:v>Capt Ayre</x:v>
      </x:c>
      <x:c r="B397" s="8" t="str">
        <x:v>4208</x:v>
      </x:c>
      <x:c r="C397" s="17" t="n">
        <x:v>2025</x:v>
      </x:c>
      <x:c r="D397" s="18" t="n">
        <x:v>45778</x:v>
      </x:c>
      <x:c r="E397" s="8" t="str">
        <x:v>RAINBOW TROUT</x:v>
      </x:c>
      <x:c r="F397" s="13" t="n">
        <x:v>5000</x:v>
      </x:c>
      <x:c r="G397" s="9" t="n">
        <x:v>20.3</x:v>
      </x:c>
      <x:c r="H397" s="9" t="n">
        <x:v>90.2</x:v>
      </x:c>
      <x:c r="I397" s="8" t="str">
        <x:f>B397&amp;" / "&amp;C397&amp;" / "&amp;E397</x:f>
        <x:v>4208 / 2025 / RAINBOW TROUT</x:v>
      </x:c>
    </x:row>
    <x:row r="398" ht="23" customHeight="1">
      <x:c r="A398" s="8" t="str">
        <x:v>Capt Ayre</x:v>
      </x:c>
      <x:c r="B398" s="8" t="str">
        <x:v>4208</x:v>
      </x:c>
      <x:c r="C398" s="17" t="n">
        <x:v>2025</x:v>
      </x:c>
      <x:c r="D398" s="18" t="n">
        <x:v>45778</x:v>
      </x:c>
      <x:c r="E398" s="8" t="str">
        <x:v>TIGER TROUT</x:v>
      </x:c>
      <x:c r="F398" s="13" t="n">
        <x:v>2000</x:v>
      </x:c>
      <x:c r="G398" s="9" t="n">
        <x:v>20</x:v>
      </x:c>
      <x:c r="H398" s="9" t="n">
        <x:v>86.2</x:v>
      </x:c>
      <x:c r="I398" s="8" t="str">
        <x:f>B398&amp;" / "&amp;C398&amp;" / "&amp;E398</x:f>
        <x:v>4208 / 2025 / TIGER TROUT</x:v>
      </x:c>
    </x:row>
    <x:row r="399" ht="23" customHeight="1">
      <x:c r="A399" s="8" t="str">
        <x:v>Capt Ayre</x:v>
      </x:c>
      <x:c r="B399" s="8" t="str">
        <x:v>4208</x:v>
      </x:c>
      <x:c r="C399" s="17" t="n">
        <x:v>2024</x:v>
      </x:c>
      <x:c r="D399" s="18" t="n">
        <x:v>45399</x:v>
      </x:c>
      <x:c r="E399" s="8" t="str">
        <x:v>RAINBOW TROUT</x:v>
      </x:c>
      <x:c r="F399" s="13" t="n">
        <x:v>2000</x:v>
      </x:c>
      <x:c r="G399" s="9" t="n">
        <x:v>20</x:v>
      </x:c>
      <x:c r="H399" s="9" t="n">
        <x:v>85.9</x:v>
      </x:c>
      <x:c r="I399" s="8" t="str">
        <x:f>B399&amp;" / "&amp;C399&amp;" / "&amp;E399</x:f>
        <x:v>4208 / 2024 / RAINBOW TROUT</x:v>
      </x:c>
    </x:row>
    <x:row r="400" ht="23" customHeight="1">
      <x:c r="A400" s="8" t="str">
        <x:v>Capt Ayre</x:v>
      </x:c>
      <x:c r="B400" s="8" t="str">
        <x:v>4208</x:v>
      </x:c>
      <x:c r="C400" s="17" t="n">
        <x:v>2024</x:v>
      </x:c>
      <x:c r="D400" s="18" t="n">
        <x:v>45399</x:v>
      </x:c>
      <x:c r="E400" s="8" t="str">
        <x:v>TIGER TROUT</x:v>
      </x:c>
      <x:c r="F400" s="13" t="n">
        <x:v>2000</x:v>
      </x:c>
      <x:c r="G400" s="9" t="n">
        <x:v>19.1</x:v>
      </x:c>
      <x:c r="H400" s="9" t="n">
        <x:v>75.8</x:v>
      </x:c>
      <x:c r="I400" s="8" t="str">
        <x:f>B400&amp;" / "&amp;C400&amp;" / "&amp;E400</x:f>
        <x:v>4208 / 2024 / TIGER TROUT</x:v>
      </x:c>
    </x:row>
    <x:row r="401" ht="23" customHeight="1">
      <x:c r="A401" s="8" t="str">
        <x:v>Capt Ayre</x:v>
      </x:c>
      <x:c r="B401" s="8" t="str">
        <x:v>4208</x:v>
      </x:c>
      <x:c r="C401" s="17" t="n">
        <x:v>2023</x:v>
      </x:c>
      <x:c r="D401" s="18" t="n">
        <x:v>45048</x:v>
      </x:c>
      <x:c r="E401" s="8" t="str">
        <x:v>RAINBOW TROUT</x:v>
      </x:c>
      <x:c r="F401" s="13" t="n">
        <x:v>1995</x:v>
      </x:c>
      <x:c r="G401" s="9" t="n">
        <x:v>20.3</x:v>
      </x:c>
      <x:c r="H401" s="9" t="n">
        <x:v>89.9</x:v>
      </x:c>
      <x:c r="I401" s="8" t="str">
        <x:f>B401&amp;" / "&amp;C401&amp;" / "&amp;E401</x:f>
        <x:v>4208 / 2023 / RAINBOW TROUT</x:v>
      </x:c>
    </x:row>
    <x:row r="402" ht="23" customHeight="1">
      <x:c r="A402" s="8" t="str">
        <x:v>Capt Ayre</x:v>
      </x:c>
      <x:c r="B402" s="8" t="str">
        <x:v>4208</x:v>
      </x:c>
      <x:c r="C402" s="17" t="n">
        <x:v>2023</x:v>
      </x:c>
      <x:c r="D402" s="18" t="n">
        <x:v>45048</x:v>
      </x:c>
      <x:c r="E402" s="8" t="str">
        <x:v>TIGER TROUT</x:v>
      </x:c>
      <x:c r="F402" s="13" t="n">
        <x:v>2000</x:v>
      </x:c>
      <x:c r="G402" s="9" t="n">
        <x:v>19.9</x:v>
      </x:c>
      <x:c r="H402" s="9" t="n">
        <x:v>84.9</x:v>
      </x:c>
      <x:c r="I402" s="8" t="str">
        <x:f>B402&amp;" / "&amp;C402&amp;" / "&amp;E402</x:f>
        <x:v>4208 / 2023 / TIGER TROUT</x:v>
      </x:c>
    </x:row>
    <x:row r="403" ht="23" customHeight="1">
      <x:c r="A403" s="8" t="str">
        <x:v>Capt Ayre</x:v>
      </x:c>
      <x:c r="B403" s="8" t="str">
        <x:v>4208</x:v>
      </x:c>
      <x:c r="C403" s="17" t="n">
        <x:v>2022</x:v>
      </x:c>
      <x:c r="D403" s="18" t="n">
        <x:v>44684</x:v>
      </x:c>
      <x:c r="E403" s="8" t="str">
        <x:v>RAINBOW TROUT</x:v>
      </x:c>
      <x:c r="F403" s="13" t="n">
        <x:v>5000</x:v>
      </x:c>
      <x:c r="G403" s="9" t="n">
        <x:v>20.5</x:v>
      </x:c>
      <x:c r="H403" s="9" t="n">
        <x:v>94.5</x:v>
      </x:c>
      <x:c r="I403" s="8" t="str">
        <x:f>B403&amp;" / "&amp;C403&amp;" / "&amp;E403</x:f>
        <x:v>4208 / 2022 / RAINBOW TROUT</x:v>
      </x:c>
    </x:row>
    <x:row r="404" ht="23" customHeight="1">
      <x:c r="A404" s="8" t="str">
        <x:v>Capt Ayre</x:v>
      </x:c>
      <x:c r="B404" s="8" t="str">
        <x:v>4208</x:v>
      </x:c>
      <x:c r="C404" s="17" t="n">
        <x:v>2022</x:v>
      </x:c>
      <x:c r="D404" s="18" t="n">
        <x:v>44682</x:v>
      </x:c>
      <x:c r="E404" s="8" t="str">
        <x:v>TIGER TROUT</x:v>
      </x:c>
      <x:c r="F404" s="13" t="n">
        <x:v>2000</x:v>
      </x:c>
      <x:c r="G404" s="9" t="n">
        <x:v>17.7</x:v>
      </x:c>
      <x:c r="H404" s="9" t="n">
        <x:v>61</x:v>
      </x:c>
      <x:c r="I404" s="8" t="str">
        <x:f>B404&amp;" / "&amp;C404&amp;" / "&amp;E404</x:f>
        <x:v>4208 / 2022 / TIGER TROUT</x:v>
      </x:c>
    </x:row>
    <x:row r="405" ht="23" customHeight="1">
      <x:c r="A405" s="8" t="str">
        <x:v>Capt Ayre</x:v>
      </x:c>
      <x:c r="B405" s="8" t="str">
        <x:v>4208</x:v>
      </x:c>
      <x:c r="C405" s="17" t="n">
        <x:v>2021</x:v>
      </x:c>
      <x:c r="D405" s="18" t="n">
        <x:v>44321</x:v>
      </x:c>
      <x:c r="E405" s="8" t="str">
        <x:v>RAINBOW TROUT</x:v>
      </x:c>
      <x:c r="F405" s="13" t="n">
        <x:v>5000</x:v>
      </x:c>
      <x:c r="G405" s="9" t="n">
        <x:v>20.2</x:v>
      </x:c>
      <x:c r="H405" s="9" t="n">
        <x:v>90.6</x:v>
      </x:c>
      <x:c r="I405" s="8" t="str">
        <x:f>B405&amp;" / "&amp;C405&amp;" / "&amp;E405</x:f>
        <x:v>4208 / 2021 / RAINBOW TROUT</x:v>
      </x:c>
    </x:row>
    <x:row r="406" ht="23" customHeight="1">
      <x:c r="A406" s="8" t="str">
        <x:v>Capt Ayre</x:v>
      </x:c>
      <x:c r="B406" s="8" t="str">
        <x:v>4208</x:v>
      </x:c>
      <x:c r="C406" s="17" t="n">
        <x:v>2021</x:v>
      </x:c>
      <x:c r="D406" s="18" t="n">
        <x:v>44315</x:v>
      </x:c>
      <x:c r="E406" s="8" t="str">
        <x:v>TIGER TROUT</x:v>
      </x:c>
      <x:c r="F406" s="13" t="n">
        <x:v>2000</x:v>
      </x:c>
      <x:c r="G406" s="9" t="n">
        <x:v>16.5</x:v>
      </x:c>
      <x:c r="H406" s="9" t="n">
        <x:v>49.4</x:v>
      </x:c>
      <x:c r="I406" s="8" t="str">
        <x:f>B406&amp;" / "&amp;C406&amp;" / "&amp;E406</x:f>
        <x:v>4208 / 2021 / TIGER TROUT</x:v>
      </x:c>
    </x:row>
    <x:row r="407" ht="23" customHeight="1">
      <x:c r="A407" s="8" t="str">
        <x:v>Cardiff Park Pond</x:v>
      </x:c>
      <x:c r="B407" s="8" t="str">
        <x:v>6868</x:v>
      </x:c>
      <x:c r="C407" s="17" t="n">
        <x:v>2026</x:v>
      </x:c>
      <x:c r="D407" s="18" t="n">
        <x:v>46150</x:v>
      </x:c>
      <x:c r="E407" s="8" t="str">
        <x:v>BROWN TROUT</x:v>
      </x:c>
      <x:c r="F407" s="13" t="n">
        <x:v>500</x:v>
      </x:c>
      <x:c r="G407" s="9" t="n">
        <x:v>18.2</x:v>
      </x:c>
      <x:c r="H407" s="9" t="n">
        <x:v>65.2</x:v>
      </x:c>
      <x:c r="I407" s="8" t="str">
        <x:f>B407&amp;" / "&amp;C407&amp;" / "&amp;E407</x:f>
        <x:v>6868 / 2026 / BROWN TROUT</x:v>
      </x:c>
    </x:row>
    <x:row r="408" ht="23" customHeight="1">
      <x:c r="A408" s="8" t="str">
        <x:v>Cardiff Park Pond</x:v>
      </x:c>
      <x:c r="B408" s="8" t="str">
        <x:v>6868</x:v>
      </x:c>
      <x:c r="C408" s="17" t="n">
        <x:v>2026</x:v>
      </x:c>
      <x:c r="D408" s="18" t="n">
        <x:v>46150</x:v>
      </x:c>
      <x:c r="E408" s="8" t="str">
        <x:v>RAINBOW TROUT</x:v>
      </x:c>
      <x:c r="F408" s="13" t="n">
        <x:v>11500</x:v>
      </x:c>
      <x:c r="G408" s="9" t="n">
        <x:v>20.1</x:v>
      </x:c>
      <x:c r="H408" s="9" t="n">
        <x:v>87.6</x:v>
      </x:c>
      <x:c r="I408" s="8" t="str">
        <x:f>B408&amp;" / "&amp;C408&amp;" / "&amp;E408</x:f>
        <x:v>6868 / 2026 / RAINBOW TROUT</x:v>
      </x:c>
    </x:row>
    <x:row r="409" ht="23" customHeight="1">
      <x:c r="A409" s="8" t="str">
        <x:v>Cardiff Park Pond</x:v>
      </x:c>
      <x:c r="B409" s="8" t="str">
        <x:v>6868</x:v>
      </x:c>
      <x:c r="C409" s="17" t="n">
        <x:v>2026</x:v>
      </x:c>
      <x:c r="D409" s="18" t="n">
        <x:v>46150</x:v>
      </x:c>
      <x:c r="E409" s="8" t="str">
        <x:v>TIGER TROUT</x:v>
      </x:c>
      <x:c r="F409" s="13" t="n">
        <x:v>2550</x:v>
      </x:c>
      <x:c r="G409" s="9" t="n">
        <x:v>18.1</x:v>
      </x:c>
      <x:c r="H409" s="9" t="n">
        <x:v>64.4</x:v>
      </x:c>
      <x:c r="I409" s="8" t="str">
        <x:f>B409&amp;" / "&amp;C409&amp;" / "&amp;E409</x:f>
        <x:v>6868 / 2026 / TIGER TROUT</x:v>
      </x:c>
    </x:row>
    <x:row r="410" ht="23" customHeight="1">
      <x:c r="A410" s="8" t="str">
        <x:v>Cardiff Park Pond</x:v>
      </x:c>
      <x:c r="B410" s="8" t="str">
        <x:v>6868</x:v>
      </x:c>
      <x:c r="C410" s="17" t="n">
        <x:v>2025</x:v>
      </x:c>
      <x:c r="D410" s="18" t="n">
        <x:v>45777</x:v>
      </x:c>
      <x:c r="E410" s="8" t="str">
        <x:v>BROWN TROUT</x:v>
      </x:c>
      <x:c r="F410" s="13" t="n">
        <x:v>500</x:v>
      </x:c>
      <x:c r="G410" s="9" t="n">
        <x:v>19.1</x:v>
      </x:c>
      <x:c r="H410" s="9" t="n">
        <x:v>75</x:v>
      </x:c>
      <x:c r="I410" s="8" t="str">
        <x:f>B410&amp;" / "&amp;C410&amp;" / "&amp;E410</x:f>
        <x:v>6868 / 2025 / BROWN TROUT</x:v>
      </x:c>
    </x:row>
    <x:row r="411" ht="23" customHeight="1">
      <x:c r="A411" s="8" t="str">
        <x:v>Cardiff Park Pond</x:v>
      </x:c>
      <x:c r="B411" s="8" t="str">
        <x:v>6868</x:v>
      </x:c>
      <x:c r="C411" s="17" t="n">
        <x:v>2025</x:v>
      </x:c>
      <x:c r="D411" s="18" t="n">
        <x:v>45932</x:v>
      </x:c>
      <x:c r="E411" s="8" t="str">
        <x:v>RAINBOW TROUT</x:v>
      </x:c>
      <x:c r="F411" s="13" t="n">
        <x:v>612</x:v>
      </x:c>
      <x:c r="G411" s="9" t="n">
        <x:v>29.1</x:v>
      </x:c>
      <x:c r="H411" s="9" t="n">
        <x:v>265.7</x:v>
      </x:c>
      <x:c r="I411" s="8" t="str">
        <x:f>B411&amp;" / "&amp;C411&amp;" / "&amp;E411</x:f>
        <x:v>6868 / 2025 / RAINBOW TROUT</x:v>
      </x:c>
    </x:row>
    <x:row r="412" ht="23" customHeight="1">
      <x:c r="A412" s="8" t="str">
        <x:v>Cardiff Park Pond</x:v>
      </x:c>
      <x:c r="B412" s="8" t="str">
        <x:v>6868</x:v>
      </x:c>
      <x:c r="C412" s="17" t="n">
        <x:v>2025</x:v>
      </x:c>
      <x:c r="D412" s="18" t="n">
        <x:v>45932</x:v>
      </x:c>
      <x:c r="E412" s="8" t="str">
        <x:v>RAINBOW TROUT</x:v>
      </x:c>
      <x:c r="F412" s="13" t="n">
        <x:v>5000</x:v>
      </x:c>
      <x:c r="G412" s="9" t="n">
        <x:v>20.4</x:v>
      </x:c>
      <x:c r="H412" s="9" t="n">
        <x:v>91.3</x:v>
      </x:c>
      <x:c r="I412" s="8" t="str">
        <x:f>B412&amp;" / "&amp;C412&amp;" / "&amp;E412</x:f>
        <x:v>6868 / 2025 / RAINBOW TROUT</x:v>
      </x:c>
    </x:row>
    <x:row r="413" ht="23" customHeight="1">
      <x:c r="A413" s="8" t="str">
        <x:v>Cardiff Park Pond</x:v>
      </x:c>
      <x:c r="B413" s="8" t="str">
        <x:v>6868</x:v>
      </x:c>
      <x:c r="C413" s="17" t="n">
        <x:v>2025</x:v>
      </x:c>
      <x:c r="D413" s="18" t="n">
        <x:v>45924</x:v>
      </x:c>
      <x:c r="E413" s="8" t="str">
        <x:v>RAINBOW TROUT</x:v>
      </x:c>
      <x:c r="F413" s="13" t="n">
        <x:v>5000</x:v>
      </x:c>
      <x:c r="G413" s="9" t="n">
        <x:v>19.2</x:v>
      </x:c>
      <x:c r="H413" s="9" t="n">
        <x:v>78.5</x:v>
      </x:c>
      <x:c r="I413" s="8" t="str">
        <x:f>B413&amp;" / "&amp;C413&amp;" / "&amp;E413</x:f>
        <x:v>6868 / 2025 / RAINBOW TROUT</x:v>
      </x:c>
    </x:row>
    <x:row r="414" ht="23" customHeight="1">
      <x:c r="A414" s="8" t="str">
        <x:v>Cardiff Park Pond</x:v>
      </x:c>
      <x:c r="B414" s="8" t="str">
        <x:v>6868</x:v>
      </x:c>
      <x:c r="C414" s="17" t="n">
        <x:v>2025</x:v>
      </x:c>
      <x:c r="D414" s="18" t="n">
        <x:v>45774</x:v>
      </x:c>
      <x:c r="E414" s="8" t="str">
        <x:v>RAINBOW TROUT</x:v>
      </x:c>
      <x:c r="F414" s="13" t="n">
        <x:v>11500</x:v>
      </x:c>
      <x:c r="G414" s="9" t="n">
        <x:v>20.2</x:v>
      </x:c>
      <x:c r="H414" s="9" t="n">
        <x:v>89.5</x:v>
      </x:c>
      <x:c r="I414" s="8" t="str">
        <x:f>B414&amp;" / "&amp;C414&amp;" / "&amp;E414</x:f>
        <x:v>6868 / 2025 / RAINBOW TROUT</x:v>
      </x:c>
    </x:row>
    <x:row r="415" ht="23" customHeight="1">
      <x:c r="A415" s="8" t="str">
        <x:v>Cardiff Park Pond</x:v>
      </x:c>
      <x:c r="B415" s="8" t="str">
        <x:v>6868</x:v>
      </x:c>
      <x:c r="C415" s="17" t="n">
        <x:v>2025</x:v>
      </x:c>
      <x:c r="D415" s="18" t="n">
        <x:v>45777</x:v>
      </x:c>
      <x:c r="E415" s="8" t="str">
        <x:v>TIGER TROUT</x:v>
      </x:c>
      <x:c r="F415" s="13" t="n">
        <x:v>2550</x:v>
      </x:c>
      <x:c r="G415" s="9" t="n">
        <x:v>19.6</x:v>
      </x:c>
      <x:c r="H415" s="9" t="n">
        <x:v>80.9</x:v>
      </x:c>
      <x:c r="I415" s="8" t="str">
        <x:f>B415&amp;" / "&amp;C415&amp;" / "&amp;E415</x:f>
        <x:v>6868 / 2025 / TIGER TROUT</x:v>
      </x:c>
    </x:row>
    <x:row r="416" ht="23" customHeight="1">
      <x:c r="A416" s="8" t="str">
        <x:v>Cardiff Park Pond</x:v>
      </x:c>
      <x:c r="B416" s="8" t="str">
        <x:v>6868</x:v>
      </x:c>
      <x:c r="C416" s="17" t="n">
        <x:v>2024</x:v>
      </x:c>
      <x:c r="D416" s="18" t="n">
        <x:v>45412</x:v>
      </x:c>
      <x:c r="E416" s="8" t="str">
        <x:v>BROWN TROUT</x:v>
      </x:c>
      <x:c r="F416" s="13" t="n">
        <x:v>500</x:v>
      </x:c>
      <x:c r="G416" s="9" t="n">
        <x:v>20.2</x:v>
      </x:c>
      <x:c r="H416" s="9" t="n">
        <x:v>88.6</x:v>
      </x:c>
      <x:c r="I416" s="8" t="str">
        <x:f>B416&amp;" / "&amp;C416&amp;" / "&amp;E416</x:f>
        <x:v>6868 / 2024 / BROWN TROUT</x:v>
      </x:c>
    </x:row>
    <x:row r="417" ht="23" customHeight="1">
      <x:c r="A417" s="8" t="str">
        <x:v>Cardiff Park Pond</x:v>
      </x:c>
      <x:c r="B417" s="8" t="str">
        <x:v>6868</x:v>
      </x:c>
      <x:c r="C417" s="17" t="n">
        <x:v>2024</x:v>
      </x:c>
      <x:c r="D417" s="18" t="n">
        <x:v>45581</x:v>
      </x:c>
      <x:c r="E417" s="8" t="str">
        <x:v>RAINBOW TROUT</x:v>
      </x:c>
      <x:c r="F417" s="13" t="n">
        <x:v>50</x:v>
      </x:c>
      <x:c r="G417" s="9" t="n">
        <x:v>55</x:v>
      </x:c>
      <x:c r="H417" s="9" t="n">
        <x:v>6000</x:v>
      </x:c>
      <x:c r="I417" s="8" t="str">
        <x:f>B417&amp;" / "&amp;C417&amp;" / "&amp;E417</x:f>
        <x:v>6868 / 2024 / RAINBOW TROUT</x:v>
      </x:c>
    </x:row>
    <x:row r="418" ht="23" customHeight="1">
      <x:c r="A418" s="8" t="str">
        <x:v>Cardiff Park Pond</x:v>
      </x:c>
      <x:c r="B418" s="8" t="str">
        <x:v>6868</x:v>
      </x:c>
      <x:c r="C418" s="17" t="n">
        <x:v>2024</x:v>
      </x:c>
      <x:c r="D418" s="18" t="n">
        <x:v>45567</x:v>
      </x:c>
      <x:c r="E418" s="8" t="str">
        <x:v>RAINBOW TROUT</x:v>
      </x:c>
      <x:c r="F418" s="13" t="n">
        <x:v>7000</x:v>
      </x:c>
      <x:c r="G418" s="9" t="n">
        <x:v>20.6</x:v>
      </x:c>
      <x:c r="H418" s="9" t="n">
        <x:v>96.4</x:v>
      </x:c>
      <x:c r="I418" s="8" t="str">
        <x:f>B418&amp;" / "&amp;C418&amp;" / "&amp;E418</x:f>
        <x:v>6868 / 2024 / RAINBOW TROUT</x:v>
      </x:c>
    </x:row>
    <x:row r="419" ht="23" customHeight="1">
      <x:c r="A419" s="8" t="str">
        <x:v>Cardiff Park Pond</x:v>
      </x:c>
      <x:c r="B419" s="8" t="str">
        <x:v>6868</x:v>
      </x:c>
      <x:c r="C419" s="17" t="n">
        <x:v>2024</x:v>
      </x:c>
      <x:c r="D419" s="18" t="n">
        <x:v>45552</x:v>
      </x:c>
      <x:c r="E419" s="8" t="str">
        <x:v>RAINBOW TROUT</x:v>
      </x:c>
      <x:c r="F419" s="13" t="n">
        <x:v>15000</x:v>
      </x:c>
      <x:c r="G419" s="9" t="n">
        <x:v>8.2</x:v>
      </x:c>
      <x:c r="H419" s="9" t="n">
        <x:v>6.3</x:v>
      </x:c>
      <x:c r="I419" s="8" t="str">
        <x:f>B419&amp;" / "&amp;C419&amp;" / "&amp;E419</x:f>
        <x:v>6868 / 2024 / RAINBOW TROUT</x:v>
      </x:c>
    </x:row>
    <x:row r="420" ht="23" customHeight="1">
      <x:c r="A420" s="8" t="str">
        <x:v>Cardiff Park Pond</x:v>
      </x:c>
      <x:c r="B420" s="8" t="str">
        <x:v>6868</x:v>
      </x:c>
      <x:c r="C420" s="17" t="n">
        <x:v>2024</x:v>
      </x:c>
      <x:c r="D420" s="18" t="n">
        <x:v>45427</x:v>
      </x:c>
      <x:c r="E420" s="8" t="str">
        <x:v>RAINBOW TROUT</x:v>
      </x:c>
      <x:c r="F420" s="13" t="n">
        <x:v>10000</x:v>
      </x:c>
      <x:c r="G420" s="9" t="n">
        <x:v>9.9</x:v>
      </x:c>
      <x:c r="H420" s="9" t="n">
        <x:v>10.9</x:v>
      </x:c>
      <x:c r="I420" s="8" t="str">
        <x:f>B420&amp;" / "&amp;C420&amp;" / "&amp;E420</x:f>
        <x:v>6868 / 2024 / RAINBOW TROUT</x:v>
      </x:c>
    </x:row>
    <x:row r="421" ht="23" customHeight="1">
      <x:c r="A421" s="8" t="str">
        <x:v>Cardiff Park Pond</x:v>
      </x:c>
      <x:c r="B421" s="8" t="str">
        <x:v>6868</x:v>
      </x:c>
      <x:c r="C421" s="17" t="n">
        <x:v>2024</x:v>
      </x:c>
      <x:c r="D421" s="18" t="n">
        <x:v>45412</x:v>
      </x:c>
      <x:c r="E421" s="8" t="str">
        <x:v>RAINBOW TROUT</x:v>
      </x:c>
      <x:c r="F421" s="13" t="n">
        <x:v>4600</x:v>
      </x:c>
      <x:c r="G421" s="9" t="n">
        <x:v>20</x:v>
      </x:c>
      <x:c r="H421" s="9" t="n">
        <x:v>87</x:v>
      </x:c>
      <x:c r="I421" s="8" t="str">
        <x:f>B421&amp;" / "&amp;C421&amp;" / "&amp;E421</x:f>
        <x:v>6868 / 2024 / RAINBOW TROUT</x:v>
      </x:c>
    </x:row>
    <x:row r="422" ht="23" customHeight="1">
      <x:c r="A422" s="8" t="str">
        <x:v>Cardiff Park Pond</x:v>
      </x:c>
      <x:c r="B422" s="8" t="str">
        <x:v>6868</x:v>
      </x:c>
      <x:c r="C422" s="17" t="n">
        <x:v>2024</x:v>
      </x:c>
      <x:c r="D422" s="18" t="n">
        <x:v>45572</x:v>
      </x:c>
      <x:c r="E422" s="8" t="str">
        <x:v>TIGER TROUT</x:v>
      </x:c>
      <x:c r="F422" s="13" t="n">
        <x:v>12000</x:v>
      </x:c>
      <x:c r="G422" s="9" t="n">
        <x:v>10.8</x:v>
      </x:c>
      <x:c r="H422" s="9" t="n">
        <x:v>13.7</x:v>
      </x:c>
      <x:c r="I422" s="8" t="str">
        <x:f>B422&amp;" / "&amp;C422&amp;" / "&amp;E422</x:f>
        <x:v>6868 / 2024 / TIGER TROUT</x:v>
      </x:c>
    </x:row>
    <x:row r="423" ht="23" customHeight="1">
      <x:c r="A423" s="8" t="str">
        <x:v>Cardiff Park Pond</x:v>
      </x:c>
      <x:c r="B423" s="8" t="str">
        <x:v>6868</x:v>
      </x:c>
      <x:c r="C423" s="17" t="n">
        <x:v>2024</x:v>
      </x:c>
      <x:c r="D423" s="18" t="n">
        <x:v>45412</x:v>
      </x:c>
      <x:c r="E423" s="8" t="str">
        <x:v>TIGER TROUT</x:v>
      </x:c>
      <x:c r="F423" s="13" t="n">
        <x:v>2550</x:v>
      </x:c>
      <x:c r="G423" s="9" t="n">
        <x:v>19.6</x:v>
      </x:c>
      <x:c r="H423" s="9" t="n">
        <x:v>81.9</x:v>
      </x:c>
      <x:c r="I423" s="8" t="str">
        <x:f>B423&amp;" / "&amp;C423&amp;" / "&amp;E423</x:f>
        <x:v>6868 / 2024 / TIGER TROUT</x:v>
      </x:c>
    </x:row>
    <x:row r="424" ht="23" customHeight="1">
      <x:c r="A424" s="8" t="str">
        <x:v>Cardiff Park Pond</x:v>
      </x:c>
      <x:c r="B424" s="8" t="str">
        <x:v>6868</x:v>
      </x:c>
      <x:c r="C424" s="17" t="n">
        <x:v>2023</x:v>
      </x:c>
      <x:c r="D424" s="18" t="n">
        <x:v>45196</x:v>
      </x:c>
      <x:c r="E424" s="8" t="str">
        <x:v>BROWN TROUT</x:v>
      </x:c>
      <x:c r="F424" s="13" t="n">
        <x:v>7500</x:v>
      </x:c>
      <x:c r="G424" s="9" t="n">
        <x:v>9.1</x:v>
      </x:c>
      <x:c r="H424" s="9" t="n">
        <x:v>8.1</x:v>
      </x:c>
      <x:c r="I424" s="8" t="str">
        <x:f>B424&amp;" / "&amp;C424&amp;" / "&amp;E424</x:f>
        <x:v>6868 / 2023 / BROWN TROUT</x:v>
      </x:c>
    </x:row>
    <x:row r="425" ht="23" customHeight="1">
      <x:c r="A425" s="8" t="str">
        <x:v>Cardiff Park Pond</x:v>
      </x:c>
      <x:c r="B425" s="8" t="str">
        <x:v>6868</x:v>
      </x:c>
      <x:c r="C425" s="17" t="n">
        <x:v>2023</x:v>
      </x:c>
      <x:c r="D425" s="18" t="n">
        <x:v>45057</x:v>
      </x:c>
      <x:c r="E425" s="8" t="str">
        <x:v>BROWN TROUT</x:v>
      </x:c>
      <x:c r="F425" s="13" t="n">
        <x:v>500</x:v>
      </x:c>
      <x:c r="G425" s="9" t="n">
        <x:v>18.6</x:v>
      </x:c>
      <x:c r="H425" s="9" t="n">
        <x:v>71.4</x:v>
      </x:c>
      <x:c r="I425" s="8" t="str">
        <x:f>B425&amp;" / "&amp;C425&amp;" / "&amp;E425</x:f>
        <x:v>6868 / 2023 / BROWN TROUT</x:v>
      </x:c>
    </x:row>
    <x:row r="426" ht="23" customHeight="1">
      <x:c r="A426" s="8" t="str">
        <x:v>Cardiff Park Pond</x:v>
      </x:c>
      <x:c r="B426" s="8" t="str">
        <x:v>6868</x:v>
      </x:c>
      <x:c r="C426" s="17" t="n">
        <x:v>2023</x:v>
      </x:c>
      <x:c r="D426" s="18" t="n">
        <x:v>45188</x:v>
      </x:c>
      <x:c r="E426" s="8" t="str">
        <x:v>RAINBOW TROUT</x:v>
      </x:c>
      <x:c r="F426" s="13" t="n">
        <x:v>1004</x:v>
      </x:c>
      <x:c r="G426" s="9" t="n">
        <x:v>17.5</x:v>
      </x:c>
      <x:c r="H426" s="9" t="n">
        <x:v>65.5</x:v>
      </x:c>
      <x:c r="I426" s="8" t="str">
        <x:f>B426&amp;" / "&amp;C426&amp;" / "&amp;E426</x:f>
        <x:v>6868 / 2023 / RAINBOW TROUT</x:v>
      </x:c>
    </x:row>
    <x:row r="427" ht="23" customHeight="1">
      <x:c r="A427" s="8" t="str">
        <x:v>Cardiff Park Pond</x:v>
      </x:c>
      <x:c r="B427" s="8" t="str">
        <x:v>6868</x:v>
      </x:c>
      <x:c r="C427" s="17" t="n">
        <x:v>2023</x:v>
      </x:c>
      <x:c r="D427" s="18" t="n">
        <x:v>45054</x:v>
      </x:c>
      <x:c r="E427" s="8" t="str">
        <x:v>RAINBOW TROUT</x:v>
      </x:c>
      <x:c r="F427" s="13" t="n">
        <x:v>4589</x:v>
      </x:c>
      <x:c r="G427" s="9" t="n">
        <x:v>20</x:v>
      </x:c>
      <x:c r="H427" s="9" t="n">
        <x:v>88.2</x:v>
      </x:c>
      <x:c r="I427" s="8" t="str">
        <x:f>B427&amp;" / "&amp;C427&amp;" / "&amp;E427</x:f>
        <x:v>6868 / 2023 / RAINBOW TROUT</x:v>
      </x:c>
    </x:row>
    <x:row r="428" ht="23" customHeight="1">
      <x:c r="A428" s="8" t="str">
        <x:v>Cardiff Park Pond</x:v>
      </x:c>
      <x:c r="B428" s="8" t="str">
        <x:v>6868</x:v>
      </x:c>
      <x:c r="C428" s="17" t="n">
        <x:v>2023</x:v>
      </x:c>
      <x:c r="D428" s="18" t="n">
        <x:v>45054</x:v>
      </x:c>
      <x:c r="E428" s="8" t="str">
        <x:v>TIGER TROUT</x:v>
      </x:c>
      <x:c r="F428" s="13" t="n">
        <x:v>1550</x:v>
      </x:c>
      <x:c r="G428" s="9" t="n">
        <x:v>20</x:v>
      </x:c>
      <x:c r="H428" s="9" t="n">
        <x:v>88.2</x:v>
      </x:c>
      <x:c r="I428" s="8" t="str">
        <x:f>B428&amp;" / "&amp;C428&amp;" / "&amp;E428</x:f>
        <x:v>6868 / 2023 / TIGER TROUT</x:v>
      </x:c>
    </x:row>
    <x:row r="429" ht="23" customHeight="1">
      <x:c r="A429" s="8" t="str">
        <x:v>Cardiff Park Pond</x:v>
      </x:c>
      <x:c r="B429" s="8" t="str">
        <x:v>6868</x:v>
      </x:c>
      <x:c r="C429" s="17" t="n">
        <x:v>2022</x:v>
      </x:c>
      <x:c r="D429" s="18" t="n">
        <x:v>44830</x:v>
      </x:c>
      <x:c r="E429" s="8" t="str">
        <x:v>RAINBOW TROUT</x:v>
      </x:c>
      <x:c r="F429" s="13" t="n">
        <x:v>4000</x:v>
      </x:c>
      <x:c r="G429" s="9" t="n">
        <x:v>17.8</x:v>
      </x:c>
      <x:c r="H429" s="9" t="n">
        <x:v>62.6</x:v>
      </x:c>
      <x:c r="I429" s="8" t="str">
        <x:f>B429&amp;" / "&amp;C429&amp;" / "&amp;E429</x:f>
        <x:v>6868 / 2022 / RAINBOW TROUT</x:v>
      </x:c>
    </x:row>
    <x:row r="430" ht="23" customHeight="1">
      <x:c r="A430" s="8" t="str">
        <x:v>Cardiff Park Pond</x:v>
      </x:c>
      <x:c r="B430" s="8" t="str">
        <x:v>6868</x:v>
      </x:c>
      <x:c r="C430" s="17" t="n">
        <x:v>2022</x:v>
      </x:c>
      <x:c r="D430" s="18" t="n">
        <x:v>44830</x:v>
      </x:c>
      <x:c r="E430" s="8" t="str">
        <x:v>RAINBOW TROUT</x:v>
      </x:c>
      <x:c r="F430" s="13" t="n">
        <x:v>1000</x:v>
      </x:c>
      <x:c r="G430" s="9" t="n">
        <x:v>19.9</x:v>
      </x:c>
      <x:c r="H430" s="9" t="n">
        <x:v>88</x:v>
      </x:c>
      <x:c r="I430" s="8" t="str">
        <x:f>B430&amp;" / "&amp;C430&amp;" / "&amp;E430</x:f>
        <x:v>6868 / 2022 / RAINBOW TROUT</x:v>
      </x:c>
    </x:row>
    <x:row r="431" ht="23" customHeight="1">
      <x:c r="A431" s="8" t="str">
        <x:v>Cardiff Park Pond</x:v>
      </x:c>
      <x:c r="B431" s="8" t="str">
        <x:v>6868</x:v>
      </x:c>
      <x:c r="C431" s="17" t="n">
        <x:v>2022</x:v>
      </x:c>
      <x:c r="D431" s="18" t="n">
        <x:v>44689</x:v>
      </x:c>
      <x:c r="E431" s="8" t="str">
        <x:v>RAINBOW TROUT</x:v>
      </x:c>
      <x:c r="F431" s="13" t="n">
        <x:v>11500</x:v>
      </x:c>
      <x:c r="G431" s="9" t="n">
        <x:v>20.9</x:v>
      </x:c>
      <x:c r="H431" s="9" t="n">
        <x:v>98.2</x:v>
      </x:c>
      <x:c r="I431" s="8" t="str">
        <x:f>B431&amp;" / "&amp;C431&amp;" / "&amp;E431</x:f>
        <x:v>6868 / 2022 / RAINBOW TROUT</x:v>
      </x:c>
    </x:row>
    <x:row r="432" ht="23" customHeight="1">
      <x:c r="A432" s="8" t="str">
        <x:v>Cardiff Park Pond</x:v>
      </x:c>
      <x:c r="B432" s="8" t="str">
        <x:v>6868</x:v>
      </x:c>
      <x:c r="C432" s="17" t="n">
        <x:v>2022</x:v>
      </x:c>
      <x:c r="D432" s="18" t="n">
        <x:v>44687</x:v>
      </x:c>
      <x:c r="E432" s="8" t="str">
        <x:v>TIGER TROUT</x:v>
      </x:c>
      <x:c r="F432" s="13" t="n">
        <x:v>550</x:v>
      </x:c>
      <x:c r="G432" s="9" t="n">
        <x:v>17.7</x:v>
      </x:c>
      <x:c r="H432" s="9" t="n">
        <x:v>61</x:v>
      </x:c>
      <x:c r="I432" s="8" t="str">
        <x:f>B432&amp;" / "&amp;C432&amp;" / "&amp;E432</x:f>
        <x:v>6868 / 2022 / TIGER TROUT</x:v>
      </x:c>
    </x:row>
    <x:row r="433" ht="23" customHeight="1">
      <x:c r="A433" s="8" t="str">
        <x:v>Cardiff Park Pond</x:v>
      </x:c>
      <x:c r="B433" s="8" t="str">
        <x:v>6868</x:v>
      </x:c>
      <x:c r="C433" s="17" t="n">
        <x:v>2021</x:v>
      </x:c>
      <x:c r="D433" s="18" t="n">
        <x:v>44460</x:v>
      </x:c>
      <x:c r="E433" s="8" t="str">
        <x:v>RAINBOW TROUT</x:v>
      </x:c>
      <x:c r="F433" s="13" t="n">
        <x:v>771</x:v>
      </x:c>
      <x:c r="G433" s="9" t="n">
        <x:v>19.4</x:v>
      </x:c>
      <x:c r="H433" s="9" t="n">
        <x:v>81.2</x:v>
      </x:c>
      <x:c r="I433" s="8" t="str">
        <x:f>B433&amp;" / "&amp;C433&amp;" / "&amp;E433</x:f>
        <x:v>6868 / 2021 / RAINBOW TROUT</x:v>
      </x:c>
    </x:row>
    <x:row r="434" ht="23" customHeight="1">
      <x:c r="A434" s="8" t="str">
        <x:v>Cardiff Park Pond</x:v>
      </x:c>
      <x:c r="B434" s="8" t="str">
        <x:v>6868</x:v>
      </x:c>
      <x:c r="C434" s="17" t="n">
        <x:v>2021</x:v>
      </x:c>
      <x:c r="D434" s="18" t="n">
        <x:v>44460</x:v>
      </x:c>
      <x:c r="E434" s="8" t="str">
        <x:v>RAINBOW TROUT</x:v>
      </x:c>
      <x:c r="F434" s="13" t="n">
        <x:v>4229</x:v>
      </x:c>
      <x:c r="G434" s="9" t="n">
        <x:v>17.5</x:v>
      </x:c>
      <x:c r="H434" s="9" t="n">
        <x:v>59.6</x:v>
      </x:c>
      <x:c r="I434" s="8" t="str">
        <x:f>B434&amp;" / "&amp;C434&amp;" / "&amp;E434</x:f>
        <x:v>6868 / 2021 / RAINBOW TROUT</x:v>
      </x:c>
    </x:row>
    <x:row r="435" ht="23" customHeight="1">
      <x:c r="A435" s="8" t="str">
        <x:v>Cardiff Park Pond</x:v>
      </x:c>
      <x:c r="B435" s="8" t="str">
        <x:v>6868</x:v>
      </x:c>
      <x:c r="C435" s="17" t="n">
        <x:v>2021</x:v>
      </x:c>
      <x:c r="D435" s="18" t="n">
        <x:v>44316</x:v>
      </x:c>
      <x:c r="E435" s="8" t="str">
        <x:v>RAINBOW TROUT</x:v>
      </x:c>
      <x:c r="F435" s="13" t="n">
        <x:v>11500</x:v>
      </x:c>
      <x:c r="G435" s="9" t="n">
        <x:v>21.2</x:v>
      </x:c>
      <x:c r="H435" s="9" t="n">
        <x:v>105.9</x:v>
      </x:c>
      <x:c r="I435" s="8" t="str">
        <x:f>B435&amp;" / "&amp;C435&amp;" / "&amp;E435</x:f>
        <x:v>6868 / 2021 / RAINBOW TROUT</x:v>
      </x:c>
    </x:row>
    <x:row r="436" ht="23" customHeight="1">
      <x:c r="A436" s="8" t="str">
        <x:v>Cardiff Park Pond</x:v>
      </x:c>
      <x:c r="B436" s="8" t="str">
        <x:v>6868</x:v>
      </x:c>
      <x:c r="C436" s="17" t="n">
        <x:v>2021</x:v>
      </x:c>
      <x:c r="D436" s="18" t="n">
        <x:v>44460</x:v>
      </x:c>
      <x:c r="E436" s="8" t="str">
        <x:v>TIGER TROUT</x:v>
      </x:c>
      <x:c r="F436" s="13" t="n">
        <x:v>550</x:v>
      </x:c>
      <x:c r="G436" s="9" t="n">
        <x:v>21.8</x:v>
      </x:c>
      <x:c r="H436" s="9" t="n">
        <x:v>114.6</x:v>
      </x:c>
      <x:c r="I436" s="8" t="str">
        <x:f>B436&amp;" / "&amp;C436&amp;" / "&amp;E436</x:f>
        <x:v>6868 / 2021 / TIGER TROUT</x:v>
      </x:c>
    </x:row>
    <x:row r="437" ht="23" customHeight="1">
      <x:c r="A437" s="8" t="str">
        <x:v>Carnarvon Lake</x:v>
      </x:c>
      <x:c r="B437" s="8" t="str">
        <x:v>4221</x:v>
      </x:c>
      <x:c r="C437" s="17" t="n">
        <x:v>2021</x:v>
      </x:c>
      <x:c r="D437" s="18" t="n">
        <x:v>44447</x:v>
      </x:c>
      <x:c r="E437" s="8" t="str">
        <x:v>CUTTHROAT TROUT</x:v>
      </x:c>
      <x:c r="F437" s="13" t="n">
        <x:v>1200</x:v>
      </x:c>
      <x:c r="G437" s="9" t="n">
        <x:v>4.9</x:v>
      </x:c>
      <x:c r="H437" s="9" t="n">
        <x:v>1.3</x:v>
      </x:c>
      <x:c r="I437" s="8" t="str">
        <x:f>B437&amp;" / "&amp;C437&amp;" / "&amp;E437</x:f>
        <x:v>4221 / 2021 / CUTTHROAT TROUT</x:v>
      </x:c>
    </x:row>
    <x:row r="438" ht="23" customHeight="1">
      <x:c r="A438" s="8" t="str">
        <x:v>Carson Lake</x:v>
      </x:c>
      <x:c r="B438" s="8" t="str">
        <x:v>5286</x:v>
      </x:c>
      <x:c r="C438" s="17" t="n">
        <x:v>2026</x:v>
      </x:c>
      <x:c r="D438" s="18" t="n">
        <x:v>46175</x:v>
      </x:c>
      <x:c r="E438" s="8" t="str">
        <x:v>RAINBOW TROUT</x:v>
      </x:c>
      <x:c r="F438" s="13" t="n">
        <x:v>14055</x:v>
      </x:c>
      <x:c r="G438" s="9" t="n">
        <x:v>16.3</x:v>
      </x:c>
      <x:c r="H438" s="9" t="n">
        <x:v>47.9</x:v>
      </x:c>
      <x:c r="I438" s="8" t="str">
        <x:f>B438&amp;" / "&amp;C438&amp;" / "&amp;E438</x:f>
        <x:v>5286 / 2026 / RAINBOW TROUT</x:v>
      </x:c>
    </x:row>
    <x:row r="439" ht="23" customHeight="1">
      <x:c r="A439" s="8" t="str">
        <x:v>Carson Lake</x:v>
      </x:c>
      <x:c r="B439" s="8" t="str">
        <x:v>5286</x:v>
      </x:c>
      <x:c r="C439" s="17" t="n">
        <x:v>2026</x:v>
      </x:c>
      <x:c r="D439" s="18" t="n">
        <x:v>46175</x:v>
      </x:c>
      <x:c r="E439" s="8" t="str">
        <x:v>RAINBOW TROUT</x:v>
      </x:c>
      <x:c r="F439" s="13" t="n">
        <x:v>928</x:v>
      </x:c>
      <x:c r="G439" s="9" t="n">
        <x:v>23.7</x:v>
      </x:c>
      <x:c r="H439" s="9" t="n">
        <x:v>147.2</x:v>
      </x:c>
      <x:c r="I439" s="8" t="str">
        <x:f>B439&amp;" / "&amp;C439&amp;" / "&amp;E439</x:f>
        <x:v>5286 / 2026 / RAINBOW TROUT</x:v>
      </x:c>
    </x:row>
    <x:row r="440" ht="23" customHeight="1">
      <x:c r="A440" s="8" t="str">
        <x:v>Carson Lake</x:v>
      </x:c>
      <x:c r="B440" s="8" t="str">
        <x:v>5286</x:v>
      </x:c>
      <x:c r="C440" s="17" t="n">
        <x:v>2026</x:v>
      </x:c>
      <x:c r="D440" s="18" t="n">
        <x:v>46175</x:v>
      </x:c>
      <x:c r="E440" s="8" t="str">
        <x:v>RAINBOW TROUT</x:v>
      </x:c>
      <x:c r="F440" s="13" t="n">
        <x:v>5030</x:v>
      </x:c>
      <x:c r="G440" s="9" t="n">
        <x:v>21.6</x:v>
      </x:c>
      <x:c r="H440" s="9" t="n">
        <x:v>112.2</x:v>
      </x:c>
      <x:c r="I440" s="8" t="str">
        <x:f>B440&amp;" / "&amp;C440&amp;" / "&amp;E440</x:f>
        <x:v>5286 / 2026 / RAINBOW TROUT</x:v>
      </x:c>
    </x:row>
    <x:row r="441" ht="23" customHeight="1">
      <x:c r="A441" s="8" t="str">
        <x:v>Carson Lake</x:v>
      </x:c>
      <x:c r="B441" s="8" t="str">
        <x:v>5286</x:v>
      </x:c>
      <x:c r="C441" s="17" t="n">
        <x:v>2026</x:v>
      </x:c>
      <x:c r="D441" s="18" t="n">
        <x:v>46174</x:v>
      </x:c>
      <x:c r="E441" s="8" t="str">
        <x:v>RAINBOW TROUT</x:v>
      </x:c>
      <x:c r="F441" s="13" t="n">
        <x:v>8970</x:v>
      </x:c>
      <x:c r="G441" s="9" t="n">
        <x:v>22.7</x:v>
      </x:c>
      <x:c r="H441" s="9" t="n">
        <x:v>128.9</x:v>
      </x:c>
      <x:c r="I441" s="8" t="str">
        <x:f>B441&amp;" / "&amp;C441&amp;" / "&amp;E441</x:f>
        <x:v>5286 / 2026 / RAINBOW TROUT</x:v>
      </x:c>
    </x:row>
    <x:row r="442" ht="23" customHeight="1">
      <x:c r="A442" s="8" t="str">
        <x:v>Carson Lake</x:v>
      </x:c>
      <x:c r="B442" s="8" t="str">
        <x:v>5286</x:v>
      </x:c>
      <x:c r="C442" s="17" t="n">
        <x:v>2026</x:v>
      </x:c>
      <x:c r="D442" s="18" t="n">
        <x:v>46170</x:v>
      </x:c>
      <x:c r="E442" s="8" t="str">
        <x:v>RAINBOW TROUT</x:v>
      </x:c>
      <x:c r="F442" s="13" t="n">
        <x:v>4000</x:v>
      </x:c>
      <x:c r="G442" s="9" t="n">
        <x:v>23.3</x:v>
      </x:c>
      <x:c r="H442" s="9" t="n">
        <x:v>140.4</x:v>
      </x:c>
      <x:c r="I442" s="8" t="str">
        <x:f>B442&amp;" / "&amp;C442&amp;" / "&amp;E442</x:f>
        <x:v>5286 / 2026 / RAINBOW TROUT</x:v>
      </x:c>
    </x:row>
    <x:row r="443" ht="23" customHeight="1">
      <x:c r="A443" s="8" t="str">
        <x:v>Carson Lake</x:v>
      </x:c>
      <x:c r="B443" s="8" t="str">
        <x:v>5286</x:v>
      </x:c>
      <x:c r="C443" s="17" t="n">
        <x:v>2026</x:v>
      </x:c>
      <x:c r="D443" s="18" t="n">
        <x:v>46170</x:v>
      </x:c>
      <x:c r="E443" s="8" t="str">
        <x:v>RAINBOW TROUT</x:v>
      </x:c>
      <x:c r="F443" s="13" t="n">
        <x:v>6500</x:v>
      </x:c>
      <x:c r="G443" s="9" t="n">
        <x:v>21.8</x:v>
      </x:c>
      <x:c r="H443" s="9" t="n">
        <x:v>115</x:v>
      </x:c>
      <x:c r="I443" s="8" t="str">
        <x:f>B443&amp;" / "&amp;C443&amp;" / "&amp;E443</x:f>
        <x:v>5286 / 2026 / RAINBOW TROUT</x:v>
      </x:c>
    </x:row>
    <x:row r="444" ht="23" customHeight="1">
      <x:c r="A444" s="8" t="str">
        <x:v>Carson Lake</x:v>
      </x:c>
      <x:c r="B444" s="8" t="str">
        <x:v>5286</x:v>
      </x:c>
      <x:c r="C444" s="17" t="n">
        <x:v>2026</x:v>
      </x:c>
      <x:c r="D444" s="18" t="n">
        <x:v>46161</x:v>
      </x:c>
      <x:c r="E444" s="8" t="str">
        <x:v>RAINBOW TROUT</x:v>
      </x:c>
      <x:c r="F444" s="13" t="n">
        <x:v>10500</x:v>
      </x:c>
      <x:c r="G444" s="9" t="n">
        <x:v>20.5</x:v>
      </x:c>
      <x:c r="H444" s="9" t="n">
        <x:v>92.9</x:v>
      </x:c>
      <x:c r="I444" s="8" t="str">
        <x:f>B444&amp;" / "&amp;C444&amp;" / "&amp;E444</x:f>
        <x:v>5286 / 2026 / RAINBOW TROUT</x:v>
      </x:c>
    </x:row>
    <x:row r="445" ht="23" customHeight="1">
      <x:c r="A445" s="8" t="str">
        <x:v>Carson Lake</x:v>
      </x:c>
      <x:c r="B445" s="8" t="str">
        <x:v>5286</x:v>
      </x:c>
      <x:c r="C445" s="17" t="n">
        <x:v>2026</x:v>
      </x:c>
      <x:c r="D445" s="18" t="n">
        <x:v>46156</x:v>
      </x:c>
      <x:c r="E445" s="8" t="str">
        <x:v>RAINBOW TROUT</x:v>
      </x:c>
      <x:c r="F445" s="13" t="n">
        <x:v>27206</x:v>
      </x:c>
      <x:c r="G445" s="9" t="n">
        <x:v>15.4</x:v>
      </x:c>
      <x:c r="H445" s="9" t="n">
        <x:v>40.5</x:v>
      </x:c>
      <x:c r="I445" s="8" t="str">
        <x:f>B445&amp;" / "&amp;C445&amp;" / "&amp;E445</x:f>
        <x:v>5286 / 2026 / RAINBOW TROUT</x:v>
      </x:c>
    </x:row>
    <x:row r="446" ht="23" customHeight="1">
      <x:c r="A446" s="8" t="str">
        <x:v>Carson Lake</x:v>
      </x:c>
      <x:c r="B446" s="8" t="str">
        <x:v>5286</x:v>
      </x:c>
      <x:c r="C446" s="17" t="n">
        <x:v>2026</x:v>
      </x:c>
      <x:c r="D446" s="18" t="n">
        <x:v>46155</x:v>
      </x:c>
      <x:c r="E446" s="8" t="str">
        <x:v>RAINBOW TROUT</x:v>
      </x:c>
      <x:c r="F446" s="13" t="n">
        <x:v>28739</x:v>
      </x:c>
      <x:c r="G446" s="9" t="n">
        <x:v>15.9</x:v>
      </x:c>
      <x:c r="H446" s="9" t="n">
        <x:v>44</x:v>
      </x:c>
      <x:c r="I446" s="8" t="str">
        <x:f>B446&amp;" / "&amp;C446&amp;" / "&amp;E446</x:f>
        <x:v>5286 / 2026 / RAINBOW TROUT</x:v>
      </x:c>
    </x:row>
    <x:row r="447" ht="23" customHeight="1">
      <x:c r="A447" s="8" t="str">
        <x:v>Carson Lake</x:v>
      </x:c>
      <x:c r="B447" s="8" t="str">
        <x:v>5286</x:v>
      </x:c>
      <x:c r="C447" s="17" t="n">
        <x:v>2025</x:v>
      </x:c>
      <x:c r="D447" s="18" t="n">
        <x:v>45930</x:v>
      </x:c>
      <x:c r="E447" s="8" t="str">
        <x:v>RAINBOW TROUT</x:v>
      </x:c>
      <x:c r="F447" s="13" t="n">
        <x:v>10590</x:v>
      </x:c>
      <x:c r="G447" s="9" t="n">
        <x:v>20.4</x:v>
      </x:c>
      <x:c r="H447" s="9" t="n">
        <x:v>93.6</x:v>
      </x:c>
      <x:c r="I447" s="8" t="str">
        <x:f>B447&amp;" / "&amp;C447&amp;" / "&amp;E447</x:f>
        <x:v>5286 / 2025 / RAINBOW TROUT</x:v>
      </x:c>
    </x:row>
    <x:row r="448" ht="23" customHeight="1">
      <x:c r="A448" s="8" t="str">
        <x:v>Carson Lake</x:v>
      </x:c>
      <x:c r="B448" s="8" t="str">
        <x:v>5286</x:v>
      </x:c>
      <x:c r="C448" s="17" t="n">
        <x:v>2025</x:v>
      </x:c>
      <x:c r="D448" s="18" t="n">
        <x:v>45930</x:v>
      </x:c>
      <x:c r="E448" s="8" t="str">
        <x:v>RAINBOW TROUT</x:v>
      </x:c>
      <x:c r="F448" s="13" t="n">
        <x:v>4281</x:v>
      </x:c>
      <x:c r="G448" s="9" t="n">
        <x:v>17.9</x:v>
      </x:c>
      <x:c r="H448" s="9" t="n">
        <x:v>63.7</x:v>
      </x:c>
      <x:c r="I448" s="8" t="str">
        <x:f>B448&amp;" / "&amp;C448&amp;" / "&amp;E448</x:f>
        <x:v>5286 / 2025 / RAINBOW TROUT</x:v>
      </x:c>
    </x:row>
    <x:row r="449" ht="23" customHeight="1">
      <x:c r="A449" s="8" t="str">
        <x:v>Carson Lake</x:v>
      </x:c>
      <x:c r="B449" s="8" t="str">
        <x:v>5286</x:v>
      </x:c>
      <x:c r="C449" s="17" t="n">
        <x:v>2025</x:v>
      </x:c>
      <x:c r="D449" s="18" t="n">
        <x:v>45928</x:v>
      </x:c>
      <x:c r="E449" s="8" t="str">
        <x:v>RAINBOW TROUT</x:v>
      </x:c>
      <x:c r="F449" s="13" t="n">
        <x:v>16134</x:v>
      </x:c>
      <x:c r="G449" s="9" t="n">
        <x:v>18.6</x:v>
      </x:c>
      <x:c r="H449" s="9" t="n">
        <x:v>71.6</x:v>
      </x:c>
      <x:c r="I449" s="8" t="str">
        <x:f>B449&amp;" / "&amp;C449&amp;" / "&amp;E449</x:f>
        <x:v>5286 / 2025 / RAINBOW TROUT</x:v>
      </x:c>
    </x:row>
    <x:row r="450" ht="23" customHeight="1">
      <x:c r="A450" s="8" t="str">
        <x:v>Carson Lake</x:v>
      </x:c>
      <x:c r="B450" s="8" t="str">
        <x:v>5286</x:v>
      </x:c>
      <x:c r="C450" s="17" t="n">
        <x:v>2025</x:v>
      </x:c>
      <x:c r="D450" s="18" t="n">
        <x:v>45928</x:v>
      </x:c>
      <x:c r="E450" s="8" t="str">
        <x:v>RAINBOW TROUT</x:v>
      </x:c>
      <x:c r="F450" s="13" t="n">
        <x:v>9740</x:v>
      </x:c>
      <x:c r="G450" s="9" t="n">
        <x:v>18.9</x:v>
      </x:c>
      <x:c r="H450" s="9" t="n">
        <x:v>74.2</x:v>
      </x:c>
      <x:c r="I450" s="8" t="str">
        <x:f>B450&amp;" / "&amp;C450&amp;" / "&amp;E450</x:f>
        <x:v>5286 / 2025 / RAINBOW TROUT</x:v>
      </x:c>
    </x:row>
    <x:row r="451" ht="23" customHeight="1">
      <x:c r="A451" s="8" t="str">
        <x:v>Carson Lake</x:v>
      </x:c>
      <x:c r="B451" s="8" t="str">
        <x:v>5286</x:v>
      </x:c>
      <x:c r="C451" s="17" t="n">
        <x:v>2025</x:v>
      </x:c>
      <x:c r="D451" s="18" t="n">
        <x:v>45928</x:v>
      </x:c>
      <x:c r="E451" s="8" t="str">
        <x:v>RAINBOW TROUT</x:v>
      </x:c>
      <x:c r="F451" s="13" t="n">
        <x:v>10645</x:v>
      </x:c>
      <x:c r="G451" s="9" t="n">
        <x:v>19.5</x:v>
      </x:c>
      <x:c r="H451" s="9" t="n">
        <x:v>82.4</x:v>
      </x:c>
      <x:c r="I451" s="8" t="str">
        <x:f>B451&amp;" / "&amp;C451&amp;" / "&amp;E451</x:f>
        <x:v>5286 / 2025 / RAINBOW TROUT</x:v>
      </x:c>
    </x:row>
    <x:row r="452" ht="23" customHeight="1">
      <x:c r="A452" s="8" t="str">
        <x:v>Carson Lake</x:v>
      </x:c>
      <x:c r="B452" s="8" t="str">
        <x:v>5286</x:v>
      </x:c>
      <x:c r="C452" s="17" t="n">
        <x:v>2025</x:v>
      </x:c>
      <x:c r="D452" s="18" t="n">
        <x:v>45923</x:v>
      </x:c>
      <x:c r="E452" s="8" t="str">
        <x:v>RAINBOW TROUT</x:v>
      </x:c>
      <x:c r="F452" s="13" t="n">
        <x:v>5390</x:v>
      </x:c>
      <x:c r="G452" s="9" t="n">
        <x:v>17.9</x:v>
      </x:c>
      <x:c r="H452" s="9" t="n">
        <x:v>63.4</x:v>
      </x:c>
      <x:c r="I452" s="8" t="str">
        <x:f>B452&amp;" / "&amp;C452&amp;" / "&amp;E452</x:f>
        <x:v>5286 / 2025 / RAINBOW TROUT</x:v>
      </x:c>
    </x:row>
    <x:row r="453" ht="23" customHeight="1">
      <x:c r="A453" s="8" t="str">
        <x:v>Carson Lake</x:v>
      </x:c>
      <x:c r="B453" s="8" t="str">
        <x:v>5286</x:v>
      </x:c>
      <x:c r="C453" s="17" t="n">
        <x:v>2025</x:v>
      </x:c>
      <x:c r="D453" s="18" t="n">
        <x:v>45923</x:v>
      </x:c>
      <x:c r="E453" s="8" t="str">
        <x:v>RAINBOW TROUT</x:v>
      </x:c>
      <x:c r="F453" s="13" t="n">
        <x:v>10150</x:v>
      </x:c>
      <x:c r="G453" s="9" t="n">
        <x:v>18.9</x:v>
      </x:c>
      <x:c r="H453" s="9" t="n">
        <x:v>74.2</x:v>
      </x:c>
      <x:c r="I453" s="8" t="str">
        <x:f>B453&amp;" / "&amp;C453&amp;" / "&amp;E453</x:f>
        <x:v>5286 / 2025 / RAINBOW TROUT</x:v>
      </x:c>
    </x:row>
    <x:row r="454" ht="23" customHeight="1">
      <x:c r="A454" s="8" t="str">
        <x:v>Carson Lake</x:v>
      </x:c>
      <x:c r="B454" s="8" t="str">
        <x:v>5286</x:v>
      </x:c>
      <x:c r="C454" s="17" t="n">
        <x:v>2025</x:v>
      </x:c>
      <x:c r="D454" s="18" t="n">
        <x:v>45819</x:v>
      </x:c>
      <x:c r="E454" s="8" t="str">
        <x:v>RAINBOW TROUT</x:v>
      </x:c>
      <x:c r="F454" s="13" t="n">
        <x:v>14300</x:v>
      </x:c>
      <x:c r="G454" s="9" t="n">
        <x:v>17.9</x:v>
      </x:c>
      <x:c r="H454" s="9" t="n">
        <x:v>63.3</x:v>
      </x:c>
      <x:c r="I454" s="8" t="str">
        <x:f>B454&amp;" / "&amp;C454&amp;" / "&amp;E454</x:f>
        <x:v>5286 / 2025 / RAINBOW TROUT</x:v>
      </x:c>
    </x:row>
    <x:row r="455" ht="23" customHeight="1">
      <x:c r="A455" s="8" t="str">
        <x:v>Carson Lake</x:v>
      </x:c>
      <x:c r="B455" s="8" t="str">
        <x:v>5286</x:v>
      </x:c>
      <x:c r="C455" s="17" t="n">
        <x:v>2025</x:v>
      </x:c>
      <x:c r="D455" s="18" t="n">
        <x:v>45819</x:v>
      </x:c>
      <x:c r="E455" s="8" t="str">
        <x:v>RAINBOW TROUT</x:v>
      </x:c>
      <x:c r="F455" s="13" t="n">
        <x:v>16700</x:v>
      </x:c>
      <x:c r="G455" s="9" t="n">
        <x:v>17.1</x:v>
      </x:c>
      <x:c r="H455" s="9" t="n">
        <x:v>54.9</x:v>
      </x:c>
      <x:c r="I455" s="8" t="str">
        <x:f>B455&amp;" / "&amp;C455&amp;" / "&amp;E455</x:f>
        <x:v>5286 / 2025 / RAINBOW TROUT</x:v>
      </x:c>
    </x:row>
    <x:row r="456" ht="23" customHeight="1">
      <x:c r="A456" s="8" t="str">
        <x:v>Carson Lake</x:v>
      </x:c>
      <x:c r="B456" s="8" t="str">
        <x:v>5286</x:v>
      </x:c>
      <x:c r="C456" s="17" t="n">
        <x:v>2025</x:v>
      </x:c>
      <x:c r="D456" s="18" t="n">
        <x:v>45810</x:v>
      </x:c>
      <x:c r="E456" s="8" t="str">
        <x:v>RAINBOW TROUT</x:v>
      </x:c>
      <x:c r="F456" s="13" t="n">
        <x:v>4000</x:v>
      </x:c>
      <x:c r="G456" s="9" t="n">
        <x:v>23.9</x:v>
      </x:c>
      <x:c r="H456" s="9" t="n">
        <x:v>151.9</x:v>
      </x:c>
      <x:c r="I456" s="8" t="str">
        <x:f>B456&amp;" / "&amp;C456&amp;" / "&amp;E456</x:f>
        <x:v>5286 / 2025 / RAINBOW TROUT</x:v>
      </x:c>
    </x:row>
    <x:row r="457" ht="23" customHeight="1">
      <x:c r="A457" s="8" t="str">
        <x:v>Carson Lake</x:v>
      </x:c>
      <x:c r="B457" s="8" t="str">
        <x:v>5286</x:v>
      </x:c>
      <x:c r="C457" s="17" t="n">
        <x:v>2025</x:v>
      </x:c>
      <x:c r="D457" s="18" t="n">
        <x:v>45810</x:v>
      </x:c>
      <x:c r="E457" s="8" t="str">
        <x:v>RAINBOW TROUT</x:v>
      </x:c>
      <x:c r="F457" s="13" t="n">
        <x:v>10000</x:v>
      </x:c>
      <x:c r="G457" s="9" t="n">
        <x:v>18.4</x:v>
      </x:c>
      <x:c r="H457" s="9" t="n">
        <x:v>68.5</x:v>
      </x:c>
      <x:c r="I457" s="8" t="str">
        <x:f>B457&amp;" / "&amp;C457&amp;" / "&amp;E457</x:f>
        <x:v>5286 / 2025 / RAINBOW TROUT</x:v>
      </x:c>
    </x:row>
    <x:row r="458" ht="23" customHeight="1">
      <x:c r="A458" s="8" t="str">
        <x:v>Carson Lake</x:v>
      </x:c>
      <x:c r="B458" s="8" t="str">
        <x:v>5286</x:v>
      </x:c>
      <x:c r="C458" s="17" t="n">
        <x:v>2025</x:v>
      </x:c>
      <x:c r="D458" s="18" t="n">
        <x:v>45809</x:v>
      </x:c>
      <x:c r="E458" s="8" t="str">
        <x:v>RAINBOW TROUT</x:v>
      </x:c>
      <x:c r="F458" s="13" t="n">
        <x:v>20500</x:v>
      </x:c>
      <x:c r="G458" s="9" t="n">
        <x:v>17.8</x:v>
      </x:c>
      <x:c r="H458" s="9" t="n">
        <x:v>62.3</x:v>
      </x:c>
      <x:c r="I458" s="8" t="str">
        <x:f>B458&amp;" / "&amp;C458&amp;" / "&amp;E458</x:f>
        <x:v>5286 / 2025 / RAINBOW TROUT</x:v>
      </x:c>
    </x:row>
    <x:row r="459" ht="23" customHeight="1">
      <x:c r="A459" s="8" t="str">
        <x:v>Carson Lake</x:v>
      </x:c>
      <x:c r="B459" s="8" t="str">
        <x:v>5286</x:v>
      </x:c>
      <x:c r="C459" s="17" t="n">
        <x:v>2025</x:v>
      </x:c>
      <x:c r="D459" s="18" t="n">
        <x:v>45799</x:v>
      </x:c>
      <x:c r="E459" s="8" t="str">
        <x:v>RAINBOW TROUT</x:v>
      </x:c>
      <x:c r="F459" s="13" t="n">
        <x:v>12000</x:v>
      </x:c>
      <x:c r="G459" s="9" t="n">
        <x:v>21.9</x:v>
      </x:c>
      <x:c r="H459" s="9" t="n">
        <x:v>117.1</x:v>
      </x:c>
      <x:c r="I459" s="8" t="str">
        <x:f>B459&amp;" / "&amp;C459&amp;" / "&amp;E459</x:f>
        <x:v>5286 / 2025 / RAINBOW TROUT</x:v>
      </x:c>
    </x:row>
    <x:row r="460" ht="23" customHeight="1">
      <x:c r="A460" s="8" t="str">
        <x:v>Carson Lake</x:v>
      </x:c>
      <x:c r="B460" s="8" t="str">
        <x:v>5286</x:v>
      </x:c>
      <x:c r="C460" s="17" t="n">
        <x:v>2025</x:v>
      </x:c>
      <x:c r="D460" s="18" t="n">
        <x:v>45788</x:v>
      </x:c>
      <x:c r="E460" s="8" t="str">
        <x:v>RAINBOW TROUT</x:v>
      </x:c>
      <x:c r="F460" s="13" t="n">
        <x:v>10000</x:v>
      </x:c>
      <x:c r="G460" s="9" t="n">
        <x:v>20.3</x:v>
      </x:c>
      <x:c r="H460" s="9" t="n">
        <x:v>89.9</x:v>
      </x:c>
      <x:c r="I460" s="8" t="str">
        <x:f>B460&amp;" / "&amp;C460&amp;" / "&amp;E460</x:f>
        <x:v>5286 / 2025 / RAINBOW TROUT</x:v>
      </x:c>
    </x:row>
    <x:row r="461" ht="23" customHeight="1">
      <x:c r="A461" s="8" t="str">
        <x:v>Carson Lake</x:v>
      </x:c>
      <x:c r="B461" s="8" t="str">
        <x:v>5286</x:v>
      </x:c>
      <x:c r="C461" s="17" t="n">
        <x:v>2025</x:v>
      </x:c>
      <x:c r="D461" s="18" t="n">
        <x:v>45783</x:v>
      </x:c>
      <x:c r="E461" s="8" t="str">
        <x:v>RAINBOW TROUT</x:v>
      </x:c>
      <x:c r="F461" s="13" t="n">
        <x:v>9900</x:v>
      </x:c>
      <x:c r="G461" s="9" t="n">
        <x:v>20.9</x:v>
      </x:c>
      <x:c r="H461" s="9" t="n">
        <x:v>101.6</x:v>
      </x:c>
      <x:c r="I461" s="8" t="str">
        <x:f>B461&amp;" / "&amp;C461&amp;" / "&amp;E461</x:f>
        <x:v>5286 / 2025 / RAINBOW TROUT</x:v>
      </x:c>
    </x:row>
    <x:row r="462" ht="23" customHeight="1">
      <x:c r="A462" s="8" t="str">
        <x:v>Carson Lake</x:v>
      </x:c>
      <x:c r="B462" s="8" t="str">
        <x:v>5286</x:v>
      </x:c>
      <x:c r="C462" s="17" t="n">
        <x:v>2024</x:v>
      </x:c>
      <x:c r="D462" s="18" t="n">
        <x:v>45574</x:v>
      </x:c>
      <x:c r="E462" s="8" t="str">
        <x:v>RAINBOW TROUT</x:v>
      </x:c>
      <x:c r="F462" s="13" t="n">
        <x:v>20500</x:v>
      </x:c>
      <x:c r="G462" s="9" t="n">
        <x:v>14.1</x:v>
      </x:c>
      <x:c r="H462" s="9" t="n">
        <x:v>31.3</x:v>
      </x:c>
      <x:c r="I462" s="8" t="str">
        <x:f>B462&amp;" / "&amp;C462&amp;" / "&amp;E462</x:f>
        <x:v>5286 / 2024 / RAINBOW TROUT</x:v>
      </x:c>
    </x:row>
    <x:row r="463" ht="23" customHeight="1">
      <x:c r="A463" s="8" t="str">
        <x:v>Carson Lake</x:v>
      </x:c>
      <x:c r="B463" s="8" t="str">
        <x:v>5286</x:v>
      </x:c>
      <x:c r="C463" s="17" t="n">
        <x:v>2024</x:v>
      </x:c>
      <x:c r="D463" s="18" t="n">
        <x:v>45574</x:v>
      </x:c>
      <x:c r="E463" s="8" t="str">
        <x:v>RAINBOW TROUT</x:v>
      </x:c>
      <x:c r="F463" s="13" t="n">
        <x:v>6100</x:v>
      </x:c>
      <x:c r="G463" s="9" t="n">
        <x:v>19.1</x:v>
      </x:c>
      <x:c r="H463" s="9" t="n">
        <x:v>76.5</x:v>
      </x:c>
      <x:c r="I463" s="8" t="str">
        <x:f>B463&amp;" / "&amp;C463&amp;" / "&amp;E463</x:f>
        <x:v>5286 / 2024 / RAINBOW TROUT</x:v>
      </x:c>
    </x:row>
    <x:row r="464" ht="23" customHeight="1">
      <x:c r="A464" s="8" t="str">
        <x:v>Carson Lake</x:v>
      </x:c>
      <x:c r="B464" s="8" t="str">
        <x:v>5286</x:v>
      </x:c>
      <x:c r="C464" s="17" t="n">
        <x:v>2024</x:v>
      </x:c>
      <x:c r="D464" s="18" t="n">
        <x:v>45574</x:v>
      </x:c>
      <x:c r="E464" s="8" t="str">
        <x:v>RAINBOW TROUT</x:v>
      </x:c>
      <x:c r="F464" s="13" t="n">
        <x:v>4200</x:v>
      </x:c>
      <x:c r="G464" s="9" t="n">
        <x:v>20.9</x:v>
      </x:c>
      <x:c r="H464" s="9" t="n">
        <x:v>101.3</x:v>
      </x:c>
      <x:c r="I464" s="8" t="str">
        <x:f>B464&amp;" / "&amp;C464&amp;" / "&amp;E464</x:f>
        <x:v>5286 / 2024 / RAINBOW TROUT</x:v>
      </x:c>
    </x:row>
    <x:row r="465" ht="23" customHeight="1">
      <x:c r="A465" s="8" t="str">
        <x:v>Carson Lake</x:v>
      </x:c>
      <x:c r="B465" s="8" t="str">
        <x:v>5286</x:v>
      </x:c>
      <x:c r="C465" s="17" t="n">
        <x:v>2024</x:v>
      </x:c>
      <x:c r="D465" s="18" t="n">
        <x:v>45568</x:v>
      </x:c>
      <x:c r="E465" s="8" t="str">
        <x:v>RAINBOW TROUT</x:v>
      </x:c>
      <x:c r="F465" s="13" t="n">
        <x:v>15058</x:v>
      </x:c>
      <x:c r="G465" s="9" t="n">
        <x:v>9.7</x:v>
      </x:c>
      <x:c r="H465" s="9" t="n">
        <x:v>9.7</x:v>
      </x:c>
      <x:c r="I465" s="8" t="str">
        <x:f>B465&amp;" / "&amp;C465&amp;" / "&amp;E465</x:f>
        <x:v>5286 / 2024 / RAINBOW TROUT</x:v>
      </x:c>
    </x:row>
    <x:row r="466" ht="23" customHeight="1">
      <x:c r="A466" s="8" t="str">
        <x:v>Carson Lake</x:v>
      </x:c>
      <x:c r="B466" s="8" t="str">
        <x:v>5286</x:v>
      </x:c>
      <x:c r="C466" s="17" t="n">
        <x:v>2024</x:v>
      </x:c>
      <x:c r="D466" s="18" t="n">
        <x:v>45567</x:v>
      </x:c>
      <x:c r="E466" s="8" t="str">
        <x:v>RAINBOW TROUT</x:v>
      </x:c>
      <x:c r="F466" s="13" t="n">
        <x:v>8550</x:v>
      </x:c>
      <x:c r="G466" s="9" t="n">
        <x:v>19.3</x:v>
      </x:c>
      <x:c r="H466" s="9" t="n">
        <x:v>78.5</x:v>
      </x:c>
      <x:c r="I466" s="8" t="str">
        <x:f>B466&amp;" / "&amp;C466&amp;" / "&amp;E466</x:f>
        <x:v>5286 / 2024 / RAINBOW TROUT</x:v>
      </x:c>
    </x:row>
    <x:row r="467" ht="23" customHeight="1">
      <x:c r="A467" s="8" t="str">
        <x:v>Carson Lake</x:v>
      </x:c>
      <x:c r="B467" s="8" t="str">
        <x:v>5286</x:v>
      </x:c>
      <x:c r="C467" s="17" t="n">
        <x:v>2024</x:v>
      </x:c>
      <x:c r="D467" s="18" t="n">
        <x:v>45561</x:v>
      </x:c>
      <x:c r="E467" s="8" t="str">
        <x:v>RAINBOW TROUT</x:v>
      </x:c>
      <x:c r="F467" s="13" t="n">
        <x:v>14000</x:v>
      </x:c>
      <x:c r="G467" s="9" t="n">
        <x:v>20.3</x:v>
      </x:c>
      <x:c r="H467" s="9" t="n">
        <x:v>88.9</x:v>
      </x:c>
      <x:c r="I467" s="8" t="str">
        <x:f>B467&amp;" / "&amp;C467&amp;" / "&amp;E467</x:f>
        <x:v>5286 / 2024 / RAINBOW TROUT</x:v>
      </x:c>
    </x:row>
    <x:row r="468" ht="23" customHeight="1">
      <x:c r="A468" s="8" t="str">
        <x:v>Carson Lake</x:v>
      </x:c>
      <x:c r="B468" s="8" t="str">
        <x:v>5286</x:v>
      </x:c>
      <x:c r="C468" s="17" t="n">
        <x:v>2024</x:v>
      </x:c>
      <x:c r="D468" s="18" t="n">
        <x:v>45560</x:v>
      </x:c>
      <x:c r="E468" s="8" t="str">
        <x:v>RAINBOW TROUT</x:v>
      </x:c>
      <x:c r="F468" s="13" t="n">
        <x:v>14000</x:v>
      </x:c>
      <x:c r="G468" s="9" t="n">
        <x:v>19.8</x:v>
      </x:c>
      <x:c r="H468" s="9" t="n">
        <x:v>86.7</x:v>
      </x:c>
      <x:c r="I468" s="8" t="str">
        <x:f>B468&amp;" / "&amp;C468&amp;" / "&amp;E468</x:f>
        <x:v>5286 / 2024 / RAINBOW TROUT</x:v>
      </x:c>
    </x:row>
    <x:row r="469" ht="23" customHeight="1">
      <x:c r="A469" s="8" t="str">
        <x:v>Carson Lake</x:v>
      </x:c>
      <x:c r="B469" s="8" t="str">
        <x:v>5286</x:v>
      </x:c>
      <x:c r="C469" s="17" t="n">
        <x:v>2024</x:v>
      </x:c>
      <x:c r="D469" s="18" t="n">
        <x:v>45441</x:v>
      </x:c>
      <x:c r="E469" s="8" t="str">
        <x:v>RAINBOW TROUT</x:v>
      </x:c>
      <x:c r="F469" s="13" t="n">
        <x:v>78018</x:v>
      </x:c>
      <x:c r="G469" s="9" t="n">
        <x:v>9.5</x:v>
      </x:c>
      <x:c r="H469" s="9" t="n">
        <x:v>9.3</x:v>
      </x:c>
      <x:c r="I469" s="8" t="str">
        <x:f>B469&amp;" / "&amp;C469&amp;" / "&amp;E469</x:f>
        <x:v>5286 / 2024 / RAINBOW TROUT</x:v>
      </x:c>
    </x:row>
    <x:row r="470" ht="23" customHeight="1">
      <x:c r="A470" s="8" t="str">
        <x:v>Carson Lake</x:v>
      </x:c>
      <x:c r="B470" s="8" t="str">
        <x:v>5286</x:v>
      </x:c>
      <x:c r="C470" s="17" t="n">
        <x:v>2024</x:v>
      </x:c>
      <x:c r="D470" s="18" t="n">
        <x:v>45429</x:v>
      </x:c>
      <x:c r="E470" s="8" t="str">
        <x:v>RAINBOW TROUT</x:v>
      </x:c>
      <x:c r="F470" s="13" t="n">
        <x:v>7156</x:v>
      </x:c>
      <x:c r="G470" s="9" t="n">
        <x:v>19.5</x:v>
      </x:c>
      <x:c r="H470" s="9" t="n">
        <x:v>79.6</x:v>
      </x:c>
      <x:c r="I470" s="8" t="str">
        <x:f>B470&amp;" / "&amp;C470&amp;" / "&amp;E470</x:f>
        <x:v>5286 / 2024 / RAINBOW TROUT</x:v>
      </x:c>
    </x:row>
    <x:row r="471" ht="23" customHeight="1">
      <x:c r="A471" s="8" t="str">
        <x:v>Carson Lake</x:v>
      </x:c>
      <x:c r="B471" s="8" t="str">
        <x:v>5286</x:v>
      </x:c>
      <x:c r="C471" s="17" t="n">
        <x:v>2024</x:v>
      </x:c>
      <x:c r="D471" s="18" t="n">
        <x:v>45428</x:v>
      </x:c>
      <x:c r="E471" s="8" t="str">
        <x:v>RAINBOW TROUT</x:v>
      </x:c>
      <x:c r="F471" s="13" t="n">
        <x:v>14097</x:v>
      </x:c>
      <x:c r="G471" s="9" t="n">
        <x:v>19.5</x:v>
      </x:c>
      <x:c r="H471" s="9" t="n">
        <x:v>79.6</x:v>
      </x:c>
      <x:c r="I471" s="8" t="str">
        <x:f>B471&amp;" / "&amp;C471&amp;" / "&amp;E471</x:f>
        <x:v>5286 / 2024 / RAINBOW TROUT</x:v>
      </x:c>
    </x:row>
    <x:row r="472" ht="23" customHeight="1">
      <x:c r="A472" s="8" t="str">
        <x:v>Carson Lake</x:v>
      </x:c>
      <x:c r="B472" s="8" t="str">
        <x:v>5286</x:v>
      </x:c>
      <x:c r="C472" s="17" t="n">
        <x:v>2024</x:v>
      </x:c>
      <x:c r="D472" s="18" t="n">
        <x:v>45428</x:v>
      </x:c>
      <x:c r="E472" s="8" t="str">
        <x:v>RAINBOW TROUT</x:v>
      </x:c>
      <x:c r="F472" s="13" t="n">
        <x:v>3204</x:v>
      </x:c>
      <x:c r="G472" s="9" t="n">
        <x:v>20</x:v>
      </x:c>
      <x:c r="H472" s="9" t="n">
        <x:v>86.9</x:v>
      </x:c>
      <x:c r="I472" s="8" t="str">
        <x:f>B472&amp;" / "&amp;C472&amp;" / "&amp;E472</x:f>
        <x:v>5286 / 2024 / RAINBOW TROUT</x:v>
      </x:c>
    </x:row>
    <x:row r="473" ht="23" customHeight="1">
      <x:c r="A473" s="8" t="str">
        <x:v>Carson Lake</x:v>
      </x:c>
      <x:c r="B473" s="8" t="str">
        <x:v>5286</x:v>
      </x:c>
      <x:c r="C473" s="17" t="n">
        <x:v>2023</x:v>
      </x:c>
      <x:c r="D473" s="18" t="n">
        <x:v>45194</x:v>
      </x:c>
      <x:c r="E473" s="8" t="str">
        <x:v>RAINBOW TROUT</x:v>
      </x:c>
      <x:c r="F473" s="13" t="n">
        <x:v>201</x:v>
      </x:c>
      <x:c r="G473" s="9" t="n">
        <x:v>20.7</x:v>
      </x:c>
      <x:c r="H473" s="9" t="n">
        <x:v>97.1</x:v>
      </x:c>
      <x:c r="I473" s="8" t="str">
        <x:f>B473&amp;" / "&amp;C473&amp;" / "&amp;E473</x:f>
        <x:v>5286 / 2023 / RAINBOW TROUT</x:v>
      </x:c>
    </x:row>
    <x:row r="474" ht="23" customHeight="1">
      <x:c r="A474" s="8" t="str">
        <x:v>Carson Lake</x:v>
      </x:c>
      <x:c r="B474" s="8" t="str">
        <x:v>5286</x:v>
      </x:c>
      <x:c r="C474" s="17" t="n">
        <x:v>2023</x:v>
      </x:c>
      <x:c r="D474" s="18" t="n">
        <x:v>45194</x:v>
      </x:c>
      <x:c r="E474" s="8" t="str">
        <x:v>RAINBOW TROUT</x:v>
      </x:c>
      <x:c r="F474" s="13" t="n">
        <x:v>2653</x:v>
      </x:c>
      <x:c r="G474" s="9" t="n">
        <x:v>17.7</x:v>
      </x:c>
      <x:c r="H474" s="9" t="n">
        <x:v>61.4</x:v>
      </x:c>
      <x:c r="I474" s="8" t="str">
        <x:f>B474&amp;" / "&amp;C474&amp;" / "&amp;E474</x:f>
        <x:v>5286 / 2023 / RAINBOW TROUT</x:v>
      </x:c>
    </x:row>
    <x:row r="475" ht="23" customHeight="1">
      <x:c r="A475" s="8" t="str">
        <x:v>Carson Lake</x:v>
      </x:c>
      <x:c r="B475" s="8" t="str">
        <x:v>5286</x:v>
      </x:c>
      <x:c r="C475" s="17" t="n">
        <x:v>2023</x:v>
      </x:c>
      <x:c r="D475" s="18" t="n">
        <x:v>45194</x:v>
      </x:c>
      <x:c r="E475" s="8" t="str">
        <x:v>RAINBOW TROUT</x:v>
      </x:c>
      <x:c r="F475" s="13" t="n">
        <x:v>32741</x:v>
      </x:c>
      <x:c r="G475" s="9" t="n">
        <x:v>14.4</x:v>
      </x:c>
      <x:c r="H475" s="9" t="n">
        <x:v>28.6</x:v>
      </x:c>
      <x:c r="I475" s="8" t="str">
        <x:f>B475&amp;" / "&amp;C475&amp;" / "&amp;E475</x:f>
        <x:v>5286 / 2023 / RAINBOW TROUT</x:v>
      </x:c>
    </x:row>
    <x:row r="476" ht="23" customHeight="1">
      <x:c r="A476" s="8" t="str">
        <x:v>Carson Lake</x:v>
      </x:c>
      <x:c r="B476" s="8" t="str">
        <x:v>5286</x:v>
      </x:c>
      <x:c r="C476" s="17" t="n">
        <x:v>2023</x:v>
      </x:c>
      <x:c r="D476" s="18" t="n">
        <x:v>45183</x:v>
      </x:c>
      <x:c r="E476" s="8" t="str">
        <x:v>RAINBOW TROUT</x:v>
      </x:c>
      <x:c r="F476" s="13" t="n">
        <x:v>18154</x:v>
      </x:c>
      <x:c r="G476" s="9" t="n">
        <x:v>15.1</x:v>
      </x:c>
      <x:c r="H476" s="9" t="n">
        <x:v>36.9</x:v>
      </x:c>
      <x:c r="I476" s="8" t="str">
        <x:f>B476&amp;" / "&amp;C476&amp;" / "&amp;E476</x:f>
        <x:v>5286 / 2023 / RAINBOW TROUT</x:v>
      </x:c>
    </x:row>
    <x:row r="477" ht="23" customHeight="1">
      <x:c r="A477" s="8" t="str">
        <x:v>Carson Lake</x:v>
      </x:c>
      <x:c r="B477" s="8" t="str">
        <x:v>5286</x:v>
      </x:c>
      <x:c r="C477" s="17" t="n">
        <x:v>2023</x:v>
      </x:c>
      <x:c r="D477" s="18" t="n">
        <x:v>45183</x:v>
      </x:c>
      <x:c r="E477" s="8" t="str">
        <x:v>RAINBOW TROUT</x:v>
      </x:c>
      <x:c r="F477" s="13" t="n">
        <x:v>7402</x:v>
      </x:c>
      <x:c r="G477" s="9" t="n">
        <x:v>18.4</x:v>
      </x:c>
      <x:c r="H477" s="9" t="n">
        <x:v>68.4</x:v>
      </x:c>
      <x:c r="I477" s="8" t="str">
        <x:f>B477&amp;" / "&amp;C477&amp;" / "&amp;E477</x:f>
        <x:v>5286 / 2023 / RAINBOW TROUT</x:v>
      </x:c>
    </x:row>
    <x:row r="478" ht="23" customHeight="1">
      <x:c r="A478" s="8" t="str">
        <x:v>Carson Lake</x:v>
      </x:c>
      <x:c r="B478" s="8" t="str">
        <x:v>5286</x:v>
      </x:c>
      <x:c r="C478" s="17" t="n">
        <x:v>2023</x:v>
      </x:c>
      <x:c r="D478" s="18" t="n">
        <x:v>45075</x:v>
      </x:c>
      <x:c r="E478" s="8" t="str">
        <x:v>RAINBOW TROUT</x:v>
      </x:c>
      <x:c r="F478" s="13" t="n">
        <x:v>12100</x:v>
      </x:c>
      <x:c r="G478" s="9" t="n">
        <x:v>6.9</x:v>
      </x:c>
      <x:c r="H478" s="9" t="n">
        <x:v>3.6</x:v>
      </x:c>
      <x:c r="I478" s="8" t="str">
        <x:f>B478&amp;" / "&amp;C478&amp;" / "&amp;E478</x:f>
        <x:v>5286 / 2023 / RAINBOW TROUT</x:v>
      </x:c>
    </x:row>
    <x:row r="479" ht="23" customHeight="1">
      <x:c r="A479" s="8" t="str">
        <x:v>Carson Lake</x:v>
      </x:c>
      <x:c r="B479" s="8" t="str">
        <x:v>5286</x:v>
      </x:c>
      <x:c r="C479" s="17" t="n">
        <x:v>2023</x:v>
      </x:c>
      <x:c r="D479" s="18" t="n">
        <x:v>45068</x:v>
      </x:c>
      <x:c r="E479" s="8" t="str">
        <x:v>RAINBOW TROUT</x:v>
      </x:c>
      <x:c r="F479" s="13" t="n">
        <x:v>25000</x:v>
      </x:c>
      <x:c r="G479" s="9" t="n">
        <x:v>8.3</x:v>
      </x:c>
      <x:c r="H479" s="9" t="n">
        <x:v>6.4</x:v>
      </x:c>
      <x:c r="I479" s="8" t="str">
        <x:f>B479&amp;" / "&amp;C479&amp;" / "&amp;E479</x:f>
        <x:v>5286 / 2023 / RAINBOW TROUT</x:v>
      </x:c>
    </x:row>
    <x:row r="480" ht="23" customHeight="1">
      <x:c r="A480" s="8" t="str">
        <x:v>Carson Lake</x:v>
      </x:c>
      <x:c r="B480" s="8" t="str">
        <x:v>5286</x:v>
      </x:c>
      <x:c r="C480" s="17" t="n">
        <x:v>2023</x:v>
      </x:c>
      <x:c r="D480" s="18" t="n">
        <x:v>45062</x:v>
      </x:c>
      <x:c r="E480" s="8" t="str">
        <x:v>RAINBOW TROUT</x:v>
      </x:c>
      <x:c r="F480" s="13" t="n">
        <x:v>8922</x:v>
      </x:c>
      <x:c r="G480" s="9" t="n">
        <x:v>20.1</x:v>
      </x:c>
      <x:c r="H480" s="9" t="n">
        <x:v>87.1</x:v>
      </x:c>
      <x:c r="I480" s="8" t="str">
        <x:f>B480&amp;" / "&amp;C480&amp;" / "&amp;E480</x:f>
        <x:v>5286 / 2023 / RAINBOW TROUT</x:v>
      </x:c>
    </x:row>
    <x:row r="481" ht="23" customHeight="1">
      <x:c r="A481" s="8" t="str">
        <x:v>Carson Lake</x:v>
      </x:c>
      <x:c r="B481" s="8" t="str">
        <x:v>5286</x:v>
      </x:c>
      <x:c r="C481" s="17" t="n">
        <x:v>2023</x:v>
      </x:c>
      <x:c r="D481" s="18" t="n">
        <x:v>45061</x:v>
      </x:c>
      <x:c r="E481" s="8" t="str">
        <x:v>RAINBOW TROUT</x:v>
      </x:c>
      <x:c r="F481" s="13" t="n">
        <x:v>10113</x:v>
      </x:c>
      <x:c r="G481" s="9" t="n">
        <x:v>20.4</x:v>
      </x:c>
      <x:c r="H481" s="9" t="n">
        <x:v>91.7</x:v>
      </x:c>
      <x:c r="I481" s="8" t="str">
        <x:f>B481&amp;" / "&amp;C481&amp;" / "&amp;E481</x:f>
        <x:v>5286 / 2023 / RAINBOW TROUT</x:v>
      </x:c>
    </x:row>
    <x:row r="482" ht="23" customHeight="1">
      <x:c r="A482" s="8" t="str">
        <x:v>Carson Lake</x:v>
      </x:c>
      <x:c r="B482" s="8" t="str">
        <x:v>5286</x:v>
      </x:c>
      <x:c r="C482" s="17" t="n">
        <x:v>2023</x:v>
      </x:c>
      <x:c r="D482" s="18" t="n">
        <x:v>45057</x:v>
      </x:c>
      <x:c r="E482" s="8" t="str">
        <x:v>RAINBOW TROUT</x:v>
      </x:c>
      <x:c r="F482" s="13" t="n">
        <x:v>23700</x:v>
      </x:c>
      <x:c r="G482" s="9" t="n">
        <x:v>17.5</x:v>
      </x:c>
      <x:c r="H482" s="9" t="n">
        <x:v>59.4</x:v>
      </x:c>
      <x:c r="I482" s="8" t="str">
        <x:f>B482&amp;" / "&amp;C482&amp;" / "&amp;E482</x:f>
        <x:v>5286 / 2023 / RAINBOW TROUT</x:v>
      </x:c>
    </x:row>
    <x:row r="483" ht="23" customHeight="1">
      <x:c r="A483" s="8" t="str">
        <x:v>Carson Lake</x:v>
      </x:c>
      <x:c r="B483" s="8" t="str">
        <x:v>5286</x:v>
      </x:c>
      <x:c r="C483" s="17" t="n">
        <x:v>2022</x:v>
      </x:c>
      <x:c r="D483" s="18" t="n">
        <x:v>44825</x:v>
      </x:c>
      <x:c r="E483" s="8" t="str">
        <x:v>RAINBOW TROUT</x:v>
      </x:c>
      <x:c r="F483" s="13" t="n">
        <x:v>23257</x:v>
      </x:c>
      <x:c r="G483" s="9" t="n">
        <x:v>17.6</x:v>
      </x:c>
      <x:c r="H483" s="9" t="n">
        <x:v>59.6</x:v>
      </x:c>
      <x:c r="I483" s="8" t="str">
        <x:f>B483&amp;" / "&amp;C483&amp;" / "&amp;E483</x:f>
        <x:v>5286 / 2022 / RAINBOW TROUT</x:v>
      </x:c>
    </x:row>
    <x:row r="484" ht="23" customHeight="1">
      <x:c r="A484" s="8" t="str">
        <x:v>Carson Lake</x:v>
      </x:c>
      <x:c r="B484" s="8" t="str">
        <x:v>5286</x:v>
      </x:c>
      <x:c r="C484" s="17" t="n">
        <x:v>2022</x:v>
      </x:c>
      <x:c r="D484" s="18" t="n">
        <x:v>44823</x:v>
      </x:c>
      <x:c r="E484" s="8" t="str">
        <x:v>RAINBOW TROUT</x:v>
      </x:c>
      <x:c r="F484" s="13" t="n">
        <x:v>31743</x:v>
      </x:c>
      <x:c r="G484" s="9" t="n">
        <x:v>17.2</x:v>
      </x:c>
      <x:c r="H484" s="9" t="n">
        <x:v>55</x:v>
      </x:c>
      <x:c r="I484" s="8" t="str">
        <x:f>B484&amp;" / "&amp;C484&amp;" / "&amp;E484</x:f>
        <x:v>5286 / 2022 / RAINBOW TROUT</x:v>
      </x:c>
    </x:row>
    <x:row r="485" ht="23" customHeight="1">
      <x:c r="A485" s="8" t="str">
        <x:v>Carson Lake</x:v>
      </x:c>
      <x:c r="B485" s="8" t="str">
        <x:v>5286</x:v>
      </x:c>
      <x:c r="C485" s="17" t="n">
        <x:v>2022</x:v>
      </x:c>
      <x:c r="D485" s="18" t="n">
        <x:v>44711</x:v>
      </x:c>
      <x:c r="E485" s="8" t="str">
        <x:v>RAINBOW TROUT</x:v>
      </x:c>
      <x:c r="F485" s="13" t="n">
        <x:v>14304</x:v>
      </x:c>
      <x:c r="G485" s="9" t="n">
        <x:v>21.1</x:v>
      </x:c>
      <x:c r="H485" s="9" t="n">
        <x:v>104.5</x:v>
      </x:c>
      <x:c r="I485" s="8" t="str">
        <x:f>B485&amp;" / "&amp;C485&amp;" / "&amp;E485</x:f>
        <x:v>5286 / 2022 / RAINBOW TROUT</x:v>
      </x:c>
    </x:row>
    <x:row r="486" ht="23" customHeight="1">
      <x:c r="A486" s="8" t="str">
        <x:v>Carson Lake</x:v>
      </x:c>
      <x:c r="B486" s="8" t="str">
        <x:v>5286</x:v>
      </x:c>
      <x:c r="C486" s="17" t="n">
        <x:v>2022</x:v>
      </x:c>
      <x:c r="D486" s="18" t="n">
        <x:v>44694</x:v>
      </x:c>
      <x:c r="E486" s="8" t="str">
        <x:v>RAINBOW TROUT</x:v>
      </x:c>
      <x:c r="F486" s="13" t="n">
        <x:v>46250</x:v>
      </x:c>
      <x:c r="G486" s="9" t="n">
        <x:v>13.2</x:v>
      </x:c>
      <x:c r="H486" s="9" t="n">
        <x:v>25.3</x:v>
      </x:c>
      <x:c r="I486" s="8" t="str">
        <x:f>B486&amp;" / "&amp;C486&amp;" / "&amp;E486</x:f>
        <x:v>5286 / 2022 / RAINBOW TROUT</x:v>
      </x:c>
    </x:row>
    <x:row r="487" ht="23" customHeight="1">
      <x:c r="A487" s="8" t="str">
        <x:v>Carson Lake</x:v>
      </x:c>
      <x:c r="B487" s="8" t="str">
        <x:v>5286</x:v>
      </x:c>
      <x:c r="C487" s="17" t="n">
        <x:v>2022</x:v>
      </x:c>
      <x:c r="D487" s="18" t="n">
        <x:v>44692</x:v>
      </x:c>
      <x:c r="E487" s="8" t="str">
        <x:v>RAINBOW TROUT</x:v>
      </x:c>
      <x:c r="F487" s="13" t="n">
        <x:v>3750</x:v>
      </x:c>
      <x:c r="G487" s="9" t="n">
        <x:v>12.9</x:v>
      </x:c>
      <x:c r="H487" s="9" t="n">
        <x:v>23.5</x:v>
      </x:c>
      <x:c r="I487" s="8" t="str">
        <x:f>B487&amp;" / "&amp;C487&amp;" / "&amp;E487</x:f>
        <x:v>5286 / 2022 / RAINBOW TROUT</x:v>
      </x:c>
    </x:row>
    <x:row r="488" ht="23" customHeight="1">
      <x:c r="A488" s="8" t="str">
        <x:v>Carson Lake</x:v>
      </x:c>
      <x:c r="B488" s="8" t="str">
        <x:v>5286</x:v>
      </x:c>
      <x:c r="C488" s="17" t="n">
        <x:v>2022</x:v>
      </x:c>
      <x:c r="D488" s="18" t="n">
        <x:v>44692</x:v>
      </x:c>
      <x:c r="E488" s="8" t="str">
        <x:v>RAINBOW TROUT</x:v>
      </x:c>
      <x:c r="F488" s="13" t="n">
        <x:v>9109</x:v>
      </x:c>
      <x:c r="G488" s="9" t="n">
        <x:v>21.2</x:v>
      </x:c>
      <x:c r="H488" s="9" t="n">
        <x:v>105.3</x:v>
      </x:c>
      <x:c r="I488" s="8" t="str">
        <x:f>B488&amp;" / "&amp;C488&amp;" / "&amp;E488</x:f>
        <x:v>5286 / 2022 / RAINBOW TROUT</x:v>
      </x:c>
    </x:row>
    <x:row r="489" ht="23" customHeight="1">
      <x:c r="A489" s="8" t="str">
        <x:v>Carson Lake</x:v>
      </x:c>
      <x:c r="B489" s="8" t="str">
        <x:v>5286</x:v>
      </x:c>
      <x:c r="C489" s="17" t="n">
        <x:v>2022</x:v>
      </x:c>
      <x:c r="D489" s="18" t="n">
        <x:v>44691</x:v>
      </x:c>
      <x:c r="E489" s="8" t="str">
        <x:v>RAINBOW TROUT</x:v>
      </x:c>
      <x:c r="F489" s="13" t="n">
        <x:v>10000</x:v>
      </x:c>
      <x:c r="G489" s="9" t="n">
        <x:v>21.9</x:v>
      </x:c>
      <x:c r="H489" s="9" t="n">
        <x:v>117.4</x:v>
      </x:c>
      <x:c r="I489" s="8" t="str">
        <x:f>B489&amp;" / "&amp;C489&amp;" / "&amp;E489</x:f>
        <x:v>5286 / 2022 / RAINBOW TROUT</x:v>
      </x:c>
    </x:row>
    <x:row r="490" ht="23" customHeight="1">
      <x:c r="A490" s="8" t="str">
        <x:v>Carson Lake</x:v>
      </x:c>
      <x:c r="B490" s="8" t="str">
        <x:v>5286</x:v>
      </x:c>
      <x:c r="C490" s="17" t="n">
        <x:v>2022</x:v>
      </x:c>
      <x:c r="D490" s="18" t="n">
        <x:v>44689</x:v>
      </x:c>
      <x:c r="E490" s="8" t="str">
        <x:v>RAINBOW TROUT</x:v>
      </x:c>
      <x:c r="F490" s="13" t="n">
        <x:v>14000</x:v>
      </x:c>
      <x:c r="G490" s="9" t="n">
        <x:v>20.5</x:v>
      </x:c>
      <x:c r="H490" s="9" t="n">
        <x:v>94.9</x:v>
      </x:c>
      <x:c r="I490" s="8" t="str">
        <x:f>B490&amp;" / "&amp;C490&amp;" / "&amp;E490</x:f>
        <x:v>5286 / 2022 / RAINBOW TROUT</x:v>
      </x:c>
    </x:row>
    <x:row r="491" ht="23" customHeight="1">
      <x:c r="A491" s="8" t="str">
        <x:v>Carson Lake</x:v>
      </x:c>
      <x:c r="B491" s="8" t="str">
        <x:v>5286</x:v>
      </x:c>
      <x:c r="C491" s="17" t="n">
        <x:v>2021</x:v>
      </x:c>
      <x:c r="D491" s="18" t="n">
        <x:v>44461</x:v>
      </x:c>
      <x:c r="E491" s="8" t="str">
        <x:v>RAINBOW TROUT</x:v>
      </x:c>
      <x:c r="F491" s="13" t="n">
        <x:v>500</x:v>
      </x:c>
      <x:c r="G491" s="9" t="n">
        <x:v>19.7</x:v>
      </x:c>
      <x:c r="H491" s="9" t="n">
        <x:v>84</x:v>
      </x:c>
      <x:c r="I491" s="8" t="str">
        <x:f>B491&amp;" / "&amp;C491&amp;" / "&amp;E491</x:f>
        <x:v>5286 / 2021 / RAINBOW TROUT</x:v>
      </x:c>
    </x:row>
    <x:row r="492" ht="23" customHeight="1">
      <x:c r="A492" s="8" t="str">
        <x:v>Carson Lake</x:v>
      </x:c>
      <x:c r="B492" s="8" t="str">
        <x:v>5286</x:v>
      </x:c>
      <x:c r="C492" s="17" t="n">
        <x:v>2021</x:v>
      </x:c>
      <x:c r="D492" s="18" t="n">
        <x:v>44461</x:v>
      </x:c>
      <x:c r="E492" s="8" t="str">
        <x:v>RAINBOW TROUT</x:v>
      </x:c>
      <x:c r="F492" s="13" t="n">
        <x:v>8670</x:v>
      </x:c>
      <x:c r="G492" s="9" t="n">
        <x:v>21</x:v>
      </x:c>
      <x:c r="H492" s="9" t="n">
        <x:v>102.4</x:v>
      </x:c>
      <x:c r="I492" s="8" t="str">
        <x:f>B492&amp;" / "&amp;C492&amp;" / "&amp;E492</x:f>
        <x:v>5286 / 2021 / RAINBOW TROUT</x:v>
      </x:c>
    </x:row>
    <x:row r="493" ht="23" customHeight="1">
      <x:c r="A493" s="8" t="str">
        <x:v>Carson Lake</x:v>
      </x:c>
      <x:c r="B493" s="8" t="str">
        <x:v>5286</x:v>
      </x:c>
      <x:c r="C493" s="17" t="n">
        <x:v>2021</x:v>
      </x:c>
      <x:c r="D493" s="18" t="n">
        <x:v>44460</x:v>
      </x:c>
      <x:c r="E493" s="8" t="str">
        <x:v>RAINBOW TROUT</x:v>
      </x:c>
      <x:c r="F493" s="13" t="n">
        <x:v>14790</x:v>
      </x:c>
      <x:c r="G493" s="9" t="n">
        <x:v>19.9</x:v>
      </x:c>
      <x:c r="H493" s="9" t="n">
        <x:v>87.3</x:v>
      </x:c>
      <x:c r="I493" s="8" t="str">
        <x:f>B493&amp;" / "&amp;C493&amp;" / "&amp;E493</x:f>
        <x:v>5286 / 2021 / RAINBOW TROUT</x:v>
      </x:c>
    </x:row>
    <x:row r="494" ht="23" customHeight="1">
      <x:c r="A494" s="8" t="str">
        <x:v>Carson Lake</x:v>
      </x:c>
      <x:c r="B494" s="8" t="str">
        <x:v>5286</x:v>
      </x:c>
      <x:c r="C494" s="17" t="n">
        <x:v>2021</x:v>
      </x:c>
      <x:c r="D494" s="18" t="n">
        <x:v>44459</x:v>
      </x:c>
      <x:c r="E494" s="8" t="str">
        <x:v>RAINBOW TROUT</x:v>
      </x:c>
      <x:c r="F494" s="13" t="n">
        <x:v>15000</x:v>
      </x:c>
      <x:c r="G494" s="9" t="n">
        <x:v>20.1</x:v>
      </x:c>
      <x:c r="H494" s="9" t="n">
        <x:v>89.3</x:v>
      </x:c>
      <x:c r="I494" s="8" t="str">
        <x:f>B494&amp;" / "&amp;C494&amp;" / "&amp;E494</x:f>
        <x:v>5286 / 2021 / RAINBOW TROUT</x:v>
      </x:c>
    </x:row>
    <x:row r="495" ht="23" customHeight="1">
      <x:c r="A495" s="8" t="str">
        <x:v>Carson Lake</x:v>
      </x:c>
      <x:c r="B495" s="8" t="str">
        <x:v>5286</x:v>
      </x:c>
      <x:c r="C495" s="17" t="n">
        <x:v>2021</x:v>
      </x:c>
      <x:c r="D495" s="18" t="n">
        <x:v>44454</x:v>
      </x:c>
      <x:c r="E495" s="8" t="str">
        <x:v>RAINBOW TROUT</x:v>
      </x:c>
      <x:c r="F495" s="13" t="n">
        <x:v>22088</x:v>
      </x:c>
      <x:c r="G495" s="9" t="n">
        <x:v>17</x:v>
      </x:c>
      <x:c r="H495" s="9" t="n">
        <x:v>54.1</x:v>
      </x:c>
      <x:c r="I495" s="8" t="str">
        <x:f>B495&amp;" / "&amp;C495&amp;" / "&amp;E495</x:f>
        <x:v>5286 / 2021 / RAINBOW TROUT</x:v>
      </x:c>
    </x:row>
    <x:row r="496" ht="23" customHeight="1">
      <x:c r="A496" s="8" t="str">
        <x:v>Carson Lake</x:v>
      </x:c>
      <x:c r="B496" s="8" t="str">
        <x:v>5286</x:v>
      </x:c>
      <x:c r="C496" s="17" t="n">
        <x:v>2021</x:v>
      </x:c>
      <x:c r="D496" s="18" t="n">
        <x:v>44453</x:v>
      </x:c>
      <x:c r="E496" s="8" t="str">
        <x:v>RAINBOW TROUT</x:v>
      </x:c>
      <x:c r="F496" s="13" t="n">
        <x:v>32765</x:v>
      </x:c>
      <x:c r="G496" s="9" t="n">
        <x:v>17</x:v>
      </x:c>
      <x:c r="H496" s="9" t="n">
        <x:v>54</x:v>
      </x:c>
      <x:c r="I496" s="8" t="str">
        <x:f>B496&amp;" / "&amp;C496&amp;" / "&amp;E496</x:f>
        <x:v>5286 / 2021 / RAINBOW TROUT</x:v>
      </x:c>
    </x:row>
    <x:row r="497" ht="23" customHeight="1">
      <x:c r="A497" s="8" t="str">
        <x:v>Carson Lake</x:v>
      </x:c>
      <x:c r="B497" s="8" t="str">
        <x:v>5286</x:v>
      </x:c>
      <x:c r="C497" s="17" t="n">
        <x:v>2021</x:v>
      </x:c>
      <x:c r="D497" s="18" t="n">
        <x:v>44354</x:v>
      </x:c>
      <x:c r="E497" s="8" t="str">
        <x:v>RAINBOW TROUT</x:v>
      </x:c>
      <x:c r="F497" s="13" t="n">
        <x:v>12400</x:v>
      </x:c>
      <x:c r="G497" s="9" t="n">
        <x:v>16</x:v>
      </x:c>
      <x:c r="H497" s="9" t="n">
        <x:v>45.4</x:v>
      </x:c>
      <x:c r="I497" s="8" t="str">
        <x:f>B497&amp;" / "&amp;C497&amp;" / "&amp;E497</x:f>
        <x:v>5286 / 2021 / RAINBOW TROUT</x:v>
      </x:c>
    </x:row>
    <x:row r="498" ht="23" customHeight="1">
      <x:c r="A498" s="8" t="str">
        <x:v>Carson Lake</x:v>
      </x:c>
      <x:c r="B498" s="8" t="str">
        <x:v>5286</x:v>
      </x:c>
      <x:c r="C498" s="17" t="n">
        <x:v>2021</x:v>
      </x:c>
      <x:c r="D498" s="18" t="n">
        <x:v>44354</x:v>
      </x:c>
      <x:c r="E498" s="8" t="str">
        <x:v>RAINBOW TROUT</x:v>
      </x:c>
      <x:c r="F498" s="13" t="n">
        <x:v>24782</x:v>
      </x:c>
      <x:c r="G498" s="9" t="n">
        <x:v>15.2</x:v>
      </x:c>
      <x:c r="H498" s="9" t="n">
        <x:v>38.8</x:v>
      </x:c>
      <x:c r="I498" s="8" t="str">
        <x:f>B498&amp;" / "&amp;C498&amp;" / "&amp;E498</x:f>
        <x:v>5286 / 2021 / RAINBOW TROUT</x:v>
      </x:c>
    </x:row>
    <x:row r="499" ht="23" customHeight="1">
      <x:c r="A499" s="8" t="str">
        <x:v>Carson Lake</x:v>
      </x:c>
      <x:c r="B499" s="8" t="str">
        <x:v>5286</x:v>
      </x:c>
      <x:c r="C499" s="17" t="n">
        <x:v>2021</x:v>
      </x:c>
      <x:c r="D499" s="18" t="n">
        <x:v>44353</x:v>
      </x:c>
      <x:c r="E499" s="8" t="str">
        <x:v>RAINBOW TROUT</x:v>
      </x:c>
      <x:c r="F499" s="13" t="n">
        <x:v>16931</x:v>
      </x:c>
      <x:c r="G499" s="9" t="n">
        <x:v>14.9</x:v>
      </x:c>
      <x:c r="H499" s="9" t="n">
        <x:v>36.7</x:v>
      </x:c>
      <x:c r="I499" s="8" t="str">
        <x:f>B499&amp;" / "&amp;C499&amp;" / "&amp;E499</x:f>
        <x:v>5286 / 2021 / RAINBOW TROUT</x:v>
      </x:c>
    </x:row>
    <x:row r="500" ht="23" customHeight="1">
      <x:c r="A500" s="8" t="str">
        <x:v>Carson Lake</x:v>
      </x:c>
      <x:c r="B500" s="8" t="str">
        <x:v>5286</x:v>
      </x:c>
      <x:c r="C500" s="17" t="n">
        <x:v>2021</x:v>
      </x:c>
      <x:c r="D500" s="18" t="n">
        <x:v>44353</x:v>
      </x:c>
      <x:c r="E500" s="8" t="str">
        <x:v>RAINBOW TROUT</x:v>
      </x:c>
      <x:c r="F500" s="13" t="n">
        <x:v>17300</x:v>
      </x:c>
      <x:c r="G500" s="9" t="n">
        <x:v>15.5</x:v>
      </x:c>
      <x:c r="H500" s="9" t="n">
        <x:v>41.8</x:v>
      </x:c>
      <x:c r="I500" s="8" t="str">
        <x:f>B500&amp;" / "&amp;C500&amp;" / "&amp;E500</x:f>
        <x:v>5286 / 2021 / RAINBOW TROUT</x:v>
      </x:c>
    </x:row>
    <x:row r="501" ht="23" customHeight="1">
      <x:c r="A501" s="8" t="str">
        <x:v>Castaway Trout Pond</x:v>
      </x:c>
      <x:c r="B501" s="8" t="str">
        <x:v>20258</x:v>
      </x:c>
      <x:c r="C501" s="17" t="n">
        <x:v>2026</x:v>
      </x:c>
      <x:c r="D501" s="18" t="n">
        <x:v>46153</x:v>
      </x:c>
      <x:c r="E501" s="8" t="str">
        <x:v>RAINBOW TROUT</x:v>
      </x:c>
      <x:c r="F501" s="13" t="n">
        <x:v>1000</x:v>
      </x:c>
      <x:c r="G501" s="9" t="n">
        <x:v>22.7</x:v>
      </x:c>
      <x:c r="H501" s="9" t="n">
        <x:v>126.6</x:v>
      </x:c>
      <x:c r="I501" s="8" t="str">
        <x:f>B501&amp;" / "&amp;C501&amp;" / "&amp;E501</x:f>
        <x:v>20258 / 2026 / RAINBOW TROUT</x:v>
      </x:c>
    </x:row>
    <x:row r="502" ht="23" customHeight="1">
      <x:c r="A502" s="8" t="str">
        <x:v>Castaway Trout Pond</x:v>
      </x:c>
      <x:c r="B502" s="8" t="str">
        <x:v>20258</x:v>
      </x:c>
      <x:c r="C502" s="17" t="n">
        <x:v>2026</x:v>
      </x:c>
      <x:c r="D502" s="18" t="n">
        <x:v>46153</x:v>
      </x:c>
      <x:c r="E502" s="8" t="str">
        <x:v>TIGER TROUT</x:v>
      </x:c>
      <x:c r="F502" s="13" t="n">
        <x:v>100</x:v>
      </x:c>
      <x:c r="G502" s="9" t="n">
        <x:v>18.6</x:v>
      </x:c>
      <x:c r="H502" s="9" t="n">
        <x:v>70</x:v>
      </x:c>
      <x:c r="I502" s="8" t="str">
        <x:f>B502&amp;" / "&amp;C502&amp;" / "&amp;E502</x:f>
        <x:v>20258 / 2026 / TIGER TROUT</x:v>
      </x:c>
    </x:row>
    <x:row r="503" ht="23" customHeight="1">
      <x:c r="A503" s="8" t="str">
        <x:v>Castaway Trout Pond</x:v>
      </x:c>
      <x:c r="B503" s="8" t="str">
        <x:v>20258</x:v>
      </x:c>
      <x:c r="C503" s="17" t="n">
        <x:v>2025</x:v>
      </x:c>
      <x:c r="D503" s="18" t="n">
        <x:v>45789</x:v>
      </x:c>
      <x:c r="E503" s="8" t="str">
        <x:v>RAINBOW TROUT</x:v>
      </x:c>
      <x:c r="F503" s="13" t="n">
        <x:v>1100</x:v>
      </x:c>
      <x:c r="G503" s="9" t="n">
        <x:v>21</x:v>
      </x:c>
      <x:c r="H503" s="9" t="n">
        <x:v>89</x:v>
      </x:c>
      <x:c r="I503" s="8" t="str">
        <x:f>B503&amp;" / "&amp;C503&amp;" / "&amp;E503</x:f>
        <x:v>20258 / 2025 / RAINBOW TROUT</x:v>
      </x:c>
    </x:row>
    <x:row r="504" ht="23" customHeight="1">
      <x:c r="A504" s="8" t="str">
        <x:v>Castaway Trout Pond</x:v>
      </x:c>
      <x:c r="B504" s="8" t="str">
        <x:v>20258</x:v>
      </x:c>
      <x:c r="C504" s="17" t="n">
        <x:v>2025</x:v>
      </x:c>
      <x:c r="D504" s="18" t="n">
        <x:v>45789</x:v>
      </x:c>
      <x:c r="E504" s="8" t="str">
        <x:v>RAINBOW TROUT</x:v>
      </x:c>
      <x:c r="F504" s="13" t="n">
        <x:v>350</x:v>
      </x:c>
      <x:c r="G504" s="9" t="n">
        <x:v>21</x:v>
      </x:c>
      <x:c r="H504" s="9" t="n">
        <x:v>89</x:v>
      </x:c>
      <x:c r="I504" s="8" t="str">
        <x:f>B504&amp;" / "&amp;C504&amp;" / "&amp;E504</x:f>
        <x:v>20258 / 2025 / RAINBOW TROUT</x:v>
      </x:c>
    </x:row>
    <x:row r="505" ht="23" customHeight="1">
      <x:c r="A505" s="8" t="str">
        <x:v>Castaway Trout Pond</x:v>
      </x:c>
      <x:c r="B505" s="8" t="str">
        <x:v>20258</x:v>
      </x:c>
      <x:c r="C505" s="17" t="n">
        <x:v>2024</x:v>
      </x:c>
      <x:c r="D505" s="18" t="n">
        <x:v>45422</x:v>
      </x:c>
      <x:c r="E505" s="8" t="str">
        <x:v>RAINBOW TROUT</x:v>
      </x:c>
      <x:c r="F505" s="13" t="n">
        <x:v>1100</x:v>
      </x:c>
      <x:c r="G505" s="9" t="n">
        <x:v>20.9</x:v>
      </x:c>
      <x:c r="H505" s="9" t="n">
        <x:v>92.1</x:v>
      </x:c>
      <x:c r="I505" s="8" t="str">
        <x:f>B505&amp;" / "&amp;C505&amp;" / "&amp;E505</x:f>
        <x:v>20258 / 2024 / RAINBOW TROUT</x:v>
      </x:c>
    </x:row>
    <x:row r="506" ht="23" customHeight="1">
      <x:c r="A506" s="8" t="str">
        <x:v>Castaway Trout Pond</x:v>
      </x:c>
      <x:c r="B506" s="8" t="str">
        <x:v>20258</x:v>
      </x:c>
      <x:c r="C506" s="17" t="n">
        <x:v>2023</x:v>
      </x:c>
      <x:c r="D506" s="18" t="n">
        <x:v>45064</x:v>
      </x:c>
      <x:c r="E506" s="8" t="str">
        <x:v>RAINBOW TROUT</x:v>
      </x:c>
      <x:c r="F506" s="13" t="n">
        <x:v>1100</x:v>
      </x:c>
      <x:c r="G506" s="9" t="n">
        <x:v>21.6</x:v>
      </x:c>
      <x:c r="H506" s="9" t="n">
        <x:v>93.2</x:v>
      </x:c>
      <x:c r="I506" s="8" t="str">
        <x:f>B506&amp;" / "&amp;C506&amp;" / "&amp;E506</x:f>
        <x:v>20258 / 2023 / RAINBOW TROUT</x:v>
      </x:c>
    </x:row>
    <x:row r="507" ht="23" customHeight="1">
      <x:c r="A507" s="8" t="str">
        <x:v>Castaway Trout Pond</x:v>
      </x:c>
      <x:c r="B507" s="8" t="str">
        <x:v>20258</x:v>
      </x:c>
      <x:c r="C507" s="17" t="n">
        <x:v>2022</x:v>
      </x:c>
      <x:c r="D507" s="18" t="n">
        <x:v>44698</x:v>
      </x:c>
      <x:c r="E507" s="8" t="str">
        <x:v>RAINBOW TROUT</x:v>
      </x:c>
      <x:c r="F507" s="13" t="n">
        <x:v>1100</x:v>
      </x:c>
      <x:c r="G507" s="9" t="n">
        <x:v>20.9</x:v>
      </x:c>
      <x:c r="H507" s="9" t="n">
        <x:v>95.4</x:v>
      </x:c>
      <x:c r="I507" s="8" t="str">
        <x:f>B507&amp;" / "&amp;C507&amp;" / "&amp;E507</x:f>
        <x:v>20258 / 2022 / RAINBOW TROUT</x:v>
      </x:c>
    </x:row>
    <x:row r="508" ht="23" customHeight="1">
      <x:c r="A508" s="8" t="str">
        <x:v>Castaway Trout Pond</x:v>
      </x:c>
      <x:c r="B508" s="8" t="str">
        <x:v>20258</x:v>
      </x:c>
      <x:c r="C508" s="17" t="n">
        <x:v>2021</x:v>
      </x:c>
      <x:c r="D508" s="18" t="n">
        <x:v>44447</x:v>
      </x:c>
      <x:c r="E508" s="8" t="str">
        <x:v>RAINBOW TROUT</x:v>
      </x:c>
      <x:c r="F508" s="13" t="n">
        <x:v>500</x:v>
      </x:c>
      <x:c r="G508" s="9" t="n">
        <x:v>21.8</x:v>
      </x:c>
      <x:c r="H508" s="9" t="n">
        <x:v>101.1</x:v>
      </x:c>
      <x:c r="I508" s="8" t="str">
        <x:f>B508&amp;" / "&amp;C508&amp;" / "&amp;E508</x:f>
        <x:v>20258 / 2021 / RAINBOW TROUT</x:v>
      </x:c>
    </x:row>
    <x:row r="509" ht="23" customHeight="1">
      <x:c r="A509" s="8" t="str">
        <x:v>Castaway Trout Pond</x:v>
      </x:c>
      <x:c r="B509" s="8" t="str">
        <x:v>20258</x:v>
      </x:c>
      <x:c r="C509" s="17" t="n">
        <x:v>2021</x:v>
      </x:c>
      <x:c r="D509" s="18" t="n">
        <x:v>44320</x:v>
      </x:c>
      <x:c r="E509" s="8" t="str">
        <x:v>RAINBOW TROUT</x:v>
      </x:c>
      <x:c r="F509" s="13" t="n">
        <x:v>1100</x:v>
      </x:c>
      <x:c r="G509" s="9" t="n">
        <x:v>21</x:v>
      </x:c>
      <x:c r="H509" s="9" t="n">
        <x:v>96.4</x:v>
      </x:c>
      <x:c r="I509" s="8" t="str">
        <x:f>B509&amp;" / "&amp;C509&amp;" / "&amp;E509</x:f>
        <x:v>20258 / 2021 / RAINBOW TROUT</x:v>
      </x:c>
    </x:row>
    <x:row r="510" ht="23" customHeight="1">
      <x:c r="A510" s="8" t="str">
        <x:v>Castor Eastside Trout Pond</x:v>
      </x:c>
      <x:c r="B510" s="8" t="str">
        <x:v>18022</x:v>
      </x:c>
      <x:c r="C510" s="17" t="n">
        <x:v>2026</x:v>
      </x:c>
      <x:c r="D510" s="18" t="n">
        <x:v>46142</x:v>
      </x:c>
      <x:c r="E510" s="8" t="str">
        <x:v>RAINBOW TROUT</x:v>
      </x:c>
      <x:c r="F510" s="13" t="n">
        <x:v>500</x:v>
      </x:c>
      <x:c r="G510" s="9" t="n">
        <x:v>20.1</x:v>
      </x:c>
      <x:c r="H510" s="9" t="n">
        <x:v>92.6</x:v>
      </x:c>
      <x:c r="I510" s="8" t="str">
        <x:f>B510&amp;" / "&amp;C510&amp;" / "&amp;E510</x:f>
        <x:v>18022 / 2026 / RAINBOW TROUT</x:v>
      </x:c>
    </x:row>
    <x:row r="511" ht="23" customHeight="1">
      <x:c r="A511" s="8" t="str">
        <x:v>Castor Eastside Trout Pond</x:v>
      </x:c>
      <x:c r="B511" s="8" t="str">
        <x:v>18022</x:v>
      </x:c>
      <x:c r="C511" s="17" t="n">
        <x:v>2025</x:v>
      </x:c>
      <x:c r="D511" s="18" t="n">
        <x:v>45805</x:v>
      </x:c>
      <x:c r="E511" s="8" t="str">
        <x:v>RAINBOW TROUT</x:v>
      </x:c>
      <x:c r="F511" s="13" t="n">
        <x:v>40</x:v>
      </x:c>
      <x:c r="G511" s="9" t="n">
        <x:v>32</x:v>
      </x:c>
      <x:c r="H511" s="9" t="n">
        <x:v>350</x:v>
      </x:c>
      <x:c r="I511" s="8" t="str">
        <x:f>B511&amp;" / "&amp;C511&amp;" / "&amp;E511</x:f>
        <x:v>18022 / 2025 / RAINBOW TROUT</x:v>
      </x:c>
    </x:row>
    <x:row r="512" ht="23" customHeight="1">
      <x:c r="A512" s="8" t="str">
        <x:v>Castor Eastside Trout Pond</x:v>
      </x:c>
      <x:c r="B512" s="8" t="str">
        <x:v>18022</x:v>
      </x:c>
      <x:c r="C512" s="17" t="n">
        <x:v>2025</x:v>
      </x:c>
      <x:c r="D512" s="18" t="n">
        <x:v>45805</x:v>
      </x:c>
      <x:c r="E512" s="8" t="str">
        <x:v>RAINBOW TROUT</x:v>
      </x:c>
      <x:c r="F512" s="13" t="n">
        <x:v>500</x:v>
      </x:c>
      <x:c r="G512" s="9" t="n">
        <x:v>20.6</x:v>
      </x:c>
      <x:c r="H512" s="9" t="n">
        <x:v>89.1</x:v>
      </x:c>
      <x:c r="I512" s="8" t="str">
        <x:f>B512&amp;" / "&amp;C512&amp;" / "&amp;E512</x:f>
        <x:v>18022 / 2025 / RAINBOW TROUT</x:v>
      </x:c>
    </x:row>
    <x:row r="513" ht="23" customHeight="1">
      <x:c r="A513" s="8" t="str">
        <x:v>Castor Eastside Trout Pond</x:v>
      </x:c>
      <x:c r="B513" s="8" t="str">
        <x:v>18022</x:v>
      </x:c>
      <x:c r="C513" s="17" t="n">
        <x:v>2024</x:v>
      </x:c>
      <x:c r="D513" s="18" t="n">
        <x:v>45422</x:v>
      </x:c>
      <x:c r="E513" s="8" t="str">
        <x:v>RAINBOW TROUT</x:v>
      </x:c>
      <x:c r="F513" s="13" t="n">
        <x:v>30</x:v>
      </x:c>
      <x:c r="G513" s="9" t="n">
        <x:v>30.1</x:v>
      </x:c>
      <x:c r="H513" s="9" t="n">
        <x:v>225.5</x:v>
      </x:c>
      <x:c r="I513" s="8" t="str">
        <x:f>B513&amp;" / "&amp;C513&amp;" / "&amp;E513</x:f>
        <x:v>18022 / 2024 / RAINBOW TROUT</x:v>
      </x:c>
    </x:row>
    <x:row r="514" ht="23" customHeight="1">
      <x:c r="A514" s="8" t="str">
        <x:v>Castor Eastside Trout Pond</x:v>
      </x:c>
      <x:c r="B514" s="8" t="str">
        <x:v>18022</x:v>
      </x:c>
      <x:c r="C514" s="17" t="n">
        <x:v>2024</x:v>
      </x:c>
      <x:c r="D514" s="18" t="n">
        <x:v>45422</x:v>
      </x:c>
      <x:c r="E514" s="8" t="str">
        <x:v>RAINBOW TROUT</x:v>
      </x:c>
      <x:c r="F514" s="13" t="n">
        <x:v>400</x:v>
      </x:c>
      <x:c r="G514" s="9" t="n">
        <x:v>20.9</x:v>
      </x:c>
      <x:c r="H514" s="9" t="n">
        <x:v>92.1</x:v>
      </x:c>
      <x:c r="I514" s="8" t="str">
        <x:f>B514&amp;" / "&amp;C514&amp;" / "&amp;E514</x:f>
        <x:v>18022 / 2024 / RAINBOW TROUT</x:v>
      </x:c>
    </x:row>
    <x:row r="515" ht="23" customHeight="1">
      <x:c r="A515" s="8" t="str">
        <x:v>Castor Eastside Trout Pond</x:v>
      </x:c>
      <x:c r="B515" s="8" t="str">
        <x:v>18022</x:v>
      </x:c>
      <x:c r="C515" s="17" t="n">
        <x:v>2023</x:v>
      </x:c>
      <x:c r="D515" s="18" t="n">
        <x:v>45047</x:v>
      </x:c>
      <x:c r="E515" s="8" t="str">
        <x:v>RAINBOW TROUT</x:v>
      </x:c>
      <x:c r="F515" s="13" t="n">
        <x:v>20</x:v>
      </x:c>
      <x:c r="G515" s="9" t="n">
        <x:v>30</x:v>
      </x:c>
      <x:c r="H515" s="9" t="n">
        <x:v>239</x:v>
      </x:c>
      <x:c r="I515" s="8" t="str">
        <x:f>B515&amp;" / "&amp;C515&amp;" / "&amp;E515</x:f>
        <x:v>18022 / 2023 / RAINBOW TROUT</x:v>
      </x:c>
    </x:row>
    <x:row r="516" ht="23" customHeight="1">
      <x:c r="A516" s="8" t="str">
        <x:v>Castor Eastside Trout Pond</x:v>
      </x:c>
      <x:c r="B516" s="8" t="str">
        <x:v>18022</x:v>
      </x:c>
      <x:c r="C516" s="17" t="n">
        <x:v>2023</x:v>
      </x:c>
      <x:c r="D516" s="18" t="n">
        <x:v>45047</x:v>
      </x:c>
      <x:c r="E516" s="8" t="str">
        <x:v>RAINBOW TROUT</x:v>
      </x:c>
      <x:c r="F516" s="13" t="n">
        <x:v>400</x:v>
      </x:c>
      <x:c r="G516" s="9" t="n">
        <x:v>20.5</x:v>
      </x:c>
      <x:c r="H516" s="9" t="n">
        <x:v>89.9</x:v>
      </x:c>
      <x:c r="I516" s="8" t="str">
        <x:f>B516&amp;" / "&amp;C516&amp;" / "&amp;E516</x:f>
        <x:v>18022 / 2023 / RAINBOW TROUT</x:v>
      </x:c>
    </x:row>
    <x:row r="517" ht="23" customHeight="1">
      <x:c r="A517" s="8" t="str">
        <x:v>Castor Eastside Trout Pond</x:v>
      </x:c>
      <x:c r="B517" s="8" t="str">
        <x:v>18022</x:v>
      </x:c>
      <x:c r="C517" s="17" t="n">
        <x:v>2022</x:v>
      </x:c>
      <x:c r="D517" s="18" t="n">
        <x:v>44693</x:v>
      </x:c>
      <x:c r="E517" s="8" t="str">
        <x:v>RAINBOW TROUT</x:v>
      </x:c>
      <x:c r="F517" s="13" t="n">
        <x:v>400</x:v>
      </x:c>
      <x:c r="G517" s="9" t="n">
        <x:v>20.7</x:v>
      </x:c>
      <x:c r="H517" s="9" t="n">
        <x:v>97.3</x:v>
      </x:c>
      <x:c r="I517" s="8" t="str">
        <x:f>B517&amp;" / "&amp;C517&amp;" / "&amp;E517</x:f>
        <x:v>18022 / 2022 / RAINBOW TROUT</x:v>
      </x:c>
    </x:row>
    <x:row r="518" ht="23" customHeight="1">
      <x:c r="A518" s="8" t="str">
        <x:v>Castor Eastside Trout Pond</x:v>
      </x:c>
      <x:c r="B518" s="8" t="str">
        <x:v>18022</x:v>
      </x:c>
      <x:c r="C518" s="17" t="n">
        <x:v>2021</x:v>
      </x:c>
      <x:c r="D518" s="18" t="n">
        <x:v>44320</x:v>
      </x:c>
      <x:c r="E518" s="8" t="str">
        <x:v>RAINBOW TROUT</x:v>
      </x:c>
      <x:c r="F518" s="13" t="n">
        <x:v>400</x:v>
      </x:c>
      <x:c r="G518" s="9" t="n">
        <x:v>21</x:v>
      </x:c>
      <x:c r="H518" s="9" t="n">
        <x:v>96.4</x:v>
      </x:c>
      <x:c r="I518" s="8" t="str">
        <x:f>B518&amp;" / "&amp;C518&amp;" / "&amp;E518</x:f>
        <x:v>18022 / 2021 / RAINBOW TROUT</x:v>
      </x:c>
    </x:row>
    <x:row r="519" ht="23" customHeight="1">
      <x:c r="A519" s="8" t="str">
        <x:v>Cavan Lake</x:v>
      </x:c>
      <x:c r="B519" s="8" t="str">
        <x:v>4231</x:v>
      </x:c>
      <x:c r="C519" s="17" t="n">
        <x:v>2025</x:v>
      </x:c>
      <x:c r="D519" s="18" t="n">
        <x:v>45791</x:v>
      </x:c>
      <x:c r="E519" s="8" t="str">
        <x:v>RAINBOW TROUT</x:v>
      </x:c>
      <x:c r="F519" s="13" t="n">
        <x:v>9817</x:v>
      </x:c>
      <x:c r="G519" s="9" t="n">
        <x:v>20.1</x:v>
      </x:c>
      <x:c r="H519" s="9" t="n">
        <x:v>87.7</x:v>
      </x:c>
      <x:c r="I519" s="8" t="str">
        <x:f>B519&amp;" / "&amp;C519&amp;" / "&amp;E519</x:f>
        <x:v>4231 / 2025 / RAINBOW TROUT</x:v>
      </x:c>
    </x:row>
    <x:row r="520" ht="23" customHeight="1">
      <x:c r="A520" s="8" t="str">
        <x:v>Cavan Lake</x:v>
      </x:c>
      <x:c r="B520" s="8" t="str">
        <x:v>4231</x:v>
      </x:c>
      <x:c r="C520" s="17" t="n">
        <x:v>2025</x:v>
      </x:c>
      <x:c r="D520" s="18" t="n">
        <x:v>45791</x:v>
      </x:c>
      <x:c r="E520" s="8" t="str">
        <x:v>RAINBOW TROUT</x:v>
      </x:c>
      <x:c r="F520" s="13" t="n">
        <x:v>2351</x:v>
      </x:c>
      <x:c r="G520" s="9" t="n">
        <x:v>20</x:v>
      </x:c>
      <x:c r="H520" s="9" t="n">
        <x:v>89.3</x:v>
      </x:c>
      <x:c r="I520" s="8" t="str">
        <x:f>B520&amp;" / "&amp;C520&amp;" / "&amp;E520</x:f>
        <x:v>4231 / 2025 / RAINBOW TROUT</x:v>
      </x:c>
    </x:row>
    <x:row r="521" ht="23" customHeight="1">
      <x:c r="A521" s="8" t="str">
        <x:v>Cecil Thompson Pond</x:v>
      </x:c>
      <x:c r="B521" s="8" t="str">
        <x:v>6778</x:v>
      </x:c>
      <x:c r="C521" s="17" t="n">
        <x:v>2026</x:v>
      </x:c>
      <x:c r="D521" s="18" t="n">
        <x:v>46162</x:v>
      </x:c>
      <x:c r="E521" s="8" t="str">
        <x:v>RAINBOW TROUT</x:v>
      </x:c>
      <x:c r="F521" s="13" t="n">
        <x:v>1000</x:v>
      </x:c>
      <x:c r="G521" s="9" t="n">
        <x:v>21.5</x:v>
      </x:c>
      <x:c r="H521" s="9" t="n">
        <x:v>109</x:v>
      </x:c>
      <x:c r="I521" s="8" t="str">
        <x:f>B521&amp;" / "&amp;C521&amp;" / "&amp;E521</x:f>
        <x:v>6778 / 2026 / RAINBOW TROUT</x:v>
      </x:c>
    </x:row>
    <x:row r="522" ht="23" customHeight="1">
      <x:c r="A522" s="8" t="str">
        <x:v>Cecil Thompson Pond</x:v>
      </x:c>
      <x:c r="B522" s="8" t="str">
        <x:v>6778</x:v>
      </x:c>
      <x:c r="C522" s="17" t="n">
        <x:v>2025</x:v>
      </x:c>
      <x:c r="D522" s="18" t="n">
        <x:v>45789</x:v>
      </x:c>
      <x:c r="E522" s="8" t="str">
        <x:v>RAINBOW TROUT</x:v>
      </x:c>
      <x:c r="F522" s="13" t="n">
        <x:v>1000</x:v>
      </x:c>
      <x:c r="G522" s="9" t="n">
        <x:v>20.8</x:v>
      </x:c>
      <x:c r="H522" s="9" t="n">
        <x:v>95.5</x:v>
      </x:c>
      <x:c r="I522" s="8" t="str">
        <x:f>B522&amp;" / "&amp;C522&amp;" / "&amp;E522</x:f>
        <x:v>6778 / 2025 / RAINBOW TROUT</x:v>
      </x:c>
    </x:row>
    <x:row r="523" ht="23" customHeight="1">
      <x:c r="A523" s="8" t="str">
        <x:v>Cecil Thompson Pond</x:v>
      </x:c>
      <x:c r="B523" s="8" t="str">
        <x:v>6778</x:v>
      </x:c>
      <x:c r="C523" s="17" t="n">
        <x:v>2024</x:v>
      </x:c>
      <x:c r="D523" s="18" t="n">
        <x:v>45426</x:v>
      </x:c>
      <x:c r="E523" s="8" t="str">
        <x:v>RAINBOW TROUT</x:v>
      </x:c>
      <x:c r="F523" s="13" t="n">
        <x:v>500</x:v>
      </x:c>
      <x:c r="G523" s="9" t="n">
        <x:v>20.7</x:v>
      </x:c>
      <x:c r="H523" s="9" t="n">
        <x:v>95.1</x:v>
      </x:c>
      <x:c r="I523" s="8" t="str">
        <x:f>B523&amp;" / "&amp;C523&amp;" / "&amp;E523</x:f>
        <x:v>6778 / 2024 / RAINBOW TROUT</x:v>
      </x:c>
    </x:row>
    <x:row r="524" ht="23" customHeight="1">
      <x:c r="A524" s="8" t="str">
        <x:v>Cecil Thompson Pond</x:v>
      </x:c>
      <x:c r="B524" s="8" t="str">
        <x:v>6778</x:v>
      </x:c>
      <x:c r="C524" s="17" t="n">
        <x:v>2023</x:v>
      </x:c>
      <x:c r="D524" s="18" t="n">
        <x:v>45069</x:v>
      </x:c>
      <x:c r="E524" s="8" t="str">
        <x:v>RAINBOW TROUT</x:v>
      </x:c>
      <x:c r="F524" s="13" t="n">
        <x:v>502</x:v>
      </x:c>
      <x:c r="G524" s="9" t="n">
        <x:v>21.2</x:v>
      </x:c>
      <x:c r="H524" s="9" t="n">
        <x:v>101.5</x:v>
      </x:c>
      <x:c r="I524" s="8" t="str">
        <x:f>B524&amp;" / "&amp;C524&amp;" / "&amp;E524</x:f>
        <x:v>6778 / 2023 / RAINBOW TROUT</x:v>
      </x:c>
    </x:row>
    <x:row r="525" ht="23" customHeight="1">
      <x:c r="A525" s="8" t="str">
        <x:v>Cecil Thompson Pond</x:v>
      </x:c>
      <x:c r="B525" s="8" t="str">
        <x:v>6778</x:v>
      </x:c>
      <x:c r="C525" s="17" t="n">
        <x:v>2022</x:v>
      </x:c>
      <x:c r="D525" s="18" t="n">
        <x:v>44696</x:v>
      </x:c>
      <x:c r="E525" s="8" t="str">
        <x:v>RAINBOW TROUT</x:v>
      </x:c>
      <x:c r="F525" s="13" t="n">
        <x:v>1000</x:v>
      </x:c>
      <x:c r="G525" s="9" t="n">
        <x:v>21.9</x:v>
      </x:c>
      <x:c r="H525" s="9" t="n">
        <x:v>116.9</x:v>
      </x:c>
      <x:c r="I525" s="8" t="str">
        <x:f>B525&amp;" / "&amp;C525&amp;" / "&amp;E525</x:f>
        <x:v>6778 / 2022 / RAINBOW TROUT</x:v>
      </x:c>
    </x:row>
    <x:row r="526" ht="23" customHeight="1">
      <x:c r="A526" s="8" t="str">
        <x:v>Cecil Thompson Pond</x:v>
      </x:c>
      <x:c r="B526" s="8" t="str">
        <x:v>6778</x:v>
      </x:c>
      <x:c r="C526" s="17" t="n">
        <x:v>2021</x:v>
      </x:c>
      <x:c r="D526" s="18" t="n">
        <x:v>44328</x:v>
      </x:c>
      <x:c r="E526" s="8" t="str">
        <x:v>RAINBOW TROUT</x:v>
      </x:c>
      <x:c r="F526" s="13" t="n">
        <x:v>1000</x:v>
      </x:c>
      <x:c r="G526" s="9" t="n">
        <x:v>19.1</x:v>
      </x:c>
      <x:c r="H526" s="9" t="n">
        <x:v>77.4</x:v>
      </x:c>
      <x:c r="I526" s="8" t="str">
        <x:f>B526&amp;" / "&amp;C526&amp;" / "&amp;E526</x:f>
        <x:v>6778 / 2021 / RAINBOW TROUT</x:v>
      </x:c>
    </x:row>
    <x:row r="527" ht="23" customHeight="1">
      <x:c r="A527" s="8" t="str">
        <x:v>Chain Lakes Reservoir</x:v>
      </x:c>
      <x:c r="B527" s="8" t="str">
        <x:v>3499</x:v>
      </x:c>
      <x:c r="C527" s="17" t="n">
        <x:v>2026</x:v>
      </x:c>
      <x:c r="D527" s="18" t="n">
        <x:v>46142</x:v>
      </x:c>
      <x:c r="E527" s="8" t="str">
        <x:v>RAINBOW TROUT</x:v>
      </x:c>
      <x:c r="F527" s="13" t="n">
        <x:v>11580</x:v>
      </x:c>
      <x:c r="G527" s="9" t="n">
        <x:v>20.1</x:v>
      </x:c>
      <x:c r="H527" s="9" t="n">
        <x:v>87.7</x:v>
      </x:c>
      <x:c r="I527" s="8" t="str">
        <x:f>B527&amp;" / "&amp;C527&amp;" / "&amp;E527</x:f>
        <x:v>3499 / 2026 / RAINBOW TROUT</x:v>
      </x:c>
    </x:row>
    <x:row r="528" ht="23" customHeight="1">
      <x:c r="A528" s="8" t="str">
        <x:v>Chain Lakes Reservoir</x:v>
      </x:c>
      <x:c r="B528" s="8" t="str">
        <x:v>3499</x:v>
      </x:c>
      <x:c r="C528" s="17" t="n">
        <x:v>2026</x:v>
      </x:c>
      <x:c r="D528" s="18" t="n">
        <x:v>46142</x:v>
      </x:c>
      <x:c r="E528" s="8" t="str">
        <x:v>RAINBOW TROUT</x:v>
      </x:c>
      <x:c r="F528" s="13" t="n">
        <x:v>2420</x:v>
      </x:c>
      <x:c r="G528" s="9" t="n">
        <x:v>23.8</x:v>
      </x:c>
      <x:c r="H528" s="9" t="n">
        <x:v>133.3</x:v>
      </x:c>
      <x:c r="I528" s="8" t="str">
        <x:f>B528&amp;" / "&amp;C528&amp;" / "&amp;E528</x:f>
        <x:v>3499 / 2026 / RAINBOW TROUT</x:v>
      </x:c>
    </x:row>
    <x:row r="529" ht="23" customHeight="1">
      <x:c r="A529" s="8" t="str">
        <x:v>Chain Lakes Reservoir</x:v>
      </x:c>
      <x:c r="B529" s="8" t="str">
        <x:v>3499</x:v>
      </x:c>
      <x:c r="C529" s="17" t="n">
        <x:v>2026</x:v>
      </x:c>
      <x:c r="D529" s="18" t="n">
        <x:v>46142</x:v>
      </x:c>
      <x:c r="E529" s="8" t="str">
        <x:v>RAINBOW TROUT</x:v>
      </x:c>
      <x:c r="F529" s="13" t="n">
        <x:v>6000</x:v>
      </x:c>
      <x:c r="G529" s="9" t="n">
        <x:v>20.6</x:v>
      </x:c>
      <x:c r="H529" s="9" t="n">
        <x:v>94.8</x:v>
      </x:c>
      <x:c r="I529" s="8" t="str">
        <x:f>B529&amp;" / "&amp;C529&amp;" / "&amp;E529</x:f>
        <x:v>3499 / 2026 / RAINBOW TROUT</x:v>
      </x:c>
    </x:row>
    <x:row r="530" ht="23" customHeight="1">
      <x:c r="A530" s="8" t="str">
        <x:v>Chain Lakes Reservoir</x:v>
      </x:c>
      <x:c r="B530" s="8" t="str">
        <x:v>3499</x:v>
      </x:c>
      <x:c r="C530" s="17" t="n">
        <x:v>2026</x:v>
      </x:c>
      <x:c r="D530" s="18" t="n">
        <x:v>46139</x:v>
      </x:c>
      <x:c r="E530" s="8" t="str">
        <x:v>RAINBOW TROUT</x:v>
      </x:c>
      <x:c r="F530" s="13" t="n">
        <x:v>10000</x:v>
      </x:c>
      <x:c r="G530" s="9" t="n">
        <x:v>16.7</x:v>
      </x:c>
      <x:c r="H530" s="9" t="n">
        <x:v>51.8</x:v>
      </x:c>
      <x:c r="I530" s="8" t="str">
        <x:f>B530&amp;" / "&amp;C530&amp;" / "&amp;E530</x:f>
        <x:v>3499 / 2026 / RAINBOW TROUT</x:v>
      </x:c>
    </x:row>
    <x:row r="531" ht="23" customHeight="1">
      <x:c r="A531" s="8" t="str">
        <x:v>Chain Lakes Reservoir</x:v>
      </x:c>
      <x:c r="B531" s="8" t="str">
        <x:v>3499</x:v>
      </x:c>
      <x:c r="C531" s="17" t="n">
        <x:v>2026</x:v>
      </x:c>
      <x:c r="D531" s="18" t="n">
        <x:v>46184</x:v>
      </x:c>
      <x:c r="E531" s="8" t="str">
        <x:v>WESTSLOPE CUTTHROAT TROUT</x:v>
      </x:c>
      <x:c r="F531" s="13" t="n">
        <x:v>2200</x:v>
      </x:c>
      <x:c r="G531" s="9" t="n">
        <x:v>16.8</x:v>
      </x:c>
      <x:c r="H531" s="9" t="n">
        <x:v>50</x:v>
      </x:c>
      <x:c r="I531" s="8" t="str">
        <x:f>B531&amp;" / "&amp;C531&amp;" / "&amp;E531</x:f>
        <x:v>3499 / 2026 / WESTSLOPE CUTTHROAT TROUT</x:v>
      </x:c>
    </x:row>
    <x:row r="532" ht="23" customHeight="1">
      <x:c r="A532" s="8" t="str">
        <x:v>Chain Lakes Reservoir</x:v>
      </x:c>
      <x:c r="B532" s="8" t="str">
        <x:v>3499</x:v>
      </x:c>
      <x:c r="C532" s="17" t="n">
        <x:v>2026</x:v>
      </x:c>
      <x:c r="D532" s="18" t="n">
        <x:v>46163</x:v>
      </x:c>
      <x:c r="E532" s="8" t="str">
        <x:v>WESTSLOPE CUTTHROAT TROUT</x:v>
      </x:c>
      <x:c r="F532" s="13" t="n">
        <x:v>3400</x:v>
      </x:c>
      <x:c r="G532" s="9" t="n">
        <x:v>16.1</x:v>
      </x:c>
      <x:c r="H532" s="9" t="n">
        <x:v>46</x:v>
      </x:c>
      <x:c r="I532" s="8" t="str">
        <x:f>B532&amp;" / "&amp;C532&amp;" / "&amp;E532</x:f>
        <x:v>3499 / 2026 / WESTSLOPE CUTTHROAT TROUT</x:v>
      </x:c>
    </x:row>
    <x:row r="533" ht="23" customHeight="1">
      <x:c r="A533" s="8" t="str">
        <x:v>Chain Lakes Reservoir</x:v>
      </x:c>
      <x:c r="B533" s="8" t="str">
        <x:v>3499</x:v>
      </x:c>
      <x:c r="C533" s="17" t="n">
        <x:v>2026</x:v>
      </x:c>
      <x:c r="D533" s="18" t="n">
        <x:v>46134</x:v>
      </x:c>
      <x:c r="E533" s="8" t="str">
        <x:v>WESTSLOPE CUTTHROAT TROUT</x:v>
      </x:c>
      <x:c r="F533" s="13" t="n">
        <x:v>20000</x:v>
      </x:c>
      <x:c r="G533" s="9" t="n">
        <x:v>10.8</x:v>
      </x:c>
      <x:c r="H533" s="9" t="n">
        <x:v>13.5</x:v>
      </x:c>
      <x:c r="I533" s="8" t="str">
        <x:f>B533&amp;" / "&amp;C533&amp;" / "&amp;E533</x:f>
        <x:v>3499 / 2026 / WESTSLOPE CUTTHROAT TROUT</x:v>
      </x:c>
    </x:row>
    <x:row r="534" ht="23" customHeight="1">
      <x:c r="A534" s="8" t="str">
        <x:v>Chain Lakes Reservoir</x:v>
      </x:c>
      <x:c r="B534" s="8" t="str">
        <x:v>3499</x:v>
      </x:c>
      <x:c r="C534" s="17" t="n">
        <x:v>2025</x:v>
      </x:c>
      <x:c r="D534" s="18" t="n">
        <x:v>45831</x:v>
      </x:c>
      <x:c r="E534" s="8" t="str">
        <x:v>CUTTHROAT TROUT</x:v>
      </x:c>
      <x:c r="F534" s="13" t="n">
        <x:v>425</x:v>
      </x:c>
      <x:c r="G534" s="9" t="n">
        <x:v>37.8</x:v>
      </x:c>
      <x:c r="H534" s="9" t="n">
        <x:v>583</x:v>
      </x:c>
      <x:c r="I534" s="8" t="str">
        <x:f>B534&amp;" / "&amp;C534&amp;" / "&amp;E534</x:f>
        <x:v>3499 / 2025 / CUTTHROAT TROUT</x:v>
      </x:c>
    </x:row>
    <x:row r="535" ht="23" customHeight="1">
      <x:c r="A535" s="8" t="str">
        <x:v>Chain Lakes Reservoir</x:v>
      </x:c>
      <x:c r="B535" s="8" t="str">
        <x:v>3499</x:v>
      </x:c>
      <x:c r="C535" s="17" t="n">
        <x:v>2025</x:v>
      </x:c>
      <x:c r="D535" s="18" t="n">
        <x:v>45950</x:v>
      </x:c>
      <x:c r="E535" s="8" t="str">
        <x:v>RAINBOW TROUT</x:v>
      </x:c>
      <x:c r="F535" s="13" t="n">
        <x:v>3957</x:v>
      </x:c>
      <x:c r="G535" s="9" t="n">
        <x:v>8.6</x:v>
      </x:c>
      <x:c r="H535" s="9" t="n">
        <x:v>6.8</x:v>
      </x:c>
      <x:c r="I535" s="8" t="str">
        <x:f>B535&amp;" / "&amp;C535&amp;" / "&amp;E535</x:f>
        <x:v>3499 / 2025 / RAINBOW TROUT</x:v>
      </x:c>
    </x:row>
    <x:row r="536" ht="23" customHeight="1">
      <x:c r="A536" s="8" t="str">
        <x:v>Chain Lakes Reservoir</x:v>
      </x:c>
      <x:c r="B536" s="8" t="str">
        <x:v>3499</x:v>
      </x:c>
      <x:c r="C536" s="17" t="n">
        <x:v>2025</x:v>
      </x:c>
      <x:c r="D536" s="18" t="n">
        <x:v>45938</x:v>
      </x:c>
      <x:c r="E536" s="8" t="str">
        <x:v>RAINBOW TROUT</x:v>
      </x:c>
      <x:c r="F536" s="13" t="n">
        <x:v>10747</x:v>
      </x:c>
      <x:c r="G536" s="9" t="n">
        <x:v>19.8</x:v>
      </x:c>
      <x:c r="H536" s="9" t="n">
        <x:v>85.4</x:v>
      </x:c>
      <x:c r="I536" s="8" t="str">
        <x:f>B536&amp;" / "&amp;C536&amp;" / "&amp;E536</x:f>
        <x:v>3499 / 2025 / RAINBOW TROUT</x:v>
      </x:c>
    </x:row>
    <x:row r="537" ht="23" customHeight="1">
      <x:c r="A537" s="8" t="str">
        <x:v>Chain Lakes Reservoir</x:v>
      </x:c>
      <x:c r="B537" s="8" t="str">
        <x:v>3499</x:v>
      </x:c>
      <x:c r="C537" s="17" t="n">
        <x:v>2025</x:v>
      </x:c>
      <x:c r="D537" s="18" t="n">
        <x:v>45937</x:v>
      </x:c>
      <x:c r="E537" s="8" t="str">
        <x:v>RAINBOW TROUT</x:v>
      </x:c>
      <x:c r="F537" s="13" t="n">
        <x:v>10611</x:v>
      </x:c>
      <x:c r="G537" s="9" t="n">
        <x:v>19.8</x:v>
      </x:c>
      <x:c r="H537" s="9" t="n">
        <x:v>85.7</x:v>
      </x:c>
      <x:c r="I537" s="8" t="str">
        <x:f>B537&amp;" / "&amp;C537&amp;" / "&amp;E537</x:f>
        <x:v>3499 / 2025 / RAINBOW TROUT</x:v>
      </x:c>
    </x:row>
    <x:row r="538" ht="23" customHeight="1">
      <x:c r="A538" s="8" t="str">
        <x:v>Chain Lakes Reservoir</x:v>
      </x:c>
      <x:c r="B538" s="8" t="str">
        <x:v>3499</x:v>
      </x:c>
      <x:c r="C538" s="17" t="n">
        <x:v>2025</x:v>
      </x:c>
      <x:c r="D538" s="18" t="n">
        <x:v>45921</x:v>
      </x:c>
      <x:c r="E538" s="8" t="str">
        <x:v>RAINBOW TROUT</x:v>
      </x:c>
      <x:c r="F538" s="13" t="n">
        <x:v>9401</x:v>
      </x:c>
      <x:c r="G538" s="9" t="n">
        <x:v>6.4</x:v>
      </x:c>
      <x:c r="H538" s="9" t="n">
        <x:v>2.9</x:v>
      </x:c>
      <x:c r="I538" s="8" t="str">
        <x:f>B538&amp;" / "&amp;C538&amp;" / "&amp;E538</x:f>
        <x:v>3499 / 2025 / RAINBOW TROUT</x:v>
      </x:c>
    </x:row>
    <x:row r="539" ht="23" customHeight="1">
      <x:c r="A539" s="8" t="str">
        <x:v>Chain Lakes Reservoir</x:v>
      </x:c>
      <x:c r="B539" s="8" t="str">
        <x:v>3499</x:v>
      </x:c>
      <x:c r="C539" s="17" t="n">
        <x:v>2025</x:v>
      </x:c>
      <x:c r="D539" s="18" t="n">
        <x:v>45914</x:v>
      </x:c>
      <x:c r="E539" s="8" t="str">
        <x:v>RAINBOW TROUT</x:v>
      </x:c>
      <x:c r="F539" s="13" t="n">
        <x:v>20164</x:v>
      </x:c>
      <x:c r="G539" s="9" t="n">
        <x:v>20.4</x:v>
      </x:c>
      <x:c r="H539" s="9" t="n">
        <x:v>91.1</x:v>
      </x:c>
      <x:c r="I539" s="8" t="str">
        <x:f>B539&amp;" / "&amp;C539&amp;" / "&amp;E539</x:f>
        <x:v>3499 / 2025 / RAINBOW TROUT</x:v>
      </x:c>
    </x:row>
    <x:row r="540" ht="23" customHeight="1">
      <x:c r="A540" s="8" t="str">
        <x:v>Chain Lakes Reservoir</x:v>
      </x:c>
      <x:c r="B540" s="8" t="str">
        <x:v>3499</x:v>
      </x:c>
      <x:c r="C540" s="17" t="n">
        <x:v>2025</x:v>
      </x:c>
      <x:c r="D540" s="18" t="n">
        <x:v>45910</x:v>
      </x:c>
      <x:c r="E540" s="8" t="str">
        <x:v>RAINBOW TROUT</x:v>
      </x:c>
      <x:c r="F540" s="13" t="n">
        <x:v>24836</x:v>
      </x:c>
      <x:c r="G540" s="9" t="n">
        <x:v>20</x:v>
      </x:c>
      <x:c r="H540" s="9" t="n">
        <x:v>86.9</x:v>
      </x:c>
      <x:c r="I540" s="8" t="str">
        <x:f>B540&amp;" / "&amp;C540&amp;" / "&amp;E540</x:f>
        <x:v>3499 / 2025 / RAINBOW TROUT</x:v>
      </x:c>
    </x:row>
    <x:row r="541" ht="23" customHeight="1">
      <x:c r="A541" s="8" t="str">
        <x:v>Chain Lakes Reservoir</x:v>
      </x:c>
      <x:c r="B541" s="8" t="str">
        <x:v>3499</x:v>
      </x:c>
      <x:c r="C541" s="17" t="n">
        <x:v>2025</x:v>
      </x:c>
      <x:c r="D541" s="18" t="n">
        <x:v>45776</x:v>
      </x:c>
      <x:c r="E541" s="8" t="str">
        <x:v>RAINBOW TROUT</x:v>
      </x:c>
      <x:c r="F541" s="13" t="n">
        <x:v>29304</x:v>
      </x:c>
      <x:c r="G541" s="9" t="n">
        <x:v>16.3</x:v>
      </x:c>
      <x:c r="H541" s="9" t="n">
        <x:v>41.6</x:v>
      </x:c>
      <x:c r="I541" s="8" t="str">
        <x:f>B541&amp;" / "&amp;C541&amp;" / "&amp;E541</x:f>
        <x:v>3499 / 2025 / RAINBOW TROUT</x:v>
      </x:c>
    </x:row>
    <x:row r="542" ht="23" customHeight="1">
      <x:c r="A542" s="8" t="str">
        <x:v>Chain Lakes Reservoir</x:v>
      </x:c>
      <x:c r="B542" s="8" t="str">
        <x:v>3499</x:v>
      </x:c>
      <x:c r="C542" s="17" t="n">
        <x:v>2025</x:v>
      </x:c>
      <x:c r="D542" s="18" t="n">
        <x:v>45776</x:v>
      </x:c>
      <x:c r="E542" s="8" t="str">
        <x:v>RAINBOW TROUT</x:v>
      </x:c>
      <x:c r="F542" s="13" t="n">
        <x:v>2702</x:v>
      </x:c>
      <x:c r="G542" s="9" t="n">
        <x:v>17.5</x:v>
      </x:c>
      <x:c r="H542" s="9" t="n">
        <x:v>56.2</x:v>
      </x:c>
      <x:c r="I542" s="8" t="str">
        <x:f>B542&amp;" / "&amp;C542&amp;" / "&amp;E542</x:f>
        <x:v>3499 / 2025 / RAINBOW TROUT</x:v>
      </x:c>
    </x:row>
    <x:row r="543" ht="23" customHeight="1">
      <x:c r="A543" s="8" t="str">
        <x:v>Chain Lakes Reservoir</x:v>
      </x:c>
      <x:c r="B543" s="8" t="str">
        <x:v>3499</x:v>
      </x:c>
      <x:c r="C543" s="17" t="n">
        <x:v>2025</x:v>
      </x:c>
      <x:c r="D543" s="18" t="n">
        <x:v>45769</x:v>
      </x:c>
      <x:c r="E543" s="8" t="str">
        <x:v>RAINBOW TROUT</x:v>
      </x:c>
      <x:c r="F543" s="13" t="n">
        <x:v>15348</x:v>
      </x:c>
      <x:c r="G543" s="9" t="n">
        <x:v>20.2</x:v>
      </x:c>
      <x:c r="H543" s="9" t="n">
        <x:v>89.2</x:v>
      </x:c>
      <x:c r="I543" s="8" t="str">
        <x:f>B543&amp;" / "&amp;C543&amp;" / "&amp;E543</x:f>
        <x:v>3499 / 2025 / RAINBOW TROUT</x:v>
      </x:c>
    </x:row>
    <x:row r="544" ht="23" customHeight="1">
      <x:c r="A544" s="8" t="str">
        <x:v>Chain Lakes Reservoir</x:v>
      </x:c>
      <x:c r="B544" s="8" t="str">
        <x:v>3499</x:v>
      </x:c>
      <x:c r="C544" s="17" t="n">
        <x:v>2024</x:v>
      </x:c>
      <x:c r="D544" s="18" t="n">
        <x:v>45567</x:v>
      </x:c>
      <x:c r="E544" s="8" t="str">
        <x:v>RAINBOW TROUT</x:v>
      </x:c>
      <x:c r="F544" s="13" t="n">
        <x:v>14500</x:v>
      </x:c>
      <x:c r="G544" s="9" t="n">
        <x:v>18.8</x:v>
      </x:c>
      <x:c r="H544" s="9" t="n">
        <x:v>70.1</x:v>
      </x:c>
      <x:c r="I544" s="8" t="str">
        <x:f>B544&amp;" / "&amp;C544&amp;" / "&amp;E544</x:f>
        <x:v>3499 / 2024 / RAINBOW TROUT</x:v>
      </x:c>
    </x:row>
    <x:row r="545" ht="23" customHeight="1">
      <x:c r="A545" s="8" t="str">
        <x:v>Chain Lakes Reservoir</x:v>
      </x:c>
      <x:c r="B545" s="8" t="str">
        <x:v>3499</x:v>
      </x:c>
      <x:c r="C545" s="17" t="n">
        <x:v>2024</x:v>
      </x:c>
      <x:c r="D545" s="18" t="n">
        <x:v>45567</x:v>
      </x:c>
      <x:c r="E545" s="8" t="str">
        <x:v>RAINBOW TROUT</x:v>
      </x:c>
      <x:c r="F545" s="13" t="n">
        <x:v>7005</x:v>
      </x:c>
      <x:c r="G545" s="9" t="n">
        <x:v>19.7</x:v>
      </x:c>
      <x:c r="H545" s="9" t="n">
        <x:v>83.7</x:v>
      </x:c>
      <x:c r="I545" s="8" t="str">
        <x:f>B545&amp;" / "&amp;C545&amp;" / "&amp;E545</x:f>
        <x:v>3499 / 2024 / RAINBOW TROUT</x:v>
      </x:c>
    </x:row>
    <x:row r="546" ht="23" customHeight="1">
      <x:c r="A546" s="8" t="str">
        <x:v>Chain Lakes Reservoir</x:v>
      </x:c>
      <x:c r="B546" s="8" t="str">
        <x:v>3499</x:v>
      </x:c>
      <x:c r="C546" s="17" t="n">
        <x:v>2024</x:v>
      </x:c>
      <x:c r="D546" s="18" t="n">
        <x:v>45566</x:v>
      </x:c>
      <x:c r="E546" s="8" t="str">
        <x:v>RAINBOW TROUT</x:v>
      </x:c>
      <x:c r="F546" s="13" t="n">
        <x:v>8085</x:v>
      </x:c>
      <x:c r="G546" s="9" t="n">
        <x:v>20.1</x:v>
      </x:c>
      <x:c r="H546" s="9" t="n">
        <x:v>86.4</x:v>
      </x:c>
      <x:c r="I546" s="8" t="str">
        <x:f>B546&amp;" / "&amp;C546&amp;" / "&amp;E546</x:f>
        <x:v>3499 / 2024 / RAINBOW TROUT</x:v>
      </x:c>
    </x:row>
    <x:row r="547" ht="23" customHeight="1">
      <x:c r="A547" s="8" t="str">
        <x:v>Chain Lakes Reservoir</x:v>
      </x:c>
      <x:c r="B547" s="8" t="str">
        <x:v>3499</x:v>
      </x:c>
      <x:c r="C547" s="17" t="n">
        <x:v>2024</x:v>
      </x:c>
      <x:c r="D547" s="18" t="n">
        <x:v>45565</x:v>
      </x:c>
      <x:c r="E547" s="8" t="str">
        <x:v>RAINBOW TROUT</x:v>
      </x:c>
      <x:c r="F547" s="13" t="n">
        <x:v>16400</x:v>
      </x:c>
      <x:c r="G547" s="9" t="n">
        <x:v>18.8</x:v>
      </x:c>
      <x:c r="H547" s="9" t="n">
        <x:v>70.1</x:v>
      </x:c>
      <x:c r="I547" s="8" t="str">
        <x:f>B547&amp;" / "&amp;C547&amp;" / "&amp;E547</x:f>
        <x:v>3499 / 2024 / RAINBOW TROUT</x:v>
      </x:c>
    </x:row>
    <x:row r="548" ht="23" customHeight="1">
      <x:c r="A548" s="8" t="str">
        <x:v>Chain Lakes Reservoir</x:v>
      </x:c>
      <x:c r="B548" s="8" t="str">
        <x:v>3499</x:v>
      </x:c>
      <x:c r="C548" s="17" t="n">
        <x:v>2024</x:v>
      </x:c>
      <x:c r="D548" s="18" t="n">
        <x:v>45561</x:v>
      </x:c>
      <x:c r="E548" s="8" t="str">
        <x:v>RAINBOW TROUT</x:v>
      </x:c>
      <x:c r="F548" s="13" t="n">
        <x:v>5850</x:v>
      </x:c>
      <x:c r="G548" s="9" t="n">
        <x:v>16.6</x:v>
      </x:c>
      <x:c r="H548" s="9" t="n">
        <x:v>50.7</x:v>
      </x:c>
      <x:c r="I548" s="8" t="str">
        <x:f>B548&amp;" / "&amp;C548&amp;" / "&amp;E548</x:f>
        <x:v>3499 / 2024 / RAINBOW TROUT</x:v>
      </x:c>
    </x:row>
    <x:row r="549" ht="23" customHeight="1">
      <x:c r="A549" s="8" t="str">
        <x:v>Chain Lakes Reservoir</x:v>
      </x:c>
      <x:c r="B549" s="8" t="str">
        <x:v>3499</x:v>
      </x:c>
      <x:c r="C549" s="17" t="n">
        <x:v>2024</x:v>
      </x:c>
      <x:c r="D549" s="18" t="n">
        <x:v>45561</x:v>
      </x:c>
      <x:c r="E549" s="8" t="str">
        <x:v>RAINBOW TROUT</x:v>
      </x:c>
      <x:c r="F549" s="13" t="n">
        <x:v>3550</x:v>
      </x:c>
      <x:c r="G549" s="9" t="n">
        <x:v>21.5</x:v>
      </x:c>
      <x:c r="H549" s="9" t="n">
        <x:v>110.2</x:v>
      </x:c>
      <x:c r="I549" s="8" t="str">
        <x:f>B549&amp;" / "&amp;C549&amp;" / "&amp;E549</x:f>
        <x:v>3499 / 2024 / RAINBOW TROUT</x:v>
      </x:c>
    </x:row>
    <x:row r="550" ht="23" customHeight="1">
      <x:c r="A550" s="8" t="str">
        <x:v>Chain Lakes Reservoir</x:v>
      </x:c>
      <x:c r="B550" s="8" t="str">
        <x:v>3499</x:v>
      </x:c>
      <x:c r="C550" s="17" t="n">
        <x:v>2024</x:v>
      </x:c>
      <x:c r="D550" s="18" t="n">
        <x:v>45554</x:v>
      </x:c>
      <x:c r="E550" s="8" t="str">
        <x:v>RAINBOW TROUT</x:v>
      </x:c>
      <x:c r="F550" s="13" t="n">
        <x:v>7748</x:v>
      </x:c>
      <x:c r="G550" s="9" t="n">
        <x:v>21.5</x:v>
      </x:c>
      <x:c r="H550" s="9" t="n">
        <x:v>110.2</x:v>
      </x:c>
      <x:c r="I550" s="8" t="str">
        <x:f>B550&amp;" / "&amp;C550&amp;" / "&amp;E550</x:f>
        <x:v>3499 / 2024 / RAINBOW TROUT</x:v>
      </x:c>
    </x:row>
    <x:row r="551" ht="23" customHeight="1">
      <x:c r="A551" s="8" t="str">
        <x:v>Chain Lakes Reservoir</x:v>
      </x:c>
      <x:c r="B551" s="8" t="str">
        <x:v>3499</x:v>
      </x:c>
      <x:c r="C551" s="17" t="n">
        <x:v>2024</x:v>
      </x:c>
      <x:c r="D551" s="18" t="n">
        <x:v>45433</x:v>
      </x:c>
      <x:c r="E551" s="8" t="str">
        <x:v>RAINBOW TROUT</x:v>
      </x:c>
      <x:c r="F551" s="13" t="n">
        <x:v>35210</x:v>
      </x:c>
      <x:c r="G551" s="9" t="n">
        <x:v>14.1</x:v>
      </x:c>
      <x:c r="H551" s="9" t="n">
        <x:v>30.8</x:v>
      </x:c>
      <x:c r="I551" s="8" t="str">
        <x:f>B551&amp;" / "&amp;C551&amp;" / "&amp;E551</x:f>
        <x:v>3499 / 2024 / RAINBOW TROUT</x:v>
      </x:c>
    </x:row>
    <x:row r="552" ht="23" customHeight="1">
      <x:c r="A552" s="8" t="str">
        <x:v>Chain Lakes Reservoir</x:v>
      </x:c>
      <x:c r="B552" s="8" t="str">
        <x:v>3499</x:v>
      </x:c>
      <x:c r="C552" s="17" t="n">
        <x:v>2024</x:v>
      </x:c>
      <x:c r="D552" s="18" t="n">
        <x:v>45408</x:v>
      </x:c>
      <x:c r="E552" s="8" t="str">
        <x:v>RAINBOW TROUT</x:v>
      </x:c>
      <x:c r="F552" s="13" t="n">
        <x:v>4510</x:v>
      </x:c>
      <x:c r="G552" s="9" t="n">
        <x:v>21</x:v>
      </x:c>
      <x:c r="H552" s="9" t="n">
        <x:v>100</x:v>
      </x:c>
      <x:c r="I552" s="8" t="str">
        <x:f>B552&amp;" / "&amp;C552&amp;" / "&amp;E552</x:f>
        <x:v>3499 / 2024 / RAINBOW TROUT</x:v>
      </x:c>
    </x:row>
    <x:row r="553" ht="23" customHeight="1">
      <x:c r="A553" s="8" t="str">
        <x:v>Chain Lakes Reservoir</x:v>
      </x:c>
      <x:c r="B553" s="8" t="str">
        <x:v>3499</x:v>
      </x:c>
      <x:c r="C553" s="17" t="n">
        <x:v>2024</x:v>
      </x:c>
      <x:c r="D553" s="18" t="n">
        <x:v>45408</x:v>
      </x:c>
      <x:c r="E553" s="8" t="str">
        <x:v>RAINBOW TROUT</x:v>
      </x:c>
      <x:c r="F553" s="13" t="n">
        <x:v>4428</x:v>
      </x:c>
      <x:c r="G553" s="9" t="n">
        <x:v>20.1</x:v>
      </x:c>
      <x:c r="H553" s="9" t="n">
        <x:v>87.7</x:v>
      </x:c>
      <x:c r="I553" s="8" t="str">
        <x:f>B553&amp;" / "&amp;C553&amp;" / "&amp;E553</x:f>
        <x:v>3499 / 2024 / RAINBOW TROUT</x:v>
      </x:c>
    </x:row>
    <x:row r="554" ht="23" customHeight="1">
      <x:c r="A554" s="8" t="str">
        <x:v>Chain Lakes Reservoir</x:v>
      </x:c>
      <x:c r="B554" s="8" t="str">
        <x:v>3499</x:v>
      </x:c>
      <x:c r="C554" s="17" t="n">
        <x:v>2024</x:v>
      </x:c>
      <x:c r="D554" s="18" t="n">
        <x:v>45408</x:v>
      </x:c>
      <x:c r="E554" s="8" t="str">
        <x:v>RAINBOW TROUT</x:v>
      </x:c>
      <x:c r="F554" s="13" t="n">
        <x:v>6768</x:v>
      </x:c>
      <x:c r="G554" s="9" t="n">
        <x:v>20.1</x:v>
      </x:c>
      <x:c r="H554" s="9" t="n">
        <x:v>87.7</x:v>
      </x:c>
      <x:c r="I554" s="8" t="str">
        <x:f>B554&amp;" / "&amp;C554&amp;" / "&amp;E554</x:f>
        <x:v>3499 / 2024 / RAINBOW TROUT</x:v>
      </x:c>
    </x:row>
    <x:row r="555" ht="23" customHeight="1">
      <x:c r="A555" s="8" t="str">
        <x:v>Chain Lakes Reservoir</x:v>
      </x:c>
      <x:c r="B555" s="8" t="str">
        <x:v>3499</x:v>
      </x:c>
      <x:c r="C555" s="17" t="n">
        <x:v>2024</x:v>
      </x:c>
      <x:c r="D555" s="18" t="n">
        <x:v>45408</x:v>
      </x:c>
      <x:c r="E555" s="8" t="str">
        <x:v>RAINBOW TROUT</x:v>
      </x:c>
      <x:c r="F555" s="13" t="n">
        <x:v>3304</x:v>
      </x:c>
      <x:c r="G555" s="9" t="n">
        <x:v>20.7</x:v>
      </x:c>
      <x:c r="H555" s="9" t="n">
        <x:v>95.9</x:v>
      </x:c>
      <x:c r="I555" s="8" t="str">
        <x:f>B555&amp;" / "&amp;C555&amp;" / "&amp;E555</x:f>
        <x:v>3499 / 2024 / RAINBOW TROUT</x:v>
      </x:c>
    </x:row>
    <x:row r="556" ht="23" customHeight="1">
      <x:c r="A556" s="8" t="str">
        <x:v>Chain Lakes Reservoir</x:v>
      </x:c>
      <x:c r="B556" s="8" t="str">
        <x:v>3499</x:v>
      </x:c>
      <x:c r="C556" s="17" t="n">
        <x:v>2024</x:v>
      </x:c>
      <x:c r="D556" s="18" t="n">
        <x:v>45404</x:v>
      </x:c>
      <x:c r="E556" s="8" t="str">
        <x:v>RAINBOW TROUT</x:v>
      </x:c>
      <x:c r="F556" s="13" t="n">
        <x:v>990</x:v>
      </x:c>
      <x:c r="G556" s="9" t="n">
        <x:v>20.6</x:v>
      </x:c>
      <x:c r="H556" s="9" t="n">
        <x:v>95</x:v>
      </x:c>
      <x:c r="I556" s="8" t="str">
        <x:f>B556&amp;" / "&amp;C556&amp;" / "&amp;E556</x:f>
        <x:v>3499 / 2024 / RAINBOW TROUT</x:v>
      </x:c>
    </x:row>
    <x:row r="557" ht="23" customHeight="1">
      <x:c r="A557" s="8" t="str">
        <x:v>Chain Lakes Reservoir</x:v>
      </x:c>
      <x:c r="B557" s="8" t="str">
        <x:v>3499</x:v>
      </x:c>
      <x:c r="C557" s="17" t="n">
        <x:v>2023</x:v>
      </x:c>
      <x:c r="D557" s="18" t="n">
        <x:v>45190</x:v>
      </x:c>
      <x:c r="E557" s="8" t="str">
        <x:v>RAINBOW TROUT</x:v>
      </x:c>
      <x:c r="F557" s="13" t="n">
        <x:v>8235</x:v>
      </x:c>
      <x:c r="G557" s="9" t="n">
        <x:v>14.9</x:v>
      </x:c>
      <x:c r="H557" s="9" t="n">
        <x:v>35.8</x:v>
      </x:c>
      <x:c r="I557" s="8" t="str">
        <x:f>B557&amp;" / "&amp;C557&amp;" / "&amp;E557</x:f>
        <x:v>3499 / 2023 / RAINBOW TROUT</x:v>
      </x:c>
    </x:row>
    <x:row r="558" ht="23" customHeight="1">
      <x:c r="A558" s="8" t="str">
        <x:v>Chain Lakes Reservoir</x:v>
      </x:c>
      <x:c r="B558" s="8" t="str">
        <x:v>3499</x:v>
      </x:c>
      <x:c r="C558" s="17" t="n">
        <x:v>2023</x:v>
      </x:c>
      <x:c r="D558" s="18" t="n">
        <x:v>45189</x:v>
      </x:c>
      <x:c r="E558" s="8" t="str">
        <x:v>RAINBOW TROUT</x:v>
      </x:c>
      <x:c r="F558" s="13" t="n">
        <x:v>20000</x:v>
      </x:c>
      <x:c r="G558" s="9" t="n">
        <x:v>15.6</x:v>
      </x:c>
      <x:c r="H558" s="9" t="n">
        <x:v>44.1</x:v>
      </x:c>
      <x:c r="I558" s="8" t="str">
        <x:f>B558&amp;" / "&amp;C558&amp;" / "&amp;E558</x:f>
        <x:v>3499 / 2023 / RAINBOW TROUT</x:v>
      </x:c>
    </x:row>
    <x:row r="559" ht="23" customHeight="1">
      <x:c r="A559" s="8" t="str">
        <x:v>Chain Lakes Reservoir</x:v>
      </x:c>
      <x:c r="B559" s="8" t="str">
        <x:v>3499</x:v>
      </x:c>
      <x:c r="C559" s="17" t="n">
        <x:v>2023</x:v>
      </x:c>
      <x:c r="D559" s="18" t="n">
        <x:v>45180</x:v>
      </x:c>
      <x:c r="E559" s="8" t="str">
        <x:v>RAINBOW TROUT</x:v>
      </x:c>
      <x:c r="F559" s="13" t="n">
        <x:v>10000</x:v>
      </x:c>
      <x:c r="G559" s="9" t="n">
        <x:v>13.4</x:v>
      </x:c>
      <x:c r="H559" s="9" t="n">
        <x:v>26.2</x:v>
      </x:c>
      <x:c r="I559" s="8" t="str">
        <x:f>B559&amp;" / "&amp;C559&amp;" / "&amp;E559</x:f>
        <x:v>3499 / 2023 / RAINBOW TROUT</x:v>
      </x:c>
    </x:row>
    <x:row r="560" ht="23" customHeight="1">
      <x:c r="A560" s="8" t="str">
        <x:v>Chain Lakes Reservoir</x:v>
      </x:c>
      <x:c r="B560" s="8" t="str">
        <x:v>3499</x:v>
      </x:c>
      <x:c r="C560" s="17" t="n">
        <x:v>2023</x:v>
      </x:c>
      <x:c r="D560" s="18" t="n">
        <x:v>45180</x:v>
      </x:c>
      <x:c r="E560" s="8" t="str">
        <x:v>RAINBOW TROUT</x:v>
      </x:c>
      <x:c r="F560" s="13" t="n">
        <x:v>5500</x:v>
      </x:c>
      <x:c r="G560" s="9" t="n">
        <x:v>20.1</x:v>
      </x:c>
      <x:c r="H560" s="9" t="n">
        <x:v>86.7</x:v>
      </x:c>
      <x:c r="I560" s="8" t="str">
        <x:f>B560&amp;" / "&amp;C560&amp;" / "&amp;E560</x:f>
        <x:v>3499 / 2023 / RAINBOW TROUT</x:v>
      </x:c>
    </x:row>
    <x:row r="561" ht="23" customHeight="1">
      <x:c r="A561" s="8" t="str">
        <x:v>Chain Lakes Reservoir</x:v>
      </x:c>
      <x:c r="B561" s="8" t="str">
        <x:v>3499</x:v>
      </x:c>
      <x:c r="C561" s="17" t="n">
        <x:v>2023</x:v>
      </x:c>
      <x:c r="D561" s="18" t="n">
        <x:v>45083</x:v>
      </x:c>
      <x:c r="E561" s="8" t="str">
        <x:v>RAINBOW TROUT</x:v>
      </x:c>
      <x:c r="F561" s="13" t="n">
        <x:v>5000</x:v>
      </x:c>
      <x:c r="G561" s="9" t="n">
        <x:v>15.6</x:v>
      </x:c>
      <x:c r="H561" s="9" t="n">
        <x:v>41.1</x:v>
      </x:c>
      <x:c r="I561" s="8" t="str">
        <x:f>B561&amp;" / "&amp;C561&amp;" / "&amp;E561</x:f>
        <x:v>3499 / 2023 / RAINBOW TROUT</x:v>
      </x:c>
    </x:row>
    <x:row r="562" ht="23" customHeight="1">
      <x:c r="A562" s="8" t="str">
        <x:v>Chain Lakes Reservoir</x:v>
      </x:c>
      <x:c r="B562" s="8" t="str">
        <x:v>3499</x:v>
      </x:c>
      <x:c r="C562" s="17" t="n">
        <x:v>2023</x:v>
      </x:c>
      <x:c r="D562" s="18" t="n">
        <x:v>45083</x:v>
      </x:c>
      <x:c r="E562" s="8" t="str">
        <x:v>RAINBOW TROUT</x:v>
      </x:c>
      <x:c r="F562" s="13" t="n">
        <x:v>10000</x:v>
      </x:c>
      <x:c r="G562" s="9" t="n">
        <x:v>13.1</x:v>
      </x:c>
      <x:c r="H562" s="9" t="n">
        <x:v>24.1</x:v>
      </x:c>
      <x:c r="I562" s="8" t="str">
        <x:f>B562&amp;" / "&amp;C562&amp;" / "&amp;E562</x:f>
        <x:v>3499 / 2023 / RAINBOW TROUT</x:v>
      </x:c>
    </x:row>
    <x:row r="563" ht="23" customHeight="1">
      <x:c r="A563" s="8" t="str">
        <x:v>Chain Lakes Reservoir</x:v>
      </x:c>
      <x:c r="B563" s="8" t="str">
        <x:v>3499</x:v>
      </x:c>
      <x:c r="C563" s="17" t="n">
        <x:v>2023</x:v>
      </x:c>
      <x:c r="D563" s="18" t="n">
        <x:v>45074</x:v>
      </x:c>
      <x:c r="E563" s="8" t="str">
        <x:v>RAINBOW TROUT</x:v>
      </x:c>
      <x:c r="F563" s="13" t="n">
        <x:v>25000</x:v>
      </x:c>
      <x:c r="G563" s="9" t="n">
        <x:v>8.7</x:v>
      </x:c>
      <x:c r="H563" s="9" t="n">
        <x:v>7.3</x:v>
      </x:c>
      <x:c r="I563" s="8" t="str">
        <x:f>B563&amp;" / "&amp;C563&amp;" / "&amp;E563</x:f>
        <x:v>3499 / 2023 / RAINBOW TROUT</x:v>
      </x:c>
    </x:row>
    <x:row r="564" ht="23" customHeight="1">
      <x:c r="A564" s="8" t="str">
        <x:v>Chain Lakes Reservoir</x:v>
      </x:c>
      <x:c r="B564" s="8" t="str">
        <x:v>3499</x:v>
      </x:c>
      <x:c r="C564" s="17" t="n">
        <x:v>2023</x:v>
      </x:c>
      <x:c r="D564" s="18" t="n">
        <x:v>45048</x:v>
      </x:c>
      <x:c r="E564" s="8" t="str">
        <x:v>RAINBOW TROUT</x:v>
      </x:c>
      <x:c r="F564" s="13" t="n">
        <x:v>2020</x:v>
      </x:c>
      <x:c r="G564" s="9" t="n">
        <x:v>20.5</x:v>
      </x:c>
      <x:c r="H564" s="9" t="n">
        <x:v>93.1</x:v>
      </x:c>
      <x:c r="I564" s="8" t="str">
        <x:f>B564&amp;" / "&amp;C564&amp;" / "&amp;E564</x:f>
        <x:v>3499 / 2023 / RAINBOW TROUT</x:v>
      </x:c>
    </x:row>
    <x:row r="565" ht="23" customHeight="1">
      <x:c r="A565" s="8" t="str">
        <x:v>Chain Lakes Reservoir</x:v>
      </x:c>
      <x:c r="B565" s="8" t="str">
        <x:v>3499</x:v>
      </x:c>
      <x:c r="C565" s="17" t="n">
        <x:v>2023</x:v>
      </x:c>
      <x:c r="D565" s="18" t="n">
        <x:v>45048</x:v>
      </x:c>
      <x:c r="E565" s="8" t="str">
        <x:v>RAINBOW TROUT</x:v>
      </x:c>
      <x:c r="F565" s="13" t="n">
        <x:v>2750</x:v>
      </x:c>
      <x:c r="G565" s="9" t="n">
        <x:v>20.1</x:v>
      </x:c>
      <x:c r="H565" s="9" t="n">
        <x:v>87.7</x:v>
      </x:c>
      <x:c r="I565" s="8" t="str">
        <x:f>B565&amp;" / "&amp;C565&amp;" / "&amp;E565</x:f>
        <x:v>3499 / 2023 / RAINBOW TROUT</x:v>
      </x:c>
    </x:row>
    <x:row r="566" ht="23" customHeight="1">
      <x:c r="A566" s="8" t="str">
        <x:v>Chain Lakes Reservoir</x:v>
      </x:c>
      <x:c r="B566" s="8" t="str">
        <x:v>3499</x:v>
      </x:c>
      <x:c r="C566" s="17" t="n">
        <x:v>2023</x:v>
      </x:c>
      <x:c r="D566" s="18" t="n">
        <x:v>45048</x:v>
      </x:c>
      <x:c r="E566" s="8" t="str">
        <x:v>RAINBOW TROUT</x:v>
      </x:c>
      <x:c r="F566" s="13" t="n">
        <x:v>1705</x:v>
      </x:c>
      <x:c r="G566" s="9" t="n">
        <x:v>20.1</x:v>
      </x:c>
      <x:c r="H566" s="9" t="n">
        <x:v>88</x:v>
      </x:c>
      <x:c r="I566" s="8" t="str">
        <x:f>B566&amp;" / "&amp;C566&amp;" / "&amp;E566</x:f>
        <x:v>3499 / 2023 / RAINBOW TROUT</x:v>
      </x:c>
    </x:row>
    <x:row r="567" ht="23" customHeight="1">
      <x:c r="A567" s="8" t="str">
        <x:v>Chain Lakes Reservoir</x:v>
      </x:c>
      <x:c r="B567" s="8" t="str">
        <x:v>3499</x:v>
      </x:c>
      <x:c r="C567" s="17" t="n">
        <x:v>2023</x:v>
      </x:c>
      <x:c r="D567" s="18" t="n">
        <x:v>45048</x:v>
      </x:c>
      <x:c r="E567" s="8" t="str">
        <x:v>RAINBOW TROUT</x:v>
      </x:c>
      <x:c r="F567" s="13" t="n">
        <x:v>13746</x:v>
      </x:c>
      <x:c r="G567" s="9" t="n">
        <x:v>17.7</x:v>
      </x:c>
      <x:c r="H567" s="9" t="n">
        <x:v>60.2</x:v>
      </x:c>
      <x:c r="I567" s="8" t="str">
        <x:f>B567&amp;" / "&amp;C567&amp;" / "&amp;E567</x:f>
        <x:v>3499 / 2023 / RAINBOW TROUT</x:v>
      </x:c>
    </x:row>
    <x:row r="568" ht="23" customHeight="1">
      <x:c r="A568" s="8" t="str">
        <x:v>Chain Lakes Reservoir</x:v>
      </x:c>
      <x:c r="B568" s="8" t="str">
        <x:v>3499</x:v>
      </x:c>
      <x:c r="C568" s="17" t="n">
        <x:v>2022</x:v>
      </x:c>
      <x:c r="D568" s="18" t="n">
        <x:v>44830</x:v>
      </x:c>
      <x:c r="E568" s="8" t="str">
        <x:v>RAINBOW TROUT</x:v>
      </x:c>
      <x:c r="F568" s="13" t="n">
        <x:v>15000</x:v>
      </x:c>
      <x:c r="G568" s="9" t="n">
        <x:v>17.5</x:v>
      </x:c>
      <x:c r="H568" s="9" t="n">
        <x:v>59.3</x:v>
      </x:c>
      <x:c r="I568" s="8" t="str">
        <x:f>B568&amp;" / "&amp;C568&amp;" / "&amp;E568</x:f>
        <x:v>3499 / 2022 / RAINBOW TROUT</x:v>
      </x:c>
    </x:row>
    <x:row r="569" ht="23" customHeight="1">
      <x:c r="A569" s="8" t="str">
        <x:v>Chain Lakes Reservoir</x:v>
      </x:c>
      <x:c r="B569" s="8" t="str">
        <x:v>3499</x:v>
      </x:c>
      <x:c r="C569" s="17" t="n">
        <x:v>2022</x:v>
      </x:c>
      <x:c r="D569" s="18" t="n">
        <x:v>44822</x:v>
      </x:c>
      <x:c r="E569" s="8" t="str">
        <x:v>RAINBOW TROUT</x:v>
      </x:c>
      <x:c r="F569" s="13" t="n">
        <x:v>14971</x:v>
      </x:c>
      <x:c r="G569" s="9" t="n">
        <x:v>17.3</x:v>
      </x:c>
      <x:c r="H569" s="9" t="n">
        <x:v>56.9</x:v>
      </x:c>
      <x:c r="I569" s="8" t="str">
        <x:f>B569&amp;" / "&amp;C569&amp;" / "&amp;E569</x:f>
        <x:v>3499 / 2022 / RAINBOW TROUT</x:v>
      </x:c>
    </x:row>
    <x:row r="570" ht="23" customHeight="1">
      <x:c r="A570" s="8" t="str">
        <x:v>Chain Lakes Reservoir</x:v>
      </x:c>
      <x:c r="B570" s="8" t="str">
        <x:v>3499</x:v>
      </x:c>
      <x:c r="C570" s="17" t="n">
        <x:v>2022</x:v>
      </x:c>
      <x:c r="D570" s="18" t="n">
        <x:v>44822</x:v>
      </x:c>
      <x:c r="E570" s="8" t="str">
        <x:v>RAINBOW TROUT</x:v>
      </x:c>
      <x:c r="F570" s="13" t="n">
        <x:v>19829</x:v>
      </x:c>
      <x:c r="G570" s="9" t="n">
        <x:v>17.9</x:v>
      </x:c>
      <x:c r="H570" s="9" t="n">
        <x:v>63</x:v>
      </x:c>
      <x:c r="I570" s="8" t="str">
        <x:f>B570&amp;" / "&amp;C570&amp;" / "&amp;E570</x:f>
        <x:v>3499 / 2022 / RAINBOW TROUT</x:v>
      </x:c>
    </x:row>
    <x:row r="571" ht="23" customHeight="1">
      <x:c r="A571" s="8" t="str">
        <x:v>Chain Lakes Reservoir</x:v>
      </x:c>
      <x:c r="B571" s="8" t="str">
        <x:v>3499</x:v>
      </x:c>
      <x:c r="C571" s="17" t="n">
        <x:v>2022</x:v>
      </x:c>
      <x:c r="D571" s="18" t="n">
        <x:v>44680</x:v>
      </x:c>
      <x:c r="E571" s="8" t="str">
        <x:v>RAINBOW TROUT</x:v>
      </x:c>
      <x:c r="F571" s="13" t="n">
        <x:v>725</x:v>
      </x:c>
      <x:c r="G571" s="9" t="n">
        <x:v>21.1</x:v>
      </x:c>
      <x:c r="H571" s="9" t="n">
        <x:v>102.4</x:v>
      </x:c>
      <x:c r="I571" s="8" t="str">
        <x:f>B571&amp;" / "&amp;C571&amp;" / "&amp;E571</x:f>
        <x:v>3499 / 2022 / RAINBOW TROUT</x:v>
      </x:c>
    </x:row>
    <x:row r="572" ht="23" customHeight="1">
      <x:c r="A572" s="8" t="str">
        <x:v>Chain Lakes Reservoir</x:v>
      </x:c>
      <x:c r="B572" s="8" t="str">
        <x:v>3499</x:v>
      </x:c>
      <x:c r="C572" s="17" t="n">
        <x:v>2022</x:v>
      </x:c>
      <x:c r="D572" s="18" t="n">
        <x:v>44680</x:v>
      </x:c>
      <x:c r="E572" s="8" t="str">
        <x:v>RAINBOW TROUT</x:v>
      </x:c>
      <x:c r="F572" s="13" t="n">
        <x:v>13993</x:v>
      </x:c>
      <x:c r="G572" s="9" t="n">
        <x:v>17.2</x:v>
      </x:c>
      <x:c r="H572" s="9" t="n">
        <x:v>55.5</x:v>
      </x:c>
      <x:c r="I572" s="8" t="str">
        <x:f>B572&amp;" / "&amp;C572&amp;" / "&amp;E572</x:f>
        <x:v>3499 / 2022 / RAINBOW TROUT</x:v>
      </x:c>
    </x:row>
    <x:row r="573" ht="23" customHeight="1">
      <x:c r="A573" s="8" t="str">
        <x:v>Chain Lakes Reservoir</x:v>
      </x:c>
      <x:c r="B573" s="8" t="str">
        <x:v>3499</x:v>
      </x:c>
      <x:c r="C573" s="17" t="n">
        <x:v>2022</x:v>
      </x:c>
      <x:c r="D573" s="18" t="n">
        <x:v>44677</x:v>
      </x:c>
      <x:c r="E573" s="8" t="str">
        <x:v>RAINBOW TROUT</x:v>
      </x:c>
      <x:c r="F573" s="13" t="n">
        <x:v>10000</x:v>
      </x:c>
      <x:c r="G573" s="9" t="n">
        <x:v>12.5</x:v>
      </x:c>
      <x:c r="H573" s="9" t="n">
        <x:v>21</x:v>
      </x:c>
      <x:c r="I573" s="8" t="str">
        <x:f>B573&amp;" / "&amp;C573&amp;" / "&amp;E573</x:f>
        <x:v>3499 / 2022 / RAINBOW TROUT</x:v>
      </x:c>
    </x:row>
    <x:row r="574" ht="23" customHeight="1">
      <x:c r="A574" s="8" t="str">
        <x:v>Chain Lakes Reservoir</x:v>
      </x:c>
      <x:c r="B574" s="8" t="str">
        <x:v>3499</x:v>
      </x:c>
      <x:c r="C574" s="17" t="n">
        <x:v>2022</x:v>
      </x:c>
      <x:c r="D574" s="18" t="n">
        <x:v>44675</x:v>
      </x:c>
      <x:c r="E574" s="8" t="str">
        <x:v>RAINBOW TROUT</x:v>
      </x:c>
      <x:c r="F574" s="13" t="n">
        <x:v>10275</x:v>
      </x:c>
      <x:c r="G574" s="9" t="n">
        <x:v>21.4</x:v>
      </x:c>
      <x:c r="H574" s="9" t="n">
        <x:v>107.1</x:v>
      </x:c>
      <x:c r="I574" s="8" t="str">
        <x:f>B574&amp;" / "&amp;C574&amp;" / "&amp;E574</x:f>
        <x:v>3499 / 2022 / RAINBOW TROUT</x:v>
      </x:c>
    </x:row>
    <x:row r="575" ht="23" customHeight="1">
      <x:c r="A575" s="8" t="str">
        <x:v>Chain Lakes Reservoir</x:v>
      </x:c>
      <x:c r="B575" s="8" t="str">
        <x:v>3499</x:v>
      </x:c>
      <x:c r="C575" s="17" t="n">
        <x:v>2022</x:v>
      </x:c>
      <x:c r="D575" s="18" t="n">
        <x:v>44672</x:v>
      </x:c>
      <x:c r="E575" s="8" t="str">
        <x:v>RAINBOW TROUT</x:v>
      </x:c>
      <x:c r="F575" s="13" t="n">
        <x:v>10007</x:v>
      </x:c>
      <x:c r="G575" s="9" t="n">
        <x:v>18.2</x:v>
      </x:c>
      <x:c r="H575" s="9" t="n">
        <x:v>66</x:v>
      </x:c>
      <x:c r="I575" s="8" t="str">
        <x:f>B575&amp;" / "&amp;C575&amp;" / "&amp;E575</x:f>
        <x:v>3499 / 2022 / RAINBOW TROUT</x:v>
      </x:c>
    </x:row>
    <x:row r="576" ht="23" customHeight="1">
      <x:c r="A576" s="8" t="str">
        <x:v>Chain Lakes Reservoir</x:v>
      </x:c>
      <x:c r="B576" s="8" t="str">
        <x:v>3499</x:v>
      </x:c>
      <x:c r="C576" s="17" t="n">
        <x:v>2021</x:v>
      </x:c>
      <x:c r="D576" s="18" t="n">
        <x:v>44462</x:v>
      </x:c>
      <x:c r="E576" s="8" t="str">
        <x:v>RAINBOW TROUT</x:v>
      </x:c>
      <x:c r="F576" s="13" t="n">
        <x:v>15974</x:v>
      </x:c>
      <x:c r="G576" s="9" t="n">
        <x:v>16.5</x:v>
      </x:c>
      <x:c r="H576" s="9" t="n">
        <x:v>49.9</x:v>
      </x:c>
      <x:c r="I576" s="8" t="str">
        <x:f>B576&amp;" / "&amp;C576&amp;" / "&amp;E576</x:f>
        <x:v>3499 / 2021 / RAINBOW TROUT</x:v>
      </x:c>
    </x:row>
    <x:row r="577" ht="23" customHeight="1">
      <x:c r="A577" s="8" t="str">
        <x:v>Chain Lakes Reservoir</x:v>
      </x:c>
      <x:c r="B577" s="8" t="str">
        <x:v>3499</x:v>
      </x:c>
      <x:c r="C577" s="17" t="n">
        <x:v>2021</x:v>
      </x:c>
      <x:c r="D577" s="18" t="n">
        <x:v>44462</x:v>
      </x:c>
      <x:c r="E577" s="8" t="str">
        <x:v>RAINBOW TROUT</x:v>
      </x:c>
      <x:c r="F577" s="13" t="n">
        <x:v>19026</x:v>
      </x:c>
      <x:c r="G577" s="9" t="n">
        <x:v>16.5</x:v>
      </x:c>
      <x:c r="H577" s="9" t="n">
        <x:v>49.9</x:v>
      </x:c>
      <x:c r="I577" s="8" t="str">
        <x:f>B577&amp;" / "&amp;C577&amp;" / "&amp;E577</x:f>
        <x:v>3499 / 2021 / RAINBOW TROUT</x:v>
      </x:c>
    </x:row>
    <x:row r="578" ht="23" customHeight="1">
      <x:c r="A578" s="8" t="str">
        <x:v>Chain Lakes Reservoir</x:v>
      </x:c>
      <x:c r="B578" s="8" t="str">
        <x:v>3499</x:v>
      </x:c>
      <x:c r="C578" s="17" t="n">
        <x:v>2021</x:v>
      </x:c>
      <x:c r="D578" s="18" t="n">
        <x:v>44455</x:v>
      </x:c>
      <x:c r="E578" s="8" t="str">
        <x:v>RAINBOW TROUT</x:v>
      </x:c>
      <x:c r="F578" s="13" t="n">
        <x:v>15000</x:v>
      </x:c>
      <x:c r="G578" s="9" t="n">
        <x:v>17</x:v>
      </x:c>
      <x:c r="H578" s="9" t="n">
        <x:v>54.1</x:v>
      </x:c>
      <x:c r="I578" s="8" t="str">
        <x:f>B578&amp;" / "&amp;C578&amp;" / "&amp;E578</x:f>
        <x:v>3499 / 2021 / RAINBOW TROUT</x:v>
      </x:c>
    </x:row>
    <x:row r="579" ht="23" customHeight="1">
      <x:c r="A579" s="8" t="str">
        <x:v>Chain Lakes Reservoir</x:v>
      </x:c>
      <x:c r="B579" s="8" t="str">
        <x:v>3499</x:v>
      </x:c>
      <x:c r="C579" s="17" t="n">
        <x:v>2021</x:v>
      </x:c>
      <x:c r="D579" s="18" t="n">
        <x:v>44311</x:v>
      </x:c>
      <x:c r="E579" s="8" t="str">
        <x:v>RAINBOW TROUT</x:v>
      </x:c>
      <x:c r="F579" s="13" t="n">
        <x:v>35190</x:v>
      </x:c>
      <x:c r="G579" s="9" t="n">
        <x:v>18.1</x:v>
      </x:c>
      <x:c r="H579" s="9" t="n">
        <x:v>65.9</x:v>
      </x:c>
      <x:c r="I579" s="8" t="str">
        <x:f>B579&amp;" / "&amp;C579&amp;" / "&amp;E579</x:f>
        <x:v>3499 / 2021 / RAINBOW TROUT</x:v>
      </x:c>
    </x:row>
    <x:row r="580" ht="23" customHeight="1">
      <x:c r="A580" s="8" t="str">
        <x:v>Chain Lakes Reservoir</x:v>
      </x:c>
      <x:c r="B580" s="8" t="str">
        <x:v>3499</x:v>
      </x:c>
      <x:c r="C580" s="17" t="n">
        <x:v>2021</x:v>
      </x:c>
      <x:c r="D580" s="18" t="n">
        <x:v>44308</x:v>
      </x:c>
      <x:c r="E580" s="8" t="str">
        <x:v>RAINBOW TROUT</x:v>
      </x:c>
      <x:c r="F580" s="13" t="n">
        <x:v>17500</x:v>
      </x:c>
      <x:c r="G580" s="9" t="n">
        <x:v>17.3</x:v>
      </x:c>
      <x:c r="H580" s="9" t="n">
        <x:v>57.1</x:v>
      </x:c>
      <x:c r="I580" s="8" t="str">
        <x:f>B580&amp;" / "&amp;C580&amp;" / "&amp;E580</x:f>
        <x:v>3499 / 2021 / RAINBOW TROUT</x:v>
      </x:c>
    </x:row>
    <x:row r="581" ht="23" customHeight="1">
      <x:c r="A581" s="8" t="str">
        <x:v>Chatwin Lake</x:v>
      </x:c>
      <x:c r="B581" s="8" t="str">
        <x:v>4252</x:v>
      </x:c>
      <x:c r="C581" s="17" t="n">
        <x:v>2026</x:v>
      </x:c>
      <x:c r="D581" s="18" t="n">
        <x:v>46170</x:v>
      </x:c>
      <x:c r="E581" s="8" t="str">
        <x:v>RAINBOW TROUT</x:v>
      </x:c>
      <x:c r="F581" s="13" t="n">
        <x:v>10000</x:v>
      </x:c>
      <x:c r="G581" s="9" t="n">
        <x:v>20.6</x:v>
      </x:c>
      <x:c r="H581" s="9" t="n">
        <x:v>97.4</x:v>
      </x:c>
      <x:c r="I581" s="8" t="str">
        <x:f>B581&amp;" / "&amp;C581&amp;" / "&amp;E581</x:f>
        <x:v>4252 / 2026 / RAINBOW TROUT</x:v>
      </x:c>
    </x:row>
    <x:row r="582" ht="23" customHeight="1">
      <x:c r="A582" s="8" t="str">
        <x:v>Chatwin Lake</x:v>
      </x:c>
      <x:c r="B582" s="8" t="str">
        <x:v>4252</x:v>
      </x:c>
      <x:c r="C582" s="17" t="n">
        <x:v>2025</x:v>
      </x:c>
      <x:c r="D582" s="18" t="n">
        <x:v>45806</x:v>
      </x:c>
      <x:c r="E582" s="8" t="str">
        <x:v>RAINBOW TROUT</x:v>
      </x:c>
      <x:c r="F582" s="13" t="n">
        <x:v>8000</x:v>
      </x:c>
      <x:c r="G582" s="9" t="n">
        <x:v>20.5</x:v>
      </x:c>
      <x:c r="H582" s="9" t="n">
        <x:v>93.2</x:v>
      </x:c>
      <x:c r="I582" s="8" t="str">
        <x:f>B582&amp;" / "&amp;C582&amp;" / "&amp;E582</x:f>
        <x:v>4252 / 2025 / RAINBOW TROUT</x:v>
      </x:c>
    </x:row>
    <x:row r="583" ht="23" customHeight="1">
      <x:c r="A583" s="8" t="str">
        <x:v>Chatwin Lake</x:v>
      </x:c>
      <x:c r="B583" s="8" t="str">
        <x:v>4252</x:v>
      </x:c>
      <x:c r="C583" s="17" t="n">
        <x:v>2025</x:v>
      </x:c>
      <x:c r="D583" s="18" t="n">
        <x:v>45783</x:v>
      </x:c>
      <x:c r="E583" s="8" t="str">
        <x:v>RAINBOW TROUT</x:v>
      </x:c>
      <x:c r="F583" s="13" t="n">
        <x:v>2000</x:v>
      </x:c>
      <x:c r="G583" s="9" t="n">
        <x:v>20.2</x:v>
      </x:c>
      <x:c r="H583" s="9" t="n">
        <x:v>91.5</x:v>
      </x:c>
      <x:c r="I583" s="8" t="str">
        <x:f>B583&amp;" / "&amp;C583&amp;" / "&amp;E583</x:f>
        <x:v>4252 / 2025 / RAINBOW TROUT</x:v>
      </x:c>
    </x:row>
    <x:row r="584" ht="23" customHeight="1">
      <x:c r="A584" s="8" t="str">
        <x:v>Chatwin Lake</x:v>
      </x:c>
      <x:c r="B584" s="8" t="str">
        <x:v>4252</x:v>
      </x:c>
      <x:c r="C584" s="17" t="n">
        <x:v>2024</x:v>
      </x:c>
      <x:c r="D584" s="18" t="n">
        <x:v>45561</x:v>
      </x:c>
      <x:c r="E584" s="8" t="str">
        <x:v>RAINBOW TROUT</x:v>
      </x:c>
      <x:c r="F584" s="13" t="n">
        <x:v>5000</x:v>
      </x:c>
      <x:c r="G584" s="9" t="n">
        <x:v>20.1</x:v>
      </x:c>
      <x:c r="H584" s="9" t="n">
        <x:v>88.7</x:v>
      </x:c>
      <x:c r="I584" s="8" t="str">
        <x:f>B584&amp;" / "&amp;C584&amp;" / "&amp;E584</x:f>
        <x:v>4252 / 2024 / RAINBOW TROUT</x:v>
      </x:c>
    </x:row>
    <x:row r="585" ht="23" customHeight="1">
      <x:c r="A585" s="8" t="str">
        <x:v>Chatwin Lake</x:v>
      </x:c>
      <x:c r="B585" s="8" t="str">
        <x:v>4252</x:v>
      </x:c>
      <x:c r="C585" s="17" t="n">
        <x:v>2024</x:v>
      </x:c>
      <x:c r="D585" s="18" t="n">
        <x:v>45414</x:v>
      </x:c>
      <x:c r="E585" s="8" t="str">
        <x:v>RAINBOW TROUT</x:v>
      </x:c>
      <x:c r="F585" s="13" t="n">
        <x:v>4221</x:v>
      </x:c>
      <x:c r="G585" s="9" t="n">
        <x:v>8</x:v>
      </x:c>
      <x:c r="H585" s="9" t="n">
        <x:v>5.5</x:v>
      </x:c>
      <x:c r="I585" s="8" t="str">
        <x:f>B585&amp;" / "&amp;C585&amp;" / "&amp;E585</x:f>
        <x:v>4252 / 2024 / RAINBOW TROUT</x:v>
      </x:c>
    </x:row>
    <x:row r="586" ht="23" customHeight="1">
      <x:c r="A586" s="8" t="str">
        <x:v>Chatwin Lake</x:v>
      </x:c>
      <x:c r="B586" s="8" t="str">
        <x:v>4252</x:v>
      </x:c>
      <x:c r="C586" s="17" t="n">
        <x:v>2024</x:v>
      </x:c>
      <x:c r="D586" s="18" t="n">
        <x:v>45414</x:v>
      </x:c>
      <x:c r="E586" s="8" t="str">
        <x:v>RAINBOW TROUT</x:v>
      </x:c>
      <x:c r="F586" s="13" t="n">
        <x:v>10779</x:v>
      </x:c>
      <x:c r="G586" s="9" t="n">
        <x:v>8.4</x:v>
      </x:c>
      <x:c r="H586" s="9" t="n">
        <x:v>6.5</x:v>
      </x:c>
      <x:c r="I586" s="8" t="str">
        <x:f>B586&amp;" / "&amp;C586&amp;" / "&amp;E586</x:f>
        <x:v>4252 / 2024 / RAINBOW TROUT</x:v>
      </x:c>
    </x:row>
    <x:row r="587" ht="23" customHeight="1">
      <x:c r="A587" s="8" t="str">
        <x:v>Chatwin Lake</x:v>
      </x:c>
      <x:c r="B587" s="8" t="str">
        <x:v>4252</x:v>
      </x:c>
      <x:c r="C587" s="17" t="n">
        <x:v>2024</x:v>
      </x:c>
      <x:c r="D587" s="18" t="n">
        <x:v>45414</x:v>
      </x:c>
      <x:c r="E587" s="8" t="str">
        <x:v>RAINBOW TROUT</x:v>
      </x:c>
      <x:c r="F587" s="13" t="n">
        <x:v>4000</x:v>
      </x:c>
      <x:c r="G587" s="9" t="n">
        <x:v>19.9</x:v>
      </x:c>
      <x:c r="H587" s="9" t="n">
        <x:v>85.3</x:v>
      </x:c>
      <x:c r="I587" s="8" t="str">
        <x:f>B587&amp;" / "&amp;C587&amp;" / "&amp;E587</x:f>
        <x:v>4252 / 2024 / RAINBOW TROUT</x:v>
      </x:c>
    </x:row>
    <x:row r="588" ht="23" customHeight="1">
      <x:c r="A588" s="8" t="str">
        <x:v>Chatwin Lake</x:v>
      </x:c>
      <x:c r="B588" s="8" t="str">
        <x:v>4252</x:v>
      </x:c>
      <x:c r="C588" s="17" t="n">
        <x:v>2023</x:v>
      </x:c>
      <x:c r="D588" s="18" t="n">
        <x:v>45070</x:v>
      </x:c>
      <x:c r="E588" s="8" t="str">
        <x:v>RAINBOW TROUT</x:v>
      </x:c>
      <x:c r="F588" s="13" t="n">
        <x:v>2660</x:v>
      </x:c>
      <x:c r="G588" s="9" t="n">
        <x:v>8</x:v>
      </x:c>
      <x:c r="H588" s="9" t="n">
        <x:v>5.8</x:v>
      </x:c>
      <x:c r="I588" s="8" t="str">
        <x:f>B588&amp;" / "&amp;C588&amp;" / "&amp;E588</x:f>
        <x:v>4252 / 2023 / RAINBOW TROUT</x:v>
      </x:c>
    </x:row>
    <x:row r="589" ht="23" customHeight="1">
      <x:c r="A589" s="8" t="str">
        <x:v>Chatwin Lake</x:v>
      </x:c>
      <x:c r="B589" s="8" t="str">
        <x:v>4252</x:v>
      </x:c>
      <x:c r="C589" s="17" t="n">
        <x:v>2023</x:v>
      </x:c>
      <x:c r="D589" s="18" t="n">
        <x:v>45070</x:v>
      </x:c>
      <x:c r="E589" s="8" t="str">
        <x:v>RAINBOW TROUT</x:v>
      </x:c>
      <x:c r="F589" s="13" t="n">
        <x:v>3340</x:v>
      </x:c>
      <x:c r="G589" s="9" t="n">
        <x:v>8.9</x:v>
      </x:c>
      <x:c r="H589" s="9" t="n">
        <x:v>7.9</x:v>
      </x:c>
      <x:c r="I589" s="8" t="str">
        <x:f>B589&amp;" / "&amp;C589&amp;" / "&amp;E589</x:f>
        <x:v>4252 / 2023 / RAINBOW TROUT</x:v>
      </x:c>
    </x:row>
    <x:row r="590" ht="23" customHeight="1">
      <x:c r="A590" s="8" t="str">
        <x:v>Chatwin Lake</x:v>
      </x:c>
      <x:c r="B590" s="8" t="str">
        <x:v>4252</x:v>
      </x:c>
      <x:c r="C590" s="17" t="n">
        <x:v>2023</x:v>
      </x:c>
      <x:c r="D590" s="18" t="n">
        <x:v>45064</x:v>
      </x:c>
      <x:c r="E590" s="8" t="str">
        <x:v>RAINBOW TROUT</x:v>
      </x:c>
      <x:c r="F590" s="13" t="n">
        <x:v>2674</x:v>
      </x:c>
      <x:c r="G590" s="9" t="n">
        <x:v>17.4</x:v>
      </x:c>
      <x:c r="H590" s="9" t="n">
        <x:v>57.1</x:v>
      </x:c>
      <x:c r="I590" s="8" t="str">
        <x:f>B590&amp;" / "&amp;C590&amp;" / "&amp;E590</x:f>
        <x:v>4252 / 2023 / RAINBOW TROUT</x:v>
      </x:c>
    </x:row>
    <x:row r="591" ht="23" customHeight="1">
      <x:c r="A591" s="8" t="str">
        <x:v>Chatwin Lake</x:v>
      </x:c>
      <x:c r="B591" s="8" t="str">
        <x:v>4252</x:v>
      </x:c>
      <x:c r="C591" s="17" t="n">
        <x:v>2023</x:v>
      </x:c>
      <x:c r="D591" s="18" t="n">
        <x:v>45064</x:v>
      </x:c>
      <x:c r="E591" s="8" t="str">
        <x:v>RAINBOW TROUT</x:v>
      </x:c>
      <x:c r="F591" s="13" t="n">
        <x:v>1734</x:v>
      </x:c>
      <x:c r="G591" s="9" t="n">
        <x:v>16</x:v>
      </x:c>
      <x:c r="H591" s="9" t="n">
        <x:v>44.4</x:v>
      </x:c>
      <x:c r="I591" s="8" t="str">
        <x:f>B591&amp;" / "&amp;C591&amp;" / "&amp;E591</x:f>
        <x:v>4252 / 2023 / RAINBOW TROUT</x:v>
      </x:c>
    </x:row>
    <x:row r="592" ht="23" customHeight="1">
      <x:c r="A592" s="8" t="str">
        <x:v>Chatwin Lake</x:v>
      </x:c>
      <x:c r="B592" s="8" t="str">
        <x:v>4252</x:v>
      </x:c>
      <x:c r="C592" s="17" t="n">
        <x:v>2022</x:v>
      </x:c>
      <x:c r="D592" s="18" t="n">
        <x:v>44718</x:v>
      </x:c>
      <x:c r="E592" s="8" t="str">
        <x:v>RAINBOW TROUT</x:v>
      </x:c>
      <x:c r="F592" s="13" t="n">
        <x:v>1650</x:v>
      </x:c>
      <x:c r="G592" s="9" t="n">
        <x:v>20.7</x:v>
      </x:c>
      <x:c r="H592" s="9" t="n">
        <x:v>98.8</x:v>
      </x:c>
      <x:c r="I592" s="8" t="str">
        <x:f>B592&amp;" / "&amp;C592&amp;" / "&amp;E592</x:f>
        <x:v>4252 / 2022 / RAINBOW TROUT</x:v>
      </x:c>
    </x:row>
    <x:row r="593" ht="23" customHeight="1">
      <x:c r="A593" s="8" t="str">
        <x:v>Chatwin Lake</x:v>
      </x:c>
      <x:c r="B593" s="8" t="str">
        <x:v>4252</x:v>
      </x:c>
      <x:c r="C593" s="17" t="n">
        <x:v>2022</x:v>
      </x:c>
      <x:c r="D593" s="18" t="n">
        <x:v>44713</x:v>
      </x:c>
      <x:c r="E593" s="8" t="str">
        <x:v>RAINBOW TROUT</x:v>
      </x:c>
      <x:c r="F593" s="13" t="n">
        <x:v>1413</x:v>
      </x:c>
      <x:c r="G593" s="9" t="n">
        <x:v>21.5</x:v>
      </x:c>
      <x:c r="H593" s="9" t="n">
        <x:v>110.1</x:v>
      </x:c>
      <x:c r="I593" s="8" t="str">
        <x:f>B593&amp;" / "&amp;C593&amp;" / "&amp;E593</x:f>
        <x:v>4252 / 2022 / RAINBOW TROUT</x:v>
      </x:c>
    </x:row>
    <x:row r="594" ht="23" customHeight="1">
      <x:c r="A594" s="8" t="str">
        <x:v>Chatwin Lake</x:v>
      </x:c>
      <x:c r="B594" s="8" t="str">
        <x:v>4252</x:v>
      </x:c>
      <x:c r="C594" s="17" t="n">
        <x:v>2022</x:v>
      </x:c>
      <x:c r="D594" s="18" t="n">
        <x:v>44699</x:v>
      </x:c>
      <x:c r="E594" s="8" t="str">
        <x:v>RAINBOW TROUT</x:v>
      </x:c>
      <x:c r="F594" s="13" t="n">
        <x:v>3587</x:v>
      </x:c>
      <x:c r="G594" s="9" t="n">
        <x:v>20.4</x:v>
      </x:c>
      <x:c r="H594" s="9" t="n">
        <x:v>94.2</x:v>
      </x:c>
      <x:c r="I594" s="8" t="str">
        <x:f>B594&amp;" / "&amp;C594&amp;" / "&amp;E594</x:f>
        <x:v>4252 / 2022 / RAINBOW TROUT</x:v>
      </x:c>
    </x:row>
    <x:row r="595" ht="23" customHeight="1">
      <x:c r="A595" s="8" t="str">
        <x:v>Chatwin Lake</x:v>
      </x:c>
      <x:c r="B595" s="8" t="str">
        <x:v>4252</x:v>
      </x:c>
      <x:c r="C595" s="17" t="n">
        <x:v>2022</x:v>
      </x:c>
      <x:c r="D595" s="18" t="n">
        <x:v>44826</x:v>
      </x:c>
      <x:c r="E595" s="8" t="str">
        <x:v>TIGER TROUT</x:v>
      </x:c>
      <x:c r="F595" s="13" t="n">
        <x:v>5000</x:v>
      </x:c>
      <x:c r="G595" s="9" t="n">
        <x:v>10.6</x:v>
      </x:c>
      <x:c r="H595" s="9" t="n">
        <x:v>13.1</x:v>
      </x:c>
      <x:c r="I595" s="8" t="str">
        <x:f>B595&amp;" / "&amp;C595&amp;" / "&amp;E595</x:f>
        <x:v>4252 / 2022 / TIGER TROUT</x:v>
      </x:c>
    </x:row>
    <x:row r="596" ht="23" customHeight="1">
      <x:c r="A596" s="8" t="str">
        <x:v>Chatwin Lake</x:v>
      </x:c>
      <x:c r="B596" s="8" t="str">
        <x:v>4252</x:v>
      </x:c>
      <x:c r="C596" s="17" t="n">
        <x:v>2021</x:v>
      </x:c>
      <x:c r="D596" s="18" t="n">
        <x:v>44332</x:v>
      </x:c>
      <x:c r="E596" s="8" t="str">
        <x:v>RAINBOW TROUT</x:v>
      </x:c>
      <x:c r="F596" s="13" t="n">
        <x:v>8000</x:v>
      </x:c>
      <x:c r="G596" s="9" t="n">
        <x:v>18</x:v>
      </x:c>
      <x:c r="H596" s="9" t="n">
        <x:v>64.2</x:v>
      </x:c>
      <x:c r="I596" s="8" t="str">
        <x:f>B596&amp;" / "&amp;C596&amp;" / "&amp;E596</x:f>
        <x:v>4252 / 2021 / RAINBOW TROUT</x:v>
      </x:c>
    </x:row>
    <x:row r="597" ht="23" customHeight="1">
      <x:c r="A597" s="8" t="str">
        <x:v>Chickako Lake</x:v>
      </x:c>
      <x:c r="B597" s="8" t="str">
        <x:v>4261</x:v>
      </x:c>
      <x:c r="C597" s="17" t="n">
        <x:v>2023</x:v>
      </x:c>
      <x:c r="D597" s="18" t="n">
        <x:v>45055</x:v>
      </x:c>
      <x:c r="E597" s="8" t="str">
        <x:v>RAINBOW TROUT</x:v>
      </x:c>
      <x:c r="F597" s="13" t="n">
        <x:v>3990</x:v>
      </x:c>
      <x:c r="G597" s="9" t="n">
        <x:v>19.9</x:v>
      </x:c>
      <x:c r="H597" s="9" t="n">
        <x:v>86.7</x:v>
      </x:c>
      <x:c r="I597" s="8" t="str">
        <x:f>B597&amp;" / "&amp;C597&amp;" / "&amp;E597</x:f>
        <x:v>4261 / 2023 / RAINBOW TROUT</x:v>
      </x:c>
    </x:row>
    <x:row r="598" ht="23" customHeight="1">
      <x:c r="A598" s="8" t="str">
        <x:v>Chickako Lake</x:v>
      </x:c>
      <x:c r="B598" s="8" t="str">
        <x:v>4261</x:v>
      </x:c>
      <x:c r="C598" s="17" t="n">
        <x:v>2022</x:v>
      </x:c>
      <x:c r="D598" s="18" t="n">
        <x:v>44689</x:v>
      </x:c>
      <x:c r="E598" s="8" t="str">
        <x:v>RAINBOW TROUT</x:v>
      </x:c>
      <x:c r="F598" s="13" t="n">
        <x:v>10000</x:v>
      </x:c>
      <x:c r="G598" s="9" t="n">
        <x:v>21.1</x:v>
      </x:c>
      <x:c r="H598" s="9" t="n">
        <x:v>102</x:v>
      </x:c>
      <x:c r="I598" s="8" t="str">
        <x:f>B598&amp;" / "&amp;C598&amp;" / "&amp;E598</x:f>
        <x:v>4261 / 2022 / RAINBOW TROUT</x:v>
      </x:c>
    </x:row>
    <x:row r="599" ht="23" customHeight="1">
      <x:c r="A599" s="8" t="str">
        <x:v>Chickako Lake</x:v>
      </x:c>
      <x:c r="B599" s="8" t="str">
        <x:v>4261</x:v>
      </x:c>
      <x:c r="C599" s="17" t="n">
        <x:v>2021</x:v>
      </x:c>
      <x:c r="D599" s="18" t="n">
        <x:v>44319</x:v>
      </x:c>
      <x:c r="E599" s="8" t="str">
        <x:v>RAINBOW TROUT</x:v>
      </x:c>
      <x:c r="F599" s="13" t="n">
        <x:v>10000</x:v>
      </x:c>
      <x:c r="G599" s="9" t="n">
        <x:v>18.3</x:v>
      </x:c>
      <x:c r="H599" s="9" t="n">
        <x:v>68.3</x:v>
      </x:c>
      <x:c r="I599" s="8" t="str">
        <x:f>B599&amp;" / "&amp;C599&amp;" / "&amp;E599</x:f>
        <x:v>4261 / 2021 / RAINBOW TROUT</x:v>
      </x:c>
    </x:row>
    <x:row r="600" ht="23" customHeight="1">
      <x:c r="A600" s="8" t="str">
        <x:v>Chin Reservoir</x:v>
      </x:c>
      <x:c r="B600" s="8" t="str">
        <x:v>4265</x:v>
      </x:c>
      <x:c r="C600" s="17" t="n">
        <x:v>2023</x:v>
      </x:c>
      <x:c r="D600" s="18" t="n">
        <x:v>45073</x:v>
      </x:c>
      <x:c r="E600" s="8" t="str">
        <x:v>WALLEYE</x:v>
      </x:c>
      <x:c r="F600" s="13" t="n">
        <x:v>317600</x:v>
      </x:c>
      <x:c r="G600" s="9" t="n">
        <x:v>0.4</x:v>
      </x:c>
      <x:c r="H600" s="9" t="n">
        <x:v>0</x:v>
      </x:c>
      <x:c r="I600" s="8" t="str">
        <x:f>B600&amp;" / "&amp;C600&amp;" / "&amp;E600</x:f>
        <x:v>4265 / 2023 / WALLEYE</x:v>
      </x:c>
    </x:row>
    <x:row r="601" ht="23" customHeight="1">
      <x:c r="A601" s="8" t="str">
        <x:v>Chin Reservoir</x:v>
      </x:c>
      <x:c r="B601" s="8" t="str">
        <x:v>4265</x:v>
      </x:c>
      <x:c r="C601" s="17" t="n">
        <x:v>2022</x:v>
      </x:c>
      <x:c r="D601" s="18" t="n">
        <x:v>44711</x:v>
      </x:c>
      <x:c r="E601" s="8" t="str">
        <x:v>WALLEYE</x:v>
      </x:c>
      <x:c r="F601" s="13" t="n">
        <x:v>354153</x:v>
      </x:c>
      <x:c r="G601" s="9" t="n">
        <x:v>0.4</x:v>
      </x:c>
      <x:c r="H601" s="9" t="n">
        <x:v>0</x:v>
      </x:c>
      <x:c r="I601" s="8" t="str">
        <x:f>B601&amp;" / "&amp;C601&amp;" / "&amp;E601</x:f>
        <x:v>4265 / 2022 / WALLEYE</x:v>
      </x:c>
    </x:row>
    <x:row r="602" ht="23" customHeight="1">
      <x:c r="A602" s="8" t="str">
        <x:v>Chin Reservoir</x:v>
      </x:c>
      <x:c r="B602" s="8" t="str">
        <x:v>4265</x:v>
      </x:c>
      <x:c r="C602" s="17" t="n">
        <x:v>2021</x:v>
      </x:c>
      <x:c r="D602" s="18" t="n">
        <x:v>44343</x:v>
      </x:c>
      <x:c r="E602" s="8" t="str">
        <x:v>WALLEYE</x:v>
      </x:c>
      <x:c r="F602" s="13" t="n">
        <x:v>381120</x:v>
      </x:c>
      <x:c r="G602" s="9" t="n">
        <x:v>0.4</x:v>
      </x:c>
      <x:c r="H602" s="9" t="str">
        <x:v>Unknown</x:v>
      </x:c>
      <x:c r="I602" s="8" t="str">
        <x:f>B602&amp;" / "&amp;C602&amp;" / "&amp;E602</x:f>
        <x:v>4265 / 2021 / WALLEYE</x:v>
      </x:c>
    </x:row>
    <x:row r="603" ht="23" customHeight="1">
      <x:c r="A603" s="8" t="str">
        <x:v>Chrystina Lake</x:v>
      </x:c>
      <x:c r="B603" s="8" t="str">
        <x:v>6860</x:v>
      </x:c>
      <x:c r="C603" s="17" t="n">
        <x:v>2026</x:v>
      </x:c>
      <x:c r="D603" s="18" t="n">
        <x:v>46188</x:v>
      </x:c>
      <x:c r="E603" s="8" t="str">
        <x:v>BROOK TROUT</x:v>
      </x:c>
      <x:c r="F603" s="13" t="n">
        <x:v>2600</x:v>
      </x:c>
      <x:c r="G603" s="9" t="n">
        <x:v>21.5</x:v>
      </x:c>
      <x:c r="H603" s="9" t="n">
        <x:v>110.2</x:v>
      </x:c>
      <x:c r="I603" s="8" t="str">
        <x:f>B603&amp;" / "&amp;C603&amp;" / "&amp;E603</x:f>
        <x:v>6860 / 2026 / BROOK TROUT</x:v>
      </x:c>
    </x:row>
    <x:row r="604" ht="23" customHeight="1">
      <x:c r="A604" s="8" t="str">
        <x:v>Chrystina Lake</x:v>
      </x:c>
      <x:c r="B604" s="8" t="str">
        <x:v>6860</x:v>
      </x:c>
      <x:c r="C604" s="17" t="n">
        <x:v>2025</x:v>
      </x:c>
      <x:c r="D604" s="18" t="n">
        <x:v>45798</x:v>
      </x:c>
      <x:c r="E604" s="8" t="str">
        <x:v>BROOK TROUT</x:v>
      </x:c>
      <x:c r="F604" s="13" t="n">
        <x:v>2600</x:v>
      </x:c>
      <x:c r="G604" s="9" t="n">
        <x:v>19.1</x:v>
      </x:c>
      <x:c r="H604" s="9" t="n">
        <x:v>74.8</x:v>
      </x:c>
      <x:c r="I604" s="8" t="str">
        <x:f>B604&amp;" / "&amp;C604&amp;" / "&amp;E604</x:f>
        <x:v>6860 / 2025 / BROOK TROUT</x:v>
      </x:c>
    </x:row>
    <x:row r="605" ht="23" customHeight="1">
      <x:c r="A605" s="8" t="str">
        <x:v>Chrystina Lake</x:v>
      </x:c>
      <x:c r="B605" s="8" t="str">
        <x:v>6860</x:v>
      </x:c>
      <x:c r="C605" s="17" t="n">
        <x:v>2024</x:v>
      </x:c>
      <x:c r="D605" s="18" t="n">
        <x:v>45426</x:v>
      </x:c>
      <x:c r="E605" s="8" t="str">
        <x:v>BROOK TROUT</x:v>
      </x:c>
      <x:c r="F605" s="13" t="n">
        <x:v>1550</x:v>
      </x:c>
      <x:c r="G605" s="9" t="n">
        <x:v>21.7</x:v>
      </x:c>
      <x:c r="H605" s="9" t="n">
        <x:v>70.1</x:v>
      </x:c>
      <x:c r="I605" s="8" t="str">
        <x:f>B605&amp;" / "&amp;C605&amp;" / "&amp;E605</x:f>
        <x:v>6860 / 2024 / BROOK TROUT</x:v>
      </x:c>
    </x:row>
    <x:row r="606" ht="23" customHeight="1">
      <x:c r="A606" s="8" t="str">
        <x:v>Chrystina Lake</x:v>
      </x:c>
      <x:c r="B606" s="8" t="str">
        <x:v>6860</x:v>
      </x:c>
      <x:c r="C606" s="17" t="n">
        <x:v>2023</x:v>
      </x:c>
      <x:c r="D606" s="18" t="n">
        <x:v>45083</x:v>
      </x:c>
      <x:c r="E606" s="8" t="str">
        <x:v>BROOK TROUT</x:v>
      </x:c>
      <x:c r="F606" s="13" t="n">
        <x:v>1523</x:v>
      </x:c>
      <x:c r="G606" s="9" t="n">
        <x:v>21.4</x:v>
      </x:c>
      <x:c r="H606" s="9" t="n">
        <x:v>92.7</x:v>
      </x:c>
      <x:c r="I606" s="8" t="str">
        <x:f>B606&amp;" / "&amp;C606&amp;" / "&amp;E606</x:f>
        <x:v>6860 / 2023 / BROOK TROUT</x:v>
      </x:c>
    </x:row>
    <x:row r="607" ht="23" customHeight="1">
      <x:c r="A607" s="8" t="str">
        <x:v>Chrystina Lake</x:v>
      </x:c>
      <x:c r="B607" s="8" t="str">
        <x:v>6860</x:v>
      </x:c>
      <x:c r="C607" s="17" t="n">
        <x:v>2022</x:v>
      </x:c>
      <x:c r="D607" s="18" t="n">
        <x:v>44705</x:v>
      </x:c>
      <x:c r="E607" s="8" t="str">
        <x:v>BROOK TROUT</x:v>
      </x:c>
      <x:c r="F607" s="13" t="n">
        <x:v>2100</x:v>
      </x:c>
      <x:c r="G607" s="9" t="n">
        <x:v>19.1</x:v>
      </x:c>
      <x:c r="H607" s="9" t="n">
        <x:v>76.8</x:v>
      </x:c>
      <x:c r="I607" s="8" t="str">
        <x:f>B607&amp;" / "&amp;C607&amp;" / "&amp;E607</x:f>
        <x:v>6860 / 2022 / BROOK TROUT</x:v>
      </x:c>
    </x:row>
    <x:row r="608" ht="23" customHeight="1">
      <x:c r="A608" s="8" t="str">
        <x:v>Chrystina Lake</x:v>
      </x:c>
      <x:c r="B608" s="8" t="str">
        <x:v>6860</x:v>
      </x:c>
      <x:c r="C608" s="17" t="n">
        <x:v>2021</x:v>
      </x:c>
      <x:c r="D608" s="18" t="n">
        <x:v>44340</x:v>
      </x:c>
      <x:c r="E608" s="8" t="str">
        <x:v>BROOK TROUT</x:v>
      </x:c>
      <x:c r="F608" s="13" t="n">
        <x:v>2100</x:v>
      </x:c>
      <x:c r="G608" s="9" t="n">
        <x:v>20.4</x:v>
      </x:c>
      <x:c r="H608" s="9" t="n">
        <x:v>94.1</x:v>
      </x:c>
      <x:c r="I608" s="8" t="str">
        <x:f>B608&amp;" / "&amp;C608&amp;" / "&amp;E608</x:f>
        <x:v>6860 / 2021 / BROOK TROUT</x:v>
      </x:c>
    </x:row>
    <x:row r="609" ht="23" customHeight="1">
      <x:c r="A609" s="8" t="str">
        <x:v>Cipperley's Reservoir</x:v>
      </x:c>
      <x:c r="B609" s="8" t="str">
        <x:v>6861</x:v>
      </x:c>
      <x:c r="C609" s="17" t="n">
        <x:v>2026</x:v>
      </x:c>
      <x:c r="D609" s="18" t="n">
        <x:v>46184</x:v>
      </x:c>
      <x:c r="E609" s="8" t="str">
        <x:v>RAINBOW TROUT</x:v>
      </x:c>
      <x:c r="F609" s="13" t="n">
        <x:v>600</x:v>
      </x:c>
      <x:c r="G609" s="9" t="n">
        <x:v>21.1</x:v>
      </x:c>
      <x:c r="H609" s="9" t="n">
        <x:v>92.2</x:v>
      </x:c>
      <x:c r="I609" s="8" t="str">
        <x:f>B609&amp;" / "&amp;C609&amp;" / "&amp;E609</x:f>
        <x:v>6861 / 2026 / RAINBOW TROUT</x:v>
      </x:c>
    </x:row>
    <x:row r="610" ht="23" customHeight="1">
      <x:c r="A610" s="8" t="str">
        <x:v>Cipperley's Reservoir</x:v>
      </x:c>
      <x:c r="B610" s="8" t="str">
        <x:v>6861</x:v>
      </x:c>
      <x:c r="C610" s="17" t="n">
        <x:v>2024</x:v>
      </x:c>
      <x:c r="D610" s="18" t="n">
        <x:v>45404</x:v>
      </x:c>
      <x:c r="E610" s="8" t="str">
        <x:v>RAINBOW TROUT</x:v>
      </x:c>
      <x:c r="F610" s="13" t="n">
        <x:v>1100</x:v>
      </x:c>
      <x:c r="G610" s="9" t="n">
        <x:v>20.5</x:v>
      </x:c>
      <x:c r="H610" s="9" t="n">
        <x:v>93.1</x:v>
      </x:c>
      <x:c r="I610" s="8" t="str">
        <x:f>B610&amp;" / "&amp;C610&amp;" / "&amp;E610</x:f>
        <x:v>6861 / 2024 / RAINBOW TROUT</x:v>
      </x:c>
    </x:row>
    <x:row r="611" ht="23" customHeight="1">
      <x:c r="A611" s="8" t="str">
        <x:v>Cipperley's Reservoir</x:v>
      </x:c>
      <x:c r="B611" s="8" t="str">
        <x:v>6861</x:v>
      </x:c>
      <x:c r="C611" s="17" t="n">
        <x:v>2023</x:v>
      </x:c>
      <x:c r="D611" s="18" t="n">
        <x:v>45046</x:v>
      </x:c>
      <x:c r="E611" s="8" t="str">
        <x:v>RAINBOW TROUT</x:v>
      </x:c>
      <x:c r="F611" s="13" t="n">
        <x:v>1200</x:v>
      </x:c>
      <x:c r="G611" s="9" t="n">
        <x:v>20.5</x:v>
      </x:c>
      <x:c r="H611" s="9" t="n">
        <x:v>89.9</x:v>
      </x:c>
      <x:c r="I611" s="8" t="str">
        <x:f>B611&amp;" / "&amp;C611&amp;" / "&amp;E611</x:f>
        <x:v>6861 / 2023 / RAINBOW TROUT</x:v>
      </x:c>
    </x:row>
    <x:row r="612" ht="23" customHeight="1">
      <x:c r="A612" s="8" t="str">
        <x:v>Cipperley's Reservoir</x:v>
      </x:c>
      <x:c r="B612" s="8" t="str">
        <x:v>6861</x:v>
      </x:c>
      <x:c r="C612" s="17" t="n">
        <x:v>2022</x:v>
      </x:c>
      <x:c r="D612" s="18" t="n">
        <x:v>44727</x:v>
      </x:c>
      <x:c r="E612" s="8" t="str">
        <x:v>RAINBOW TROUT</x:v>
      </x:c>
      <x:c r="F612" s="13" t="n">
        <x:v>650</x:v>
      </x:c>
      <x:c r="G612" s="9" t="n">
        <x:v>20.6</x:v>
      </x:c>
      <x:c r="H612" s="9" t="n">
        <x:v>91.5</x:v>
      </x:c>
      <x:c r="I612" s="8" t="str">
        <x:f>B612&amp;" / "&amp;C612&amp;" / "&amp;E612</x:f>
        <x:v>6861 / 2022 / RAINBOW TROUT</x:v>
      </x:c>
    </x:row>
    <x:row r="613" ht="23" customHeight="1">
      <x:c r="A613" s="8" t="str">
        <x:v>Cipperley's Reservoir</x:v>
      </x:c>
      <x:c r="B613" s="8" t="str">
        <x:v>6861</x:v>
      </x:c>
      <x:c r="C613" s="17" t="n">
        <x:v>2022</x:v>
      </x:c>
      <x:c r="D613" s="18" t="n">
        <x:v>44724</x:v>
      </x:c>
      <x:c r="E613" s="8" t="str">
        <x:v>RAINBOW TROUT</x:v>
      </x:c>
      <x:c r="F613" s="13" t="n">
        <x:v>650</x:v>
      </x:c>
      <x:c r="G613" s="9" t="n">
        <x:v>20.6</x:v>
      </x:c>
      <x:c r="H613" s="9" t="n">
        <x:v>91.5</x:v>
      </x:c>
      <x:c r="I613" s="8" t="str">
        <x:f>B613&amp;" / "&amp;C613&amp;" / "&amp;E613</x:f>
        <x:v>6861 / 2022 / RAINBOW TROUT</x:v>
      </x:c>
    </x:row>
    <x:row r="614" ht="23" customHeight="1">
      <x:c r="A614" s="8" t="str">
        <x:v>Cipperley's Reservoir</x:v>
      </x:c>
      <x:c r="B614" s="8" t="str">
        <x:v>6861</x:v>
      </x:c>
      <x:c r="C614" s="17" t="n">
        <x:v>2021</x:v>
      </x:c>
      <x:c r="D614" s="18" t="n">
        <x:v>44370</x:v>
      </x:c>
      <x:c r="E614" s="8" t="str">
        <x:v>RAINBOW TROUT</x:v>
      </x:c>
      <x:c r="F614" s="13" t="n">
        <x:v>650</x:v>
      </x:c>
      <x:c r="G614" s="9" t="n">
        <x:v>21.1</x:v>
      </x:c>
      <x:c r="H614" s="9" t="n">
        <x:v>91.2</x:v>
      </x:c>
      <x:c r="I614" s="8" t="str">
        <x:f>B614&amp;" / "&amp;C614&amp;" / "&amp;E614</x:f>
        <x:v>6861 / 2021 / RAINBOW TROUT</x:v>
      </x:c>
    </x:row>
    <x:row r="615" ht="23" customHeight="1">
      <x:c r="A615" s="8" t="str">
        <x:v>Cipperley's Reservoir</x:v>
      </x:c>
      <x:c r="B615" s="8" t="str">
        <x:v>6861</x:v>
      </x:c>
      <x:c r="C615" s="17" t="n">
        <x:v>2021</x:v>
      </x:c>
      <x:c r="D615" s="18" t="n">
        <x:v>44308</x:v>
      </x:c>
      <x:c r="E615" s="8" t="str">
        <x:v>RAINBOW TROUT</x:v>
      </x:c>
      <x:c r="F615" s="13" t="n">
        <x:v>750</x:v>
      </x:c>
      <x:c r="G615" s="9" t="n">
        <x:v>20.7</x:v>
      </x:c>
      <x:c r="H615" s="9" t="n">
        <x:v>93.6</x:v>
      </x:c>
      <x:c r="I615" s="8" t="str">
        <x:f>B615&amp;" / "&amp;C615&amp;" / "&amp;E615</x:f>
        <x:v>6861 / 2021 / RAINBOW TROUT</x:v>
      </x:c>
    </x:row>
    <x:row r="616" ht="23" customHeight="1">
      <x:c r="A616" s="8" t="str">
        <x:v>Cipperley's Reservoir</x:v>
      </x:c>
      <x:c r="B616" s="8" t="str">
        <x:v>6861</x:v>
      </x:c>
      <x:c r="C616" s="17" t="n">
        <x:v>2021</x:v>
      </x:c>
      <x:c r="D616" s="18" t="n">
        <x:v>44309</x:v>
      </x:c>
      <x:c r="E616" s="8" t="str">
        <x:v>TIGER TROUT</x:v>
      </x:c>
      <x:c r="F616" s="13" t="n">
        <x:v>100</x:v>
      </x:c>
      <x:c r="G616" s="9" t="n">
        <x:v>16.3</x:v>
      </x:c>
      <x:c r="H616" s="9" t="n">
        <x:v>47.8</x:v>
      </x:c>
      <x:c r="I616" s="8" t="str">
        <x:f>B616&amp;" / "&amp;C616&amp;" / "&amp;E616</x:f>
        <x:v>6861 / 2021 / TIGER TROUT</x:v>
      </x:c>
    </x:row>
    <x:row r="617" ht="23" customHeight="1">
      <x:c r="A617" s="8" t="str">
        <x:v>Coleman Fish and Game Pond</x:v>
      </x:c>
      <x:c r="B617" s="8" t="str">
        <x:v>6858</x:v>
      </x:c>
      <x:c r="C617" s="17" t="n">
        <x:v>2025</x:v>
      </x:c>
      <x:c r="D617" s="18" t="n">
        <x:v>45806</x:v>
      </x:c>
      <x:c r="E617" s="8" t="str">
        <x:v>CUTTHROAT TROUT</x:v>
      </x:c>
      <x:c r="F617" s="13" t="n">
        <x:v>1600</x:v>
      </x:c>
      <x:c r="G617" s="9" t="n">
        <x:v>14</x:v>
      </x:c>
      <x:c r="H617" s="9" t="n">
        <x:v>30</x:v>
      </x:c>
      <x:c r="I617" s="8" t="str">
        <x:f>B617&amp;" / "&amp;C617&amp;" / "&amp;E617</x:f>
        <x:v>6858 / 2025 / CUTTHROAT TROUT</x:v>
      </x:c>
    </x:row>
    <x:row r="618" ht="23" customHeight="1">
      <x:c r="A618" s="8" t="str">
        <x:v>Coleman Fish and Game Pond</x:v>
      </x:c>
      <x:c r="B618" s="8" t="str">
        <x:v>6858</x:v>
      </x:c>
      <x:c r="C618" s="17" t="n">
        <x:v>2023</x:v>
      </x:c>
      <x:c r="D618" s="18" t="n">
        <x:v>45062</x:v>
      </x:c>
      <x:c r="E618" s="8" t="str">
        <x:v>CUTTHROAT TROUT</x:v>
      </x:c>
      <x:c r="F618" s="13" t="n">
        <x:v>1600</x:v>
      </x:c>
      <x:c r="G618" s="9" t="n">
        <x:v>16</x:v>
      </x:c>
      <x:c r="H618" s="9" t="n">
        <x:v>47</x:v>
      </x:c>
      <x:c r="I618" s="8" t="str">
        <x:f>B618&amp;" / "&amp;C618&amp;" / "&amp;E618</x:f>
        <x:v>6858 / 2023 / CUTTHROAT TROUT</x:v>
      </x:c>
    </x:row>
    <x:row r="619" ht="23" customHeight="1">
      <x:c r="A619" s="8" t="str">
        <x:v>Coleman Fish and Game Pond</x:v>
      </x:c>
      <x:c r="B619" s="8" t="str">
        <x:v>6858</x:v>
      </x:c>
      <x:c r="C619" s="17" t="n">
        <x:v>2022</x:v>
      </x:c>
      <x:c r="D619" s="18" t="n">
        <x:v>44697</x:v>
      </x:c>
      <x:c r="E619" s="8" t="str">
        <x:v>CUTTHROAT TROUT</x:v>
      </x:c>
      <x:c r="F619" s="13" t="n">
        <x:v>1600</x:v>
      </x:c>
      <x:c r="G619" s="9" t="n">
        <x:v>16.3</x:v>
      </x:c>
      <x:c r="H619" s="9" t="n">
        <x:v>48.6</x:v>
      </x:c>
      <x:c r="I619" s="8" t="str">
        <x:f>B619&amp;" / "&amp;C619&amp;" / "&amp;E619</x:f>
        <x:v>6858 / 2022 / CUTTHROAT TROUT</x:v>
      </x:c>
    </x:row>
    <x:row r="620" ht="23" customHeight="1">
      <x:c r="A620" s="8" t="str">
        <x:v>Coleman Fish and Game Pond</x:v>
      </x:c>
      <x:c r="B620" s="8" t="str">
        <x:v>6858</x:v>
      </x:c>
      <x:c r="C620" s="17" t="n">
        <x:v>2021</x:v>
      </x:c>
      <x:c r="D620" s="18" t="n">
        <x:v>44332</x:v>
      </x:c>
      <x:c r="E620" s="8" t="str">
        <x:v>RAINBOW TROUT</x:v>
      </x:c>
      <x:c r="F620" s="13" t="n">
        <x:v>1600</x:v>
      </x:c>
      <x:c r="G620" s="9" t="n">
        <x:v>21.2</x:v>
      </x:c>
      <x:c r="H620" s="9" t="n">
        <x:v>105.3</x:v>
      </x:c>
      <x:c r="I620" s="8" t="str">
        <x:f>B620&amp;" / "&amp;C620&amp;" / "&amp;E620</x:f>
        <x:v>6858 / 2021 / RAINBOW TROUT</x:v>
      </x:c>
    </x:row>
    <x:row r="621" ht="23" customHeight="1">
      <x:c r="A621" s="8" t="str">
        <x:v>Corner Lake</x:v>
      </x:c>
      <x:c r="B621" s="8" t="str">
        <x:v>6859</x:v>
      </x:c>
      <x:c r="C621" s="17" t="n">
        <x:v>2026</x:v>
      </x:c>
      <x:c r="D621" s="18" t="n">
        <x:v>46136</x:v>
      </x:c>
      <x:c r="E621" s="8" t="str">
        <x:v>BROWN TROUT</x:v>
      </x:c>
      <x:c r="F621" s="13" t="n">
        <x:v>50</x:v>
      </x:c>
      <x:c r="G621" s="9" t="n">
        <x:v>42.1</x:v>
      </x:c>
      <x:c r="H621" s="9" t="n">
        <x:v>972</x:v>
      </x:c>
      <x:c r="I621" s="8" t="str">
        <x:f>B621&amp;" / "&amp;C621&amp;" / "&amp;E621</x:f>
        <x:v>6859 / 2026 / BROWN TROUT</x:v>
      </x:c>
    </x:row>
    <x:row r="622" ht="23" customHeight="1">
      <x:c r="A622" s="8" t="str">
        <x:v>Corner Lake</x:v>
      </x:c>
      <x:c r="B622" s="8" t="str">
        <x:v>6859</x:v>
      </x:c>
      <x:c r="C622" s="17" t="n">
        <x:v>2026</x:v>
      </x:c>
      <x:c r="D622" s="18" t="n">
        <x:v>46127</x:v>
      </x:c>
      <x:c r="E622" s="8" t="str">
        <x:v>RAINBOW TROUT</x:v>
      </x:c>
      <x:c r="F622" s="13" t="n">
        <x:v>5000</x:v>
      </x:c>
      <x:c r="G622" s="9" t="n">
        <x:v>20</x:v>
      </x:c>
      <x:c r="H622" s="9" t="n">
        <x:v>86.7</x:v>
      </x:c>
      <x:c r="I622" s="8" t="str">
        <x:f>B622&amp;" / "&amp;C622&amp;" / "&amp;E622</x:f>
        <x:v>6859 / 2026 / RAINBOW TROUT</x:v>
      </x:c>
    </x:row>
    <x:row r="623" ht="23" customHeight="1">
      <x:c r="A623" s="8" t="str">
        <x:v>Corner Lake</x:v>
      </x:c>
      <x:c r="B623" s="8" t="str">
        <x:v>6859</x:v>
      </x:c>
      <x:c r="C623" s="17" t="n">
        <x:v>2025</x:v>
      </x:c>
      <x:c r="D623" s="18" t="n">
        <x:v>45930</x:v>
      </x:c>
      <x:c r="E623" s="8" t="str">
        <x:v>RAINBOW TROUT</x:v>
      </x:c>
      <x:c r="F623" s="13" t="n">
        <x:v>1391</x:v>
      </x:c>
      <x:c r="G623" s="9" t="n">
        <x:v>20.4</x:v>
      </x:c>
      <x:c r="H623" s="9" t="n">
        <x:v>91.3</x:v>
      </x:c>
      <x:c r="I623" s="8" t="str">
        <x:f>B623&amp;" / "&amp;C623&amp;" / "&amp;E623</x:f>
        <x:v>6859 / 2025 / RAINBOW TROUT</x:v>
      </x:c>
    </x:row>
    <x:row r="624" ht="23" customHeight="1">
      <x:c r="A624" s="8" t="str">
        <x:v>Corner Lake</x:v>
      </x:c>
      <x:c r="B624" s="8" t="str">
        <x:v>6859</x:v>
      </x:c>
      <x:c r="C624" s="17" t="n">
        <x:v>2025</x:v>
      </x:c>
      <x:c r="D624" s="18" t="n">
        <x:v>45930</x:v>
      </x:c>
      <x:c r="E624" s="8" t="str">
        <x:v>RAINBOW TROUT</x:v>
      </x:c>
      <x:c r="F624" s="13" t="n">
        <x:v>3609</x:v>
      </x:c>
      <x:c r="G624" s="9" t="n">
        <x:v>20.4</x:v>
      </x:c>
      <x:c r="H624" s="9" t="n">
        <x:v>91.4</x:v>
      </x:c>
      <x:c r="I624" s="8" t="str">
        <x:f>B624&amp;" / "&amp;C624&amp;" / "&amp;E624</x:f>
        <x:v>6859 / 2025 / RAINBOW TROUT</x:v>
      </x:c>
    </x:row>
    <x:row r="625" ht="23" customHeight="1">
      <x:c r="A625" s="8" t="str">
        <x:v>Corner Lake</x:v>
      </x:c>
      <x:c r="B625" s="8" t="str">
        <x:v>6859</x:v>
      </x:c>
      <x:c r="C625" s="17" t="n">
        <x:v>2025</x:v>
      </x:c>
      <x:c r="D625" s="18" t="n">
        <x:v>45928</x:v>
      </x:c>
      <x:c r="E625" s="8" t="str">
        <x:v>RAINBOW TROUT</x:v>
      </x:c>
      <x:c r="F625" s="13" t="n">
        <x:v>50</x:v>
      </x:c>
      <x:c r="G625" s="9" t="n">
        <x:v>28</x:v>
      </x:c>
      <x:c r="H625" s="9" t="n">
        <x:v>275</x:v>
      </x:c>
      <x:c r="I625" s="8" t="str">
        <x:f>B625&amp;" / "&amp;C625&amp;" / "&amp;E625</x:f>
        <x:v>6859 / 2025 / RAINBOW TROUT</x:v>
      </x:c>
    </x:row>
    <x:row r="626" ht="23" customHeight="1">
      <x:c r="A626" s="8" t="str">
        <x:v>Corner Lake</x:v>
      </x:c>
      <x:c r="B626" s="8" t="str">
        <x:v>6859</x:v>
      </x:c>
      <x:c r="C626" s="17" t="n">
        <x:v>2025</x:v>
      </x:c>
      <x:c r="D626" s="18" t="n">
        <x:v>45756</x:v>
      </x:c>
      <x:c r="E626" s="8" t="str">
        <x:v>RAINBOW TROUT</x:v>
      </x:c>
      <x:c r="F626" s="13" t="n">
        <x:v>5000</x:v>
      </x:c>
      <x:c r="G626" s="9" t="n">
        <x:v>20.4</x:v>
      </x:c>
      <x:c r="H626" s="9" t="n">
        <x:v>91.7</x:v>
      </x:c>
      <x:c r="I626" s="8" t="str">
        <x:f>B626&amp;" / "&amp;C626&amp;" / "&amp;E626</x:f>
        <x:v>6859 / 2025 / RAINBOW TROUT</x:v>
      </x:c>
    </x:row>
    <x:row r="627" ht="23" customHeight="1">
      <x:c r="A627" s="8" t="str">
        <x:v>Corner Lake</x:v>
      </x:c>
      <x:c r="B627" s="8" t="str">
        <x:v>6859</x:v>
      </x:c>
      <x:c r="C627" s="17" t="n">
        <x:v>2024</x:v>
      </x:c>
      <x:c r="D627" s="18" t="n">
        <x:v>45568</x:v>
      </x:c>
      <x:c r="E627" s="8" t="str">
        <x:v>RAINBOW TROUT</x:v>
      </x:c>
      <x:c r="F627" s="13" t="n">
        <x:v>10000</x:v>
      </x:c>
      <x:c r="G627" s="9" t="n">
        <x:v>17.7</x:v>
      </x:c>
      <x:c r="H627" s="9" t="n">
        <x:v>61.6</x:v>
      </x:c>
      <x:c r="I627" s="8" t="str">
        <x:f>B627&amp;" / "&amp;C627&amp;" / "&amp;E627</x:f>
        <x:v>6859 / 2024 / RAINBOW TROUT</x:v>
      </x:c>
    </x:row>
    <x:row r="628" ht="23" customHeight="1">
      <x:c r="A628" s="8" t="str">
        <x:v>Corner Lake</x:v>
      </x:c>
      <x:c r="B628" s="8" t="str">
        <x:v>6859</x:v>
      </x:c>
      <x:c r="C628" s="17" t="n">
        <x:v>2024</x:v>
      </x:c>
      <x:c r="D628" s="18" t="n">
        <x:v>45392</x:v>
      </x:c>
      <x:c r="E628" s="8" t="str">
        <x:v>RAINBOW TROUT</x:v>
      </x:c>
      <x:c r="F628" s="13" t="n">
        <x:v>2500</x:v>
      </x:c>
      <x:c r="G628" s="9" t="n">
        <x:v>20</x:v>
      </x:c>
      <x:c r="H628" s="9" t="n">
        <x:v>86.2</x:v>
      </x:c>
      <x:c r="I628" s="8" t="str">
        <x:f>B628&amp;" / "&amp;C628&amp;" / "&amp;E628</x:f>
        <x:v>6859 / 2024 / RAINBOW TROUT</x:v>
      </x:c>
    </x:row>
    <x:row r="629" ht="23" customHeight="1">
      <x:c r="A629" s="8" t="str">
        <x:v>Corner Lake</x:v>
      </x:c>
      <x:c r="B629" s="8" t="str">
        <x:v>6859</x:v>
      </x:c>
      <x:c r="C629" s="17" t="n">
        <x:v>2023</x:v>
      </x:c>
      <x:c r="D629" s="18" t="n">
        <x:v>45193</x:v>
      </x:c>
      <x:c r="E629" s="8" t="str">
        <x:v>RAINBOW TROUT</x:v>
      </x:c>
      <x:c r="F629" s="13" t="n">
        <x:v>1513</x:v>
      </x:c>
      <x:c r="G629" s="9" t="n">
        <x:v>20.1</x:v>
      </x:c>
      <x:c r="H629" s="9" t="n">
        <x:v>87.8</x:v>
      </x:c>
      <x:c r="I629" s="8" t="str">
        <x:f>B629&amp;" / "&amp;C629&amp;" / "&amp;E629</x:f>
        <x:v>6859 / 2023 / RAINBOW TROUT</x:v>
      </x:c>
    </x:row>
    <x:row r="630" ht="23" customHeight="1">
      <x:c r="A630" s="8" t="str">
        <x:v>Corner Lake</x:v>
      </x:c>
      <x:c r="B630" s="8" t="str">
        <x:v>6859</x:v>
      </x:c>
      <x:c r="C630" s="17" t="n">
        <x:v>2023</x:v>
      </x:c>
      <x:c r="D630" s="18" t="n">
        <x:v>45033</x:v>
      </x:c>
      <x:c r="E630" s="8" t="str">
        <x:v>RAINBOW TROUT</x:v>
      </x:c>
      <x:c r="F630" s="13" t="n">
        <x:v>2510</x:v>
      </x:c>
      <x:c r="G630" s="9" t="n">
        <x:v>20.5</x:v>
      </x:c>
      <x:c r="H630" s="9" t="n">
        <x:v>96</x:v>
      </x:c>
      <x:c r="I630" s="8" t="str">
        <x:f>B630&amp;" / "&amp;C630&amp;" / "&amp;E630</x:f>
        <x:v>6859 / 2023 / RAINBOW TROUT</x:v>
      </x:c>
    </x:row>
    <x:row r="631" ht="23" customHeight="1">
      <x:c r="A631" s="8" t="str">
        <x:v>Corner Lake</x:v>
      </x:c>
      <x:c r="B631" s="8" t="str">
        <x:v>6859</x:v>
      </x:c>
      <x:c r="C631" s="17" t="n">
        <x:v>2022</x:v>
      </x:c>
      <x:c r="D631" s="18" t="n">
        <x:v>44827</x:v>
      </x:c>
      <x:c r="E631" s="8" t="str">
        <x:v>RAINBOW TROUT</x:v>
      </x:c>
      <x:c r="F631" s="13" t="n">
        <x:v>5000</x:v>
      </x:c>
      <x:c r="G631" s="9" t="n">
        <x:v>17.6</x:v>
      </x:c>
      <x:c r="H631" s="9" t="n">
        <x:v>59.6</x:v>
      </x:c>
      <x:c r="I631" s="8" t="str">
        <x:f>B631&amp;" / "&amp;C631&amp;" / "&amp;E631</x:f>
        <x:v>6859 / 2022 / RAINBOW TROUT</x:v>
      </x:c>
    </x:row>
    <x:row r="632" ht="23" customHeight="1">
      <x:c r="A632" s="8" t="str">
        <x:v>Corner Lake</x:v>
      </x:c>
      <x:c r="B632" s="8" t="str">
        <x:v>6859</x:v>
      </x:c>
      <x:c r="C632" s="17" t="n">
        <x:v>2022</x:v>
      </x:c>
      <x:c r="D632" s="18" t="n">
        <x:v>44668</x:v>
      </x:c>
      <x:c r="E632" s="8" t="str">
        <x:v>RAINBOW TROUT</x:v>
      </x:c>
      <x:c r="F632" s="13" t="n">
        <x:v>5000</x:v>
      </x:c>
      <x:c r="G632" s="9" t="n">
        <x:v>20.7</x:v>
      </x:c>
      <x:c r="H632" s="9" t="n">
        <x:v>97.1</x:v>
      </x:c>
      <x:c r="I632" s="8" t="str">
        <x:f>B632&amp;" / "&amp;C632&amp;" / "&amp;E632</x:f>
        <x:v>6859 / 2022 / RAINBOW TROUT</x:v>
      </x:c>
    </x:row>
    <x:row r="633" ht="23" customHeight="1">
      <x:c r="A633" s="8" t="str">
        <x:v>Corner Lake</x:v>
      </x:c>
      <x:c r="B633" s="8" t="str">
        <x:v>6859</x:v>
      </x:c>
      <x:c r="C633" s="17" t="n">
        <x:v>2021</x:v>
      </x:c>
      <x:c r="D633" s="18" t="n">
        <x:v>44467</x:v>
      </x:c>
      <x:c r="E633" s="8" t="str">
        <x:v>RAINBOW TROUT</x:v>
      </x:c>
      <x:c r="F633" s="13" t="n">
        <x:v>10000</x:v>
      </x:c>
      <x:c r="G633" s="9" t="n">
        <x:v>20.2</x:v>
      </x:c>
      <x:c r="H633" s="9" t="n">
        <x:v>90.8</x:v>
      </x:c>
      <x:c r="I633" s="8" t="str">
        <x:f>B633&amp;" / "&amp;C633&amp;" / "&amp;E633</x:f>
        <x:v>6859 / 2021 / RAINBOW TROUT</x:v>
      </x:c>
    </x:row>
    <x:row r="634" ht="23" customHeight="1">
      <x:c r="A634" s="8" t="str">
        <x:v>Corner Lake</x:v>
      </x:c>
      <x:c r="B634" s="8" t="str">
        <x:v>6859</x:v>
      </x:c>
      <x:c r="C634" s="17" t="n">
        <x:v>2021</x:v>
      </x:c>
      <x:c r="D634" s="18" t="n">
        <x:v>44329</x:v>
      </x:c>
      <x:c r="E634" s="8" t="str">
        <x:v>RAINBOW TROUT</x:v>
      </x:c>
      <x:c r="F634" s="13" t="n">
        <x:v>75</x:v>
      </x:c>
      <x:c r="G634" s="9" t="n">
        <x:v>45</x:v>
      </x:c>
      <x:c r="H634" s="9" t="n">
        <x:v>820</x:v>
      </x:c>
      <x:c r="I634" s="8" t="str">
        <x:f>B634&amp;" / "&amp;C634&amp;" / "&amp;E634</x:f>
        <x:v>6859 / 2021 / RAINBOW TROUT</x:v>
      </x:c>
    </x:row>
    <x:row r="635" ht="23" customHeight="1">
      <x:c r="A635" s="8" t="str">
        <x:v>Corner Lake</x:v>
      </x:c>
      <x:c r="B635" s="8" t="str">
        <x:v>6859</x:v>
      </x:c>
      <x:c r="C635" s="17" t="n">
        <x:v>2021</x:v>
      </x:c>
      <x:c r="D635" s="18" t="n">
        <x:v>44304</x:v>
      </x:c>
      <x:c r="E635" s="8" t="str">
        <x:v>RAINBOW TROUT</x:v>
      </x:c>
      <x:c r="F635" s="13" t="n">
        <x:v>5000</x:v>
      </x:c>
      <x:c r="G635" s="9" t="n">
        <x:v>20.6</x:v>
      </x:c>
      <x:c r="H635" s="9" t="n">
        <x:v>96.9</x:v>
      </x:c>
      <x:c r="I635" s="8" t="str">
        <x:f>B635&amp;" / "&amp;C635&amp;" / "&amp;E635</x:f>
        <x:v>6859 / 2021 / RAINBOW TROUT</x:v>
      </x:c>
    </x:row>
    <x:row r="636" ht="23" customHeight="1">
      <x:c r="A636" s="8" t="str">
        <x:v>Coronation Reservoir</x:v>
      </x:c>
      <x:c r="B636" s="8" t="str">
        <x:v>6845</x:v>
      </x:c>
      <x:c r="C636" s="17" t="n">
        <x:v>2026</x:v>
      </x:c>
      <x:c r="D636" s="18" t="n">
        <x:v>46139</x:v>
      </x:c>
      <x:c r="E636" s="8" t="str">
        <x:v>BROWN TROUT</x:v>
      </x:c>
      <x:c r="F636" s="13" t="n">
        <x:v>1000</x:v>
      </x:c>
      <x:c r="G636" s="9" t="n">
        <x:v>17.6</x:v>
      </x:c>
      <x:c r="H636" s="9" t="n">
        <x:v>58.4</x:v>
      </x:c>
      <x:c r="I636" s="8" t="str">
        <x:f>B636&amp;" / "&amp;C636&amp;" / "&amp;E636</x:f>
        <x:v>6845 / 2026 / BROWN TROUT</x:v>
      </x:c>
    </x:row>
    <x:row r="637" ht="23" customHeight="1">
      <x:c r="A637" s="8" t="str">
        <x:v>Coronation Reservoir</x:v>
      </x:c>
      <x:c r="B637" s="8" t="str">
        <x:v>6845</x:v>
      </x:c>
      <x:c r="C637" s="17" t="n">
        <x:v>2026</x:v>
      </x:c>
      <x:c r="D637" s="18" t="n">
        <x:v>46139</x:v>
      </x:c>
      <x:c r="E637" s="8" t="str">
        <x:v>RAINBOW TROUT</x:v>
      </x:c>
      <x:c r="F637" s="13" t="n">
        <x:v>5300</x:v>
      </x:c>
      <x:c r="G637" s="9" t="n">
        <x:v>20.6</x:v>
      </x:c>
      <x:c r="H637" s="9" t="n">
        <x:v>94.7</x:v>
      </x:c>
      <x:c r="I637" s="8" t="str">
        <x:f>B637&amp;" / "&amp;C637&amp;" / "&amp;E637</x:f>
        <x:v>6845 / 2026 / RAINBOW TROUT</x:v>
      </x:c>
    </x:row>
    <x:row r="638" ht="23" customHeight="1">
      <x:c r="A638" s="8" t="str">
        <x:v>Coronation Reservoir</x:v>
      </x:c>
      <x:c r="B638" s="8" t="str">
        <x:v>6845</x:v>
      </x:c>
      <x:c r="C638" s="17" t="n">
        <x:v>2026</x:v>
      </x:c>
      <x:c r="D638" s="18" t="n">
        <x:v>46139</x:v>
      </x:c>
      <x:c r="E638" s="8" t="str">
        <x:v>TIGER TROUT</x:v>
      </x:c>
      <x:c r="F638" s="13" t="n">
        <x:v>1000</x:v>
      </x:c>
      <x:c r="G638" s="9" t="n">
        <x:v>16.7</x:v>
      </x:c>
      <x:c r="H638" s="9" t="n">
        <x:v>50.2</x:v>
      </x:c>
      <x:c r="I638" s="8" t="str">
        <x:f>B638&amp;" / "&amp;C638&amp;" / "&amp;E638</x:f>
        <x:v>6845 / 2026 / TIGER TROUT</x:v>
      </x:c>
    </x:row>
    <x:row r="639" ht="23" customHeight="1">
      <x:c r="A639" s="8" t="str">
        <x:v>Coronation Reservoir</x:v>
      </x:c>
      <x:c r="B639" s="8" t="str">
        <x:v>6845</x:v>
      </x:c>
      <x:c r="C639" s="17" t="n">
        <x:v>2025</x:v>
      </x:c>
      <x:c r="D639" s="18" t="n">
        <x:v>45768</x:v>
      </x:c>
      <x:c r="E639" s="8" t="str">
        <x:v>BROWN TROUT</x:v>
      </x:c>
      <x:c r="F639" s="13" t="n">
        <x:v>1000</x:v>
      </x:c>
      <x:c r="G639" s="9" t="n">
        <x:v>18.7</x:v>
      </x:c>
      <x:c r="H639" s="9" t="n">
        <x:v>71.2</x:v>
      </x:c>
      <x:c r="I639" s="8" t="str">
        <x:f>B639&amp;" / "&amp;C639&amp;" / "&amp;E639</x:f>
        <x:v>6845 / 2025 / BROWN TROUT</x:v>
      </x:c>
    </x:row>
    <x:row r="640" ht="23" customHeight="1">
      <x:c r="A640" s="8" t="str">
        <x:v>Coronation Reservoir</x:v>
      </x:c>
      <x:c r="B640" s="8" t="str">
        <x:v>6845</x:v>
      </x:c>
      <x:c r="C640" s="17" t="n">
        <x:v>2025</x:v>
      </x:c>
      <x:c r="D640" s="18" t="n">
        <x:v>45768</x:v>
      </x:c>
      <x:c r="E640" s="8" t="str">
        <x:v>RAINBOW TROUT</x:v>
      </x:c>
      <x:c r="F640" s="13" t="n">
        <x:v>5300</x:v>
      </x:c>
      <x:c r="G640" s="9" t="n">
        <x:v>20</x:v>
      </x:c>
      <x:c r="H640" s="9" t="n">
        <x:v>86</x:v>
      </x:c>
      <x:c r="I640" s="8" t="str">
        <x:f>B640&amp;" / "&amp;C640&amp;" / "&amp;E640</x:f>
        <x:v>6845 / 2025 / RAINBOW TROUT</x:v>
      </x:c>
    </x:row>
    <x:row r="641" ht="23" customHeight="1">
      <x:c r="A641" s="8" t="str">
        <x:v>Coronation Reservoir</x:v>
      </x:c>
      <x:c r="B641" s="8" t="str">
        <x:v>6845</x:v>
      </x:c>
      <x:c r="C641" s="17" t="n">
        <x:v>2025</x:v>
      </x:c>
      <x:c r="D641" s="18" t="n">
        <x:v>45768</x:v>
      </x:c>
      <x:c r="E641" s="8" t="str">
        <x:v>TIGER TROUT</x:v>
      </x:c>
      <x:c r="F641" s="13" t="n">
        <x:v>1000</x:v>
      </x:c>
      <x:c r="G641" s="9" t="n">
        <x:v>19.9</x:v>
      </x:c>
      <x:c r="H641" s="9" t="n">
        <x:v>85</x:v>
      </x:c>
      <x:c r="I641" s="8" t="str">
        <x:f>B641&amp;" / "&amp;C641&amp;" / "&amp;E641</x:f>
        <x:v>6845 / 2025 / TIGER TROUT</x:v>
      </x:c>
    </x:row>
    <x:row r="642" ht="23" customHeight="1">
      <x:c r="A642" s="8" t="str">
        <x:v>Coronation Reservoir</x:v>
      </x:c>
      <x:c r="B642" s="8" t="str">
        <x:v>6845</x:v>
      </x:c>
      <x:c r="C642" s="17" t="n">
        <x:v>2024</x:v>
      </x:c>
      <x:c r="D642" s="18" t="n">
        <x:v>45399</x:v>
      </x:c>
      <x:c r="E642" s="8" t="str">
        <x:v>BROWN TROUT</x:v>
      </x:c>
      <x:c r="F642" s="13" t="n">
        <x:v>1000</x:v>
      </x:c>
      <x:c r="G642" s="9" t="n">
        <x:v>20.7</x:v>
      </x:c>
      <x:c r="H642" s="9" t="n">
        <x:v>96</x:v>
      </x:c>
      <x:c r="I642" s="8" t="str">
        <x:f>B642&amp;" / "&amp;C642&amp;" / "&amp;E642</x:f>
        <x:v>6845 / 2024 / BROWN TROUT</x:v>
      </x:c>
    </x:row>
    <x:row r="643" ht="23" customHeight="1">
      <x:c r="A643" s="8" t="str">
        <x:v>Coronation Reservoir</x:v>
      </x:c>
      <x:c r="B643" s="8" t="str">
        <x:v>6845</x:v>
      </x:c>
      <x:c r="C643" s="17" t="n">
        <x:v>2024</x:v>
      </x:c>
      <x:c r="D643" s="18" t="n">
        <x:v>45428</x:v>
      </x:c>
      <x:c r="E643" s="8" t="str">
        <x:v>RAINBOW TROUT</x:v>
      </x:c>
      <x:c r="F643" s="13" t="n">
        <x:v>5000</x:v>
      </x:c>
      <x:c r="G643" s="9" t="n">
        <x:v>10.3</x:v>
      </x:c>
      <x:c r="H643" s="9" t="n">
        <x:v>12</x:v>
      </x:c>
      <x:c r="I643" s="8" t="str">
        <x:f>B643&amp;" / "&amp;C643&amp;" / "&amp;E643</x:f>
        <x:v>6845 / 2024 / RAINBOW TROUT</x:v>
      </x:c>
    </x:row>
    <x:row r="644" ht="23" customHeight="1">
      <x:c r="A644" s="8" t="str">
        <x:v>Coronation Reservoir</x:v>
      </x:c>
      <x:c r="B644" s="8" t="str">
        <x:v>6845</x:v>
      </x:c>
      <x:c r="C644" s="17" t="n">
        <x:v>2024</x:v>
      </x:c>
      <x:c r="D644" s="18" t="n">
        <x:v>45399</x:v>
      </x:c>
      <x:c r="E644" s="8" t="str">
        <x:v>RAINBOW TROUT</x:v>
      </x:c>
      <x:c r="F644" s="13" t="n">
        <x:v>2120</x:v>
      </x:c>
      <x:c r="G644" s="9" t="n">
        <x:v>19.9</x:v>
      </x:c>
      <x:c r="H644" s="9" t="n">
        <x:v>85.7</x:v>
      </x:c>
      <x:c r="I644" s="8" t="str">
        <x:f>B644&amp;" / "&amp;C644&amp;" / "&amp;E644</x:f>
        <x:v>6845 / 2024 / RAINBOW TROUT</x:v>
      </x:c>
    </x:row>
    <x:row r="645" ht="23" customHeight="1">
      <x:c r="A645" s="8" t="str">
        <x:v>Coronation Reservoir</x:v>
      </x:c>
      <x:c r="B645" s="8" t="str">
        <x:v>6845</x:v>
      </x:c>
      <x:c r="C645" s="17" t="n">
        <x:v>2024</x:v>
      </x:c>
      <x:c r="D645" s="18" t="n">
        <x:v>45399</x:v>
      </x:c>
      <x:c r="E645" s="8" t="str">
        <x:v>TIGER TROUT</x:v>
      </x:c>
      <x:c r="F645" s="13" t="n">
        <x:v>1000</x:v>
      </x:c>
      <x:c r="G645" s="9" t="n">
        <x:v>18.6</x:v>
      </x:c>
      <x:c r="H645" s="9" t="n">
        <x:v>70</x:v>
      </x:c>
      <x:c r="I645" s="8" t="str">
        <x:f>B645&amp;" / "&amp;C645&amp;" / "&amp;E645</x:f>
        <x:v>6845 / 2024 / TIGER TROUT</x:v>
      </x:c>
    </x:row>
    <x:row r="646" ht="23" customHeight="1">
      <x:c r="A646" s="8" t="str">
        <x:v>Coronation Reservoir</x:v>
      </x:c>
      <x:c r="B646" s="8" t="str">
        <x:v>6845</x:v>
      </x:c>
      <x:c r="C646" s="17" t="n">
        <x:v>2023</x:v>
      </x:c>
      <x:c r="D646" s="18" t="n">
        <x:v>45047</x:v>
      </x:c>
      <x:c r="E646" s="8" t="str">
        <x:v>RAINBOW TROUT</x:v>
      </x:c>
      <x:c r="F646" s="13" t="n">
        <x:v>2115</x:v>
      </x:c>
      <x:c r="G646" s="9" t="n">
        <x:v>20.1</x:v>
      </x:c>
      <x:c r="H646" s="9" t="n">
        <x:v>87.6</x:v>
      </x:c>
      <x:c r="I646" s="8" t="str">
        <x:f>B646&amp;" / "&amp;C646&amp;" / "&amp;E646</x:f>
        <x:v>6845 / 2023 / RAINBOW TROUT</x:v>
      </x:c>
    </x:row>
    <x:row r="647" ht="23" customHeight="1">
      <x:c r="A647" s="8" t="str">
        <x:v>Coronation Reservoir</x:v>
      </x:c>
      <x:c r="B647" s="8" t="str">
        <x:v>6845</x:v>
      </x:c>
      <x:c r="C647" s="17" t="n">
        <x:v>2023</x:v>
      </x:c>
      <x:c r="D647" s="18" t="n">
        <x:v>45046</x:v>
      </x:c>
      <x:c r="E647" s="8" t="str">
        <x:v>RAINBOW TROUT</x:v>
      </x:c>
      <x:c r="F647" s="13" t="n">
        <x:v>4000</x:v>
      </x:c>
      <x:c r="G647" s="9" t="n">
        <x:v>7.7</x:v>
      </x:c>
      <x:c r="H647" s="9" t="n">
        <x:v>5.1</x:v>
      </x:c>
      <x:c r="I647" s="8" t="str">
        <x:f>B647&amp;" / "&amp;C647&amp;" / "&amp;E647</x:f>
        <x:v>6845 / 2023 / RAINBOW TROUT</x:v>
      </x:c>
    </x:row>
    <x:row r="648" ht="23" customHeight="1">
      <x:c r="A648" s="8" t="str">
        <x:v>Coronation Reservoir</x:v>
      </x:c>
      <x:c r="B648" s="8" t="str">
        <x:v>6845</x:v>
      </x:c>
      <x:c r="C648" s="17" t="n">
        <x:v>2022</x:v>
      </x:c>
      <x:c r="D648" s="18" t="n">
        <x:v>44678</x:v>
      </x:c>
      <x:c r="E648" s="8" t="str">
        <x:v>RAINBOW TROUT</x:v>
      </x:c>
      <x:c r="F648" s="13" t="n">
        <x:v>5300</x:v>
      </x:c>
      <x:c r="G648" s="9" t="n">
        <x:v>21</x:v>
      </x:c>
      <x:c r="H648" s="9" t="n">
        <x:v>100.9</x:v>
      </x:c>
      <x:c r="I648" s="8" t="str">
        <x:f>B648&amp;" / "&amp;C648&amp;" / "&amp;E648</x:f>
        <x:v>6845 / 2022 / RAINBOW TROUT</x:v>
      </x:c>
    </x:row>
    <x:row r="649" ht="23" customHeight="1">
      <x:c r="A649" s="8" t="str">
        <x:v>Coronation Reservoir</x:v>
      </x:c>
      <x:c r="B649" s="8" t="str">
        <x:v>6845</x:v>
      </x:c>
      <x:c r="C649" s="17" t="n">
        <x:v>2021</x:v>
      </x:c>
      <x:c r="D649" s="18" t="n">
        <x:v>44306</x:v>
      </x:c>
      <x:c r="E649" s="8" t="str">
        <x:v>RAINBOW TROUT</x:v>
      </x:c>
      <x:c r="F649" s="13" t="n">
        <x:v>8300</x:v>
      </x:c>
      <x:c r="G649" s="9" t="n">
        <x:v>20.2</x:v>
      </x:c>
      <x:c r="H649" s="9" t="n">
        <x:v>90.7</x:v>
      </x:c>
      <x:c r="I649" s="8" t="str">
        <x:f>B649&amp;" / "&amp;C649&amp;" / "&amp;E649</x:f>
        <x:v>6845 / 2021 / RAINBOW TROUT</x:v>
      </x:c>
    </x:row>
    <x:row r="650" ht="23" customHeight="1">
      <x:c r="A650" s="8" t="str">
        <x:v>Cottage</x:v>
      </x:c>
      <x:c r="B650" s="8" t="str">
        <x:v>5874</x:v>
      </x:c>
      <x:c r="C650" s="17" t="n">
        <x:v>2026</x:v>
      </x:c>
      <x:c r="D650" s="18" t="n">
        <x:v>46150</x:v>
      </x:c>
      <x:c r="E650" s="8" t="str">
        <x:v>BROWN TROUT</x:v>
      </x:c>
      <x:c r="F650" s="13" t="n">
        <x:v>500</x:v>
      </x:c>
      <x:c r="G650" s="9" t="n">
        <x:v>19.5</x:v>
      </x:c>
      <x:c r="H650" s="9" t="n">
        <x:v>80</x:v>
      </x:c>
      <x:c r="I650" s="8" t="str">
        <x:f>B650&amp;" / "&amp;C650&amp;" / "&amp;E650</x:f>
        <x:v>5874 / 2026 / BROWN TROUT</x:v>
      </x:c>
    </x:row>
    <x:row r="651" ht="23" customHeight="1">
      <x:c r="A651" s="8" t="str">
        <x:v>Cottage</x:v>
      </x:c>
      <x:c r="B651" s="8" t="str">
        <x:v>5874</x:v>
      </x:c>
      <x:c r="C651" s="17" t="n">
        <x:v>2026</x:v>
      </x:c>
      <x:c r="D651" s="18" t="n">
        <x:v>46149</x:v>
      </x:c>
      <x:c r="E651" s="8" t="str">
        <x:v>RAINBOW TROUT</x:v>
      </x:c>
      <x:c r="F651" s="13" t="n">
        <x:v>10000</x:v>
      </x:c>
      <x:c r="G651" s="9" t="n">
        <x:v>21.8</x:v>
      </x:c>
      <x:c r="H651" s="9" t="n">
        <x:v>115</x:v>
      </x:c>
      <x:c r="I651" s="8" t="str">
        <x:f>B651&amp;" / "&amp;C651&amp;" / "&amp;E651</x:f>
        <x:v>5874 / 2026 / RAINBOW TROUT</x:v>
      </x:c>
    </x:row>
    <x:row r="652" ht="23" customHeight="1">
      <x:c r="A652" s="8" t="str">
        <x:v>Cottage</x:v>
      </x:c>
      <x:c r="B652" s="8" t="str">
        <x:v>5874</x:v>
      </x:c>
      <x:c r="C652" s="17" t="n">
        <x:v>2026</x:v>
      </x:c>
      <x:c r="D652" s="18" t="n">
        <x:v>46146</x:v>
      </x:c>
      <x:c r="E652" s="8" t="str">
        <x:v>RAINBOW TROUT</x:v>
      </x:c>
      <x:c r="F652" s="13" t="n">
        <x:v>135</x:v>
      </x:c>
      <x:c r="G652" s="9" t="n">
        <x:v>35.1</x:v>
      </x:c>
      <x:c r="H652" s="9" t="n">
        <x:v>565.1</x:v>
      </x:c>
      <x:c r="I652" s="8" t="str">
        <x:f>B652&amp;" / "&amp;C652&amp;" / "&amp;E652</x:f>
        <x:v>5874 / 2026 / RAINBOW TROUT</x:v>
      </x:c>
    </x:row>
    <x:row r="653" ht="23" customHeight="1">
      <x:c r="A653" s="8" t="str">
        <x:v>Cottage</x:v>
      </x:c>
      <x:c r="B653" s="8" t="str">
        <x:v>5874</x:v>
      </x:c>
      <x:c r="C653" s="17" t="n">
        <x:v>2026</x:v>
      </x:c>
      <x:c r="D653" s="18" t="n">
        <x:v>46149</x:v>
      </x:c>
      <x:c r="E653" s="8" t="str">
        <x:v>TIGER TROUT</x:v>
      </x:c>
      <x:c r="F653" s="13" t="n">
        <x:v>1500</x:v>
      </x:c>
      <x:c r="G653" s="9" t="n">
        <x:v>20.9</x:v>
      </x:c>
      <x:c r="H653" s="9" t="n">
        <x:v>101.3</x:v>
      </x:c>
      <x:c r="I653" s="8" t="str">
        <x:f>B653&amp;" / "&amp;C653&amp;" / "&amp;E653</x:f>
        <x:v>5874 / 2026 / TIGER TROUT</x:v>
      </x:c>
    </x:row>
    <x:row r="654" ht="23" customHeight="1">
      <x:c r="A654" s="8" t="str">
        <x:v>Cottage</x:v>
      </x:c>
      <x:c r="B654" s="8" t="str">
        <x:v>5874</x:v>
      </x:c>
      <x:c r="C654" s="17" t="n">
        <x:v>2025</x:v>
      </x:c>
      <x:c r="D654" s="18" t="n">
        <x:v>45781</x:v>
      </x:c>
      <x:c r="E654" s="8" t="str">
        <x:v>BROWN TROUT</x:v>
      </x:c>
      <x:c r="F654" s="13" t="n">
        <x:v>500</x:v>
      </x:c>
      <x:c r="G654" s="9" t="n">
        <x:v>19.6</x:v>
      </x:c>
      <x:c r="H654" s="9" t="n">
        <x:v>81</x:v>
      </x:c>
      <x:c r="I654" s="8" t="str">
        <x:f>B654&amp;" / "&amp;C654&amp;" / "&amp;E654</x:f>
        <x:v>5874 / 2025 / BROWN TROUT</x:v>
      </x:c>
    </x:row>
    <x:row r="655" ht="23" customHeight="1">
      <x:c r="A655" s="8" t="str">
        <x:v>Cottage</x:v>
      </x:c>
      <x:c r="B655" s="8" t="str">
        <x:v>5874</x:v>
      </x:c>
      <x:c r="C655" s="17" t="n">
        <x:v>2025</x:v>
      </x:c>
      <x:c r="D655" s="18" t="n">
        <x:v>45923</x:v>
      </x:c>
      <x:c r="E655" s="8" t="str">
        <x:v>RAINBOW TROUT</x:v>
      </x:c>
      <x:c r="F655" s="13" t="n">
        <x:v>5000</x:v>
      </x:c>
      <x:c r="G655" s="9" t="n">
        <x:v>19.2</x:v>
      </x:c>
      <x:c r="H655" s="9" t="n">
        <x:v>77.9</x:v>
      </x:c>
      <x:c r="I655" s="8" t="str">
        <x:f>B655&amp;" / "&amp;C655&amp;" / "&amp;E655</x:f>
        <x:v>5874 / 2025 / RAINBOW TROUT</x:v>
      </x:c>
    </x:row>
    <x:row r="656" ht="23" customHeight="1">
      <x:c r="A656" s="8" t="str">
        <x:v>Cottage</x:v>
      </x:c>
      <x:c r="B656" s="8" t="str">
        <x:v>5874</x:v>
      </x:c>
      <x:c r="C656" s="17" t="n">
        <x:v>2025</x:v>
      </x:c>
      <x:c r="D656" s="18" t="n">
        <x:v>45782</x:v>
      </x:c>
      <x:c r="E656" s="8" t="str">
        <x:v>RAINBOW TROUT</x:v>
      </x:c>
      <x:c r="F656" s="13" t="n">
        <x:v>10000</x:v>
      </x:c>
      <x:c r="G656" s="9" t="n">
        <x:v>20.9</x:v>
      </x:c>
      <x:c r="H656" s="9" t="n">
        <x:v>100.4</x:v>
      </x:c>
      <x:c r="I656" s="8" t="str">
        <x:f>B656&amp;" / "&amp;C656&amp;" / "&amp;E656</x:f>
        <x:v>5874 / 2025 / RAINBOW TROUT</x:v>
      </x:c>
    </x:row>
    <x:row r="657" ht="23" customHeight="1">
      <x:c r="A657" s="8" t="str">
        <x:v>Cottage</x:v>
      </x:c>
      <x:c r="B657" s="8" t="str">
        <x:v>5874</x:v>
      </x:c>
      <x:c r="C657" s="17" t="n">
        <x:v>2025</x:v>
      </x:c>
      <x:c r="D657" s="18" t="n">
        <x:v>45782</x:v>
      </x:c>
      <x:c r="E657" s="8" t="str">
        <x:v>TIGER TROUT</x:v>
      </x:c>
      <x:c r="F657" s="13" t="n">
        <x:v>1500</x:v>
      </x:c>
      <x:c r="G657" s="9" t="n">
        <x:v>22.5</x:v>
      </x:c>
      <x:c r="H657" s="9" t="n">
        <x:v>126.7</x:v>
      </x:c>
      <x:c r="I657" s="8" t="str">
        <x:f>B657&amp;" / "&amp;C657&amp;" / "&amp;E657</x:f>
        <x:v>5874 / 2025 / TIGER TROUT</x:v>
      </x:c>
    </x:row>
    <x:row r="658" ht="23" customHeight="1">
      <x:c r="A658" s="8" t="str">
        <x:v>Cottage</x:v>
      </x:c>
      <x:c r="B658" s="8" t="str">
        <x:v>5874</x:v>
      </x:c>
      <x:c r="C658" s="17" t="n">
        <x:v>2024</x:v>
      </x:c>
      <x:c r="D658" s="18" t="n">
        <x:v>45413</x:v>
      </x:c>
      <x:c r="E658" s="8" t="str">
        <x:v>BROWN TROUT</x:v>
      </x:c>
      <x:c r="F658" s="13" t="n">
        <x:v>500</x:v>
      </x:c>
      <x:c r="G658" s="9" t="n">
        <x:v>20.2</x:v>
      </x:c>
      <x:c r="H658" s="9" t="n">
        <x:v>88.6</x:v>
      </x:c>
      <x:c r="I658" s="8" t="str">
        <x:f>B658&amp;" / "&amp;C658&amp;" / "&amp;E658</x:f>
        <x:v>5874 / 2024 / BROWN TROUT</x:v>
      </x:c>
    </x:row>
    <x:row r="659" ht="23" customHeight="1">
      <x:c r="A659" s="8" t="str">
        <x:v>Cottage</x:v>
      </x:c>
      <x:c r="B659" s="8" t="str">
        <x:v>5874</x:v>
      </x:c>
      <x:c r="C659" s="17" t="n">
        <x:v>2024</x:v>
      </x:c>
      <x:c r="D659" s="18" t="n">
        <x:v>45562</x:v>
      </x:c>
      <x:c r="E659" s="8" t="str">
        <x:v>RAINBOW TROUT</x:v>
      </x:c>
      <x:c r="F659" s="13" t="n">
        <x:v>10000</x:v>
      </x:c>
      <x:c r="G659" s="9" t="n">
        <x:v>19.1</x:v>
      </x:c>
      <x:c r="H659" s="9" t="n">
        <x:v>82.1</x:v>
      </x:c>
      <x:c r="I659" s="8" t="str">
        <x:f>B659&amp;" / "&amp;C659&amp;" / "&amp;E659</x:f>
        <x:v>5874 / 2024 / RAINBOW TROUT</x:v>
      </x:c>
    </x:row>
    <x:row r="660" ht="23" customHeight="1">
      <x:c r="A660" s="8" t="str">
        <x:v>Cottage</x:v>
      </x:c>
      <x:c r="B660" s="8" t="str">
        <x:v>5874</x:v>
      </x:c>
      <x:c r="C660" s="17" t="n">
        <x:v>2024</x:v>
      </x:c>
      <x:c r="D660" s="18" t="n">
        <x:v>45428</x:v>
      </x:c>
      <x:c r="E660" s="8" t="str">
        <x:v>RAINBOW TROUT</x:v>
      </x:c>
      <x:c r="F660" s="13" t="n">
        <x:v>7500</x:v>
      </x:c>
      <x:c r="G660" s="9" t="n">
        <x:v>10.1</x:v>
      </x:c>
      <x:c r="H660" s="9" t="n">
        <x:v>11.6</x:v>
      </x:c>
      <x:c r="I660" s="8" t="str">
        <x:f>B660&amp;" / "&amp;C660&amp;" / "&amp;E660</x:f>
        <x:v>5874 / 2024 / RAINBOW TROUT</x:v>
      </x:c>
    </x:row>
    <x:row r="661" ht="23" customHeight="1">
      <x:c r="A661" s="8" t="str">
        <x:v>Cottage</x:v>
      </x:c>
      <x:c r="B661" s="8" t="str">
        <x:v>5874</x:v>
      </x:c>
      <x:c r="C661" s="17" t="n">
        <x:v>2024</x:v>
      </x:c>
      <x:c r="D661" s="18" t="n">
        <x:v>45413</x:v>
      </x:c>
      <x:c r="E661" s="8" t="str">
        <x:v>RAINBOW TROUT</x:v>
      </x:c>
      <x:c r="F661" s="13" t="n">
        <x:v>4000</x:v>
      </x:c>
      <x:c r="G661" s="9" t="n">
        <x:v>20.1</x:v>
      </x:c>
      <x:c r="H661" s="9" t="n">
        <x:v>87.7</x:v>
      </x:c>
      <x:c r="I661" s="8" t="str">
        <x:f>B661&amp;" / "&amp;C661&amp;" / "&amp;E661</x:f>
        <x:v>5874 / 2024 / RAINBOW TROUT</x:v>
      </x:c>
    </x:row>
    <x:row r="662" ht="23" customHeight="1">
      <x:c r="A662" s="8" t="str">
        <x:v>Cottage</x:v>
      </x:c>
      <x:c r="B662" s="8" t="str">
        <x:v>5874</x:v>
      </x:c>
      <x:c r="C662" s="17" t="n">
        <x:v>2024</x:v>
      </x:c>
      <x:c r="D662" s="18" t="n">
        <x:v>45563</x:v>
      </x:c>
      <x:c r="E662" s="8" t="str">
        <x:v>TIGER TROUT</x:v>
      </x:c>
      <x:c r="F662" s="13" t="n">
        <x:v>1627</x:v>
      </x:c>
      <x:c r="G662" s="9" t="n">
        <x:v>23.4</x:v>
      </x:c>
      <x:c r="H662" s="9" t="n">
        <x:v>138.9</x:v>
      </x:c>
      <x:c r="I662" s="8" t="str">
        <x:f>B662&amp;" / "&amp;C662&amp;" / "&amp;E662</x:f>
        <x:v>5874 / 2024 / TIGER TROUT</x:v>
      </x:c>
    </x:row>
    <x:row r="663" ht="23" customHeight="1">
      <x:c r="A663" s="8" t="str">
        <x:v>Cottage</x:v>
      </x:c>
      <x:c r="B663" s="8" t="str">
        <x:v>5874</x:v>
      </x:c>
      <x:c r="C663" s="17" t="n">
        <x:v>2024</x:v>
      </x:c>
      <x:c r="D663" s="18" t="n">
        <x:v>45413</x:v>
      </x:c>
      <x:c r="E663" s="8" t="str">
        <x:v>TIGER TROUT</x:v>
      </x:c>
      <x:c r="F663" s="13" t="n">
        <x:v>1500</x:v>
      </x:c>
      <x:c r="G663" s="9" t="n">
        <x:v>20.3</x:v>
      </x:c>
      <x:c r="H663" s="9" t="n">
        <x:v>90</x:v>
      </x:c>
      <x:c r="I663" s="8" t="str">
        <x:f>B663&amp;" / "&amp;C663&amp;" / "&amp;E663</x:f>
        <x:v>5874 / 2024 / TIGER TROUT</x:v>
      </x:c>
    </x:row>
    <x:row r="664" ht="23" customHeight="1">
      <x:c r="A664" s="8" t="str">
        <x:v>Cottage</x:v>
      </x:c>
      <x:c r="B664" s="8" t="str">
        <x:v>5874</x:v>
      </x:c>
      <x:c r="C664" s="17" t="n">
        <x:v>2023</x:v>
      </x:c>
      <x:c r="D664" s="18" t="n">
        <x:v>45054</x:v>
      </x:c>
      <x:c r="E664" s="8" t="str">
        <x:v>BROWN TROUT</x:v>
      </x:c>
      <x:c r="F664" s="13" t="n">
        <x:v>500</x:v>
      </x:c>
      <x:c r="G664" s="9" t="n">
        <x:v>18.4</x:v>
      </x:c>
      <x:c r="H664" s="9" t="n">
        <x:v>69.2</x:v>
      </x:c>
      <x:c r="I664" s="8" t="str">
        <x:f>B664&amp;" / "&amp;C664&amp;" / "&amp;E664</x:f>
        <x:v>5874 / 2023 / BROWN TROUT</x:v>
      </x:c>
    </x:row>
    <x:row r="665" ht="23" customHeight="1">
      <x:c r="A665" s="8" t="str">
        <x:v>Cottage</x:v>
      </x:c>
      <x:c r="B665" s="8" t="str">
        <x:v>5874</x:v>
      </x:c>
      <x:c r="C665" s="17" t="n">
        <x:v>2023</x:v>
      </x:c>
      <x:c r="D665" s="18" t="n">
        <x:v>45190</x:v>
      </x:c>
      <x:c r="E665" s="8" t="str">
        <x:v>RAINBOW TROUT</x:v>
      </x:c>
      <x:c r="F665" s="13" t="n">
        <x:v>4507</x:v>
      </x:c>
      <x:c r="G665" s="9" t="n">
        <x:v>16.5</x:v>
      </x:c>
      <x:c r="H665" s="9" t="n">
        <x:v>45.5</x:v>
      </x:c>
      <x:c r="I665" s="8" t="str">
        <x:f>B665&amp;" / "&amp;C665&amp;" / "&amp;E665</x:f>
        <x:v>5874 / 2023 / RAINBOW TROUT</x:v>
      </x:c>
    </x:row>
    <x:row r="666" ht="23" customHeight="1">
      <x:c r="A666" s="8" t="str">
        <x:v>Cottage</x:v>
      </x:c>
      <x:c r="B666" s="8" t="str">
        <x:v>5874</x:v>
      </x:c>
      <x:c r="C666" s="17" t="n">
        <x:v>2023</x:v>
      </x:c>
      <x:c r="D666" s="18" t="n">
        <x:v>45054</x:v>
      </x:c>
      <x:c r="E666" s="8" t="str">
        <x:v>RAINBOW TROUT</x:v>
      </x:c>
      <x:c r="F666" s="13" t="n">
        <x:v>3990</x:v>
      </x:c>
      <x:c r="G666" s="9" t="n">
        <x:v>19.9</x:v>
      </x:c>
      <x:c r="H666" s="9" t="n">
        <x:v>87.2</x:v>
      </x:c>
      <x:c r="I666" s="8" t="str">
        <x:f>B666&amp;" / "&amp;C666&amp;" / "&amp;E666</x:f>
        <x:v>5874 / 2023 / RAINBOW TROUT</x:v>
      </x:c>
    </x:row>
    <x:row r="667" ht="23" customHeight="1">
      <x:c r="A667" s="8" t="str">
        <x:v>Cottage</x:v>
      </x:c>
      <x:c r="B667" s="8" t="str">
        <x:v>5874</x:v>
      </x:c>
      <x:c r="C667" s="17" t="n">
        <x:v>2023</x:v>
      </x:c>
      <x:c r="D667" s="18" t="n">
        <x:v>45054</x:v>
      </x:c>
      <x:c r="E667" s="8" t="str">
        <x:v>TIGER TROUT</x:v>
      </x:c>
      <x:c r="F667" s="13" t="n">
        <x:v>1500</x:v>
      </x:c>
      <x:c r="G667" s="9" t="n">
        <x:v>19.5</x:v>
      </x:c>
      <x:c r="H667" s="9" t="n">
        <x:v>81.7</x:v>
      </x:c>
      <x:c r="I667" s="8" t="str">
        <x:f>B667&amp;" / "&amp;C667&amp;" / "&amp;E667</x:f>
        <x:v>5874 / 2023 / TIGER TROUT</x:v>
      </x:c>
    </x:row>
    <x:row r="668" ht="23" customHeight="1">
      <x:c r="A668" s="8" t="str">
        <x:v>Cottage</x:v>
      </x:c>
      <x:c r="B668" s="8" t="str">
        <x:v>5874</x:v>
      </x:c>
      <x:c r="C668" s="17" t="n">
        <x:v>2022</x:v>
      </x:c>
      <x:c r="D668" s="18" t="n">
        <x:v>44819</x:v>
      </x:c>
      <x:c r="E668" s="8" t="str">
        <x:v>BROWN TROUT</x:v>
      </x:c>
      <x:c r="F668" s="13" t="n">
        <x:v>2000</x:v>
      </x:c>
      <x:c r="G668" s="9" t="n">
        <x:v>8.7</x:v>
      </x:c>
      <x:c r="H668" s="9" t="n">
        <x:v>7.3</x:v>
      </x:c>
      <x:c r="I668" s="8" t="str">
        <x:f>B668&amp;" / "&amp;C668&amp;" / "&amp;E668</x:f>
        <x:v>5874 / 2022 / BROWN TROUT</x:v>
      </x:c>
    </x:row>
    <x:row r="669" ht="23" customHeight="1">
      <x:c r="A669" s="8" t="str">
        <x:v>Cottage</x:v>
      </x:c>
      <x:c r="B669" s="8" t="str">
        <x:v>5874</x:v>
      </x:c>
      <x:c r="C669" s="17" t="n">
        <x:v>2022</x:v>
      </x:c>
      <x:c r="D669" s="18" t="n">
        <x:v>44686</x:v>
      </x:c>
      <x:c r="E669" s="8" t="str">
        <x:v>BROWN TROUT</x:v>
      </x:c>
      <x:c r="F669" s="13" t="n">
        <x:v>1500</x:v>
      </x:c>
      <x:c r="G669" s="9" t="n">
        <x:v>18.8</x:v>
      </x:c>
      <x:c r="H669" s="9" t="n">
        <x:v>73</x:v>
      </x:c>
      <x:c r="I669" s="8" t="str">
        <x:f>B669&amp;" / "&amp;C669&amp;" / "&amp;E669</x:f>
        <x:v>5874 / 2022 / BROWN TROUT</x:v>
      </x:c>
    </x:row>
    <x:row r="670" ht="23" customHeight="1">
      <x:c r="A670" s="8" t="str">
        <x:v>Cottage</x:v>
      </x:c>
      <x:c r="B670" s="8" t="str">
        <x:v>5874</x:v>
      </x:c>
      <x:c r="C670" s="17" t="n">
        <x:v>2022</x:v>
      </x:c>
      <x:c r="D670" s="18" t="n">
        <x:v>44823</x:v>
      </x:c>
      <x:c r="E670" s="8" t="str">
        <x:v>RAINBOW TROUT</x:v>
      </x:c>
      <x:c r="F670" s="13" t="n">
        <x:v>4000</x:v>
      </x:c>
      <x:c r="G670" s="9" t="n">
        <x:v>26.1</x:v>
      </x:c>
      <x:c r="H670" s="9" t="n">
        <x:v>197.1</x:v>
      </x:c>
      <x:c r="I670" s="8" t="str">
        <x:f>B670&amp;" / "&amp;C670&amp;" / "&amp;E670</x:f>
        <x:v>5874 / 2022 / RAINBOW TROUT</x:v>
      </x:c>
    </x:row>
    <x:row r="671" ht="23" customHeight="1">
      <x:c r="A671" s="8" t="str">
        <x:v>Cottage</x:v>
      </x:c>
      <x:c r="B671" s="8" t="str">
        <x:v>5874</x:v>
      </x:c>
      <x:c r="C671" s="17" t="n">
        <x:v>2022</x:v>
      </x:c>
      <x:c r="D671" s="18" t="n">
        <x:v>44819</x:v>
      </x:c>
      <x:c r="E671" s="8" t="str">
        <x:v>RAINBOW TROUT</x:v>
      </x:c>
      <x:c r="F671" s="13" t="n">
        <x:v>4291</x:v>
      </x:c>
      <x:c r="G671" s="9" t="n">
        <x:v>6.8</x:v>
      </x:c>
      <x:c r="H671" s="9" t="n">
        <x:v>3.5</x:v>
      </x:c>
      <x:c r="I671" s="8" t="str">
        <x:f>B671&amp;" / "&amp;C671&amp;" / "&amp;E671</x:f>
        <x:v>5874 / 2022 / RAINBOW TROUT</x:v>
      </x:c>
    </x:row>
    <x:row r="672" ht="23" customHeight="1">
      <x:c r="A672" s="8" t="str">
        <x:v>Cottage</x:v>
      </x:c>
      <x:c r="B672" s="8" t="str">
        <x:v>5874</x:v>
      </x:c>
      <x:c r="C672" s="17" t="n">
        <x:v>2022</x:v>
      </x:c>
      <x:c r="D672" s="18" t="n">
        <x:v>44686</x:v>
      </x:c>
      <x:c r="E672" s="8" t="str">
        <x:v>RAINBOW TROUT</x:v>
      </x:c>
      <x:c r="F672" s="13" t="n">
        <x:v>5000</x:v>
      </x:c>
      <x:c r="G672" s="9" t="n">
        <x:v>20</x:v>
      </x:c>
      <x:c r="H672" s="9" t="n">
        <x:v>89.1</x:v>
      </x:c>
      <x:c r="I672" s="8" t="str">
        <x:f>B672&amp;" / "&amp;C672&amp;" / "&amp;E672</x:f>
        <x:v>5874 / 2022 / RAINBOW TROUT</x:v>
      </x:c>
    </x:row>
    <x:row r="673" ht="23" customHeight="1">
      <x:c r="A673" s="8" t="str">
        <x:v>Cottage</x:v>
      </x:c>
      <x:c r="B673" s="8" t="str">
        <x:v>5874</x:v>
      </x:c>
      <x:c r="C673" s="17" t="n">
        <x:v>2022</x:v>
      </x:c>
      <x:c r="D673" s="18" t="n">
        <x:v>44686</x:v>
      </x:c>
      <x:c r="E673" s="8" t="str">
        <x:v>RAINBOW TROUT</x:v>
      </x:c>
      <x:c r="F673" s="13" t="n">
        <x:v>5000</x:v>
      </x:c>
      <x:c r="G673" s="9" t="n">
        <x:v>18.6</x:v>
      </x:c>
      <x:c r="H673" s="9" t="n">
        <x:v>71.4</x:v>
      </x:c>
      <x:c r="I673" s="8" t="str">
        <x:f>B673&amp;" / "&amp;C673&amp;" / "&amp;E673</x:f>
        <x:v>5874 / 2022 / RAINBOW TROUT</x:v>
      </x:c>
    </x:row>
    <x:row r="674" ht="23" customHeight="1">
      <x:c r="A674" s="8" t="str">
        <x:v>Cottage</x:v>
      </x:c>
      <x:c r="B674" s="8" t="str">
        <x:v>5874</x:v>
      </x:c>
      <x:c r="C674" s="17" t="n">
        <x:v>2022</x:v>
      </x:c>
      <x:c r="D674" s="18" t="n">
        <x:v>44686</x:v>
      </x:c>
      <x:c r="E674" s="8" t="str">
        <x:v>TIGER TROUT</x:v>
      </x:c>
      <x:c r="F674" s="13" t="n">
        <x:v>1500</x:v>
      </x:c>
      <x:c r="G674" s="9" t="n">
        <x:v>17.7</x:v>
      </x:c>
      <x:c r="H674" s="9" t="n">
        <x:v>61</x:v>
      </x:c>
      <x:c r="I674" s="8" t="str">
        <x:f>B674&amp;" / "&amp;C674&amp;" / "&amp;E674</x:f>
        <x:v>5874 / 2022 / TIGER TROUT</x:v>
      </x:c>
    </x:row>
    <x:row r="675" ht="23" customHeight="1">
      <x:c r="A675" s="8" t="str">
        <x:v>Cottage</x:v>
      </x:c>
      <x:c r="B675" s="8" t="str">
        <x:v>5874</x:v>
      </x:c>
      <x:c r="C675" s="17" t="n">
        <x:v>2021</x:v>
      </x:c>
      <x:c r="D675" s="18" t="n">
        <x:v>44346</x:v>
      </x:c>
      <x:c r="E675" s="8" t="str">
        <x:v>BROWN TROUT</x:v>
      </x:c>
      <x:c r="F675" s="13" t="n">
        <x:v>1500</x:v>
      </x:c>
      <x:c r="G675" s="9" t="n">
        <x:v>18.6</x:v>
      </x:c>
      <x:c r="H675" s="9" t="n">
        <x:v>71.2</x:v>
      </x:c>
      <x:c r="I675" s="8" t="str">
        <x:f>B675&amp;" / "&amp;C675&amp;" / "&amp;E675</x:f>
        <x:v>5874 / 2021 / BROWN TROUT</x:v>
      </x:c>
    </x:row>
    <x:row r="676" ht="23" customHeight="1">
      <x:c r="A676" s="8" t="str">
        <x:v>Cottage</x:v>
      </x:c>
      <x:c r="B676" s="8" t="str">
        <x:v>5874</x:v>
      </x:c>
      <x:c r="C676" s="17" t="n">
        <x:v>2021</x:v>
      </x:c>
      <x:c r="D676" s="18" t="n">
        <x:v>44465</x:v>
      </x:c>
      <x:c r="E676" s="8" t="str">
        <x:v>RAINBOW TROUT</x:v>
      </x:c>
      <x:c r="F676" s="13" t="n">
        <x:v>1444</x:v>
      </x:c>
      <x:c r="G676" s="9" t="n">
        <x:v>16.5</x:v>
      </x:c>
      <x:c r="H676" s="9" t="n">
        <x:v>49.7</x:v>
      </x:c>
      <x:c r="I676" s="8" t="str">
        <x:f>B676&amp;" / "&amp;C676&amp;" / "&amp;E676</x:f>
        <x:v>5874 / 2021 / RAINBOW TROUT</x:v>
      </x:c>
    </x:row>
    <x:row r="677" ht="23" customHeight="1">
      <x:c r="A677" s="8" t="str">
        <x:v>Cottage</x:v>
      </x:c>
      <x:c r="B677" s="8" t="str">
        <x:v>5874</x:v>
      </x:c>
      <x:c r="C677" s="17" t="n">
        <x:v>2021</x:v>
      </x:c>
      <x:c r="D677" s="18" t="n">
        <x:v>44465</x:v>
      </x:c>
      <x:c r="E677" s="8" t="str">
        <x:v>RAINBOW TROUT</x:v>
      </x:c>
      <x:c r="F677" s="13" t="n">
        <x:v>556</x:v>
      </x:c>
      <x:c r="G677" s="9" t="n">
        <x:v>19.7</x:v>
      </x:c>
      <x:c r="H677" s="9" t="n">
        <x:v>84</x:v>
      </x:c>
      <x:c r="I677" s="8" t="str">
        <x:f>B677&amp;" / "&amp;C677&amp;" / "&amp;E677</x:f>
        <x:v>5874 / 2021 / RAINBOW TROUT</x:v>
      </x:c>
    </x:row>
    <x:row r="678" ht="23" customHeight="1">
      <x:c r="A678" s="8" t="str">
        <x:v>Cottage</x:v>
      </x:c>
      <x:c r="B678" s="8" t="str">
        <x:v>5874</x:v>
      </x:c>
      <x:c r="C678" s="17" t="n">
        <x:v>2021</x:v>
      </x:c>
      <x:c r="D678" s="18" t="n">
        <x:v>44321</x:v>
      </x:c>
      <x:c r="E678" s="8" t="str">
        <x:v>RAINBOW TROUT</x:v>
      </x:c>
      <x:c r="F678" s="13" t="n">
        <x:v>1000</x:v>
      </x:c>
      <x:c r="G678" s="9" t="n">
        <x:v>20.6</x:v>
      </x:c>
      <x:c r="H678" s="9" t="n">
        <x:v>96.2</x:v>
      </x:c>
      <x:c r="I678" s="8" t="str">
        <x:f>B678&amp;" / "&amp;C678&amp;" / "&amp;E678</x:f>
        <x:v>5874 / 2021 / RAINBOW TROUT</x:v>
      </x:c>
    </x:row>
    <x:row r="679" ht="23" customHeight="1">
      <x:c r="A679" s="8" t="str">
        <x:v>Cottage</x:v>
      </x:c>
      <x:c r="B679" s="8" t="str">
        <x:v>5874</x:v>
      </x:c>
      <x:c r="C679" s="17" t="n">
        <x:v>2021</x:v>
      </x:c>
      <x:c r="D679" s="18" t="n">
        <x:v>44321</x:v>
      </x:c>
      <x:c r="E679" s="8" t="str">
        <x:v>RAINBOW TROUT</x:v>
      </x:c>
      <x:c r="F679" s="13" t="n">
        <x:v>3000</x:v>
      </x:c>
      <x:c r="G679" s="9" t="n">
        <x:v>20.2</x:v>
      </x:c>
      <x:c r="H679" s="9" t="n">
        <x:v>91.4</x:v>
      </x:c>
      <x:c r="I679" s="8" t="str">
        <x:f>B679&amp;" / "&amp;C679&amp;" / "&amp;E679</x:f>
        <x:v>5874 / 2021 / RAINBOW TROUT</x:v>
      </x:c>
    </x:row>
    <x:row r="680" ht="23" customHeight="1">
      <x:c r="A680" s="8" t="str">
        <x:v>Cottage</x:v>
      </x:c>
      <x:c r="B680" s="8" t="str">
        <x:v>5874</x:v>
      </x:c>
      <x:c r="C680" s="17" t="n">
        <x:v>2021</x:v>
      </x:c>
      <x:c r="D680" s="18" t="n">
        <x:v>44318</x:v>
      </x:c>
      <x:c r="E680" s="8" t="str">
        <x:v>RAINBOW TROUT</x:v>
      </x:c>
      <x:c r="F680" s="13" t="n">
        <x:v>6000</x:v>
      </x:c>
      <x:c r="G680" s="9" t="n">
        <x:v>21</x:v>
      </x:c>
      <x:c r="H680" s="9" t="n">
        <x:v>102.8</x:v>
      </x:c>
      <x:c r="I680" s="8" t="str">
        <x:f>B680&amp;" / "&amp;C680&amp;" / "&amp;E680</x:f>
        <x:v>5874 / 2021 / RAINBOW TROUT</x:v>
      </x:c>
    </x:row>
    <x:row r="681" ht="23" customHeight="1">
      <x:c r="A681" s="8" t="str">
        <x:v>Cottage</x:v>
      </x:c>
      <x:c r="B681" s="8" t="str">
        <x:v>5874</x:v>
      </x:c>
      <x:c r="C681" s="17" t="n">
        <x:v>2021</x:v>
      </x:c>
      <x:c r="D681" s="18" t="n">
        <x:v>44465</x:v>
      </x:c>
      <x:c r="E681" s="8" t="str">
        <x:v>TIGER TROUT</x:v>
      </x:c>
      <x:c r="F681" s="13" t="n">
        <x:v>1500</x:v>
      </x:c>
      <x:c r="G681" s="9" t="n">
        <x:v>20.3</x:v>
      </x:c>
      <x:c r="H681" s="9" t="n">
        <x:v>92.1</x:v>
      </x:c>
      <x:c r="I681" s="8" t="str">
        <x:f>B681&amp;" / "&amp;C681&amp;" / "&amp;E681</x:f>
        <x:v>5874 / 2021 / TIGER TROUT</x:v>
      </x:c>
    </x:row>
    <x:row r="682" ht="23" customHeight="1">
      <x:c r="A682" s="8" t="str">
        <x:v>County Sportplex Pond</x:v>
      </x:c>
      <x:c r="B682" s="8" t="str">
        <x:v>417477</x:v>
      </x:c>
      <x:c r="C682" s="17" t="n">
        <x:v>2026</x:v>
      </x:c>
      <x:c r="D682" s="18" t="n">
        <x:v>46150</x:v>
      </x:c>
      <x:c r="E682" s="8" t="str">
        <x:v>RAINBOW TROUT</x:v>
      </x:c>
      <x:c r="F682" s="13" t="n">
        <x:v>2000</x:v>
      </x:c>
      <x:c r="G682" s="9" t="n">
        <x:v>23.5</x:v>
      </x:c>
      <x:c r="H682" s="9" t="n">
        <x:v>144.4</x:v>
      </x:c>
      <x:c r="I682" s="8" t="str">
        <x:f>B682&amp;" / "&amp;C682&amp;" / "&amp;E682</x:f>
        <x:v>417477 / 2026 / RAINBOW TROUT</x:v>
      </x:c>
    </x:row>
    <x:row r="683" ht="23" customHeight="1">
      <x:c r="A683" s="8" t="str">
        <x:v>County Sportplex Pond</x:v>
      </x:c>
      <x:c r="B683" s="8" t="str">
        <x:v>417477</x:v>
      </x:c>
      <x:c r="C683" s="17" t="n">
        <x:v>2025</x:v>
      </x:c>
      <x:c r="D683" s="18" t="n">
        <x:v>45797</x:v>
      </x:c>
      <x:c r="E683" s="8" t="str">
        <x:v>RAINBOW TROUT</x:v>
      </x:c>
      <x:c r="F683" s="13" t="n">
        <x:v>2000</x:v>
      </x:c>
      <x:c r="G683" s="9" t="n">
        <x:v>23.8</x:v>
      </x:c>
      <x:c r="H683" s="9" t="n">
        <x:v>149</x:v>
      </x:c>
      <x:c r="I683" s="8" t="str">
        <x:f>B683&amp;" / "&amp;C683&amp;" / "&amp;E683</x:f>
        <x:v>417477 / 2025 / RAINBOW TROUT</x:v>
      </x:c>
    </x:row>
    <x:row r="684" ht="23" customHeight="1">
      <x:c r="A684" s="8" t="str">
        <x:v>County Sportplex Pond</x:v>
      </x:c>
      <x:c r="B684" s="8" t="str">
        <x:v>417477</x:v>
      </x:c>
      <x:c r="C684" s="17" t="n">
        <x:v>2024</x:v>
      </x:c>
      <x:c r="D684" s="18" t="n">
        <x:v>45420</x:v>
      </x:c>
      <x:c r="E684" s="8" t="str">
        <x:v>RAINBOW TROUT</x:v>
      </x:c>
      <x:c r="F684" s="13" t="n">
        <x:v>2000</x:v>
      </x:c>
      <x:c r="G684" s="9" t="n">
        <x:v>20.1</x:v>
      </x:c>
      <x:c r="H684" s="9" t="n">
        <x:v>87.5</x:v>
      </x:c>
      <x:c r="I684" s="8" t="str">
        <x:f>B684&amp;" / "&amp;C684&amp;" / "&amp;E684</x:f>
        <x:v>417477 / 2024 / RAINBOW TROUT</x:v>
      </x:c>
    </x:row>
    <x:row r="685" ht="23" customHeight="1">
      <x:c r="A685" s="8" t="str">
        <x:v>County Sportplex Pond</x:v>
      </x:c>
      <x:c r="B685" s="8" t="str">
        <x:v>417477</x:v>
      </x:c>
      <x:c r="C685" s="17" t="n">
        <x:v>2024</x:v>
      </x:c>
      <x:c r="D685" s="18" t="n">
        <x:v>45420</x:v>
      </x:c>
      <x:c r="E685" s="8" t="str">
        <x:v>TIGER TROUT</x:v>
      </x:c>
      <x:c r="F685" s="13" t="n">
        <x:v>50</x:v>
      </x:c>
      <x:c r="G685" s="9" t="n">
        <x:v>19.2</x:v>
      </x:c>
      <x:c r="H685" s="9" t="n">
        <x:v>76</x:v>
      </x:c>
      <x:c r="I685" s="8" t="str">
        <x:f>B685&amp;" / "&amp;C685&amp;" / "&amp;E685</x:f>
        <x:v>417477 / 2024 / TIGER TROUT</x:v>
      </x:c>
    </x:row>
    <x:row r="686" ht="23" customHeight="1">
      <x:c r="A686" s="8" t="str">
        <x:v>County Sportplex Pond</x:v>
      </x:c>
      <x:c r="B686" s="8" t="str">
        <x:v>417477</x:v>
      </x:c>
      <x:c r="C686" s="17" t="n">
        <x:v>2023</x:v>
      </x:c>
      <x:c r="D686" s="18" t="n">
        <x:v>45055</x:v>
      </x:c>
      <x:c r="E686" s="8" t="str">
        <x:v>RAINBOW TROUT</x:v>
      </x:c>
      <x:c r="F686" s="13" t="n">
        <x:v>2000</x:v>
      </x:c>
      <x:c r="G686" s="9" t="n">
        <x:v>20.7</x:v>
      </x:c>
      <x:c r="H686" s="9" t="n">
        <x:v>98.7</x:v>
      </x:c>
      <x:c r="I686" s="8" t="str">
        <x:f>B686&amp;" / "&amp;C686&amp;" / "&amp;E686</x:f>
        <x:v>417477 / 2023 / RAINBOW TROUT</x:v>
      </x:c>
    </x:row>
    <x:row r="687" ht="23" customHeight="1">
      <x:c r="A687" s="8" t="str">
        <x:v>County Sportplex Pond</x:v>
      </x:c>
      <x:c r="B687" s="8" t="str">
        <x:v>417477</x:v>
      </x:c>
      <x:c r="C687" s="17" t="n">
        <x:v>2022</x:v>
      </x:c>
      <x:c r="D687" s="18" t="n">
        <x:v>44699</x:v>
      </x:c>
      <x:c r="E687" s="8" t="str">
        <x:v>RAINBOW TROUT</x:v>
      </x:c>
      <x:c r="F687" s="13" t="n">
        <x:v>2000</x:v>
      </x:c>
      <x:c r="G687" s="9" t="n">
        <x:v>20.7</x:v>
      </x:c>
      <x:c r="H687" s="9" t="n">
        <x:v>97.4</x:v>
      </x:c>
      <x:c r="I687" s="8" t="str">
        <x:f>B687&amp;" / "&amp;C687&amp;" / "&amp;E687</x:f>
        <x:v>417477 / 2022 / RAINBOW TROUT</x:v>
      </x:c>
    </x:row>
    <x:row r="688" ht="23" customHeight="1">
      <x:c r="A688" s="8" t="str">
        <x:v>County Sportplex Pond</x:v>
      </x:c>
      <x:c r="B688" s="8" t="str">
        <x:v>417477</x:v>
      </x:c>
      <x:c r="C688" s="17" t="n">
        <x:v>2021</x:v>
      </x:c>
      <x:c r="D688" s="18" t="n">
        <x:v>44332</x:v>
      </x:c>
      <x:c r="E688" s="8" t="str">
        <x:v>RAINBOW TROUT</x:v>
      </x:c>
      <x:c r="F688" s="13" t="n">
        <x:v>2000</x:v>
      </x:c>
      <x:c r="G688" s="9" t="n">
        <x:v>21.4</x:v>
      </x:c>
      <x:c r="H688" s="9" t="n">
        <x:v>108.9</x:v>
      </x:c>
      <x:c r="I688" s="8" t="str">
        <x:f>B688&amp;" / "&amp;C688&amp;" / "&amp;E688</x:f>
        <x:v>417477 / 2021 / RAINBOW TROUT</x:v>
      </x:c>
    </x:row>
    <x:row r="689" ht="23" customHeight="1">
      <x:c r="A689" s="8" t="str">
        <x:v>County Sportplex Pond</x:v>
      </x:c>
      <x:c r="B689" s="8" t="str">
        <x:v>417477</x:v>
      </x:c>
      <x:c r="C689" s="17" t="n">
        <x:v>2021</x:v>
      </x:c>
      <x:c r="D689" s="18" t="n">
        <x:v>44465</x:v>
      </x:c>
      <x:c r="E689" s="8" t="str">
        <x:v>TIGER TROUT</x:v>
      </x:c>
      <x:c r="F689" s="13" t="n">
        <x:v>140</x:v>
      </x:c>
      <x:c r="G689" s="9" t="n">
        <x:v>20.3</x:v>
      </x:c>
      <x:c r="H689" s="9" t="n">
        <x:v>92.1</x:v>
      </x:c>
      <x:c r="I689" s="8" t="str">
        <x:f>B689&amp;" / "&amp;C689&amp;" / "&amp;E689</x:f>
        <x:v>417477 / 2021 / TIGER TROUT</x:v>
      </x:c>
    </x:row>
    <x:row r="690" ht="23" customHeight="1">
      <x:c r="A690" s="8" t="str">
        <x:v>Cow Lake</x:v>
      </x:c>
      <x:c r="B690" s="8" t="str">
        <x:v>4340</x:v>
      </x:c>
      <x:c r="C690" s="17" t="n">
        <x:v>2026</x:v>
      </x:c>
      <x:c r="D690" s="18" t="n">
        <x:v>46157</x:v>
      </x:c>
      <x:c r="E690" s="8" t="str">
        <x:v>RAINBOW TROUT</x:v>
      </x:c>
      <x:c r="F690" s="13" t="n">
        <x:v>8000</x:v>
      </x:c>
      <x:c r="G690" s="9" t="n">
        <x:v>20.5</x:v>
      </x:c>
      <x:c r="H690" s="9" t="n">
        <x:v>92.8</x:v>
      </x:c>
      <x:c r="I690" s="8" t="str">
        <x:f>B690&amp;" / "&amp;C690&amp;" / "&amp;E690</x:f>
        <x:v>4340 / 2026 / RAINBOW TROUT</x:v>
      </x:c>
    </x:row>
    <x:row r="691" ht="23" customHeight="1">
      <x:c r="A691" s="8" t="str">
        <x:v>Cow Lake</x:v>
      </x:c>
      <x:c r="B691" s="8" t="str">
        <x:v>4340</x:v>
      </x:c>
      <x:c r="C691" s="17" t="n">
        <x:v>2026</x:v>
      </x:c>
      <x:c r="D691" s="18" t="n">
        <x:v>46149</x:v>
      </x:c>
      <x:c r="E691" s="8" t="str">
        <x:v>RAINBOW TROUT</x:v>
      </x:c>
      <x:c r="F691" s="13" t="n">
        <x:v>8000</x:v>
      </x:c>
      <x:c r="G691" s="9" t="n">
        <x:v>15.1</x:v>
      </x:c>
      <x:c r="H691" s="9" t="n">
        <x:v>34.6</x:v>
      </x:c>
      <x:c r="I691" s="8" t="str">
        <x:f>B691&amp;" / "&amp;C691&amp;" / "&amp;E691</x:f>
        <x:v>4340 / 2026 / RAINBOW TROUT</x:v>
      </x:c>
    </x:row>
    <x:row r="692" ht="23" customHeight="1">
      <x:c r="A692" s="8" t="str">
        <x:v>Cow Lake</x:v>
      </x:c>
      <x:c r="B692" s="8" t="str">
        <x:v>4340</x:v>
      </x:c>
      <x:c r="C692" s="17" t="n">
        <x:v>2026</x:v>
      </x:c>
      <x:c r="D692" s="18" t="n">
        <x:v>46148</x:v>
      </x:c>
      <x:c r="E692" s="8" t="str">
        <x:v>RAINBOW TROUT</x:v>
      </x:c>
      <x:c r="F692" s="13" t="n">
        <x:v>8000</x:v>
      </x:c>
      <x:c r="G692" s="9" t="n">
        <x:v>15.1</x:v>
      </x:c>
      <x:c r="H692" s="9" t="n">
        <x:v>34.6</x:v>
      </x:c>
      <x:c r="I692" s="8" t="str">
        <x:f>B692&amp;" / "&amp;C692&amp;" / "&amp;E692</x:f>
        <x:v>4340 / 2026 / RAINBOW TROUT</x:v>
      </x:c>
    </x:row>
    <x:row r="693" ht="23" customHeight="1">
      <x:c r="A693" s="8" t="str">
        <x:v>Cow Lake</x:v>
      </x:c>
      <x:c r="B693" s="8" t="str">
        <x:v>4340</x:v>
      </x:c>
      <x:c r="C693" s="17" t="n">
        <x:v>2025</x:v>
      </x:c>
      <x:c r="D693" s="18" t="n">
        <x:v>45778</x:v>
      </x:c>
      <x:c r="E693" s="8" t="str">
        <x:v>BROWN TROUT</x:v>
      </x:c>
      <x:c r="F693" s="13" t="n">
        <x:v>5000</x:v>
      </x:c>
      <x:c r="G693" s="9" t="n">
        <x:v>18.7</x:v>
      </x:c>
      <x:c r="H693" s="9" t="n">
        <x:v>70.4</x:v>
      </x:c>
      <x:c r="I693" s="8" t="str">
        <x:f>B693&amp;" / "&amp;C693&amp;" / "&amp;E693</x:f>
        <x:v>4340 / 2025 / BROWN TROUT</x:v>
      </x:c>
    </x:row>
    <x:row r="694" ht="23" customHeight="1">
      <x:c r="A694" s="8" t="str">
        <x:v>Cow Lake</x:v>
      </x:c>
      <x:c r="B694" s="8" t="str">
        <x:v>4340</x:v>
      </x:c>
      <x:c r="C694" s="17" t="n">
        <x:v>2025</x:v>
      </x:c>
      <x:c r="D694" s="18" t="n">
        <x:v>45799</x:v>
      </x:c>
      <x:c r="E694" s="8" t="str">
        <x:v>RAINBOW TROUT</x:v>
      </x:c>
      <x:c r="F694" s="13" t="n">
        <x:v>16000</x:v>
      </x:c>
      <x:c r="G694" s="9" t="n">
        <x:v>17.1</x:v>
      </x:c>
      <x:c r="H694" s="9" t="n">
        <x:v>55.1</x:v>
      </x:c>
      <x:c r="I694" s="8" t="str">
        <x:f>B694&amp;" / "&amp;C694&amp;" / "&amp;E694</x:f>
        <x:v>4340 / 2025 / RAINBOW TROUT</x:v>
      </x:c>
    </x:row>
    <x:row r="695" ht="23" customHeight="1">
      <x:c r="A695" s="8" t="str">
        <x:v>Cow Lake</x:v>
      </x:c>
      <x:c r="B695" s="8" t="str">
        <x:v>4340</x:v>
      </x:c>
      <x:c r="C695" s="17" t="n">
        <x:v>2025</x:v>
      </x:c>
      <x:c r="D695" s="18" t="n">
        <x:v>45778</x:v>
      </x:c>
      <x:c r="E695" s="8" t="str">
        <x:v>RAINBOW TROUT</x:v>
      </x:c>
      <x:c r="F695" s="13" t="n">
        <x:v>4557</x:v>
      </x:c>
      <x:c r="G695" s="9" t="n">
        <x:v>20</x:v>
      </x:c>
      <x:c r="H695" s="9" t="n">
        <x:v>86</x:v>
      </x:c>
      <x:c r="I695" s="8" t="str">
        <x:f>B695&amp;" / "&amp;C695&amp;" / "&amp;E695</x:f>
        <x:v>4340 / 2025 / RAINBOW TROUT</x:v>
      </x:c>
    </x:row>
    <x:row r="696" ht="23" customHeight="1">
      <x:c r="A696" s="8" t="str">
        <x:v>Cow Lake</x:v>
      </x:c>
      <x:c r="B696" s="8" t="str">
        <x:v>4340</x:v>
      </x:c>
      <x:c r="C696" s="17" t="n">
        <x:v>2025</x:v>
      </x:c>
      <x:c r="D696" s="18" t="n">
        <x:v>45777</x:v>
      </x:c>
      <x:c r="E696" s="8" t="str">
        <x:v>RAINBOW TROUT</x:v>
      </x:c>
      <x:c r="F696" s="13" t="n">
        <x:v>15332</x:v>
      </x:c>
      <x:c r="G696" s="9" t="n">
        <x:v>11.4</x:v>
      </x:c>
      <x:c r="H696" s="9" t="n">
        <x:v>15.9</x:v>
      </x:c>
      <x:c r="I696" s="8" t="str">
        <x:f>B696&amp;" / "&amp;C696&amp;" / "&amp;E696</x:f>
        <x:v>4340 / 2025 / RAINBOW TROUT</x:v>
      </x:c>
    </x:row>
    <x:row r="697" ht="23" customHeight="1">
      <x:c r="A697" s="8" t="str">
        <x:v>Cow Lake</x:v>
      </x:c>
      <x:c r="B697" s="8" t="str">
        <x:v>4340</x:v>
      </x:c>
      <x:c r="C697" s="17" t="n">
        <x:v>2025</x:v>
      </x:c>
      <x:c r="D697" s="18" t="n">
        <x:v>45777</x:v>
      </x:c>
      <x:c r="E697" s="8" t="str">
        <x:v>RAINBOW TROUT</x:v>
      </x:c>
      <x:c r="F697" s="13" t="n">
        <x:v>5411</x:v>
      </x:c>
      <x:c r="G697" s="9" t="n">
        <x:v>20.1</x:v>
      </x:c>
      <x:c r="H697" s="9" t="n">
        <x:v>87.9</x:v>
      </x:c>
      <x:c r="I697" s="8" t="str">
        <x:f>B697&amp;" / "&amp;C697&amp;" / "&amp;E697</x:f>
        <x:v>4340 / 2025 / RAINBOW TROUT</x:v>
      </x:c>
    </x:row>
    <x:row r="698" ht="23" customHeight="1">
      <x:c r="A698" s="8" t="str">
        <x:v>Cow Lake</x:v>
      </x:c>
      <x:c r="B698" s="8" t="str">
        <x:v>4340</x:v>
      </x:c>
      <x:c r="C698" s="17" t="n">
        <x:v>2025</x:v>
      </x:c>
      <x:c r="D698" s="18" t="n">
        <x:v>45777</x:v>
      </x:c>
      <x:c r="E698" s="8" t="str">
        <x:v>RAINBOW TROUT</x:v>
      </x:c>
      <x:c r="F698" s="13" t="n">
        <x:v>4032</x:v>
      </x:c>
      <x:c r="G698" s="9" t="n">
        <x:v>20.1</x:v>
      </x:c>
      <x:c r="H698" s="9" t="n">
        <x:v>87.9</x:v>
      </x:c>
      <x:c r="I698" s="8" t="str">
        <x:f>B698&amp;" / "&amp;C698&amp;" / "&amp;E698</x:f>
        <x:v>4340 / 2025 / RAINBOW TROUT</x:v>
      </x:c>
    </x:row>
    <x:row r="699" ht="23" customHeight="1">
      <x:c r="A699" s="8" t="str">
        <x:v>Cow Lake</x:v>
      </x:c>
      <x:c r="B699" s="8" t="str">
        <x:v>4340</x:v>
      </x:c>
      <x:c r="C699" s="17" t="n">
        <x:v>2024</x:v>
      </x:c>
      <x:c r="D699" s="18" t="n">
        <x:v>45415</x:v>
      </x:c>
      <x:c r="E699" s="8" t="str">
        <x:v>BROWN TROUT</x:v>
      </x:c>
      <x:c r="F699" s="13" t="n">
        <x:v>1500</x:v>
      </x:c>
      <x:c r="G699" s="9" t="n">
        <x:v>19.8</x:v>
      </x:c>
      <x:c r="H699" s="9" t="n">
        <x:v>83.3</x:v>
      </x:c>
      <x:c r="I699" s="8" t="str">
        <x:f>B699&amp;" / "&amp;C699&amp;" / "&amp;E699</x:f>
        <x:v>4340 / 2024 / BROWN TROUT</x:v>
      </x:c>
    </x:row>
    <x:row r="700" ht="23" customHeight="1">
      <x:c r="A700" s="8" t="str">
        <x:v>Cow Lake</x:v>
      </x:c>
      <x:c r="B700" s="8" t="str">
        <x:v>4340</x:v>
      </x:c>
      <x:c r="C700" s="17" t="n">
        <x:v>2024</x:v>
      </x:c>
      <x:c r="D700" s="18" t="n">
        <x:v>45561</x:v>
      </x:c>
      <x:c r="E700" s="8" t="str">
        <x:v>RAINBOW TROUT</x:v>
      </x:c>
      <x:c r="F700" s="13" t="n">
        <x:v>7110</x:v>
      </x:c>
      <x:c r="G700" s="9" t="n">
        <x:v>18.9</x:v>
      </x:c>
      <x:c r="H700" s="9" t="n">
        <x:v>80.2</x:v>
      </x:c>
      <x:c r="I700" s="8" t="str">
        <x:f>B700&amp;" / "&amp;C700&amp;" / "&amp;E700</x:f>
        <x:v>4340 / 2024 / RAINBOW TROUT</x:v>
      </x:c>
    </x:row>
    <x:row r="701" ht="23" customHeight="1">
      <x:c r="A701" s="8" t="str">
        <x:v>Cow Lake</x:v>
      </x:c>
      <x:c r="B701" s="8" t="str">
        <x:v>4340</x:v>
      </x:c>
      <x:c r="C701" s="17" t="n">
        <x:v>2024</x:v>
      </x:c>
      <x:c r="D701" s="18" t="n">
        <x:v>45561</x:v>
      </x:c>
      <x:c r="E701" s="8" t="str">
        <x:v>RAINBOW TROUT</x:v>
      </x:c>
      <x:c r="F701" s="13" t="n">
        <x:v>7775</x:v>
      </x:c>
      <x:c r="G701" s="9" t="n">
        <x:v>18.5</x:v>
      </x:c>
      <x:c r="H701" s="9" t="n">
        <x:v>73.8</x:v>
      </x:c>
      <x:c r="I701" s="8" t="str">
        <x:f>B701&amp;" / "&amp;C701&amp;" / "&amp;E701</x:f>
        <x:v>4340 / 2024 / RAINBOW TROUT</x:v>
      </x:c>
    </x:row>
    <x:row r="702" ht="23" customHeight="1">
      <x:c r="A702" s="8" t="str">
        <x:v>Cow Lake</x:v>
      </x:c>
      <x:c r="B702" s="8" t="str">
        <x:v>4340</x:v>
      </x:c>
      <x:c r="C702" s="17" t="n">
        <x:v>2024</x:v>
      </x:c>
      <x:c r="D702" s="18" t="n">
        <x:v>45558</x:v>
      </x:c>
      <x:c r="E702" s="8" t="str">
        <x:v>RAINBOW TROUT</x:v>
      </x:c>
      <x:c r="F702" s="13" t="n">
        <x:v>10000</x:v>
      </x:c>
      <x:c r="G702" s="9" t="n">
        <x:v>18.3</x:v>
      </x:c>
      <x:c r="H702" s="9" t="n">
        <x:v>67.6</x:v>
      </x:c>
      <x:c r="I702" s="8" t="str">
        <x:f>B702&amp;" / "&amp;C702&amp;" / "&amp;E702</x:f>
        <x:v>4340 / 2024 / RAINBOW TROUT</x:v>
      </x:c>
    </x:row>
    <x:row r="703" ht="23" customHeight="1">
      <x:c r="A703" s="8" t="str">
        <x:v>Cow Lake</x:v>
      </x:c>
      <x:c r="B703" s="8" t="str">
        <x:v>4340</x:v>
      </x:c>
      <x:c r="C703" s="17" t="n">
        <x:v>2024</x:v>
      </x:c>
      <x:c r="D703" s="18" t="n">
        <x:v>45558</x:v>
      </x:c>
      <x:c r="E703" s="8" t="str">
        <x:v>RAINBOW TROUT</x:v>
      </x:c>
      <x:c r="F703" s="13" t="n">
        <x:v>10000</x:v>
      </x:c>
      <x:c r="G703" s="9" t="n">
        <x:v>20</x:v>
      </x:c>
      <x:c r="H703" s="9" t="n">
        <x:v>89.4</x:v>
      </x:c>
      <x:c r="I703" s="8" t="str">
        <x:f>B703&amp;" / "&amp;C703&amp;" / "&amp;E703</x:f>
        <x:v>4340 / 2024 / RAINBOW TROUT</x:v>
      </x:c>
    </x:row>
    <x:row r="704" ht="23" customHeight="1">
      <x:c r="A704" s="8" t="str">
        <x:v>Cow Lake</x:v>
      </x:c>
      <x:c r="B704" s="8" t="str">
        <x:v>4340</x:v>
      </x:c>
      <x:c r="C704" s="17" t="n">
        <x:v>2024</x:v>
      </x:c>
      <x:c r="D704" s="18" t="n">
        <x:v>45435</x:v>
      </x:c>
      <x:c r="E704" s="8" t="str">
        <x:v>RAINBOW TROUT</x:v>
      </x:c>
      <x:c r="F704" s="13" t="n">
        <x:v>8043</x:v>
      </x:c>
      <x:c r="G704" s="9" t="n">
        <x:v>20</x:v>
      </x:c>
      <x:c r="H704" s="9" t="n">
        <x:v>84.6</x:v>
      </x:c>
      <x:c r="I704" s="8" t="str">
        <x:f>B704&amp;" / "&amp;C704&amp;" / "&amp;E704</x:f>
        <x:v>4340 / 2024 / RAINBOW TROUT</x:v>
      </x:c>
    </x:row>
    <x:row r="705" ht="23" customHeight="1">
      <x:c r="A705" s="8" t="str">
        <x:v>Cow Lake</x:v>
      </x:c>
      <x:c r="B705" s="8" t="str">
        <x:v>4340</x:v>
      </x:c>
      <x:c r="C705" s="17" t="n">
        <x:v>2024</x:v>
      </x:c>
      <x:c r="D705" s="18" t="n">
        <x:v>45435</x:v>
      </x:c>
      <x:c r="E705" s="8" t="str">
        <x:v>RAINBOW TROUT</x:v>
      </x:c>
      <x:c r="F705" s="13" t="n">
        <x:v>25102</x:v>
      </x:c>
      <x:c r="G705" s="9" t="n">
        <x:v>15.5</x:v>
      </x:c>
      <x:c r="H705" s="9" t="n">
        <x:v>41.2</x:v>
      </x:c>
      <x:c r="I705" s="8" t="str">
        <x:f>B705&amp;" / "&amp;C705&amp;" / "&amp;E705</x:f>
        <x:v>4340 / 2024 / RAINBOW TROUT</x:v>
      </x:c>
    </x:row>
    <x:row r="706" ht="23" customHeight="1">
      <x:c r="A706" s="8" t="str">
        <x:v>Cow Lake</x:v>
      </x:c>
      <x:c r="B706" s="8" t="str">
        <x:v>4340</x:v>
      </x:c>
      <x:c r="C706" s="17" t="n">
        <x:v>2024</x:v>
      </x:c>
      <x:c r="D706" s="18" t="n">
        <x:v>45415</x:v>
      </x:c>
      <x:c r="E706" s="8" t="str">
        <x:v>RAINBOW TROUT</x:v>
      </x:c>
      <x:c r="F706" s="13" t="n">
        <x:v>4713</x:v>
      </x:c>
      <x:c r="G706" s="9" t="n">
        <x:v>8.2</x:v>
      </x:c>
      <x:c r="H706" s="9" t="n">
        <x:v>6</x:v>
      </x:c>
      <x:c r="I706" s="8" t="str">
        <x:f>B706&amp;" / "&amp;C706&amp;" / "&amp;E706</x:f>
        <x:v>4340 / 2024 / RAINBOW TROUT</x:v>
      </x:c>
    </x:row>
    <x:row r="707" ht="23" customHeight="1">
      <x:c r="A707" s="8" t="str">
        <x:v>Cow Lake</x:v>
      </x:c>
      <x:c r="B707" s="8" t="str">
        <x:v>4340</x:v>
      </x:c>
      <x:c r="C707" s="17" t="n">
        <x:v>2024</x:v>
      </x:c>
      <x:c r="D707" s="18" t="n">
        <x:v>45415</x:v>
      </x:c>
      <x:c r="E707" s="8" t="str">
        <x:v>RAINBOW TROUT</x:v>
      </x:c>
      <x:c r="F707" s="13" t="n">
        <x:v>22088</x:v>
      </x:c>
      <x:c r="G707" s="9" t="n">
        <x:v>8.2</x:v>
      </x:c>
      <x:c r="H707" s="9" t="n">
        <x:v>5.9</x:v>
      </x:c>
      <x:c r="I707" s="8" t="str">
        <x:f>B707&amp;" / "&amp;C707&amp;" / "&amp;E707</x:f>
        <x:v>4340 / 2024 / RAINBOW TROUT</x:v>
      </x:c>
    </x:row>
    <x:row r="708" ht="23" customHeight="1">
      <x:c r="A708" s="8" t="str">
        <x:v>Cow Lake</x:v>
      </x:c>
      <x:c r="B708" s="8" t="str">
        <x:v>4340</x:v>
      </x:c>
      <x:c r="C708" s="17" t="n">
        <x:v>2024</x:v>
      </x:c>
      <x:c r="D708" s="18" t="n">
        <x:v>45415</x:v>
      </x:c>
      <x:c r="E708" s="8" t="str">
        <x:v>RAINBOW TROUT</x:v>
      </x:c>
      <x:c r="F708" s="13" t="n">
        <x:v>23199</x:v>
      </x:c>
      <x:c r="G708" s="9" t="n">
        <x:v>8</x:v>
      </x:c>
      <x:c r="H708" s="9" t="n">
        <x:v>5.6</x:v>
      </x:c>
      <x:c r="I708" s="8" t="str">
        <x:f>B708&amp;" / "&amp;C708&amp;" / "&amp;E708</x:f>
        <x:v>4340 / 2024 / RAINBOW TROUT</x:v>
      </x:c>
    </x:row>
    <x:row r="709" ht="23" customHeight="1">
      <x:c r="A709" s="8" t="str">
        <x:v>Cow Lake</x:v>
      </x:c>
      <x:c r="B709" s="8" t="str">
        <x:v>4340</x:v>
      </x:c>
      <x:c r="C709" s="17" t="n">
        <x:v>2023</x:v>
      </x:c>
      <x:c r="D709" s="18" t="n">
        <x:v>45187</x:v>
      </x:c>
      <x:c r="E709" s="8" t="str">
        <x:v>BROWN TROUT</x:v>
      </x:c>
      <x:c r="F709" s="13" t="n">
        <x:v>18000</x:v>
      </x:c>
      <x:c r="G709" s="9" t="n">
        <x:v>8.3</x:v>
      </x:c>
      <x:c r="H709" s="9" t="n">
        <x:v>8.3</x:v>
      </x:c>
      <x:c r="I709" s="8" t="str">
        <x:f>B709&amp;" / "&amp;C709&amp;" / "&amp;E709</x:f>
        <x:v>4340 / 2023 / BROWN TROUT</x:v>
      </x:c>
    </x:row>
    <x:row r="710" ht="23" customHeight="1">
      <x:c r="A710" s="8" t="str">
        <x:v>Cow Lake</x:v>
      </x:c>
      <x:c r="B710" s="8" t="str">
        <x:v>4340</x:v>
      </x:c>
      <x:c r="C710" s="17" t="n">
        <x:v>2023</x:v>
      </x:c>
      <x:c r="D710" s="18" t="n">
        <x:v>45060</x:v>
      </x:c>
      <x:c r="E710" s="8" t="str">
        <x:v>BROWN TROUT</x:v>
      </x:c>
      <x:c r="F710" s="13" t="n">
        <x:v>1100</x:v>
      </x:c>
      <x:c r="G710" s="9" t="n">
        <x:v>18.2</x:v>
      </x:c>
      <x:c r="H710" s="9" t="n">
        <x:v>64.8</x:v>
      </x:c>
      <x:c r="I710" s="8" t="str">
        <x:f>B710&amp;" / "&amp;C710&amp;" / "&amp;E710</x:f>
        <x:v>4340 / 2023 / BROWN TROUT</x:v>
      </x:c>
    </x:row>
    <x:row r="711" ht="23" customHeight="1">
      <x:c r="A711" s="8" t="str">
        <x:v>Cow Lake</x:v>
      </x:c>
      <x:c r="B711" s="8" t="str">
        <x:v>4340</x:v>
      </x:c>
      <x:c r="C711" s="17" t="n">
        <x:v>2023</x:v>
      </x:c>
      <x:c r="D711" s="18" t="n">
        <x:v>45196</x:v>
      </x:c>
      <x:c r="E711" s="8" t="str">
        <x:v>RAINBOW TROUT</x:v>
      </x:c>
      <x:c r="F711" s="13" t="n">
        <x:v>1613</x:v>
      </x:c>
      <x:c r="G711" s="9" t="n">
        <x:v>17.1</x:v>
      </x:c>
      <x:c r="H711" s="9" t="n">
        <x:v>53.1</x:v>
      </x:c>
      <x:c r="I711" s="8" t="str">
        <x:f>B711&amp;" / "&amp;C711&amp;" / "&amp;E711</x:f>
        <x:v>4340 / 2023 / RAINBOW TROUT</x:v>
      </x:c>
    </x:row>
    <x:row r="712" ht="23" customHeight="1">
      <x:c r="A712" s="8" t="str">
        <x:v>Cow Lake</x:v>
      </x:c>
      <x:c r="B712" s="8" t="str">
        <x:v>4340</x:v>
      </x:c>
      <x:c r="C712" s="17" t="n">
        <x:v>2023</x:v>
      </x:c>
      <x:c r="D712" s="18" t="n">
        <x:v>45188</x:v>
      </x:c>
      <x:c r="E712" s="8" t="str">
        <x:v>RAINBOW TROUT</x:v>
      </x:c>
      <x:c r="F712" s="13" t="n">
        <x:v>2500</x:v>
      </x:c>
      <x:c r="G712" s="9" t="n">
        <x:v>15.7</x:v>
      </x:c>
      <x:c r="H712" s="9" t="n">
        <x:v>46.7</x:v>
      </x:c>
      <x:c r="I712" s="8" t="str">
        <x:f>B712&amp;" / "&amp;C712&amp;" / "&amp;E712</x:f>
        <x:v>4340 / 2023 / RAINBOW TROUT</x:v>
      </x:c>
    </x:row>
    <x:row r="713" ht="23" customHeight="1">
      <x:c r="A713" s="8" t="str">
        <x:v>Cow Lake</x:v>
      </x:c>
      <x:c r="B713" s="8" t="str">
        <x:v>4340</x:v>
      </x:c>
      <x:c r="C713" s="17" t="n">
        <x:v>2023</x:v>
      </x:c>
      <x:c r="D713" s="18" t="n">
        <x:v>45187</x:v>
      </x:c>
      <x:c r="E713" s="8" t="str">
        <x:v>RAINBOW TROUT</x:v>
      </x:c>
      <x:c r="F713" s="13" t="n">
        <x:v>2500</x:v>
      </x:c>
      <x:c r="G713" s="9" t="n">
        <x:v>15.7</x:v>
      </x:c>
      <x:c r="H713" s="9" t="n">
        <x:v>46.7</x:v>
      </x:c>
      <x:c r="I713" s="8" t="str">
        <x:f>B713&amp;" / "&amp;C713&amp;" / "&amp;E713</x:f>
        <x:v>4340 / 2023 / RAINBOW TROUT</x:v>
      </x:c>
    </x:row>
    <x:row r="714" ht="23" customHeight="1">
      <x:c r="A714" s="8" t="str">
        <x:v>Cow Lake</x:v>
      </x:c>
      <x:c r="B714" s="8" t="str">
        <x:v>4340</x:v>
      </x:c>
      <x:c r="C714" s="17" t="n">
        <x:v>2023</x:v>
      </x:c>
      <x:c r="D714" s="18" t="n">
        <x:v>45187</x:v>
      </x:c>
      <x:c r="E714" s="8" t="str">
        <x:v>RAINBOW TROUT</x:v>
      </x:c>
      <x:c r="F714" s="13" t="n">
        <x:v>9800</x:v>
      </x:c>
      <x:c r="G714" s="9" t="n">
        <x:v>17.1</x:v>
      </x:c>
      <x:c r="H714" s="9" t="n">
        <x:v>53.1</x:v>
      </x:c>
      <x:c r="I714" s="8" t="str">
        <x:f>B714&amp;" / "&amp;C714&amp;" / "&amp;E714</x:f>
        <x:v>4340 / 2023 / RAINBOW TROUT</x:v>
      </x:c>
    </x:row>
    <x:row r="715" ht="23" customHeight="1">
      <x:c r="A715" s="8" t="str">
        <x:v>Cow Lake</x:v>
      </x:c>
      <x:c r="B715" s="8" t="str">
        <x:v>4340</x:v>
      </x:c>
      <x:c r="C715" s="17" t="n">
        <x:v>2023</x:v>
      </x:c>
      <x:c r="D715" s="18" t="n">
        <x:v>45187</x:v>
      </x:c>
      <x:c r="E715" s="8" t="str">
        <x:v>RAINBOW TROUT</x:v>
      </x:c>
      <x:c r="F715" s="13" t="n">
        <x:v>5000</x:v>
      </x:c>
      <x:c r="G715" s="9" t="n">
        <x:v>14.1</x:v>
      </x:c>
      <x:c r="H715" s="9" t="n">
        <x:v>29.7</x:v>
      </x:c>
      <x:c r="I715" s="8" t="str">
        <x:f>B715&amp;" / "&amp;C715&amp;" / "&amp;E715</x:f>
        <x:v>4340 / 2023 / RAINBOW TROUT</x:v>
      </x:c>
    </x:row>
    <x:row r="716" ht="23" customHeight="1">
      <x:c r="A716" s="8" t="str">
        <x:v>Cow Lake</x:v>
      </x:c>
      <x:c r="B716" s="8" t="str">
        <x:v>4340</x:v>
      </x:c>
      <x:c r="C716" s="17" t="n">
        <x:v>2023</x:v>
      </x:c>
      <x:c r="D716" s="18" t="n">
        <x:v>45081</x:v>
      </x:c>
      <x:c r="E716" s="8" t="str">
        <x:v>RAINBOW TROUT</x:v>
      </x:c>
      <x:c r="F716" s="13" t="n">
        <x:v>5166</x:v>
      </x:c>
      <x:c r="G716" s="9" t="n">
        <x:v>17.9</x:v>
      </x:c>
      <x:c r="H716" s="9" t="n">
        <x:v>61.7</x:v>
      </x:c>
      <x:c r="I716" s="8" t="str">
        <x:f>B716&amp;" / "&amp;C716&amp;" / "&amp;E716</x:f>
        <x:v>4340 / 2023 / RAINBOW TROUT</x:v>
      </x:c>
    </x:row>
    <x:row r="717" ht="23" customHeight="1">
      <x:c r="A717" s="8" t="str">
        <x:v>Cow Lake</x:v>
      </x:c>
      <x:c r="B717" s="8" t="str">
        <x:v>4340</x:v>
      </x:c>
      <x:c r="C717" s="17" t="n">
        <x:v>2023</x:v>
      </x:c>
      <x:c r="D717" s="18" t="n">
        <x:v>45075</x:v>
      </x:c>
      <x:c r="E717" s="8" t="str">
        <x:v>RAINBOW TROUT</x:v>
      </x:c>
      <x:c r="F717" s="13" t="n">
        <x:v>13350</x:v>
      </x:c>
      <x:c r="G717" s="9" t="n">
        <x:v>7.2</x:v>
      </x:c>
      <x:c r="H717" s="9" t="n">
        <x:v>4.2</x:v>
      </x:c>
      <x:c r="I717" s="8" t="str">
        <x:f>B717&amp;" / "&amp;C717&amp;" / "&amp;E717</x:f>
        <x:v>4340 / 2023 / RAINBOW TROUT</x:v>
      </x:c>
    </x:row>
    <x:row r="718" ht="23" customHeight="1">
      <x:c r="A718" s="8" t="str">
        <x:v>Cow Lake</x:v>
      </x:c>
      <x:c r="B718" s="8" t="str">
        <x:v>4340</x:v>
      </x:c>
      <x:c r="C718" s="17" t="n">
        <x:v>2023</x:v>
      </x:c>
      <x:c r="D718" s="18" t="n">
        <x:v>45060</x:v>
      </x:c>
      <x:c r="E718" s="8" t="str">
        <x:v>RAINBOW TROUT</x:v>
      </x:c>
      <x:c r="F718" s="13" t="n">
        <x:v>12662</x:v>
      </x:c>
      <x:c r="G718" s="9" t="n">
        <x:v>17.4</x:v>
      </x:c>
      <x:c r="H718" s="9" t="n">
        <x:v>56.8</x:v>
      </x:c>
      <x:c r="I718" s="8" t="str">
        <x:f>B718&amp;" / "&amp;C718&amp;" / "&amp;E718</x:f>
        <x:v>4340 / 2023 / RAINBOW TROUT</x:v>
      </x:c>
    </x:row>
    <x:row r="719" ht="23" customHeight="1">
      <x:c r="A719" s="8" t="str">
        <x:v>Cow Lake</x:v>
      </x:c>
      <x:c r="B719" s="8" t="str">
        <x:v>4340</x:v>
      </x:c>
      <x:c r="C719" s="17" t="n">
        <x:v>2023</x:v>
      </x:c>
      <x:c r="D719" s="18" t="n">
        <x:v>45060</x:v>
      </x:c>
      <x:c r="E719" s="8" t="str">
        <x:v>RAINBOW TROUT</x:v>
      </x:c>
      <x:c r="F719" s="13" t="n">
        <x:v>12000</x:v>
      </x:c>
      <x:c r="G719" s="9" t="n">
        <x:v>17.5</x:v>
      </x:c>
      <x:c r="H719" s="9" t="n">
        <x:v>57.6</x:v>
      </x:c>
      <x:c r="I719" s="8" t="str">
        <x:f>B719&amp;" / "&amp;C719&amp;" / "&amp;E719</x:f>
        <x:v>4340 / 2023 / RAINBOW TROUT</x:v>
      </x:c>
    </x:row>
    <x:row r="720" ht="23" customHeight="1">
      <x:c r="A720" s="8" t="str">
        <x:v>Cow Lake</x:v>
      </x:c>
      <x:c r="B720" s="8" t="str">
        <x:v>4340</x:v>
      </x:c>
      <x:c r="C720" s="17" t="n">
        <x:v>2023</x:v>
      </x:c>
      <x:c r="D720" s="18" t="n">
        <x:v>45056</x:v>
      </x:c>
      <x:c r="E720" s="8" t="str">
        <x:v>RAINBOW TROUT</x:v>
      </x:c>
      <x:c r="F720" s="13" t="n">
        <x:v>60000</x:v>
      </x:c>
      <x:c r="G720" s="9" t="n">
        <x:v>9.1</x:v>
      </x:c>
      <x:c r="H720" s="9" t="n">
        <x:v>8.6</x:v>
      </x:c>
      <x:c r="I720" s="8" t="str">
        <x:f>B720&amp;" / "&amp;C720&amp;" / "&amp;E720</x:f>
        <x:v>4340 / 2023 / RAINBOW TROUT</x:v>
      </x:c>
    </x:row>
    <x:row r="721" ht="23" customHeight="1">
      <x:c r="A721" s="8" t="str">
        <x:v>Cow Lake</x:v>
      </x:c>
      <x:c r="B721" s="8" t="str">
        <x:v>4340</x:v>
      </x:c>
      <x:c r="C721" s="17" t="n">
        <x:v>2022</x:v>
      </x:c>
      <x:c r="D721" s="18" t="n">
        <x:v>44817</x:v>
      </x:c>
      <x:c r="E721" s="8" t="str">
        <x:v>BROWN TROUT</x:v>
      </x:c>
      <x:c r="F721" s="13" t="n">
        <x:v>20010</x:v>
      </x:c>
      <x:c r="G721" s="9" t="n">
        <x:v>8.8</x:v>
      </x:c>
      <x:c r="H721" s="9" t="n">
        <x:v>7.5</x:v>
      </x:c>
      <x:c r="I721" s="8" t="str">
        <x:f>B721&amp;" / "&amp;C721&amp;" / "&amp;E721</x:f>
        <x:v>4340 / 2022 / BROWN TROUT</x:v>
      </x:c>
    </x:row>
    <x:row r="722" ht="23" customHeight="1">
      <x:c r="A722" s="8" t="str">
        <x:v>Cow Lake</x:v>
      </x:c>
      <x:c r="B722" s="8" t="str">
        <x:v>4340</x:v>
      </x:c>
      <x:c r="C722" s="17" t="n">
        <x:v>2022</x:v>
      </x:c>
      <x:c r="D722" s="18" t="n">
        <x:v>44689</x:v>
      </x:c>
      <x:c r="E722" s="8" t="str">
        <x:v>BROWN TROUT</x:v>
      </x:c>
      <x:c r="F722" s="13" t="n">
        <x:v>5000</x:v>
      </x:c>
      <x:c r="G722" s="9" t="n">
        <x:v>18.5</x:v>
      </x:c>
      <x:c r="H722" s="9" t="n">
        <x:v>70.1</x:v>
      </x:c>
      <x:c r="I722" s="8" t="str">
        <x:f>B722&amp;" / "&amp;C722&amp;" / "&amp;E722</x:f>
        <x:v>4340 / 2022 / BROWN TROUT</x:v>
      </x:c>
    </x:row>
    <x:row r="723" ht="23" customHeight="1">
      <x:c r="A723" s="8" t="str">
        <x:v>Cow Lake</x:v>
      </x:c>
      <x:c r="B723" s="8" t="str">
        <x:v>4340</x:v>
      </x:c>
      <x:c r="C723" s="17" t="n">
        <x:v>2022</x:v>
      </x:c>
      <x:c r="D723" s="18" t="n">
        <x:v>44839</x:v>
      </x:c>
      <x:c r="E723" s="8" t="str">
        <x:v>RAINBOW TROUT</x:v>
      </x:c>
      <x:c r="F723" s="13" t="n">
        <x:v>12147</x:v>
      </x:c>
      <x:c r="G723" s="9" t="n">
        <x:v>18</x:v>
      </x:c>
      <x:c r="H723" s="9" t="n">
        <x:v>63.5</x:v>
      </x:c>
      <x:c r="I723" s="8" t="str">
        <x:f>B723&amp;" / "&amp;C723&amp;" / "&amp;E723</x:f>
        <x:v>4340 / 2022 / RAINBOW TROUT</x:v>
      </x:c>
    </x:row>
    <x:row r="724" ht="23" customHeight="1">
      <x:c r="A724" s="8" t="str">
        <x:v>Cow Lake</x:v>
      </x:c>
      <x:c r="B724" s="8" t="str">
        <x:v>4340</x:v>
      </x:c>
      <x:c r="C724" s="17" t="n">
        <x:v>2022</x:v>
      </x:c>
      <x:c r="D724" s="18" t="n">
        <x:v>44817</x:v>
      </x:c>
      <x:c r="E724" s="8" t="str">
        <x:v>RAINBOW TROUT</x:v>
      </x:c>
      <x:c r="F724" s="13" t="n">
        <x:v>22903</x:v>
      </x:c>
      <x:c r="G724" s="9" t="n">
        <x:v>6.5</x:v>
      </x:c>
      <x:c r="H724" s="9" t="n">
        <x:v>2.9</x:v>
      </x:c>
      <x:c r="I724" s="8" t="str">
        <x:f>B724&amp;" / "&amp;C724&amp;" / "&amp;E724</x:f>
        <x:v>4340 / 2022 / RAINBOW TROUT</x:v>
      </x:c>
    </x:row>
    <x:row r="725" ht="23" customHeight="1">
      <x:c r="A725" s="8" t="str">
        <x:v>Cow Lake</x:v>
      </x:c>
      <x:c r="B725" s="8" t="str">
        <x:v>4340</x:v>
      </x:c>
      <x:c r="C725" s="17" t="n">
        <x:v>2022</x:v>
      </x:c>
      <x:c r="D725" s="18" t="n">
        <x:v>44746</x:v>
      </x:c>
      <x:c r="E725" s="8" t="str">
        <x:v>RAINBOW TROUT</x:v>
      </x:c>
      <x:c r="F725" s="13" t="n">
        <x:v>912</x:v>
      </x:c>
      <x:c r="G725" s="9" t="n">
        <x:v>21</x:v>
      </x:c>
      <x:c r="H725" s="9" t="n">
        <x:v>110</x:v>
      </x:c>
      <x:c r="I725" s="8" t="str">
        <x:f>B725&amp;" / "&amp;C725&amp;" / "&amp;E725</x:f>
        <x:v>4340 / 2022 / RAINBOW TROUT</x:v>
      </x:c>
    </x:row>
    <x:row r="726" ht="23" customHeight="1">
      <x:c r="A726" s="8" t="str">
        <x:v>Cow Lake</x:v>
      </x:c>
      <x:c r="B726" s="8" t="str">
        <x:v>4340</x:v>
      </x:c>
      <x:c r="C726" s="17" t="n">
        <x:v>2022</x:v>
      </x:c>
      <x:c r="D726" s="18" t="n">
        <x:v>44734</x:v>
      </x:c>
      <x:c r="E726" s="8" t="str">
        <x:v>RAINBOW TROUT</x:v>
      </x:c>
      <x:c r="F726" s="13" t="n">
        <x:v>600</x:v>
      </x:c>
      <x:c r="G726" s="9" t="n">
        <x:v>27.4</x:v>
      </x:c>
      <x:c r="H726" s="9" t="n">
        <x:v>150</x:v>
      </x:c>
      <x:c r="I726" s="8" t="str">
        <x:f>B726&amp;" / "&amp;C726&amp;" / "&amp;E726</x:f>
        <x:v>4340 / 2022 / RAINBOW TROUT</x:v>
      </x:c>
    </x:row>
    <x:row r="727" ht="23" customHeight="1">
      <x:c r="A727" s="8" t="str">
        <x:v>Cow Lake</x:v>
      </x:c>
      <x:c r="B727" s="8" t="str">
        <x:v>4340</x:v>
      </x:c>
      <x:c r="C727" s="17" t="n">
        <x:v>2022</x:v>
      </x:c>
      <x:c r="D727" s="18" t="n">
        <x:v>44692</x:v>
      </x:c>
      <x:c r="E727" s="8" t="str">
        <x:v>RAINBOW TROUT</x:v>
      </x:c>
      <x:c r="F727" s="13" t="n">
        <x:v>21414</x:v>
      </x:c>
      <x:c r="G727" s="9" t="n">
        <x:v>18.7</x:v>
      </x:c>
      <x:c r="H727" s="9" t="n">
        <x:v>71.3</x:v>
      </x:c>
      <x:c r="I727" s="8" t="str">
        <x:f>B727&amp;" / "&amp;C727&amp;" / "&amp;E727</x:f>
        <x:v>4340 / 2022 / RAINBOW TROUT</x:v>
      </x:c>
    </x:row>
    <x:row r="728" ht="23" customHeight="1">
      <x:c r="A728" s="8" t="str">
        <x:v>Cow Lake</x:v>
      </x:c>
      <x:c r="B728" s="8" t="str">
        <x:v>4340</x:v>
      </x:c>
      <x:c r="C728" s="17" t="n">
        <x:v>2022</x:v>
      </x:c>
      <x:c r="D728" s="18" t="n">
        <x:v>44692</x:v>
      </x:c>
      <x:c r="E728" s="8" t="str">
        <x:v>RAINBOW TROUT</x:v>
      </x:c>
      <x:c r="F728" s="13" t="n">
        <x:v>21434</x:v>
      </x:c>
      <x:c r="G728" s="9" t="n">
        <x:v>18.7</x:v>
      </x:c>
      <x:c r="H728" s="9" t="n">
        <x:v>71.3</x:v>
      </x:c>
      <x:c r="I728" s="8" t="str">
        <x:f>B728&amp;" / "&amp;C728&amp;" / "&amp;E728</x:f>
        <x:v>4340 / 2022 / RAINBOW TROUT</x:v>
      </x:c>
    </x:row>
    <x:row r="729" ht="23" customHeight="1">
      <x:c r="A729" s="8" t="str">
        <x:v>Cow Lake</x:v>
      </x:c>
      <x:c r="B729" s="8" t="str">
        <x:v>4340</x:v>
      </x:c>
      <x:c r="C729" s="17" t="n">
        <x:v>2022</x:v>
      </x:c>
      <x:c r="D729" s="18" t="n">
        <x:v>44692</x:v>
      </x:c>
      <x:c r="E729" s="8" t="str">
        <x:v>RAINBOW TROUT</x:v>
      </x:c>
      <x:c r="F729" s="13" t="n">
        <x:v>6228</x:v>
      </x:c>
      <x:c r="G729" s="9" t="n">
        <x:v>18</x:v>
      </x:c>
      <x:c r="H729" s="9" t="n">
        <x:v>62.4</x:v>
      </x:c>
      <x:c r="I729" s="8" t="str">
        <x:f>B729&amp;" / "&amp;C729&amp;" / "&amp;E729</x:f>
        <x:v>4340 / 2022 / RAINBOW TROUT</x:v>
      </x:c>
    </x:row>
    <x:row r="730" ht="23" customHeight="1">
      <x:c r="A730" s="8" t="str">
        <x:v>Cow Lake</x:v>
      </x:c>
      <x:c r="B730" s="8" t="str">
        <x:v>4340</x:v>
      </x:c>
      <x:c r="C730" s="17" t="n">
        <x:v>2022</x:v>
      </x:c>
      <x:c r="D730" s="18" t="n">
        <x:v>44691</x:v>
      </x:c>
      <x:c r="E730" s="8" t="str">
        <x:v>RAINBOW TROUT</x:v>
      </x:c>
      <x:c r="F730" s="13" t="n">
        <x:v>12690</x:v>
      </x:c>
      <x:c r="G730" s="9" t="n">
        <x:v>17.5</x:v>
      </x:c>
      <x:c r="H730" s="9" t="n">
        <x:v>58</x:v>
      </x:c>
      <x:c r="I730" s="8" t="str">
        <x:f>B730&amp;" / "&amp;C730&amp;" / "&amp;E730</x:f>
        <x:v>4340 / 2022 / RAINBOW TROUT</x:v>
      </x:c>
    </x:row>
    <x:row r="731" ht="23" customHeight="1">
      <x:c r="A731" s="8" t="str">
        <x:v>Cow Lake</x:v>
      </x:c>
      <x:c r="B731" s="8" t="str">
        <x:v>4340</x:v>
      </x:c>
      <x:c r="C731" s="17" t="n">
        <x:v>2022</x:v>
      </x:c>
      <x:c r="D731" s="18" t="n">
        <x:v>44691</x:v>
      </x:c>
      <x:c r="E731" s="8" t="str">
        <x:v>RAINBOW TROUT</x:v>
      </x:c>
      <x:c r="F731" s="13" t="n">
        <x:v>28500</x:v>
      </x:c>
      <x:c r="G731" s="9" t="n">
        <x:v>18.9</x:v>
      </x:c>
      <x:c r="H731" s="9" t="n">
        <x:v>74.1</x:v>
      </x:c>
      <x:c r="I731" s="8" t="str">
        <x:f>B731&amp;" / "&amp;C731&amp;" / "&amp;E731</x:f>
        <x:v>4340 / 2022 / RAINBOW TROUT</x:v>
      </x:c>
    </x:row>
    <x:row r="732" ht="23" customHeight="1">
      <x:c r="A732" s="8" t="str">
        <x:v>Cow Lake</x:v>
      </x:c>
      <x:c r="B732" s="8" t="str">
        <x:v>4340</x:v>
      </x:c>
      <x:c r="C732" s="17" t="n">
        <x:v>2022</x:v>
      </x:c>
      <x:c r="D732" s="18" t="n">
        <x:v>44682</x:v>
      </x:c>
      <x:c r="E732" s="8" t="str">
        <x:v>RAINBOW TROUT</x:v>
      </x:c>
      <x:c r="F732" s="13" t="n">
        <x:v>4862</x:v>
      </x:c>
      <x:c r="G732" s="9" t="n">
        <x:v>18</x:v>
      </x:c>
      <x:c r="H732" s="9" t="n">
        <x:v>62.4</x:v>
      </x:c>
      <x:c r="I732" s="8" t="str">
        <x:f>B732&amp;" / "&amp;C732&amp;" / "&amp;E732</x:f>
        <x:v>4340 / 2022 / RAINBOW TROUT</x:v>
      </x:c>
    </x:row>
    <x:row r="733" ht="23" customHeight="1">
      <x:c r="A733" s="8" t="str">
        <x:v>Cow Lake</x:v>
      </x:c>
      <x:c r="B733" s="8" t="str">
        <x:v>4340</x:v>
      </x:c>
      <x:c r="C733" s="17" t="n">
        <x:v>2022</x:v>
      </x:c>
      <x:c r="D733" s="18" t="n">
        <x:v>44682</x:v>
      </x:c>
      <x:c r="E733" s="8" t="str">
        <x:v>RAINBOW TROUT</x:v>
      </x:c>
      <x:c r="F733" s="13" t="n">
        <x:v>2992</x:v>
      </x:c>
      <x:c r="G733" s="9" t="n">
        <x:v>20</x:v>
      </x:c>
      <x:c r="H733" s="9" t="n">
        <x:v>77</x:v>
      </x:c>
      <x:c r="I733" s="8" t="str">
        <x:f>B733&amp;" / "&amp;C733&amp;" / "&amp;E733</x:f>
        <x:v>4340 / 2022 / RAINBOW TROUT</x:v>
      </x:c>
    </x:row>
    <x:row r="734" ht="23" customHeight="1">
      <x:c r="A734" s="8" t="str">
        <x:v>Cow Lake</x:v>
      </x:c>
      <x:c r="B734" s="8" t="str">
        <x:v>4340</x:v>
      </x:c>
      <x:c r="C734" s="17" t="n">
        <x:v>2022</x:v>
      </x:c>
      <x:c r="D734" s="18" t="n">
        <x:v>44679</x:v>
      </x:c>
      <x:c r="E734" s="8" t="str">
        <x:v>RAINBOW TROUT</x:v>
      </x:c>
      <x:c r="F734" s="13" t="n">
        <x:v>3609</x:v>
      </x:c>
      <x:c r="G734" s="9" t="n">
        <x:v>22</x:v>
      </x:c>
      <x:c r="H734" s="9" t="n">
        <x:v>96</x:v>
      </x:c>
      <x:c r="I734" s="8" t="str">
        <x:f>B734&amp;" / "&amp;C734&amp;" / "&amp;E734</x:f>
        <x:v>4340 / 2022 / RAINBOW TROUT</x:v>
      </x:c>
    </x:row>
    <x:row r="735" ht="23" customHeight="1">
      <x:c r="A735" s="8" t="str">
        <x:v>Cow Lake</x:v>
      </x:c>
      <x:c r="B735" s="8" t="str">
        <x:v>4340</x:v>
      </x:c>
      <x:c r="C735" s="17" t="n">
        <x:v>2021</x:v>
      </x:c>
      <x:c r="D735" s="18" t="n">
        <x:v>44326</x:v>
      </x:c>
      <x:c r="E735" s="8" t="str">
        <x:v>BROWN TROUT</x:v>
      </x:c>
      <x:c r="F735" s="13" t="n">
        <x:v>8000</x:v>
      </x:c>
      <x:c r="G735" s="9" t="n">
        <x:v>17.2</x:v>
      </x:c>
      <x:c r="H735" s="9" t="n">
        <x:v>56.7</x:v>
      </x:c>
      <x:c r="I735" s="8" t="str">
        <x:f>B735&amp;" / "&amp;C735&amp;" / "&amp;E735</x:f>
        <x:v>4340 / 2021 / BROWN TROUT</x:v>
      </x:c>
    </x:row>
    <x:row r="736" ht="23" customHeight="1">
      <x:c r="A736" s="8" t="str">
        <x:v>Cow Lake</x:v>
      </x:c>
      <x:c r="B736" s="8" t="str">
        <x:v>4340</x:v>
      </x:c>
      <x:c r="C736" s="17" t="n">
        <x:v>2021</x:v>
      </x:c>
      <x:c r="D736" s="18" t="n">
        <x:v>44326</x:v>
      </x:c>
      <x:c r="E736" s="8" t="str">
        <x:v>RAINBOW TROUT</x:v>
      </x:c>
      <x:c r="F736" s="13" t="n">
        <x:v>8100</x:v>
      </x:c>
      <x:c r="G736" s="9" t="n">
        <x:v>18.4</x:v>
      </x:c>
      <x:c r="H736" s="9" t="n">
        <x:v>68.3</x:v>
      </x:c>
      <x:c r="I736" s="8" t="str">
        <x:f>B736&amp;" / "&amp;C736&amp;" / "&amp;E736</x:f>
        <x:v>4340 / 2021 / RAINBOW TROUT</x:v>
      </x:c>
    </x:row>
    <x:row r="737" ht="23" customHeight="1">
      <x:c r="A737" s="8" t="str">
        <x:v>Cow Lake</x:v>
      </x:c>
      <x:c r="B737" s="8" t="str">
        <x:v>4340</x:v>
      </x:c>
      <x:c r="C737" s="17" t="n">
        <x:v>2021</x:v>
      </x:c>
      <x:c r="D737" s="18" t="n">
        <x:v>44326</x:v>
      </x:c>
      <x:c r="E737" s="8" t="str">
        <x:v>RAINBOW TROUT</x:v>
      </x:c>
      <x:c r="F737" s="13" t="n">
        <x:v>30000</x:v>
      </x:c>
      <x:c r="G737" s="9" t="n">
        <x:v>15.5</x:v>
      </x:c>
      <x:c r="H737" s="9" t="n">
        <x:v>40.9</x:v>
      </x:c>
      <x:c r="I737" s="8" t="str">
        <x:f>B737&amp;" / "&amp;C737&amp;" / "&amp;E737</x:f>
        <x:v>4340 / 2021 / RAINBOW TROUT</x:v>
      </x:c>
    </x:row>
    <x:row r="738" ht="23" customHeight="1">
      <x:c r="A738" s="8" t="str">
        <x:v>Cow Lake</x:v>
      </x:c>
      <x:c r="B738" s="8" t="str">
        <x:v>4340</x:v>
      </x:c>
      <x:c r="C738" s="17" t="n">
        <x:v>2021</x:v>
      </x:c>
      <x:c r="D738" s="18" t="n">
        <x:v>44319</x:v>
      </x:c>
      <x:c r="E738" s="8" t="str">
        <x:v>RAINBOW TROUT</x:v>
      </x:c>
      <x:c r="F738" s="13" t="n">
        <x:v>6313</x:v>
      </x:c>
      <x:c r="G738" s="9" t="n">
        <x:v>21</x:v>
      </x:c>
      <x:c r="H738" s="9" t="n">
        <x:v>103.3</x:v>
      </x:c>
      <x:c r="I738" s="8" t="str">
        <x:f>B738&amp;" / "&amp;C738&amp;" / "&amp;E738</x:f>
        <x:v>4340 / 2021 / RAINBOW TROUT</x:v>
      </x:c>
    </x:row>
    <x:row r="739" ht="23" customHeight="1">
      <x:c r="A739" s="8" t="str">
        <x:v>Cow Lake</x:v>
      </x:c>
      <x:c r="B739" s="8" t="str">
        <x:v>4340</x:v>
      </x:c>
      <x:c r="C739" s="17" t="n">
        <x:v>2021</x:v>
      </x:c>
      <x:c r="D739" s="18" t="n">
        <x:v>44318</x:v>
      </x:c>
      <x:c r="E739" s="8" t="str">
        <x:v>RAINBOW TROUT</x:v>
      </x:c>
      <x:c r="F739" s="13" t="n">
        <x:v>9887</x:v>
      </x:c>
      <x:c r="G739" s="9" t="n">
        <x:v>21.3</x:v>
      </x:c>
      <x:c r="H739" s="9" t="n">
        <x:v>107.4</x:v>
      </x:c>
      <x:c r="I739" s="8" t="str">
        <x:f>B739&amp;" / "&amp;C739&amp;" / "&amp;E739</x:f>
        <x:v>4340 / 2021 / RAINBOW TROUT</x:v>
      </x:c>
    </x:row>
    <x:row r="740" ht="23" customHeight="1">
      <x:c r="A740" s="8" t="str">
        <x:v>Cow Lake</x:v>
      </x:c>
      <x:c r="B740" s="8" t="str">
        <x:v>4340</x:v>
      </x:c>
      <x:c r="C740" s="17" t="n">
        <x:v>2021</x:v>
      </x:c>
      <x:c r="D740" s="18" t="n">
        <x:v>44318</x:v>
      </x:c>
      <x:c r="E740" s="8" t="str">
        <x:v>RAINBOW TROUT</x:v>
      </x:c>
      <x:c r="F740" s="13" t="n">
        <x:v>55938</x:v>
      </x:c>
      <x:c r="G740" s="9" t="n">
        <x:v>7.5</x:v>
      </x:c>
      <x:c r="H740" s="9" t="n">
        <x:v>4.7</x:v>
      </x:c>
      <x:c r="I740" s="8" t="str">
        <x:f>B740&amp;" / "&amp;C740&amp;" / "&amp;E740</x:f>
        <x:v>4340 / 2021 / RAINBOW TROUT</x:v>
      </x:c>
    </x:row>
    <x:row r="741" ht="23" customHeight="1">
      <x:c r="A741" s="8" t="str">
        <x:v>Cow Lake</x:v>
      </x:c>
      <x:c r="B741" s="8" t="str">
        <x:v>4340</x:v>
      </x:c>
      <x:c r="C741" s="17" t="n">
        <x:v>2021</x:v>
      </x:c>
      <x:c r="D741" s="18" t="n">
        <x:v>44318</x:v>
      </x:c>
      <x:c r="E741" s="8" t="str">
        <x:v>RAINBOW TROUT</x:v>
      </x:c>
      <x:c r="F741" s="13" t="n">
        <x:v>6000</x:v>
      </x:c>
      <x:c r="G741" s="9" t="n">
        <x:v>17.9</x:v>
      </x:c>
      <x:c r="H741" s="9" t="n">
        <x:v>63.3</x:v>
      </x:c>
      <x:c r="I741" s="8" t="str">
        <x:f>B741&amp;" / "&amp;C741&amp;" / "&amp;E741</x:f>
        <x:v>4340 / 2021 / RAINBOW TROUT</x:v>
      </x:c>
    </x:row>
    <x:row r="742" ht="23" customHeight="1">
      <x:c r="A742" s="8" t="str">
        <x:v>Crossfield Trout Pond</x:v>
      </x:c>
      <x:c r="B742" s="8" t="str">
        <x:v>23293</x:v>
      </x:c>
      <x:c r="C742" s="17" t="n">
        <x:v>2026</x:v>
      </x:c>
      <x:c r="D742" s="18" t="n">
        <x:v>46141</x:v>
      </x:c>
      <x:c r="E742" s="8" t="str">
        <x:v>RAINBOW TROUT</x:v>
      </x:c>
      <x:c r="F742" s="13" t="n">
        <x:v>1400</x:v>
      </x:c>
      <x:c r="G742" s="9" t="n">
        <x:v>23.5</x:v>
      </x:c>
      <x:c r="H742" s="9" t="n">
        <x:v>144.4</x:v>
      </x:c>
      <x:c r="I742" s="8" t="str">
        <x:f>B742&amp;" / "&amp;C742&amp;" / "&amp;E742</x:f>
        <x:v>23293 / 2026 / RAINBOW TROUT</x:v>
      </x:c>
    </x:row>
    <x:row r="743" ht="23" customHeight="1">
      <x:c r="A743" s="8" t="str">
        <x:v>Crossfield Trout Pond</x:v>
      </x:c>
      <x:c r="B743" s="8" t="str">
        <x:v>23293</x:v>
      </x:c>
      <x:c r="C743" s="17" t="n">
        <x:v>2025</x:v>
      </x:c>
      <x:c r="D743" s="18" t="n">
        <x:v>45770</x:v>
      </x:c>
      <x:c r="E743" s="8" t="str">
        <x:v>RAINBOW TROUT</x:v>
      </x:c>
      <x:c r="F743" s="13" t="n">
        <x:v>1400</x:v>
      </x:c>
      <x:c r="G743" s="9" t="n">
        <x:v>22.9</x:v>
      </x:c>
      <x:c r="H743" s="9" t="n">
        <x:v>132.3</x:v>
      </x:c>
      <x:c r="I743" s="8" t="str">
        <x:f>B743&amp;" / "&amp;C743&amp;" / "&amp;E743</x:f>
        <x:v>23293 / 2025 / RAINBOW TROUT</x:v>
      </x:c>
    </x:row>
    <x:row r="744" ht="23" customHeight="1">
      <x:c r="A744" s="8" t="str">
        <x:v>Crossfield Trout Pond</x:v>
      </x:c>
      <x:c r="B744" s="8" t="str">
        <x:v>23293</x:v>
      </x:c>
      <x:c r="C744" s="17" t="n">
        <x:v>2024</x:v>
      </x:c>
      <x:c r="D744" s="18" t="n">
        <x:v>45413</x:v>
      </x:c>
      <x:c r="E744" s="8" t="str">
        <x:v>RAINBOW TROUT</x:v>
      </x:c>
      <x:c r="F744" s="13" t="n">
        <x:v>700</x:v>
      </x:c>
      <x:c r="G744" s="9" t="n">
        <x:v>20.3</x:v>
      </x:c>
      <x:c r="H744" s="9" t="n">
        <x:v>90</x:v>
      </x:c>
      <x:c r="I744" s="8" t="str">
        <x:f>B744&amp;" / "&amp;C744&amp;" / "&amp;E744</x:f>
        <x:v>23293 / 2024 / RAINBOW TROUT</x:v>
      </x:c>
    </x:row>
    <x:row r="745" ht="23" customHeight="1">
      <x:c r="A745" s="8" t="str">
        <x:v>Crossfield Trout Pond</x:v>
      </x:c>
      <x:c r="B745" s="8" t="str">
        <x:v>23293</x:v>
      </x:c>
      <x:c r="C745" s="17" t="n">
        <x:v>2023</x:v>
      </x:c>
      <x:c r="D745" s="18" t="n">
        <x:v>45061</x:v>
      </x:c>
      <x:c r="E745" s="8" t="str">
        <x:v>RAINBOW TROUT</x:v>
      </x:c>
      <x:c r="F745" s="13" t="n">
        <x:v>703</x:v>
      </x:c>
      <x:c r="G745" s="9" t="n">
        <x:v>21.3</x:v>
      </x:c>
      <x:c r="H745" s="9" t="n">
        <x:v>104.4</x:v>
      </x:c>
      <x:c r="I745" s="8" t="str">
        <x:f>B745&amp;" / "&amp;C745&amp;" / "&amp;E745</x:f>
        <x:v>23293 / 2023 / RAINBOW TROUT</x:v>
      </x:c>
    </x:row>
    <x:row r="746" ht="23" customHeight="1">
      <x:c r="A746" s="8" t="str">
        <x:v>Crossfield Trout Pond</x:v>
      </x:c>
      <x:c r="B746" s="8" t="str">
        <x:v>23293</x:v>
      </x:c>
      <x:c r="C746" s="17" t="n">
        <x:v>2022</x:v>
      </x:c>
      <x:c r="D746" s="18" t="n">
        <x:v>44683</x:v>
      </x:c>
      <x:c r="E746" s="8" t="str">
        <x:v>RAINBOW TROUT</x:v>
      </x:c>
      <x:c r="F746" s="13" t="n">
        <x:v>1400</x:v>
      </x:c>
      <x:c r="G746" s="9" t="n">
        <x:v>20.2</x:v>
      </x:c>
      <x:c r="H746" s="9" t="n">
        <x:v>90</x:v>
      </x:c>
      <x:c r="I746" s="8" t="str">
        <x:f>B746&amp;" / "&amp;C746&amp;" / "&amp;E746</x:f>
        <x:v>23293 / 2022 / RAINBOW TROUT</x:v>
      </x:c>
    </x:row>
    <x:row r="747" ht="23" customHeight="1">
      <x:c r="A747" s="8" t="str">
        <x:v>Crossfield Trout Pond</x:v>
      </x:c>
      <x:c r="B747" s="8" t="str">
        <x:v>23293</x:v>
      </x:c>
      <x:c r="C747" s="17" t="n">
        <x:v>2021</x:v>
      </x:c>
      <x:c r="D747" s="18" t="n">
        <x:v>44326</x:v>
      </x:c>
      <x:c r="E747" s="8" t="str">
        <x:v>RAINBOW TROUT</x:v>
      </x:c>
      <x:c r="F747" s="13" t="n">
        <x:v>1400</x:v>
      </x:c>
      <x:c r="G747" s="9" t="n">
        <x:v>22.2</x:v>
      </x:c>
      <x:c r="H747" s="9" t="n">
        <x:v>121</x:v>
      </x:c>
      <x:c r="I747" s="8" t="str">
        <x:f>B747&amp;" / "&amp;C747&amp;" / "&amp;E747</x:f>
        <x:v>23293 / 2021 / RAINBOW TROUT</x:v>
      </x:c>
    </x:row>
    <x:row r="748" ht="23" customHeight="1">
      <x:c r="A748" s="8" t="str">
        <x:v>Crowsnest Lake</x:v>
      </x:c>
      <x:c r="B748" s="8" t="str">
        <x:v>4374</x:v>
      </x:c>
      <x:c r="C748" s="17" t="n">
        <x:v>2026</x:v>
      </x:c>
      <x:c r="D748" s="18" t="n">
        <x:v>46134</x:v>
      </x:c>
      <x:c r="E748" s="8" t="str">
        <x:v>WESTSLOPE CUTTHROAT TROUT</x:v>
      </x:c>
      <x:c r="F748" s="13" t="n">
        <x:v>7000</x:v>
      </x:c>
      <x:c r="G748" s="9" t="n">
        <x:v>12.5</x:v>
      </x:c>
      <x:c r="H748" s="9" t="n">
        <x:v>21.2</x:v>
      </x:c>
      <x:c r="I748" s="8" t="str">
        <x:f>B748&amp;" / "&amp;C748&amp;" / "&amp;E748</x:f>
        <x:v>4374 / 2026 / WESTSLOPE CUTTHROAT TROUT</x:v>
      </x:c>
    </x:row>
    <x:row r="749" ht="23" customHeight="1">
      <x:c r="A749" s="8" t="str">
        <x:v>Crowsnest Lake</x:v>
      </x:c>
      <x:c r="B749" s="8" t="str">
        <x:v>4374</x:v>
      </x:c>
      <x:c r="C749" s="17" t="n">
        <x:v>2026</x:v>
      </x:c>
      <x:c r="D749" s="18" t="n">
        <x:v>46132</x:v>
      </x:c>
      <x:c r="E749" s="8" t="str">
        <x:v>WESTSLOPE CUTTHROAT TROUT</x:v>
      </x:c>
      <x:c r="F749" s="13" t="n">
        <x:v>3000</x:v>
      </x:c>
      <x:c r="G749" s="9" t="n">
        <x:v>16.1</x:v>
      </x:c>
      <x:c r="H749" s="9" t="n">
        <x:v>47</x:v>
      </x:c>
      <x:c r="I749" s="8" t="str">
        <x:f>B749&amp;" / "&amp;C749&amp;" / "&amp;E749</x:f>
        <x:v>4374 / 2026 / WESTSLOPE CUTTHROAT TROUT</x:v>
      </x:c>
    </x:row>
    <x:row r="750" ht="23" customHeight="1">
      <x:c r="A750" s="8" t="str">
        <x:v>Crowsnest Lake</x:v>
      </x:c>
      <x:c r="B750" s="8" t="str">
        <x:v>4374</x:v>
      </x:c>
      <x:c r="C750" s="17" t="n">
        <x:v>2025</x:v>
      </x:c>
      <x:c r="D750" s="18" t="n">
        <x:v>45915</x:v>
      </x:c>
      <x:c r="E750" s="8" t="str">
        <x:v>CUTTHROAT TROUT</x:v>
      </x:c>
      <x:c r="F750" s="13" t="n">
        <x:v>2600</x:v>
      </x:c>
      <x:c r="G750" s="9" t="n">
        <x:v>20</x:v>
      </x:c>
      <x:c r="H750" s="9" t="n">
        <x:v>80</x:v>
      </x:c>
      <x:c r="I750" s="8" t="str">
        <x:f>B750&amp;" / "&amp;C750&amp;" / "&amp;E750</x:f>
        <x:v>4374 / 2025 / CUTTHROAT TROUT</x:v>
      </x:c>
    </x:row>
    <x:row r="751" ht="23" customHeight="1">
      <x:c r="A751" s="8" t="str">
        <x:v>Crowsnest Lake</x:v>
      </x:c>
      <x:c r="B751" s="8" t="str">
        <x:v>4374</x:v>
      </x:c>
      <x:c r="C751" s="17" t="n">
        <x:v>2025</x:v>
      </x:c>
      <x:c r="D751" s="18" t="n">
        <x:v>45771</x:v>
      </x:c>
      <x:c r="E751" s="8" t="str">
        <x:v>CUTTHROAT TROUT</x:v>
      </x:c>
      <x:c r="F751" s="13" t="n">
        <x:v>7000</x:v>
      </x:c>
      <x:c r="G751" s="9" t="n">
        <x:v>12.3</x:v>
      </x:c>
      <x:c r="H751" s="9" t="n">
        <x:v>19.9</x:v>
      </x:c>
      <x:c r="I751" s="8" t="str">
        <x:f>B751&amp;" / "&amp;C751&amp;" / "&amp;E751</x:f>
        <x:v>4374 / 2025 / CUTTHROAT TROUT</x:v>
      </x:c>
    </x:row>
    <x:row r="752" ht="23" customHeight="1">
      <x:c r="A752" s="8" t="str">
        <x:v>Crowsnest Lake</x:v>
      </x:c>
      <x:c r="B752" s="8" t="str">
        <x:v>4374</x:v>
      </x:c>
      <x:c r="C752" s="17" t="n">
        <x:v>2024</x:v>
      </x:c>
      <x:c r="D752" s="18" t="n">
        <x:v>45437</x:v>
      </x:c>
      <x:c r="E752" s="8" t="str">
        <x:v>RAINBOW TROUT</x:v>
      </x:c>
      <x:c r="F752" s="13" t="n">
        <x:v>2500</x:v>
      </x:c>
      <x:c r="G752" s="9" t="n">
        <x:v>20.5</x:v>
      </x:c>
      <x:c r="H752" s="9" t="n">
        <x:v>95.3</x:v>
      </x:c>
      <x:c r="I752" s="8" t="str">
        <x:f>B752&amp;" / "&amp;C752&amp;" / "&amp;E752</x:f>
        <x:v>4374 / 2024 / RAINBOW TROUT</x:v>
      </x:c>
    </x:row>
    <x:row r="753" ht="23" customHeight="1">
      <x:c r="A753" s="8" t="str">
        <x:v>Crowsnest Lake</x:v>
      </x:c>
      <x:c r="B753" s="8" t="str">
        <x:v>4374</x:v>
      </x:c>
      <x:c r="C753" s="17" t="n">
        <x:v>2024</x:v>
      </x:c>
      <x:c r="D753" s="18" t="n">
        <x:v>45423</x:v>
      </x:c>
      <x:c r="E753" s="8" t="str">
        <x:v>RAINBOW TROUT</x:v>
      </x:c>
      <x:c r="F753" s="13" t="n">
        <x:v>7500</x:v>
      </x:c>
      <x:c r="G753" s="9" t="n">
        <x:v>20</x:v>
      </x:c>
      <x:c r="H753" s="9" t="n">
        <x:v>86.7</x:v>
      </x:c>
      <x:c r="I753" s="8" t="str">
        <x:f>B753&amp;" / "&amp;C753&amp;" / "&amp;E753</x:f>
        <x:v>4374 / 2024 / RAINBOW TROUT</x:v>
      </x:c>
    </x:row>
    <x:row r="754" ht="23" customHeight="1">
      <x:c r="A754" s="8" t="str">
        <x:v>Crowsnest Lake</x:v>
      </x:c>
      <x:c r="B754" s="8" t="str">
        <x:v>4374</x:v>
      </x:c>
      <x:c r="C754" s="17" t="n">
        <x:v>2023</x:v>
      </x:c>
      <x:c r="D754" s="18" t="n">
        <x:v>45070</x:v>
      </x:c>
      <x:c r="E754" s="8" t="str">
        <x:v>CUTTHROAT TROUT</x:v>
      </x:c>
      <x:c r="F754" s="13" t="n">
        <x:v>3000</x:v>
      </x:c>
      <x:c r="G754" s="9" t="n">
        <x:v>16</x:v>
      </x:c>
      <x:c r="H754" s="9" t="n">
        <x:v>47.2</x:v>
      </x:c>
      <x:c r="I754" s="8" t="str">
        <x:f>B754&amp;" / "&amp;C754&amp;" / "&amp;E754</x:f>
        <x:v>4374 / 2023 / CUTTHROAT TROUT</x:v>
      </x:c>
    </x:row>
    <x:row r="755" ht="23" customHeight="1">
      <x:c r="A755" s="8" t="str">
        <x:v>Crowsnest Lake</x:v>
      </x:c>
      <x:c r="B755" s="8" t="str">
        <x:v>4374</x:v>
      </x:c>
      <x:c r="C755" s="17" t="n">
        <x:v>2023</x:v>
      </x:c>
      <x:c r="D755" s="18" t="n">
        <x:v>45050</x:v>
      </x:c>
      <x:c r="E755" s="8" t="str">
        <x:v>CUTTHROAT TROUT</x:v>
      </x:c>
      <x:c r="F755" s="13" t="n">
        <x:v>5000</x:v>
      </x:c>
      <x:c r="G755" s="9" t="n">
        <x:v>13.3</x:v>
      </x:c>
      <x:c r="H755" s="9" t="n">
        <x:v>25.4</x:v>
      </x:c>
      <x:c r="I755" s="8" t="str">
        <x:f>B755&amp;" / "&amp;C755&amp;" / "&amp;E755</x:f>
        <x:v>4374 / 2023 / CUTTHROAT TROUT</x:v>
      </x:c>
    </x:row>
    <x:row r="756" ht="23" customHeight="1">
      <x:c r="A756" s="8" t="str">
        <x:v>Crowsnest Lake</x:v>
      </x:c>
      <x:c r="B756" s="8" t="str">
        <x:v>4374</x:v>
      </x:c>
      <x:c r="C756" s="17" t="n">
        <x:v>2023</x:v>
      </x:c>
      <x:c r="D756" s="18" t="n">
        <x:v>45046</x:v>
      </x:c>
      <x:c r="E756" s="8" t="str">
        <x:v>CUTTHROAT TROUT</x:v>
      </x:c>
      <x:c r="F756" s="13" t="n">
        <x:v>3000</x:v>
      </x:c>
      <x:c r="G756" s="9" t="n">
        <x:v>15.5</x:v>
      </x:c>
      <x:c r="H756" s="9" t="n">
        <x:v>45</x:v>
      </x:c>
      <x:c r="I756" s="8" t="str">
        <x:f>B756&amp;" / "&amp;C756&amp;" / "&amp;E756</x:f>
        <x:v>4374 / 2023 / CUTTHROAT TROUT</x:v>
      </x:c>
    </x:row>
    <x:row r="757" ht="23" customHeight="1">
      <x:c r="A757" s="8" t="str">
        <x:v>Crowsnest Lake</x:v>
      </x:c>
      <x:c r="B757" s="8" t="str">
        <x:v>4374</x:v>
      </x:c>
      <x:c r="C757" s="17" t="n">
        <x:v>2022</x:v>
      </x:c>
      <x:c r="D757" s="18" t="n">
        <x:v>44669</x:v>
      </x:c>
      <x:c r="E757" s="8" t="str">
        <x:v>RAINBOW TROUT</x:v>
      </x:c>
      <x:c r="F757" s="13" t="n">
        <x:v>15000</x:v>
      </x:c>
      <x:c r="G757" s="9" t="n">
        <x:v>17.6</x:v>
      </x:c>
      <x:c r="H757" s="9" t="n">
        <x:v>59.2</x:v>
      </x:c>
      <x:c r="I757" s="8" t="str">
        <x:f>B757&amp;" / "&amp;C757&amp;" / "&amp;E757</x:f>
        <x:v>4374 / 2022 / RAINBOW TROUT</x:v>
      </x:c>
    </x:row>
    <x:row r="758" ht="23" customHeight="1">
      <x:c r="A758" s="8" t="str">
        <x:v>Crowsnest Lake</x:v>
      </x:c>
      <x:c r="B758" s="8" t="str">
        <x:v>4374</x:v>
      </x:c>
      <x:c r="C758" s="17" t="n">
        <x:v>2021</x:v>
      </x:c>
      <x:c r="D758" s="18" t="n">
        <x:v>44314</x:v>
      </x:c>
      <x:c r="E758" s="8" t="str">
        <x:v>RAINBOW TROUT</x:v>
      </x:c>
      <x:c r="F758" s="13" t="n">
        <x:v>15000</x:v>
      </x:c>
      <x:c r="G758" s="9" t="n">
        <x:v>17.5</x:v>
      </x:c>
      <x:c r="H758" s="9" t="n">
        <x:v>59.3</x:v>
      </x:c>
      <x:c r="I758" s="8" t="str">
        <x:f>B758&amp;" / "&amp;C758&amp;" / "&amp;E758</x:f>
        <x:v>4374 / 2021 / RAINBOW TROUT</x:v>
      </x:c>
    </x:row>
    <x:row r="759" ht="23" customHeight="1">
      <x:c r="A759" s="8" t="str">
        <x:v>Cummings Lake</x:v>
      </x:c>
      <x:c r="B759" s="8" t="str">
        <x:v>6850</x:v>
      </x:c>
      <x:c r="C759" s="17" t="n">
        <x:v>2026</x:v>
      </x:c>
      <x:c r="D759" s="18" t="n">
        <x:v>46170</x:v>
      </x:c>
      <x:c r="E759" s="8" t="str">
        <x:v>RAINBOW TROUT</x:v>
      </x:c>
      <x:c r="F759" s="13" t="n">
        <x:v>800</x:v>
      </x:c>
      <x:c r="G759" s="9" t="n">
        <x:v>23.3</x:v>
      </x:c>
      <x:c r="H759" s="9" t="n">
        <x:v>136</x:v>
      </x:c>
      <x:c r="I759" s="8" t="str">
        <x:f>B759&amp;" / "&amp;C759&amp;" / "&amp;E759</x:f>
        <x:v>6850 / 2026 / RAINBOW TROUT</x:v>
      </x:c>
    </x:row>
    <x:row r="760" ht="23" customHeight="1">
      <x:c r="A760" s="8" t="str">
        <x:v>Cummings Lake</x:v>
      </x:c>
      <x:c r="B760" s="8" t="str">
        <x:v>6850</x:v>
      </x:c>
      <x:c r="C760" s="17" t="n">
        <x:v>2026</x:v>
      </x:c>
      <x:c r="D760" s="18" t="n">
        <x:v>46170</x:v>
      </x:c>
      <x:c r="E760" s="8" t="str">
        <x:v>WESTSLOPE CUTTHROAT TROUT</x:v>
      </x:c>
      <x:c r="F760" s="13" t="n">
        <x:v>800</x:v>
      </x:c>
      <x:c r="G760" s="9" t="n">
        <x:v>15.4</x:v>
      </x:c>
      <x:c r="H760" s="9" t="n">
        <x:v>39.5</x:v>
      </x:c>
      <x:c r="I760" s="8" t="str">
        <x:f>B760&amp;" / "&amp;C760&amp;" / "&amp;E760</x:f>
        <x:v>6850 / 2026 / WESTSLOPE CUTTHROAT TROUT</x:v>
      </x:c>
    </x:row>
    <x:row r="761" ht="23" customHeight="1">
      <x:c r="A761" s="8" t="str">
        <x:v>Cummings Lake</x:v>
      </x:c>
      <x:c r="B761" s="8" t="str">
        <x:v>6850</x:v>
      </x:c>
      <x:c r="C761" s="17" t="n">
        <x:v>2024</x:v>
      </x:c>
      <x:c r="D761" s="18" t="n">
        <x:v>45428</x:v>
      </x:c>
      <x:c r="E761" s="8" t="str">
        <x:v>RAINBOW TROUT</x:v>
      </x:c>
      <x:c r="F761" s="13" t="n">
        <x:v>1600</x:v>
      </x:c>
      <x:c r="G761" s="9" t="n">
        <x:v>19.1</x:v>
      </x:c>
      <x:c r="H761" s="9" t="n">
        <x:v>75.1</x:v>
      </x:c>
      <x:c r="I761" s="8" t="str">
        <x:f>B761&amp;" / "&amp;C761&amp;" / "&amp;E761</x:f>
        <x:v>6850 / 2024 / RAINBOW TROUT</x:v>
      </x:c>
    </x:row>
    <x:row r="762" ht="23" customHeight="1">
      <x:c r="A762" s="8" t="str">
        <x:v>Dandurand Lake</x:v>
      </x:c>
      <x:c r="B762" s="8" t="str">
        <x:v>6659</x:v>
      </x:c>
      <x:c r="C762" s="17" t="n">
        <x:v>2026</x:v>
      </x:c>
      <x:c r="D762" s="18" t="n">
        <x:v>46168</x:v>
      </x:c>
      <x:c r="E762" s="8" t="str">
        <x:v>RAINBOW TROUT</x:v>
      </x:c>
      <x:c r="F762" s="13" t="n">
        <x:v>1000</x:v>
      </x:c>
      <x:c r="G762" s="9" t="n">
        <x:v>20.7</x:v>
      </x:c>
      <x:c r="H762" s="9" t="n">
        <x:v>95.2</x:v>
      </x:c>
      <x:c r="I762" s="8" t="str">
        <x:f>B762&amp;" / "&amp;C762&amp;" / "&amp;E762</x:f>
        <x:v>6659 / 2026 / RAINBOW TROUT</x:v>
      </x:c>
    </x:row>
    <x:row r="763" ht="23" customHeight="1">
      <x:c r="A763" s="8" t="str">
        <x:v>Dandurand Lake</x:v>
      </x:c>
      <x:c r="B763" s="8" t="str">
        <x:v>6659</x:v>
      </x:c>
      <x:c r="C763" s="17" t="n">
        <x:v>2025</x:v>
      </x:c>
      <x:c r="D763" s="18" t="n">
        <x:v>45804</x:v>
      </x:c>
      <x:c r="E763" s="8" t="str">
        <x:v>RAINBOW TROUT</x:v>
      </x:c>
      <x:c r="F763" s="13" t="n">
        <x:v>1000</x:v>
      </x:c>
      <x:c r="G763" s="9" t="n">
        <x:v>21.2</x:v>
      </x:c>
      <x:c r="H763" s="9" t="n">
        <x:v>103</x:v>
      </x:c>
      <x:c r="I763" s="8" t="str">
        <x:f>B763&amp;" / "&amp;C763&amp;" / "&amp;E763</x:f>
        <x:v>6659 / 2025 / RAINBOW TROUT</x:v>
      </x:c>
    </x:row>
    <x:row r="764" ht="23" customHeight="1">
      <x:c r="A764" s="8" t="str">
        <x:v>Dandurand Lake</x:v>
      </x:c>
      <x:c r="B764" s="8" t="str">
        <x:v>6659</x:v>
      </x:c>
      <x:c r="C764" s="17" t="n">
        <x:v>2024</x:v>
      </x:c>
      <x:c r="D764" s="18" t="n">
        <x:v>45428</x:v>
      </x:c>
      <x:c r="E764" s="8" t="str">
        <x:v>RAINBOW TROUT</x:v>
      </x:c>
      <x:c r="F764" s="13" t="n">
        <x:v>500</x:v>
      </x:c>
      <x:c r="G764" s="9" t="n">
        <x:v>20</x:v>
      </x:c>
      <x:c r="H764" s="9" t="n">
        <x:v>85.9</x:v>
      </x:c>
      <x:c r="I764" s="8" t="str">
        <x:f>B764&amp;" / "&amp;C764&amp;" / "&amp;E764</x:f>
        <x:v>6659 / 2024 / RAINBOW TROUT</x:v>
      </x:c>
    </x:row>
    <x:row r="765" ht="23" customHeight="1">
      <x:c r="A765" s="8" t="str">
        <x:v>Dandurand Lake</x:v>
      </x:c>
      <x:c r="B765" s="8" t="str">
        <x:v>6659</x:v>
      </x:c>
      <x:c r="C765" s="17" t="n">
        <x:v>2023</x:v>
      </x:c>
      <x:c r="D765" s="18" t="n">
        <x:v>45068</x:v>
      </x:c>
      <x:c r="E765" s="8" t="str">
        <x:v>RAINBOW TROUT</x:v>
      </x:c>
      <x:c r="F765" s="13" t="n">
        <x:v>502</x:v>
      </x:c>
      <x:c r="G765" s="9" t="n">
        <x:v>21.7</x:v>
      </x:c>
      <x:c r="H765" s="9" t="n">
        <x:v>110</x:v>
      </x:c>
      <x:c r="I765" s="8" t="str">
        <x:f>B765&amp;" / "&amp;C765&amp;" / "&amp;E765</x:f>
        <x:v>6659 / 2023 / RAINBOW TROUT</x:v>
      </x:c>
    </x:row>
    <x:row r="766" ht="23" customHeight="1">
      <x:c r="A766" s="8" t="str">
        <x:v>Dandurand Lake</x:v>
      </x:c>
      <x:c r="B766" s="8" t="str">
        <x:v>6659</x:v>
      </x:c>
      <x:c r="C766" s="17" t="n">
        <x:v>2022</x:v>
      </x:c>
      <x:c r="D766" s="18" t="n">
        <x:v>44700</x:v>
      </x:c>
      <x:c r="E766" s="8" t="str">
        <x:v>RAINBOW TROUT</x:v>
      </x:c>
      <x:c r="F766" s="13" t="n">
        <x:v>1000</x:v>
      </x:c>
      <x:c r="G766" s="9" t="n">
        <x:v>22.2</x:v>
      </x:c>
      <x:c r="H766" s="9" t="n">
        <x:v>118.8</x:v>
      </x:c>
      <x:c r="I766" s="8" t="str">
        <x:f>B766&amp;" / "&amp;C766&amp;" / "&amp;E766</x:f>
        <x:v>6659 / 2022 / RAINBOW TROUT</x:v>
      </x:c>
    </x:row>
    <x:row r="767" ht="23" customHeight="1">
      <x:c r="A767" s="8" t="str">
        <x:v>Dandurand Lake</x:v>
      </x:c>
      <x:c r="B767" s="8" t="str">
        <x:v>6659</x:v>
      </x:c>
      <x:c r="C767" s="17" t="n">
        <x:v>2021</x:v>
      </x:c>
      <x:c r="D767" s="18" t="n">
        <x:v>44327</x:v>
      </x:c>
      <x:c r="E767" s="8" t="str">
        <x:v>RAINBOW TROUT</x:v>
      </x:c>
      <x:c r="F767" s="13" t="n">
        <x:v>1000</x:v>
      </x:c>
      <x:c r="G767" s="9" t="n">
        <x:v>20.4</x:v>
      </x:c>
      <x:c r="H767" s="9" t="n">
        <x:v>93.4</x:v>
      </x:c>
      <x:c r="I767" s="8" t="str">
        <x:f>B767&amp;" / "&amp;C767&amp;" / "&amp;E767</x:f>
        <x:v>6659 / 2021 / RAINBOW TROUT</x:v>
      </x:c>
    </x:row>
    <x:row r="768" ht="23" customHeight="1">
      <x:c r="A768" s="8" t="str">
        <x:v>Daysland Pond</x:v>
      </x:c>
      <x:c r="B768" s="8" t="str">
        <x:v>6852</x:v>
      </x:c>
      <x:c r="C768" s="17" t="n">
        <x:v>2026</x:v>
      </x:c>
      <x:c r="D768" s="18" t="n">
        <x:v>46153</x:v>
      </x:c>
      <x:c r="E768" s="8" t="str">
        <x:v>RAINBOW TROUT</x:v>
      </x:c>
      <x:c r="F768" s="13" t="n">
        <x:v>400</x:v>
      </x:c>
      <x:c r="G768" s="9" t="n">
        <x:v>22.7</x:v>
      </x:c>
      <x:c r="H768" s="9" t="n">
        <x:v>126.6</x:v>
      </x:c>
      <x:c r="I768" s="8" t="str">
        <x:f>B768&amp;" / "&amp;C768&amp;" / "&amp;E768</x:f>
        <x:v>6852 / 2026 / RAINBOW TROUT</x:v>
      </x:c>
    </x:row>
    <x:row r="769" ht="23" customHeight="1">
      <x:c r="A769" s="8" t="str">
        <x:v>Daysland Pond</x:v>
      </x:c>
      <x:c r="B769" s="8" t="str">
        <x:v>6852</x:v>
      </x:c>
      <x:c r="C769" s="17" t="n">
        <x:v>2025</x:v>
      </x:c>
      <x:c r="D769" s="18" t="n">
        <x:v>45771</x:v>
      </x:c>
      <x:c r="E769" s="8" t="str">
        <x:v>RAINBOW TROUT</x:v>
      </x:c>
      <x:c r="F769" s="13" t="n">
        <x:v>400</x:v>
      </x:c>
      <x:c r="G769" s="9" t="n">
        <x:v>20.3</x:v>
      </x:c>
      <x:c r="H769" s="9" t="n">
        <x:v>90.9</x:v>
      </x:c>
      <x:c r="I769" s="8" t="str">
        <x:f>B769&amp;" / "&amp;C769&amp;" / "&amp;E769</x:f>
        <x:v>6852 / 2025 / RAINBOW TROUT</x:v>
      </x:c>
    </x:row>
    <x:row r="770" ht="23" customHeight="1">
      <x:c r="A770" s="8" t="str">
        <x:v>Daysland Pond</x:v>
      </x:c>
      <x:c r="B770" s="8" t="str">
        <x:v>6852</x:v>
      </x:c>
      <x:c r="C770" s="17" t="n">
        <x:v>2024</x:v>
      </x:c>
      <x:c r="D770" s="18" t="n">
        <x:v>45400</x:v>
      </x:c>
      <x:c r="E770" s="8" t="str">
        <x:v>RAINBOW TROUT</x:v>
      </x:c>
      <x:c r="F770" s="13" t="n">
        <x:v>400</x:v>
      </x:c>
      <x:c r="G770" s="9" t="n">
        <x:v>21.3</x:v>
      </x:c>
      <x:c r="H770" s="9" t="n">
        <x:v>104.5</x:v>
      </x:c>
      <x:c r="I770" s="8" t="str">
        <x:f>B770&amp;" / "&amp;C770&amp;" / "&amp;E770</x:f>
        <x:v>6852 / 2024 / RAINBOW TROUT</x:v>
      </x:c>
    </x:row>
    <x:row r="771" ht="23" customHeight="1">
      <x:c r="A771" s="8" t="str">
        <x:v>Daysland Pond</x:v>
      </x:c>
      <x:c r="B771" s="8" t="str">
        <x:v>6852</x:v>
      </x:c>
      <x:c r="C771" s="17" t="n">
        <x:v>2023</x:v>
      </x:c>
      <x:c r="D771" s="18" t="n">
        <x:v>45049</x:v>
      </x:c>
      <x:c r="E771" s="8" t="str">
        <x:v>RAINBOW TROUT</x:v>
      </x:c>
      <x:c r="F771" s="13" t="n">
        <x:v>400</x:v>
      </x:c>
      <x:c r="G771" s="9" t="n">
        <x:v>20</x:v>
      </x:c>
      <x:c r="H771" s="9" t="n">
        <x:v>85.9</x:v>
      </x:c>
      <x:c r="I771" s="8" t="str">
        <x:f>B771&amp;" / "&amp;C771&amp;" / "&amp;E771</x:f>
        <x:v>6852 / 2023 / RAINBOW TROUT</x:v>
      </x:c>
    </x:row>
    <x:row r="772" ht="23" customHeight="1">
      <x:c r="A772" s="8" t="str">
        <x:v>Daysland Pond</x:v>
      </x:c>
      <x:c r="B772" s="8" t="str">
        <x:v>6852</x:v>
      </x:c>
      <x:c r="C772" s="17" t="n">
        <x:v>2022</x:v>
      </x:c>
      <x:c r="D772" s="18" t="n">
        <x:v>44684</x:v>
      </x:c>
      <x:c r="E772" s="8" t="str">
        <x:v>RAINBOW TROUT</x:v>
      </x:c>
      <x:c r="F772" s="13" t="n">
        <x:v>400</x:v>
      </x:c>
      <x:c r="G772" s="9" t="n">
        <x:v>21.9</x:v>
      </x:c>
      <x:c r="H772" s="9" t="n">
        <x:v>115.6</x:v>
      </x:c>
      <x:c r="I772" s="8" t="str">
        <x:f>B772&amp;" / "&amp;C772&amp;" / "&amp;E772</x:f>
        <x:v>6852 / 2022 / RAINBOW TROUT</x:v>
      </x:c>
    </x:row>
    <x:row r="773" ht="23" customHeight="1">
      <x:c r="A773" s="8" t="str">
        <x:v>Daysland Pond</x:v>
      </x:c>
      <x:c r="B773" s="8" t="str">
        <x:v>6852</x:v>
      </x:c>
      <x:c r="C773" s="17" t="n">
        <x:v>2021</x:v>
      </x:c>
      <x:c r="D773" s="18" t="n">
        <x:v>44309</x:v>
      </x:c>
      <x:c r="E773" s="8" t="str">
        <x:v>RAINBOW TROUT</x:v>
      </x:c>
      <x:c r="F773" s="13" t="n">
        <x:v>400</x:v>
      </x:c>
      <x:c r="G773" s="9" t="n">
        <x:v>22.1</x:v>
      </x:c>
      <x:c r="H773" s="9" t="n">
        <x:v>119</x:v>
      </x:c>
      <x:c r="I773" s="8" t="str">
        <x:f>B773&amp;" / "&amp;C773&amp;" / "&amp;E773</x:f>
        <x:v>6852 / 2021 / RAINBOW TROUT</x:v>
      </x:c>
    </x:row>
    <x:row r="774" ht="23" customHeight="1">
      <x:c r="A774" s="8" t="str">
        <x:v>Dewitt's Pond</x:v>
      </x:c>
      <x:c r="B774" s="8" t="str">
        <x:v>6853</x:v>
      </x:c>
      <x:c r="C774" s="17" t="n">
        <x:v>2026</x:v>
      </x:c>
      <x:c r="D774" s="18" t="n">
        <x:v>46142</x:v>
      </x:c>
      <x:c r="E774" s="8" t="str">
        <x:v>BROWN TROUT</x:v>
      </x:c>
      <x:c r="F774" s="13" t="n">
        <x:v>1250</x:v>
      </x:c>
      <x:c r="G774" s="9" t="n">
        <x:v>18.4</x:v>
      </x:c>
      <x:c r="H774" s="9" t="n">
        <x:v>66.8</x:v>
      </x:c>
      <x:c r="I774" s="8" t="str">
        <x:f>B774&amp;" / "&amp;C774&amp;" / "&amp;E774</x:f>
        <x:v>6853 / 2026 / BROWN TROUT</x:v>
      </x:c>
    </x:row>
    <x:row r="775" ht="23" customHeight="1">
      <x:c r="A775" s="8" t="str">
        <x:v>Dewitt's Pond</x:v>
      </x:c>
      <x:c r="B775" s="8" t="str">
        <x:v>6853</x:v>
      </x:c>
      <x:c r="C775" s="17" t="n">
        <x:v>2026</x:v>
      </x:c>
      <x:c r="D775" s="18" t="n">
        <x:v>46142</x:v>
      </x:c>
      <x:c r="E775" s="8" t="str">
        <x:v>BROWN TROUT</x:v>
      </x:c>
      <x:c r="F775" s="13" t="n">
        <x:v>1345</x:v>
      </x:c>
      <x:c r="G775" s="9" t="n">
        <x:v>18.4</x:v>
      </x:c>
      <x:c r="H775" s="9" t="n">
        <x:v>66.8</x:v>
      </x:c>
      <x:c r="I775" s="8" t="str">
        <x:f>B775&amp;" / "&amp;C775&amp;" / "&amp;E775</x:f>
        <x:v>6853 / 2026 / BROWN TROUT</x:v>
      </x:c>
    </x:row>
    <x:row r="776" ht="23" customHeight="1">
      <x:c r="A776" s="8" t="str">
        <x:v>Dewitt's Pond</x:v>
      </x:c>
      <x:c r="B776" s="8" t="str">
        <x:v>6853</x:v>
      </x:c>
      <x:c r="C776" s="17" t="n">
        <x:v>2026</x:v>
      </x:c>
      <x:c r="D776" s="18" t="n">
        <x:v>46135</x:v>
      </x:c>
      <x:c r="E776" s="8" t="str">
        <x:v>RAINBOW TROUT</x:v>
      </x:c>
      <x:c r="F776" s="13" t="n">
        <x:v>1000</x:v>
      </x:c>
      <x:c r="G776" s="9" t="n">
        <x:v>22.3</x:v>
      </x:c>
      <x:c r="H776" s="9" t="n">
        <x:v>92.6</x:v>
      </x:c>
      <x:c r="I776" s="8" t="str">
        <x:f>B776&amp;" / "&amp;C776&amp;" / "&amp;E776</x:f>
        <x:v>6853 / 2026 / RAINBOW TROUT</x:v>
      </x:c>
    </x:row>
    <x:row r="777" ht="23" customHeight="1">
      <x:c r="A777" s="8" t="str">
        <x:v>Dewitt's Pond</x:v>
      </x:c>
      <x:c r="B777" s="8" t="str">
        <x:v>6853</x:v>
      </x:c>
      <x:c r="C777" s="17" t="n">
        <x:v>2025</x:v>
      </x:c>
      <x:c r="D777" s="18" t="n">
        <x:v>45791</x:v>
      </x:c>
      <x:c r="E777" s="8" t="str">
        <x:v>BROWN TROUT</x:v>
      </x:c>
      <x:c r="F777" s="13" t="n">
        <x:v>2595</x:v>
      </x:c>
      <x:c r="G777" s="9" t="n">
        <x:v>19.3</x:v>
      </x:c>
      <x:c r="H777" s="9" t="n">
        <x:v>77.7</x:v>
      </x:c>
      <x:c r="I777" s="8" t="str">
        <x:f>B777&amp;" / "&amp;C777&amp;" / "&amp;E777</x:f>
        <x:v>6853 / 2025 / BROWN TROUT</x:v>
      </x:c>
    </x:row>
    <x:row r="778" ht="23" customHeight="1">
      <x:c r="A778" s="8" t="str">
        <x:v>Dewitt's Pond</x:v>
      </x:c>
      <x:c r="B778" s="8" t="str">
        <x:v>6853</x:v>
      </x:c>
      <x:c r="C778" s="17" t="n">
        <x:v>2025</x:v>
      </x:c>
      <x:c r="D778" s="18" t="n">
        <x:v>45763</x:v>
      </x:c>
      <x:c r="E778" s="8" t="str">
        <x:v>RAINBOW TROUT</x:v>
      </x:c>
      <x:c r="F778" s="13" t="n">
        <x:v>1000</x:v>
      </x:c>
      <x:c r="G778" s="9" t="n">
        <x:v>20.3</x:v>
      </x:c>
      <x:c r="H778" s="9" t="n">
        <x:v>94.3</x:v>
      </x:c>
      <x:c r="I778" s="8" t="str">
        <x:f>B778&amp;" / "&amp;C778&amp;" / "&amp;E778</x:f>
        <x:v>6853 / 2025 / RAINBOW TROUT</x:v>
      </x:c>
    </x:row>
    <x:row r="779" ht="23" customHeight="1">
      <x:c r="A779" s="8" t="str">
        <x:v>Dewitt's Pond</x:v>
      </x:c>
      <x:c r="B779" s="8" t="str">
        <x:v>6853</x:v>
      </x:c>
      <x:c r="C779" s="17" t="n">
        <x:v>2024</x:v>
      </x:c>
      <x:c r="D779" s="18" t="n">
        <x:v>45414</x:v>
      </x:c>
      <x:c r="E779" s="8" t="str">
        <x:v>BROWN TROUT</x:v>
      </x:c>
      <x:c r="F779" s="13" t="n">
        <x:v>2350</x:v>
      </x:c>
      <x:c r="G779" s="9" t="n">
        <x:v>19.8</x:v>
      </x:c>
      <x:c r="H779" s="9" t="n">
        <x:v>84</x:v>
      </x:c>
      <x:c r="I779" s="8" t="str">
        <x:f>B779&amp;" / "&amp;C779&amp;" / "&amp;E779</x:f>
        <x:v>6853 / 2024 / BROWN TROUT</x:v>
      </x:c>
    </x:row>
    <x:row r="780" ht="23" customHeight="1">
      <x:c r="A780" s="8" t="str">
        <x:v>Dewitt's Pond</x:v>
      </x:c>
      <x:c r="B780" s="8" t="str">
        <x:v>6853</x:v>
      </x:c>
      <x:c r="C780" s="17" t="n">
        <x:v>2024</x:v>
      </x:c>
      <x:c r="D780" s="18" t="n">
        <x:v>45404</x:v>
      </x:c>
      <x:c r="E780" s="8" t="str">
        <x:v>RAINBOW TROUT</x:v>
      </x:c>
      <x:c r="F780" s="13" t="n">
        <x:v>1100</x:v>
      </x:c>
      <x:c r="G780" s="9" t="n">
        <x:v>20.5</x:v>
      </x:c>
      <x:c r="H780" s="9" t="n">
        <x:v>93.1</x:v>
      </x:c>
      <x:c r="I780" s="8" t="str">
        <x:f>B780&amp;" / "&amp;C780&amp;" / "&amp;E780</x:f>
        <x:v>6853 / 2024 / RAINBOW TROUT</x:v>
      </x:c>
    </x:row>
    <x:row r="781" ht="23" customHeight="1">
      <x:c r="A781" s="8" t="str">
        <x:v>Dewitt's Pond</x:v>
      </x:c>
      <x:c r="B781" s="8" t="str">
        <x:v>6853</x:v>
      </x:c>
      <x:c r="C781" s="17" t="n">
        <x:v>2023</x:v>
      </x:c>
      <x:c r="D781" s="18" t="n">
        <x:v>45048</x:v>
      </x:c>
      <x:c r="E781" s="8" t="str">
        <x:v>BROWN TROUT</x:v>
      </x:c>
      <x:c r="F781" s="13" t="n">
        <x:v>2350</x:v>
      </x:c>
      <x:c r="G781" s="9" t="n">
        <x:v>18.7</x:v>
      </x:c>
      <x:c r="H781" s="9" t="n">
        <x:v>70.7</x:v>
      </x:c>
      <x:c r="I781" s="8" t="str">
        <x:f>B781&amp;" / "&amp;C781&amp;" / "&amp;E781</x:f>
        <x:v>6853 / 2023 / BROWN TROUT</x:v>
      </x:c>
    </x:row>
    <x:row r="782" ht="23" customHeight="1">
      <x:c r="A782" s="8" t="str">
        <x:v>Dewitt's Pond</x:v>
      </x:c>
      <x:c r="B782" s="8" t="str">
        <x:v>6853</x:v>
      </x:c>
      <x:c r="C782" s="17" t="n">
        <x:v>2023</x:v>
      </x:c>
      <x:c r="D782" s="18" t="n">
        <x:v>45088</x:v>
      </x:c>
      <x:c r="E782" s="8" t="str">
        <x:v>RAINBOW TROUT</x:v>
      </x:c>
      <x:c r="F782" s="13" t="n">
        <x:v>1100</x:v>
      </x:c>
      <x:c r="G782" s="9" t="n">
        <x:v>20.3</x:v>
      </x:c>
      <x:c r="H782" s="9" t="n">
        <x:v>90.9</x:v>
      </x:c>
      <x:c r="I782" s="8" t="str">
        <x:f>B782&amp;" / "&amp;C782&amp;" / "&amp;E782</x:f>
        <x:v>6853 / 2023 / RAINBOW TROUT</x:v>
      </x:c>
    </x:row>
    <x:row r="783" ht="23" customHeight="1">
      <x:c r="A783" s="8" t="str">
        <x:v>Dewitt's Pond</x:v>
      </x:c>
      <x:c r="B783" s="8" t="str">
        <x:v>6853</x:v>
      </x:c>
      <x:c r="C783" s="17" t="n">
        <x:v>2022</x:v>
      </x:c>
      <x:c r="D783" s="18" t="n">
        <x:v>44677</x:v>
      </x:c>
      <x:c r="E783" s="8" t="str">
        <x:v>BROWN TROUT</x:v>
      </x:c>
      <x:c r="F783" s="13" t="n">
        <x:v>2350</x:v>
      </x:c>
      <x:c r="G783" s="9" t="n">
        <x:v>18.2</x:v>
      </x:c>
      <x:c r="H783" s="9" t="n">
        <x:v>66.5</x:v>
      </x:c>
      <x:c r="I783" s="8" t="str">
        <x:f>B783&amp;" / "&amp;C783&amp;" / "&amp;E783</x:f>
        <x:v>6853 / 2022 / BROWN TROUT</x:v>
      </x:c>
    </x:row>
    <x:row r="784" ht="23" customHeight="1">
      <x:c r="A784" s="8" t="str">
        <x:v>Dewitt's Pond</x:v>
      </x:c>
      <x:c r="B784" s="8" t="str">
        <x:v>6853</x:v>
      </x:c>
      <x:c r="C784" s="17" t="n">
        <x:v>2022</x:v>
      </x:c>
      <x:c r="D784" s="18" t="n">
        <x:v>44721</x:v>
      </x:c>
      <x:c r="E784" s="8" t="str">
        <x:v>RAINBOW TROUT</x:v>
      </x:c>
      <x:c r="F784" s="13" t="n">
        <x:v>1300</x:v>
      </x:c>
      <x:c r="G784" s="9" t="n">
        <x:v>20.1</x:v>
      </x:c>
      <x:c r="H784" s="9" t="n">
        <x:v>90.6</x:v>
      </x:c>
      <x:c r="I784" s="8" t="str">
        <x:f>B784&amp;" / "&amp;C784&amp;" / "&amp;E784</x:f>
        <x:v>6853 / 2022 / RAINBOW TROUT</x:v>
      </x:c>
    </x:row>
    <x:row r="785" ht="23" customHeight="1">
      <x:c r="A785" s="8" t="str">
        <x:v>Dewitt's Pond</x:v>
      </x:c>
      <x:c r="B785" s="8" t="str">
        <x:v>6853</x:v>
      </x:c>
      <x:c r="C785" s="17" t="n">
        <x:v>2021</x:v>
      </x:c>
      <x:c r="D785" s="18" t="n">
        <x:v>44301</x:v>
      </x:c>
      <x:c r="E785" s="8" t="str">
        <x:v>BROWN TROUT</x:v>
      </x:c>
      <x:c r="F785" s="13" t="n">
        <x:v>2350</x:v>
      </x:c>
      <x:c r="G785" s="9" t="n">
        <x:v>17</x:v>
      </x:c>
      <x:c r="H785" s="9" t="n">
        <x:v>54</x:v>
      </x:c>
      <x:c r="I785" s="8" t="str">
        <x:f>B785&amp;" / "&amp;C785&amp;" / "&amp;E785</x:f>
        <x:v>6853 / 2021 / BROWN TROUT</x:v>
      </x:c>
    </x:row>
    <x:row r="786" ht="23" customHeight="1">
      <x:c r="A786" s="8" t="str">
        <x:v>Dewitt's Pond</x:v>
      </x:c>
      <x:c r="B786" s="8" t="str">
        <x:v>6853</x:v>
      </x:c>
      <x:c r="C786" s="17" t="n">
        <x:v>2021</x:v>
      </x:c>
      <x:c r="D786" s="18" t="n">
        <x:v>44370</x:v>
      </x:c>
      <x:c r="E786" s="8" t="str">
        <x:v>RAINBOW TROUT</x:v>
      </x:c>
      <x:c r="F786" s="13" t="n">
        <x:v>1300</x:v>
      </x:c>
      <x:c r="G786" s="9" t="n">
        <x:v>21.1</x:v>
      </x:c>
      <x:c r="H786" s="9" t="n">
        <x:v>91.2</x:v>
      </x:c>
      <x:c r="I786" s="8" t="str">
        <x:f>B786&amp;" / "&amp;C786&amp;" / "&amp;E786</x:f>
        <x:v>6853 / 2021 / RAINBOW TROUT</x:v>
      </x:c>
    </x:row>
    <x:row r="787" ht="23" customHeight="1">
      <x:c r="A787" s="8" t="str">
        <x:v>Dickson Trout Pond</x:v>
      </x:c>
      <x:c r="B787" s="8" t="str">
        <x:v>6844</x:v>
      </x:c>
      <x:c r="C787" s="17" t="n">
        <x:v>2026</x:v>
      </x:c>
      <x:c r="D787" s="18" t="n">
        <x:v>46175</x:v>
      </x:c>
      <x:c r="E787" s="8" t="str">
        <x:v>RAINBOW TROUT</x:v>
      </x:c>
      <x:c r="F787" s="13" t="n">
        <x:v>519</x:v>
      </x:c>
      <x:c r="G787" s="9" t="n">
        <x:v>23.9</x:v>
      </x:c>
      <x:c r="H787" s="9" t="n">
        <x:v>147.4</x:v>
      </x:c>
      <x:c r="I787" s="8" t="str">
        <x:f>B787&amp;" / "&amp;C787&amp;" / "&amp;E787</x:f>
        <x:v>6844 / 2026 / RAINBOW TROUT</x:v>
      </x:c>
    </x:row>
    <x:row r="788" ht="23" customHeight="1">
      <x:c r="A788" s="8" t="str">
        <x:v>Dickson Trout Pond</x:v>
      </x:c>
      <x:c r="B788" s="8" t="str">
        <x:v>6844</x:v>
      </x:c>
      <x:c r="C788" s="17" t="n">
        <x:v>2026</x:v>
      </x:c>
      <x:c r="D788" s="18" t="n">
        <x:v>46146</x:v>
      </x:c>
      <x:c r="E788" s="8" t="str">
        <x:v>RAINBOW TROUT</x:v>
      </x:c>
      <x:c r="F788" s="13" t="n">
        <x:v>8793</x:v>
      </x:c>
      <x:c r="G788" s="9" t="n">
        <x:v>20.1</x:v>
      </x:c>
      <x:c r="H788" s="9" t="n">
        <x:v>87.3</x:v>
      </x:c>
      <x:c r="I788" s="8" t="str">
        <x:f>B788&amp;" / "&amp;C788&amp;" / "&amp;E788</x:f>
        <x:v>6844 / 2026 / RAINBOW TROUT</x:v>
      </x:c>
    </x:row>
    <x:row r="789" ht="23" customHeight="1">
      <x:c r="A789" s="8" t="str">
        <x:v>Dickson Trout Pond</x:v>
      </x:c>
      <x:c r="B789" s="8" t="str">
        <x:v>6844</x:v>
      </x:c>
      <x:c r="C789" s="17" t="n">
        <x:v>2026</x:v>
      </x:c>
      <x:c r="D789" s="18" t="n">
        <x:v>46146</x:v>
      </x:c>
      <x:c r="E789" s="8" t="str">
        <x:v>RAINBOW TROUT</x:v>
      </x:c>
      <x:c r="F789" s="13" t="n">
        <x:v>6938</x:v>
      </x:c>
      <x:c r="G789" s="9" t="n">
        <x:v>20.1</x:v>
      </x:c>
      <x:c r="H789" s="9" t="n">
        <x:v>87.3</x:v>
      </x:c>
      <x:c r="I789" s="8" t="str">
        <x:f>B789&amp;" / "&amp;C789&amp;" / "&amp;E789</x:f>
        <x:v>6844 / 2026 / RAINBOW TROUT</x:v>
      </x:c>
    </x:row>
    <x:row r="790" ht="23" customHeight="1">
      <x:c r="A790" s="8" t="str">
        <x:v>Dickson Trout Pond</x:v>
      </x:c>
      <x:c r="B790" s="8" t="str">
        <x:v>6844</x:v>
      </x:c>
      <x:c r="C790" s="17" t="n">
        <x:v>2026</x:v>
      </x:c>
      <x:c r="D790" s="18" t="n">
        <x:v>46146</x:v>
      </x:c>
      <x:c r="E790" s="8" t="str">
        <x:v>RAINBOW TROUT</x:v>
      </x:c>
      <x:c r="F790" s="13" t="n">
        <x:v>4272</x:v>
      </x:c>
      <x:c r="G790" s="9" t="n">
        <x:v>20.6</x:v>
      </x:c>
      <x:c r="H790" s="9" t="n">
        <x:v>94.1</x:v>
      </x:c>
      <x:c r="I790" s="8" t="str">
        <x:f>B790&amp;" / "&amp;C790&amp;" / "&amp;E790</x:f>
        <x:v>6844 / 2026 / RAINBOW TROUT</x:v>
      </x:c>
    </x:row>
    <x:row r="791" ht="23" customHeight="1">
      <x:c r="A791" s="8" t="str">
        <x:v>Dickson Trout Pond</x:v>
      </x:c>
      <x:c r="B791" s="8" t="str">
        <x:v>6844</x:v>
      </x:c>
      <x:c r="C791" s="17" t="n">
        <x:v>2026</x:v>
      </x:c>
      <x:c r="D791" s="18" t="n">
        <x:v>46146</x:v>
      </x:c>
      <x:c r="E791" s="8" t="str">
        <x:v>TIGER TROUT</x:v>
      </x:c>
      <x:c r="F791" s="13" t="n">
        <x:v>1700</x:v>
      </x:c>
      <x:c r="G791" s="9" t="n">
        <x:v>17.7</x:v>
      </x:c>
      <x:c r="H791" s="9" t="n">
        <x:v>60.3</x:v>
      </x:c>
      <x:c r="I791" s="8" t="str">
        <x:f>B791&amp;" / "&amp;C791&amp;" / "&amp;E791</x:f>
        <x:v>6844 / 2026 / TIGER TROUT</x:v>
      </x:c>
    </x:row>
    <x:row r="792" ht="23" customHeight="1">
      <x:c r="A792" s="8" t="str">
        <x:v>Dickson Trout Pond</x:v>
      </x:c>
      <x:c r="B792" s="8" t="str">
        <x:v>6844</x:v>
      </x:c>
      <x:c r="C792" s="17" t="n">
        <x:v>2025</x:v>
      </x:c>
      <x:c r="D792" s="18" t="n">
        <x:v>45932</x:v>
      </x:c>
      <x:c r="E792" s="8" t="str">
        <x:v>RAINBOW TROUT</x:v>
      </x:c>
      <x:c r="F792" s="13" t="n">
        <x:v>2030</x:v>
      </x:c>
      <x:c r="G792" s="9" t="n">
        <x:v>25.7</x:v>
      </x:c>
      <x:c r="H792" s="9" t="n">
        <x:v>187.7</x:v>
      </x:c>
      <x:c r="I792" s="8" t="str">
        <x:f>B792&amp;" / "&amp;C792&amp;" / "&amp;E792</x:f>
        <x:v>6844 / 2025 / RAINBOW TROUT</x:v>
      </x:c>
    </x:row>
    <x:row r="793" ht="23" customHeight="1">
      <x:c r="A793" s="8" t="str">
        <x:v>Dickson Trout Pond</x:v>
      </x:c>
      <x:c r="B793" s="8" t="str">
        <x:v>6844</x:v>
      </x:c>
      <x:c r="C793" s="17" t="n">
        <x:v>2025</x:v>
      </x:c>
      <x:c r="D793" s="18" t="n">
        <x:v>45932</x:v>
      </x:c>
      <x:c r="E793" s="8" t="str">
        <x:v>RAINBOW TROUT</x:v>
      </x:c>
      <x:c r="F793" s="13" t="n">
        <x:v>5410</x:v>
      </x:c>
      <x:c r="G793" s="9" t="n">
        <x:v>20.7</x:v>
      </x:c>
      <x:c r="H793" s="9" t="n">
        <x:v>97.8</x:v>
      </x:c>
      <x:c r="I793" s="8" t="str">
        <x:f>B793&amp;" / "&amp;C793&amp;" / "&amp;E793</x:f>
        <x:v>6844 / 2025 / RAINBOW TROUT</x:v>
      </x:c>
    </x:row>
    <x:row r="794" ht="23" customHeight="1">
      <x:c r="A794" s="8" t="str">
        <x:v>Dickson Trout Pond</x:v>
      </x:c>
      <x:c r="B794" s="8" t="str">
        <x:v>6844</x:v>
      </x:c>
      <x:c r="C794" s="17" t="n">
        <x:v>2025</x:v>
      </x:c>
      <x:c r="D794" s="18" t="n">
        <x:v>45930</x:v>
      </x:c>
      <x:c r="E794" s="8" t="str">
        <x:v>RAINBOW TROUT</x:v>
      </x:c>
      <x:c r="F794" s="13" t="n">
        <x:v>5000</x:v>
      </x:c>
      <x:c r="G794" s="9" t="n">
        <x:v>20.4</x:v>
      </x:c>
      <x:c r="H794" s="9" t="n">
        <x:v>91.3</x:v>
      </x:c>
      <x:c r="I794" s="8" t="str">
        <x:f>B794&amp;" / "&amp;C794&amp;" / "&amp;E794</x:f>
        <x:v>6844 / 2025 / RAINBOW TROUT</x:v>
      </x:c>
    </x:row>
    <x:row r="795" ht="23" customHeight="1">
      <x:c r="A795" s="8" t="str">
        <x:v>Dickson Trout Pond</x:v>
      </x:c>
      <x:c r="B795" s="8" t="str">
        <x:v>6844</x:v>
      </x:c>
      <x:c r="C795" s="17" t="n">
        <x:v>2025</x:v>
      </x:c>
      <x:c r="D795" s="18" t="n">
        <x:v>45825</x:v>
      </x:c>
      <x:c r="E795" s="8" t="str">
        <x:v>RAINBOW TROUT</x:v>
      </x:c>
      <x:c r="F795" s="13" t="n">
        <x:v>6010</x:v>
      </x:c>
      <x:c r="G795" s="9" t="n">
        <x:v>19.9</x:v>
      </x:c>
      <x:c r="H795" s="9" t="n">
        <x:v>84.4</x:v>
      </x:c>
      <x:c r="I795" s="8" t="str">
        <x:f>B795&amp;" / "&amp;C795&amp;" / "&amp;E795</x:f>
        <x:v>6844 / 2025 / RAINBOW TROUT</x:v>
      </x:c>
    </x:row>
    <x:row r="796" ht="23" customHeight="1">
      <x:c r="A796" s="8" t="str">
        <x:v>Dickson Trout Pond</x:v>
      </x:c>
      <x:c r="B796" s="8" t="str">
        <x:v>6844</x:v>
      </x:c>
      <x:c r="C796" s="17" t="n">
        <x:v>2025</x:v>
      </x:c>
      <x:c r="D796" s="18" t="n">
        <x:v>45776</x:v>
      </x:c>
      <x:c r="E796" s="8" t="str">
        <x:v>RAINBOW TROUT</x:v>
      </x:c>
      <x:c r="F796" s="13" t="n">
        <x:v>6538</x:v>
      </x:c>
      <x:c r="G796" s="9" t="n">
        <x:v>20</x:v>
      </x:c>
      <x:c r="H796" s="9" t="n">
        <x:v>86.4</x:v>
      </x:c>
      <x:c r="I796" s="8" t="str">
        <x:f>B796&amp;" / "&amp;C796&amp;" / "&amp;E796</x:f>
        <x:v>6844 / 2025 / RAINBOW TROUT</x:v>
      </x:c>
    </x:row>
    <x:row r="797" ht="23" customHeight="1">
      <x:c r="A797" s="8" t="str">
        <x:v>Dickson Trout Pond</x:v>
      </x:c>
      <x:c r="B797" s="8" t="str">
        <x:v>6844</x:v>
      </x:c>
      <x:c r="C797" s="17" t="n">
        <x:v>2025</x:v>
      </x:c>
      <x:c r="D797" s="18" t="n">
        <x:v>45776</x:v>
      </x:c>
      <x:c r="E797" s="8" t="str">
        <x:v>RAINBOW TROUT</x:v>
      </x:c>
      <x:c r="F797" s="13" t="n">
        <x:v>7462</x:v>
      </x:c>
      <x:c r="G797" s="9" t="n">
        <x:v>20</x:v>
      </x:c>
      <x:c r="H797" s="9" t="n">
        <x:v>86.4</x:v>
      </x:c>
      <x:c r="I797" s="8" t="str">
        <x:f>B797&amp;" / "&amp;C797&amp;" / "&amp;E797</x:f>
        <x:v>6844 / 2025 / RAINBOW TROUT</x:v>
      </x:c>
    </x:row>
    <x:row r="798" ht="23" customHeight="1">
      <x:c r="A798" s="8" t="str">
        <x:v>Dickson Trout Pond</x:v>
      </x:c>
      <x:c r="B798" s="8" t="str">
        <x:v>6844</x:v>
      </x:c>
      <x:c r="C798" s="17" t="n">
        <x:v>2025</x:v>
      </x:c>
      <x:c r="D798" s="18" t="n">
        <x:v>45932</x:v>
      </x:c>
      <x:c r="E798" s="8" t="str">
        <x:v>TIGER TROUT</x:v>
      </x:c>
      <x:c r="F798" s="13" t="n">
        <x:v>1172</x:v>
      </x:c>
      <x:c r="G798" s="9" t="n">
        <x:v>28.4</x:v>
      </x:c>
      <x:c r="H798" s="9" t="n">
        <x:v>254.4</x:v>
      </x:c>
      <x:c r="I798" s="8" t="str">
        <x:f>B798&amp;" / "&amp;C798&amp;" / "&amp;E798</x:f>
        <x:v>6844 / 2025 / TIGER TROUT</x:v>
      </x:c>
    </x:row>
    <x:row r="799" ht="23" customHeight="1">
      <x:c r="A799" s="8" t="str">
        <x:v>Dickson Trout Pond</x:v>
      </x:c>
      <x:c r="B799" s="8" t="str">
        <x:v>6844</x:v>
      </x:c>
      <x:c r="C799" s="17" t="n">
        <x:v>2025</x:v>
      </x:c>
      <x:c r="D799" s="18" t="n">
        <x:v>45930</x:v>
      </x:c>
      <x:c r="E799" s="8" t="str">
        <x:v>TIGER TROUT</x:v>
      </x:c>
      <x:c r="F799" s="13" t="n">
        <x:v>1311</x:v>
      </x:c>
      <x:c r="G799" s="9" t="n">
        <x:v>6.9</x:v>
      </x:c>
      <x:c r="H799" s="9" t="n">
        <x:v>3.6</x:v>
      </x:c>
      <x:c r="I799" s="8" t="str">
        <x:f>B799&amp;" / "&amp;C799&amp;" / "&amp;E799</x:f>
        <x:v>6844 / 2025 / TIGER TROUT</x:v>
      </x:c>
    </x:row>
    <x:row r="800" ht="23" customHeight="1">
      <x:c r="A800" s="8" t="str">
        <x:v>Dickson Trout Pond</x:v>
      </x:c>
      <x:c r="B800" s="8" t="str">
        <x:v>6844</x:v>
      </x:c>
      <x:c r="C800" s="17" t="n">
        <x:v>2025</x:v>
      </x:c>
      <x:c r="D800" s="18" t="n">
        <x:v>45776</x:v>
      </x:c>
      <x:c r="E800" s="8" t="str">
        <x:v>TIGER TROUT</x:v>
      </x:c>
      <x:c r="F800" s="13" t="n">
        <x:v>1700</x:v>
      </x:c>
      <x:c r="G800" s="9" t="n">
        <x:v>20.3</x:v>
      </x:c>
      <x:c r="H800" s="9" t="n">
        <x:v>90</x:v>
      </x:c>
      <x:c r="I800" s="8" t="str">
        <x:f>B800&amp;" / "&amp;C800&amp;" / "&amp;E800</x:f>
        <x:v>6844 / 2025 / TIGER TROUT</x:v>
      </x:c>
    </x:row>
    <x:row r="801" ht="23" customHeight="1">
      <x:c r="A801" s="8" t="str">
        <x:v>Dickson Trout Pond</x:v>
      </x:c>
      <x:c r="B801" s="8" t="str">
        <x:v>6844</x:v>
      </x:c>
      <x:c r="C801" s="17" t="n">
        <x:v>2024</x:v>
      </x:c>
      <x:c r="D801" s="18" t="n">
        <x:v>45554</x:v>
      </x:c>
      <x:c r="E801" s="8" t="str">
        <x:v>RAINBOW TROUT</x:v>
      </x:c>
      <x:c r="F801" s="13" t="n">
        <x:v>10000</x:v>
      </x:c>
      <x:c r="G801" s="9" t="n">
        <x:v>16.7</x:v>
      </x:c>
      <x:c r="H801" s="9" t="n">
        <x:v>51.6</x:v>
      </x:c>
      <x:c r="I801" s="8" t="str">
        <x:f>B801&amp;" / "&amp;C801&amp;" / "&amp;E801</x:f>
        <x:v>6844 / 2024 / RAINBOW TROUT</x:v>
      </x:c>
    </x:row>
    <x:row r="802" ht="23" customHeight="1">
      <x:c r="A802" s="8" t="str">
        <x:v>Dickson Trout Pond</x:v>
      </x:c>
      <x:c r="B802" s="8" t="str">
        <x:v>6844</x:v>
      </x:c>
      <x:c r="C802" s="17" t="n">
        <x:v>2024</x:v>
      </x:c>
      <x:c r="D802" s="18" t="n">
        <x:v>45554</x:v>
      </x:c>
      <x:c r="E802" s="8" t="str">
        <x:v>RAINBOW TROUT</x:v>
      </x:c>
      <x:c r="F802" s="13" t="n">
        <x:v>2252</x:v>
      </x:c>
      <x:c r="G802" s="9" t="n">
        <x:v>21.5</x:v>
      </x:c>
      <x:c r="H802" s="9" t="n">
        <x:v>110.2</x:v>
      </x:c>
      <x:c r="I802" s="8" t="str">
        <x:f>B802&amp;" / "&amp;C802&amp;" / "&amp;E802</x:f>
        <x:v>6844 / 2024 / RAINBOW TROUT</x:v>
      </x:c>
    </x:row>
    <x:row r="803" ht="23" customHeight="1">
      <x:c r="A803" s="8" t="str">
        <x:v>Dickson Trout Pond</x:v>
      </x:c>
      <x:c r="B803" s="8" t="str">
        <x:v>6844</x:v>
      </x:c>
      <x:c r="C803" s="17" t="n">
        <x:v>2024</x:v>
      </x:c>
      <x:c r="D803" s="18" t="n">
        <x:v>45447</x:v>
      </x:c>
      <x:c r="E803" s="8" t="str">
        <x:v>RAINBOW TROUT</x:v>
      </x:c>
      <x:c r="F803" s="13" t="n">
        <x:v>4814</x:v>
      </x:c>
      <x:c r="G803" s="9" t="n">
        <x:v>9.5</x:v>
      </x:c>
      <x:c r="H803" s="9" t="n">
        <x:v>9.2</x:v>
      </x:c>
      <x:c r="I803" s="8" t="str">
        <x:f>B803&amp;" / "&amp;C803&amp;" / "&amp;E803</x:f>
        <x:v>6844 / 2024 / RAINBOW TROUT</x:v>
      </x:c>
    </x:row>
    <x:row r="804" ht="23" customHeight="1">
      <x:c r="A804" s="8" t="str">
        <x:v>Dickson Trout Pond</x:v>
      </x:c>
      <x:c r="B804" s="8" t="str">
        <x:v>6844</x:v>
      </x:c>
      <x:c r="C804" s="17" t="n">
        <x:v>2024</x:v>
      </x:c>
      <x:c r="D804" s="18" t="n">
        <x:v>45447</x:v>
      </x:c>
      <x:c r="E804" s="8" t="str">
        <x:v>RAINBOW TROUT</x:v>
      </x:c>
      <x:c r="F804" s="13" t="n">
        <x:v>17546</x:v>
      </x:c>
      <x:c r="G804" s="9" t="n">
        <x:v>10</x:v>
      </x:c>
      <x:c r="H804" s="9" t="n">
        <x:v>10.9</x:v>
      </x:c>
      <x:c r="I804" s="8" t="str">
        <x:f>B804&amp;" / "&amp;C804&amp;" / "&amp;E804</x:f>
        <x:v>6844 / 2024 / RAINBOW TROUT</x:v>
      </x:c>
    </x:row>
    <x:row r="805" ht="23" customHeight="1">
      <x:c r="A805" s="8" t="str">
        <x:v>Dickson Trout Pond</x:v>
      </x:c>
      <x:c r="B805" s="8" t="str">
        <x:v>6844</x:v>
      </x:c>
      <x:c r="C805" s="17" t="n">
        <x:v>2024</x:v>
      </x:c>
      <x:c r="D805" s="18" t="n">
        <x:v>45420</x:v>
      </x:c>
      <x:c r="E805" s="8" t="str">
        <x:v>RAINBOW TROUT</x:v>
      </x:c>
      <x:c r="F805" s="13" t="n">
        <x:v>1400</x:v>
      </x:c>
      <x:c r="G805" s="9" t="n">
        <x:v>20.7</x:v>
      </x:c>
      <x:c r="H805" s="9" t="n">
        <x:v>95.5</x:v>
      </x:c>
      <x:c r="I805" s="8" t="str">
        <x:f>B805&amp;" / "&amp;C805&amp;" / "&amp;E805</x:f>
        <x:v>6844 / 2024 / RAINBOW TROUT</x:v>
      </x:c>
    </x:row>
    <x:row r="806" ht="23" customHeight="1">
      <x:c r="A806" s="8" t="str">
        <x:v>Dickson Trout Pond</x:v>
      </x:c>
      <x:c r="B806" s="8" t="str">
        <x:v>6844</x:v>
      </x:c>
      <x:c r="C806" s="17" t="n">
        <x:v>2024</x:v>
      </x:c>
      <x:c r="D806" s="18" t="n">
        <x:v>45413</x:v>
      </x:c>
      <x:c r="E806" s="8" t="str">
        <x:v>RAINBOW TROUT</x:v>
      </x:c>
      <x:c r="F806" s="13" t="n">
        <x:v>9000</x:v>
      </x:c>
      <x:c r="G806" s="9" t="n">
        <x:v>20</x:v>
      </x:c>
      <x:c r="H806" s="9" t="n">
        <x:v>86.4</x:v>
      </x:c>
      <x:c r="I806" s="8" t="str">
        <x:f>B806&amp;" / "&amp;C806&amp;" / "&amp;E806</x:f>
        <x:v>6844 / 2024 / RAINBOW TROUT</x:v>
      </x:c>
    </x:row>
    <x:row r="807" ht="23" customHeight="1">
      <x:c r="A807" s="8" t="str">
        <x:v>Dickson Trout Pond</x:v>
      </x:c>
      <x:c r="B807" s="8" t="str">
        <x:v>6844</x:v>
      </x:c>
      <x:c r="C807" s="17" t="n">
        <x:v>2024</x:v>
      </x:c>
      <x:c r="D807" s="18" t="n">
        <x:v>45560</x:v>
      </x:c>
      <x:c r="E807" s="8" t="str">
        <x:v>TIGER TROUT</x:v>
      </x:c>
      <x:c r="F807" s="13" t="n">
        <x:v>528</x:v>
      </x:c>
      <x:c r="G807" s="9" t="n">
        <x:v>24.4</x:v>
      </x:c>
      <x:c r="H807" s="9" t="n">
        <x:v>156</x:v>
      </x:c>
      <x:c r="I807" s="8" t="str">
        <x:f>B807&amp;" / "&amp;C807&amp;" / "&amp;E807</x:f>
        <x:v>6844 / 2024 / TIGER TROUT</x:v>
      </x:c>
    </x:row>
    <x:row r="808" ht="23" customHeight="1">
      <x:c r="A808" s="8" t="str">
        <x:v>Dickson Trout Pond</x:v>
      </x:c>
      <x:c r="B808" s="8" t="str">
        <x:v>6844</x:v>
      </x:c>
      <x:c r="C808" s="17" t="n">
        <x:v>2024</x:v>
      </x:c>
      <x:c r="D808" s="18" t="n">
        <x:v>45559</x:v>
      </x:c>
      <x:c r="E808" s="8" t="str">
        <x:v>TIGER TROUT</x:v>
      </x:c>
      <x:c r="F808" s="13" t="n">
        <x:v>1300</x:v>
      </x:c>
      <x:c r="G808" s="9" t="n">
        <x:v>24.1</x:v>
      </x:c>
      <x:c r="H808" s="9" t="n">
        <x:v>151</x:v>
      </x:c>
      <x:c r="I808" s="8" t="str">
        <x:f>B808&amp;" / "&amp;C808&amp;" / "&amp;E808</x:f>
        <x:v>6844 / 2024 / TIGER TROUT</x:v>
      </x:c>
    </x:row>
    <x:row r="809" ht="23" customHeight="1">
      <x:c r="A809" s="8" t="str">
        <x:v>Dickson Trout Pond</x:v>
      </x:c>
      <x:c r="B809" s="8" t="str">
        <x:v>6844</x:v>
      </x:c>
      <x:c r="C809" s="17" t="n">
        <x:v>2024</x:v>
      </x:c>
      <x:c r="D809" s="18" t="n">
        <x:v>45551</x:v>
      </x:c>
      <x:c r="E809" s="8" t="str">
        <x:v>TIGER TROUT</x:v>
      </x:c>
      <x:c r="F809" s="13" t="n">
        <x:v>500</x:v>
      </x:c>
      <x:c r="G809" s="9" t="n">
        <x:v>23.4</x:v>
      </x:c>
      <x:c r="H809" s="9" t="n">
        <x:v>138.7</x:v>
      </x:c>
      <x:c r="I809" s="8" t="str">
        <x:f>B809&amp;" / "&amp;C809&amp;" / "&amp;E809</x:f>
        <x:v>6844 / 2024 / TIGER TROUT</x:v>
      </x:c>
    </x:row>
    <x:row r="810" ht="23" customHeight="1">
      <x:c r="A810" s="8" t="str">
        <x:v>Dickson Trout Pond</x:v>
      </x:c>
      <x:c r="B810" s="8" t="str">
        <x:v>6844</x:v>
      </x:c>
      <x:c r="C810" s="17" t="n">
        <x:v>2024</x:v>
      </x:c>
      <x:c r="D810" s="18" t="n">
        <x:v>45413</x:v>
      </x:c>
      <x:c r="E810" s="8" t="str">
        <x:v>TIGER TROUT</x:v>
      </x:c>
      <x:c r="F810" s="13" t="n">
        <x:v>1700</x:v>
      </x:c>
      <x:c r="G810" s="9" t="n">
        <x:v>20.3</x:v>
      </x:c>
      <x:c r="H810" s="9" t="n">
        <x:v>90</x:v>
      </x:c>
      <x:c r="I810" s="8" t="str">
        <x:f>B810&amp;" / "&amp;C810&amp;" / "&amp;E810</x:f>
        <x:v>6844 / 2024 / TIGER TROUT</x:v>
      </x:c>
    </x:row>
    <x:row r="811" ht="23" customHeight="1">
      <x:c r="A811" s="8" t="str">
        <x:v>Dickson Trout Pond</x:v>
      </x:c>
      <x:c r="B811" s="8" t="str">
        <x:v>6844</x:v>
      </x:c>
      <x:c r="C811" s="17" t="n">
        <x:v>2023</x:v>
      </x:c>
      <x:c r="D811" s="18" t="n">
        <x:v>45189</x:v>
      </x:c>
      <x:c r="E811" s="8" t="str">
        <x:v>RAINBOW TROUT</x:v>
      </x:c>
      <x:c r="F811" s="13" t="n">
        <x:v>3011</x:v>
      </x:c>
      <x:c r="G811" s="9" t="n">
        <x:v>19.2</x:v>
      </x:c>
      <x:c r="H811" s="9" t="n">
        <x:v>80.9</x:v>
      </x:c>
      <x:c r="I811" s="8" t="str">
        <x:f>B811&amp;" / "&amp;C811&amp;" / "&amp;E811</x:f>
        <x:v>6844 / 2023 / RAINBOW TROUT</x:v>
      </x:c>
    </x:row>
    <x:row r="812" ht="23" customHeight="1">
      <x:c r="A812" s="8" t="str">
        <x:v>Dickson Trout Pond</x:v>
      </x:c>
      <x:c r="B812" s="8" t="str">
        <x:v>6844</x:v>
      </x:c>
      <x:c r="C812" s="17" t="n">
        <x:v>2023</x:v>
      </x:c>
      <x:c r="D812" s="18" t="n">
        <x:v>45049</x:v>
      </x:c>
      <x:c r="E812" s="8" t="str">
        <x:v>RAINBOW TROUT</x:v>
      </x:c>
      <x:c r="F812" s="13" t="n">
        <x:v>5020</x:v>
      </x:c>
      <x:c r="G812" s="9" t="n">
        <x:v>20.7</x:v>
      </x:c>
      <x:c r="H812" s="9" t="n">
        <x:v>95.2</x:v>
      </x:c>
      <x:c r="I812" s="8" t="str">
        <x:f>B812&amp;" / "&amp;C812&amp;" / "&amp;E812</x:f>
        <x:v>6844 / 2023 / RAINBOW TROUT</x:v>
      </x:c>
    </x:row>
    <x:row r="813" ht="23" customHeight="1">
      <x:c r="A813" s="8" t="str">
        <x:v>Dickson Trout Pond</x:v>
      </x:c>
      <x:c r="B813" s="8" t="str">
        <x:v>6844</x:v>
      </x:c>
      <x:c r="C813" s="17" t="n">
        <x:v>2023</x:v>
      </x:c>
      <x:c r="D813" s="18" t="n">
        <x:v>45049</x:v>
      </x:c>
      <x:c r="E813" s="8" t="str">
        <x:v>RAINBOW TROUT</x:v>
      </x:c>
      <x:c r="F813" s="13" t="n">
        <x:v>4166</x:v>
      </x:c>
      <x:c r="G813" s="9" t="n">
        <x:v>17.6</x:v>
      </x:c>
      <x:c r="H813" s="9" t="n">
        <x:v>58.8</x:v>
      </x:c>
      <x:c r="I813" s="8" t="str">
        <x:f>B813&amp;" / "&amp;C813&amp;" / "&amp;E813</x:f>
        <x:v>6844 / 2023 / RAINBOW TROUT</x:v>
      </x:c>
    </x:row>
    <x:row r="814" ht="23" customHeight="1">
      <x:c r="A814" s="8" t="str">
        <x:v>Dickson Trout Pond</x:v>
      </x:c>
      <x:c r="B814" s="8" t="str">
        <x:v>6844</x:v>
      </x:c>
      <x:c r="C814" s="17" t="n">
        <x:v>2023</x:v>
      </x:c>
      <x:c r="D814" s="18" t="n">
        <x:v>45181</x:v>
      </x:c>
      <x:c r="E814" s="8" t="str">
        <x:v>TIGER TROUT</x:v>
      </x:c>
      <x:c r="F814" s="13" t="n">
        <x:v>1200</x:v>
      </x:c>
      <x:c r="G814" s="9" t="n">
        <x:v>24.1</x:v>
      </x:c>
      <x:c r="H814" s="9" t="n">
        <x:v>151.1</x:v>
      </x:c>
      <x:c r="I814" s="8" t="str">
        <x:f>B814&amp;" / "&amp;C814&amp;" / "&amp;E814</x:f>
        <x:v>6844 / 2023 / TIGER TROUT</x:v>
      </x:c>
    </x:row>
    <x:row r="815" ht="23" customHeight="1">
      <x:c r="A815" s="8" t="str">
        <x:v>Dickson Trout Pond</x:v>
      </x:c>
      <x:c r="B815" s="8" t="str">
        <x:v>6844</x:v>
      </x:c>
      <x:c r="C815" s="17" t="n">
        <x:v>2023</x:v>
      </x:c>
      <x:c r="D815" s="18" t="n">
        <x:v>45181</x:v>
      </x:c>
      <x:c r="E815" s="8" t="str">
        <x:v>TIGER TROUT</x:v>
      </x:c>
      <x:c r="F815" s="13" t="n">
        <x:v>800</x:v>
      </x:c>
      <x:c r="G815" s="9" t="n">
        <x:v>8.9</x:v>
      </x:c>
      <x:c r="H815" s="9" t="n">
        <x:v>7.5</x:v>
      </x:c>
      <x:c r="I815" s="8" t="str">
        <x:f>B815&amp;" / "&amp;C815&amp;" / "&amp;E815</x:f>
        <x:v>6844 / 2023 / TIGER TROUT</x:v>
      </x:c>
    </x:row>
    <x:row r="816" ht="23" customHeight="1">
      <x:c r="A816" s="8" t="str">
        <x:v>Dickson Trout Pond</x:v>
      </x:c>
      <x:c r="B816" s="8" t="str">
        <x:v>6844</x:v>
      </x:c>
      <x:c r="C816" s="17" t="n">
        <x:v>2023</x:v>
      </x:c>
      <x:c r="D816" s="18" t="n">
        <x:v>45049</x:v>
      </x:c>
      <x:c r="E816" s="8" t="str">
        <x:v>TIGER TROUT</x:v>
      </x:c>
      <x:c r="F816" s="13" t="n">
        <x:v>1700</x:v>
      </x:c>
      <x:c r="G816" s="9" t="n">
        <x:v>20.3</x:v>
      </x:c>
      <x:c r="H816" s="9" t="n">
        <x:v>90.9</x:v>
      </x:c>
      <x:c r="I816" s="8" t="str">
        <x:f>B816&amp;" / "&amp;C816&amp;" / "&amp;E816</x:f>
        <x:v>6844 / 2023 / TIGER TROUT</x:v>
      </x:c>
    </x:row>
    <x:row r="817" ht="23" customHeight="1">
      <x:c r="A817" s="8" t="str">
        <x:v>Dickson Trout Pond</x:v>
      </x:c>
      <x:c r="B817" s="8" t="str">
        <x:v>6844</x:v>
      </x:c>
      <x:c r="C817" s="17" t="n">
        <x:v>2022</x:v>
      </x:c>
      <x:c r="D817" s="18" t="n">
        <x:v>44839</x:v>
      </x:c>
      <x:c r="E817" s="8" t="str">
        <x:v>RAINBOW TROUT</x:v>
      </x:c>
      <x:c r="F817" s="13" t="n">
        <x:v>2992</x:v>
      </x:c>
      <x:c r="G817" s="9" t="n">
        <x:v>18</x:v>
      </x:c>
      <x:c r="H817" s="9" t="n">
        <x:v>63.5</x:v>
      </x:c>
      <x:c r="I817" s="8" t="str">
        <x:f>B817&amp;" / "&amp;C817&amp;" / "&amp;E817</x:f>
        <x:v>6844 / 2022 / RAINBOW TROUT</x:v>
      </x:c>
    </x:row>
    <x:row r="818" ht="23" customHeight="1">
      <x:c r="A818" s="8" t="str">
        <x:v>Dickson Trout Pond</x:v>
      </x:c>
      <x:c r="B818" s="8" t="str">
        <x:v>6844</x:v>
      </x:c>
      <x:c r="C818" s="17" t="n">
        <x:v>2022</x:v>
      </x:c>
      <x:c r="D818" s="18" t="n">
        <x:v>44833</x:v>
      </x:c>
      <x:c r="E818" s="8" t="str">
        <x:v>RAINBOW TROUT</x:v>
      </x:c>
      <x:c r="F818" s="13" t="n">
        <x:v>1000</x:v>
      </x:c>
      <x:c r="G818" s="9" t="n">
        <x:v>20.1</x:v>
      </x:c>
      <x:c r="H818" s="9" t="n">
        <x:v>86.3</x:v>
      </x:c>
      <x:c r="I818" s="8" t="str">
        <x:f>B818&amp;" / "&amp;C818&amp;" / "&amp;E818</x:f>
        <x:v>6844 / 2022 / RAINBOW TROUT</x:v>
      </x:c>
    </x:row>
    <x:row r="819" ht="23" customHeight="1">
      <x:c r="A819" s="8" t="str">
        <x:v>Dickson Trout Pond</x:v>
      </x:c>
      <x:c r="B819" s="8" t="str">
        <x:v>6844</x:v>
      </x:c>
      <x:c r="C819" s="17" t="n">
        <x:v>2022</x:v>
      </x:c>
      <x:c r="D819" s="18" t="n">
        <x:v>44817</x:v>
      </x:c>
      <x:c r="E819" s="8" t="str">
        <x:v>RAINBOW TROUT</x:v>
      </x:c>
      <x:c r="F819" s="13" t="n">
        <x:v>4750</x:v>
      </x:c>
      <x:c r="G819" s="9" t="n">
        <x:v>25.3</x:v>
      </x:c>
      <x:c r="H819" s="9" t="n">
        <x:v>175.8</x:v>
      </x:c>
      <x:c r="I819" s="8" t="str">
        <x:f>B819&amp;" / "&amp;C819&amp;" / "&amp;E819</x:f>
        <x:v>6844 / 2022 / RAINBOW TROUT</x:v>
      </x:c>
    </x:row>
    <x:row r="820" ht="23" customHeight="1">
      <x:c r="A820" s="8" t="str">
        <x:v>Dickson Trout Pond</x:v>
      </x:c>
      <x:c r="B820" s="8" t="str">
        <x:v>6844</x:v>
      </x:c>
      <x:c r="C820" s="17" t="n">
        <x:v>2022</x:v>
      </x:c>
      <x:c r="D820" s="18" t="n">
        <x:v>44711</x:v>
      </x:c>
      <x:c r="E820" s="8" t="str">
        <x:v>RAINBOW TROUT</x:v>
      </x:c>
      <x:c r="F820" s="13" t="n">
        <x:v>10000</x:v>
      </x:c>
      <x:c r="G820" s="9" t="n">
        <x:v>19.3</x:v>
      </x:c>
      <x:c r="H820" s="9" t="n">
        <x:v>78.5</x:v>
      </x:c>
      <x:c r="I820" s="8" t="str">
        <x:f>B820&amp;" / "&amp;C820&amp;" / "&amp;E820</x:f>
        <x:v>6844 / 2022 / RAINBOW TROUT</x:v>
      </x:c>
    </x:row>
    <x:row r="821" ht="23" customHeight="1">
      <x:c r="A821" s="8" t="str">
        <x:v>Dickson Trout Pond</x:v>
      </x:c>
      <x:c r="B821" s="8" t="str">
        <x:v>6844</x:v>
      </x:c>
      <x:c r="C821" s="17" t="n">
        <x:v>2022</x:v>
      </x:c>
      <x:c r="D821" s="18" t="n">
        <x:v>44682</x:v>
      </x:c>
      <x:c r="E821" s="8" t="str">
        <x:v>RAINBOW TROUT</x:v>
      </x:c>
      <x:c r="F821" s="13" t="n">
        <x:v>10000</x:v>
      </x:c>
      <x:c r="G821" s="9" t="n">
        <x:v>20.2</x:v>
      </x:c>
      <x:c r="H821" s="9" t="n">
        <x:v>90</x:v>
      </x:c>
      <x:c r="I821" s="8" t="str">
        <x:f>B821&amp;" / "&amp;C821&amp;" / "&amp;E821</x:f>
        <x:v>6844 / 2022 / RAINBOW TROUT</x:v>
      </x:c>
    </x:row>
    <x:row r="822" ht="23" customHeight="1">
      <x:c r="A822" s="8" t="str">
        <x:v>Dickson Trout Pond</x:v>
      </x:c>
      <x:c r="B822" s="8" t="str">
        <x:v>6844</x:v>
      </x:c>
      <x:c r="C822" s="17" t="n">
        <x:v>2022</x:v>
      </x:c>
      <x:c r="D822" s="18" t="n">
        <x:v>44825</x:v>
      </x:c>
      <x:c r="E822" s="8" t="str">
        <x:v>TIGER TROUT</x:v>
      </x:c>
      <x:c r="F822" s="13" t="n">
        <x:v>1365</x:v>
      </x:c>
      <x:c r="G822" s="9" t="n">
        <x:v>21.4</x:v>
      </x:c>
      <x:c r="H822" s="9" t="n">
        <x:v>107.8</x:v>
      </x:c>
      <x:c r="I822" s="8" t="str">
        <x:f>B822&amp;" / "&amp;C822&amp;" / "&amp;E822</x:f>
        <x:v>6844 / 2022 / TIGER TROUT</x:v>
      </x:c>
    </x:row>
    <x:row r="823" ht="23" customHeight="1">
      <x:c r="A823" s="8" t="str">
        <x:v>Dickson Trout Pond</x:v>
      </x:c>
      <x:c r="B823" s="8" t="str">
        <x:v>6844</x:v>
      </x:c>
      <x:c r="C823" s="17" t="n">
        <x:v>2022</x:v>
      </x:c>
      <x:c r="D823" s="18" t="n">
        <x:v>44825</x:v>
      </x:c>
      <x:c r="E823" s="8" t="str">
        <x:v>TIGER TROUT</x:v>
      </x:c>
      <x:c r="F823" s="13" t="n">
        <x:v>335</x:v>
      </x:c>
      <x:c r="G823" s="9" t="n">
        <x:v>23.5</x:v>
      </x:c>
      <x:c r="H823" s="9" t="n">
        <x:v>143.4</x:v>
      </x:c>
      <x:c r="I823" s="8" t="str">
        <x:f>B823&amp;" / "&amp;C823&amp;" / "&amp;E823</x:f>
        <x:v>6844 / 2022 / TIGER TROUT</x:v>
      </x:c>
    </x:row>
    <x:row r="824" ht="23" customHeight="1">
      <x:c r="A824" s="8" t="str">
        <x:v>Dickson Trout Pond</x:v>
      </x:c>
      <x:c r="B824" s="8" t="str">
        <x:v>6844</x:v>
      </x:c>
      <x:c r="C824" s="17" t="n">
        <x:v>2022</x:v>
      </x:c>
      <x:c r="D824" s="18" t="n">
        <x:v>44817</x:v>
      </x:c>
      <x:c r="E824" s="8" t="str">
        <x:v>TIGER TROUT</x:v>
      </x:c>
      <x:c r="F824" s="13" t="n">
        <x:v>416</x:v>
      </x:c>
      <x:c r="G824" s="9" t="n">
        <x:v>11.8</x:v>
      </x:c>
      <x:c r="H824" s="9" t="n">
        <x:v>18.1</x:v>
      </x:c>
      <x:c r="I824" s="8" t="str">
        <x:f>B824&amp;" / "&amp;C824&amp;" / "&amp;E824</x:f>
        <x:v>6844 / 2022 / TIGER TROUT</x:v>
      </x:c>
    </x:row>
    <x:row r="825" ht="23" customHeight="1">
      <x:c r="A825" s="8" t="str">
        <x:v>Dickson Trout Pond</x:v>
      </x:c>
      <x:c r="B825" s="8" t="str">
        <x:v>6844</x:v>
      </x:c>
      <x:c r="C825" s="17" t="n">
        <x:v>2022</x:v>
      </x:c>
      <x:c r="D825" s="18" t="n">
        <x:v>44817</x:v>
      </x:c>
      <x:c r="E825" s="8" t="str">
        <x:v>TIGER TROUT</x:v>
      </x:c>
      <x:c r="F825" s="13" t="n">
        <x:v>7348</x:v>
      </x:c>
      <x:c r="G825" s="9" t="n">
        <x:v>9.3</x:v>
      </x:c>
      <x:c r="H825" s="9" t="n">
        <x:v>8.9</x:v>
      </x:c>
      <x:c r="I825" s="8" t="str">
        <x:f>B825&amp;" / "&amp;C825&amp;" / "&amp;E825</x:f>
        <x:v>6844 / 2022 / TIGER TROUT</x:v>
      </x:c>
    </x:row>
    <x:row r="826" ht="23" customHeight="1">
      <x:c r="A826" s="8" t="str">
        <x:v>Dickson Trout Pond</x:v>
      </x:c>
      <x:c r="B826" s="8" t="str">
        <x:v>6844</x:v>
      </x:c>
      <x:c r="C826" s="17" t="n">
        <x:v>2022</x:v>
      </x:c>
      <x:c r="D826" s="18" t="n">
        <x:v>44700</x:v>
      </x:c>
      <x:c r="E826" s="8" t="str">
        <x:v>TIGER TROUT</x:v>
      </x:c>
      <x:c r="F826" s="13" t="n">
        <x:v>1700</x:v>
      </x:c>
      <x:c r="G826" s="9" t="n">
        <x:v>17.7</x:v>
      </x:c>
      <x:c r="H826" s="9" t="n">
        <x:v>61.6</x:v>
      </x:c>
      <x:c r="I826" s="8" t="str">
        <x:f>B826&amp;" / "&amp;C826&amp;" / "&amp;E826</x:f>
        <x:v>6844 / 2022 / TIGER TROUT</x:v>
      </x:c>
    </x:row>
    <x:row r="827" ht="23" customHeight="1">
      <x:c r="A827" s="8" t="str">
        <x:v>Dickson Trout Pond</x:v>
      </x:c>
      <x:c r="B827" s="8" t="str">
        <x:v>6844</x:v>
      </x:c>
      <x:c r="C827" s="17" t="n">
        <x:v>2021</x:v>
      </x:c>
      <x:c r="D827" s="18" t="n">
        <x:v>44459</x:v>
      </x:c>
      <x:c r="E827" s="8" t="str">
        <x:v>RAINBOW TROUT</x:v>
      </x:c>
      <x:c r="F827" s="13" t="n">
        <x:v>5000</x:v>
      </x:c>
      <x:c r="G827" s="9" t="n">
        <x:v>19.8</x:v>
      </x:c>
      <x:c r="H827" s="9" t="n">
        <x:v>85.5</x:v>
      </x:c>
      <x:c r="I827" s="8" t="str">
        <x:f>B827&amp;" / "&amp;C827&amp;" / "&amp;E827</x:f>
        <x:v>6844 / 2021 / RAINBOW TROUT</x:v>
      </x:c>
    </x:row>
    <x:row r="828" ht="23" customHeight="1">
      <x:c r="A828" s="8" t="str">
        <x:v>Dickson Trout Pond</x:v>
      </x:c>
      <x:c r="B828" s="8" t="str">
        <x:v>6844</x:v>
      </x:c>
      <x:c r="C828" s="17" t="n">
        <x:v>2021</x:v>
      </x:c>
      <x:c r="D828" s="18" t="n">
        <x:v>44354</x:v>
      </x:c>
      <x:c r="E828" s="8" t="str">
        <x:v>RAINBOW TROUT</x:v>
      </x:c>
      <x:c r="F828" s="13" t="n">
        <x:v>1083</x:v>
      </x:c>
      <x:c r="G828" s="9" t="n">
        <x:v>22.8</x:v>
      </x:c>
      <x:c r="H828" s="9" t="n">
        <x:v>131.9</x:v>
      </x:c>
      <x:c r="I828" s="8" t="str">
        <x:f>B828&amp;" / "&amp;C828&amp;" / "&amp;E828</x:f>
        <x:v>6844 / 2021 / RAINBOW TROUT</x:v>
      </x:c>
    </x:row>
    <x:row r="829" ht="23" customHeight="1">
      <x:c r="A829" s="8" t="str">
        <x:v>Dickson Trout Pond</x:v>
      </x:c>
      <x:c r="B829" s="8" t="str">
        <x:v>6844</x:v>
      </x:c>
      <x:c r="C829" s="17" t="n">
        <x:v>2021</x:v>
      </x:c>
      <x:c r="D829" s="18" t="n">
        <x:v>44346</x:v>
      </x:c>
      <x:c r="E829" s="8" t="str">
        <x:v>RAINBOW TROUT</x:v>
      </x:c>
      <x:c r="F829" s="13" t="n">
        <x:v>8917</x:v>
      </x:c>
      <x:c r="G829" s="9" t="n">
        <x:v>22.5</x:v>
      </x:c>
      <x:c r="H829" s="9" t="n">
        <x:v>126.2</x:v>
      </x:c>
      <x:c r="I829" s="8" t="str">
        <x:f>B829&amp;" / "&amp;C829&amp;" / "&amp;E829</x:f>
        <x:v>6844 / 2021 / RAINBOW TROUT</x:v>
      </x:c>
    </x:row>
    <x:row r="830" ht="23" customHeight="1">
      <x:c r="A830" s="8" t="str">
        <x:v>Dickson Trout Pond</x:v>
      </x:c>
      <x:c r="B830" s="8" t="str">
        <x:v>6844</x:v>
      </x:c>
      <x:c r="C830" s="17" t="n">
        <x:v>2021</x:v>
      </x:c>
      <x:c r="D830" s="18" t="n">
        <x:v>44316</x:v>
      </x:c>
      <x:c r="E830" s="8" t="str">
        <x:v>RAINBOW TROUT</x:v>
      </x:c>
      <x:c r="F830" s="13" t="n">
        <x:v>10000</x:v>
      </x:c>
      <x:c r="G830" s="9" t="n">
        <x:v>21.2</x:v>
      </x:c>
      <x:c r="H830" s="9" t="n">
        <x:v>105.3</x:v>
      </x:c>
      <x:c r="I830" s="8" t="str">
        <x:f>B830&amp;" / "&amp;C830&amp;" / "&amp;E830</x:f>
        <x:v>6844 / 2021 / RAINBOW TROUT</x:v>
      </x:c>
    </x:row>
    <x:row r="831" ht="23" customHeight="1">
      <x:c r="A831" s="8" t="str">
        <x:v>Dickson Trout Pond</x:v>
      </x:c>
      <x:c r="B831" s="8" t="str">
        <x:v>6844</x:v>
      </x:c>
      <x:c r="C831" s="17" t="n">
        <x:v>2021</x:v>
      </x:c>
      <x:c r="D831" s="18" t="n">
        <x:v>44312</x:v>
      </x:c>
      <x:c r="E831" s="8" t="str">
        <x:v>RAINBOW TROUT</x:v>
      </x:c>
      <x:c r="F831" s="13" t="n">
        <x:v>500</x:v>
      </x:c>
      <x:c r="G831" s="9" t="n">
        <x:v>25</x:v>
      </x:c>
      <x:c r="H831" s="9" t="n">
        <x:v>210</x:v>
      </x:c>
      <x:c r="I831" s="8" t="str">
        <x:f>B831&amp;" / "&amp;C831&amp;" / "&amp;E831</x:f>
        <x:v>6844 / 2021 / RAINBOW TROUT</x:v>
      </x:c>
    </x:row>
    <x:row r="832" ht="23" customHeight="1">
      <x:c r="A832" s="8" t="str">
        <x:v>Dickson Trout Pond</x:v>
      </x:c>
      <x:c r="B832" s="8" t="str">
        <x:v>6844</x:v>
      </x:c>
      <x:c r="C832" s="17" t="n">
        <x:v>2021</x:v>
      </x:c>
      <x:c r="D832" s="18" t="n">
        <x:v>44474</x:v>
      </x:c>
      <x:c r="E832" s="8" t="str">
        <x:v>TIGER TROUT</x:v>
      </x:c>
      <x:c r="F832" s="13" t="n">
        <x:v>1700</x:v>
      </x:c>
      <x:c r="G832" s="9" t="n">
        <x:v>20.5</x:v>
      </x:c>
      <x:c r="H832" s="9" t="n">
        <x:v>95.5</x:v>
      </x:c>
      <x:c r="I832" s="8" t="str">
        <x:f>B832&amp;" / "&amp;C832&amp;" / "&amp;E832</x:f>
        <x:v>6844 / 2021 / TIGER TROUT</x:v>
      </x:c>
    </x:row>
    <x:row r="833" ht="23" customHeight="1">
      <x:c r="A833" s="8" t="str">
        <x:v>Dickson Trout Pond</x:v>
      </x:c>
      <x:c r="B833" s="8" t="str">
        <x:v>6844</x:v>
      </x:c>
      <x:c r="C833" s="17" t="n">
        <x:v>2021</x:v>
      </x:c>
      <x:c r="D833" s="18" t="n">
        <x:v>44327</x:v>
      </x:c>
      <x:c r="E833" s="8" t="str">
        <x:v>TIGER TROUT</x:v>
      </x:c>
      <x:c r="F833" s="13" t="n">
        <x:v>500</x:v>
      </x:c>
      <x:c r="G833" s="9" t="n">
        <x:v>16.3</x:v>
      </x:c>
      <x:c r="H833" s="9" t="n">
        <x:v>47.8</x:v>
      </x:c>
      <x:c r="I833" s="8" t="str">
        <x:f>B833&amp;" / "&amp;C833&amp;" / "&amp;E833</x:f>
        <x:v>6844 / 2021 / TIGER TROUT</x:v>
      </x:c>
    </x:row>
    <x:row r="834" ht="23" customHeight="1">
      <x:c r="A834" s="8" t="str">
        <x:v>Dickson Trout Pond</x:v>
      </x:c>
      <x:c r="B834" s="8" t="str">
        <x:v>6844</x:v>
      </x:c>
      <x:c r="C834" s="17" t="n">
        <x:v>2021</x:v>
      </x:c>
      <x:c r="D834" s="18" t="n">
        <x:v>44312</x:v>
      </x:c>
      <x:c r="E834" s="8" t="str">
        <x:v>TIGER TROUT</x:v>
      </x:c>
      <x:c r="F834" s="13" t="n">
        <x:v>1400</x:v>
      </x:c>
      <x:c r="G834" s="9" t="n">
        <x:v>25</x:v>
      </x:c>
      <x:c r="H834" s="9" t="n">
        <x:v>210</x:v>
      </x:c>
      <x:c r="I834" s="8" t="str">
        <x:f>B834&amp;" / "&amp;C834&amp;" / "&amp;E834</x:f>
        <x:v>6844 / 2021 / TIGER TROUT</x:v>
      </x:c>
    </x:row>
    <x:row r="835" ht="23" customHeight="1">
      <x:c r="A835" s="8" t="str">
        <x:v>Dillberry Lake</x:v>
      </x:c>
      <x:c r="B835" s="8" t="str">
        <x:v>4446</x:v>
      </x:c>
      <x:c r="C835" s="17" t="n">
        <x:v>2026</x:v>
      </x:c>
      <x:c r="D835" s="18" t="n">
        <x:v>46148</x:v>
      </x:c>
      <x:c r="E835" s="8" t="str">
        <x:v>RAINBOW TROUT</x:v>
      </x:c>
      <x:c r="F835" s="13" t="n">
        <x:v>9454</x:v>
      </x:c>
      <x:c r="G835" s="9" t="n">
        <x:v>20.2</x:v>
      </x:c>
      <x:c r="H835" s="9" t="n">
        <x:v>91.5</x:v>
      </x:c>
      <x:c r="I835" s="8" t="str">
        <x:f>B835&amp;" / "&amp;C835&amp;" / "&amp;E835</x:f>
        <x:v>4446 / 2026 / RAINBOW TROUT</x:v>
      </x:c>
    </x:row>
    <x:row r="836" ht="23" customHeight="1">
      <x:c r="A836" s="8" t="str">
        <x:v>Dillberry Lake</x:v>
      </x:c>
      <x:c r="B836" s="8" t="str">
        <x:v>4446</x:v>
      </x:c>
      <x:c r="C836" s="17" t="n">
        <x:v>2026</x:v>
      </x:c>
      <x:c r="D836" s="18" t="n">
        <x:v>46148</x:v>
      </x:c>
      <x:c r="E836" s="8" t="str">
        <x:v>RAINBOW TROUT</x:v>
      </x:c>
      <x:c r="F836" s="13" t="n">
        <x:v>3546</x:v>
      </x:c>
      <x:c r="G836" s="9" t="n">
        <x:v>20.1</x:v>
      </x:c>
      <x:c r="H836" s="9" t="n">
        <x:v>91.9</x:v>
      </x:c>
      <x:c r="I836" s="8" t="str">
        <x:f>B836&amp;" / "&amp;C836&amp;" / "&amp;E836</x:f>
        <x:v>4446 / 2026 / RAINBOW TROUT</x:v>
      </x:c>
    </x:row>
    <x:row r="837" ht="23" customHeight="1">
      <x:c r="A837" s="8" t="str">
        <x:v>Dillberry Lake</x:v>
      </x:c>
      <x:c r="B837" s="8" t="str">
        <x:v>4446</x:v>
      </x:c>
      <x:c r="C837" s="17" t="n">
        <x:v>2026</x:v>
      </x:c>
      <x:c r="D837" s="18" t="n">
        <x:v>46148</x:v>
      </x:c>
      <x:c r="E837" s="8" t="str">
        <x:v>RAINBOW TROUT</x:v>
      </x:c>
      <x:c r="F837" s="13" t="n">
        <x:v>3700</x:v>
      </x:c>
      <x:c r="G837" s="9" t="n">
        <x:v>19.3</x:v>
      </x:c>
      <x:c r="H837" s="9" t="n">
        <x:v>80.1</x:v>
      </x:c>
      <x:c r="I837" s="8" t="str">
        <x:f>B837&amp;" / "&amp;C837&amp;" / "&amp;E837</x:f>
        <x:v>4446 / 2026 / RAINBOW TROUT</x:v>
      </x:c>
    </x:row>
    <x:row r="838" ht="23" customHeight="1">
      <x:c r="A838" s="8" t="str">
        <x:v>Dillberry Lake</x:v>
      </x:c>
      <x:c r="B838" s="8" t="str">
        <x:v>4446</x:v>
      </x:c>
      <x:c r="C838" s="17" t="n">
        <x:v>2026</x:v>
      </x:c>
      <x:c r="D838" s="18" t="n">
        <x:v>46148</x:v>
      </x:c>
      <x:c r="E838" s="8" t="str">
        <x:v>RAINBOW TROUT</x:v>
      </x:c>
      <x:c r="F838" s="13" t="n">
        <x:v>6300</x:v>
      </x:c>
      <x:c r="G838" s="9" t="n">
        <x:v>18.5</x:v>
      </x:c>
      <x:c r="H838" s="9" t="n">
        <x:v>69.6</x:v>
      </x:c>
      <x:c r="I838" s="8" t="str">
        <x:f>B838&amp;" / "&amp;C838&amp;" / "&amp;E838</x:f>
        <x:v>4446 / 2026 / RAINBOW TROUT</x:v>
      </x:c>
    </x:row>
    <x:row r="839" ht="23" customHeight="1">
      <x:c r="A839" s="8" t="str">
        <x:v>Dillberry Lake</x:v>
      </x:c>
      <x:c r="B839" s="8" t="str">
        <x:v>4446</x:v>
      </x:c>
      <x:c r="C839" s="17" t="n">
        <x:v>2026</x:v>
      </x:c>
      <x:c r="D839" s="18" t="n">
        <x:v>46148</x:v>
      </x:c>
      <x:c r="E839" s="8" t="str">
        <x:v>TIGER TROUT</x:v>
      </x:c>
      <x:c r="F839" s="13" t="n">
        <x:v>3500</x:v>
      </x:c>
      <x:c r="G839" s="9" t="n">
        <x:v>20.6</x:v>
      </x:c>
      <x:c r="H839" s="9" t="n">
        <x:v>97.1</x:v>
      </x:c>
      <x:c r="I839" s="8" t="str">
        <x:f>B839&amp;" / "&amp;C839&amp;" / "&amp;E839</x:f>
        <x:v>4446 / 2026 / TIGER TROUT</x:v>
      </x:c>
    </x:row>
    <x:row r="840" ht="23" customHeight="1">
      <x:c r="A840" s="8" t="str">
        <x:v>Dillberry Lake</x:v>
      </x:c>
      <x:c r="B840" s="8" t="str">
        <x:v>4446</x:v>
      </x:c>
      <x:c r="C840" s="17" t="n">
        <x:v>2025</x:v>
      </x:c>
      <x:c r="D840" s="18" t="n">
        <x:v>45924</x:v>
      </x:c>
      <x:c r="E840" s="8" t="str">
        <x:v>RAINBOW TROUT</x:v>
      </x:c>
      <x:c r="F840" s="13" t="n">
        <x:v>5000</x:v>
      </x:c>
      <x:c r="G840" s="9" t="n">
        <x:v>19.9</x:v>
      </x:c>
      <x:c r="H840" s="9" t="n">
        <x:v>87.7</x:v>
      </x:c>
      <x:c r="I840" s="8" t="str">
        <x:f>B840&amp;" / "&amp;C840&amp;" / "&amp;E840</x:f>
        <x:v>4446 / 2025 / RAINBOW TROUT</x:v>
      </x:c>
    </x:row>
    <x:row r="841" ht="23" customHeight="1">
      <x:c r="A841" s="8" t="str">
        <x:v>Dillberry Lake</x:v>
      </x:c>
      <x:c r="B841" s="8" t="str">
        <x:v>4446</x:v>
      </x:c>
      <x:c r="C841" s="17" t="n">
        <x:v>2025</x:v>
      </x:c>
      <x:c r="D841" s="18" t="n">
        <x:v>45779</x:v>
      </x:c>
      <x:c r="E841" s="8" t="str">
        <x:v>RAINBOW TROUT</x:v>
      </x:c>
      <x:c r="F841" s="13" t="n">
        <x:v>7000</x:v>
      </x:c>
      <x:c r="G841" s="9" t="n">
        <x:v>20.7</x:v>
      </x:c>
      <x:c r="H841" s="9" t="n">
        <x:v>97.4</x:v>
      </x:c>
      <x:c r="I841" s="8" t="str">
        <x:f>B841&amp;" / "&amp;C841&amp;" / "&amp;E841</x:f>
        <x:v>4446 / 2025 / RAINBOW TROUT</x:v>
      </x:c>
    </x:row>
    <x:row r="842" ht="23" customHeight="1">
      <x:c r="A842" s="8" t="str">
        <x:v>Dillberry Lake</x:v>
      </x:c>
      <x:c r="B842" s="8" t="str">
        <x:v>4446</x:v>
      </x:c>
      <x:c r="C842" s="17" t="n">
        <x:v>2025</x:v>
      </x:c>
      <x:c r="D842" s="18" t="n">
        <x:v>45778</x:v>
      </x:c>
      <x:c r="E842" s="8" t="str">
        <x:v>RAINBOW TROUT</x:v>
      </x:c>
      <x:c r="F842" s="13" t="n">
        <x:v>8000</x:v>
      </x:c>
      <x:c r="G842" s="9" t="n">
        <x:v>21.4</x:v>
      </x:c>
      <x:c r="H842" s="9" t="n">
        <x:v>108.7</x:v>
      </x:c>
      <x:c r="I842" s="8" t="str">
        <x:f>B842&amp;" / "&amp;C842&amp;" / "&amp;E842</x:f>
        <x:v>4446 / 2025 / RAINBOW TROUT</x:v>
      </x:c>
    </x:row>
    <x:row r="843" ht="23" customHeight="1">
      <x:c r="A843" s="8" t="str">
        <x:v>Dillberry Lake</x:v>
      </x:c>
      <x:c r="B843" s="8" t="str">
        <x:v>4446</x:v>
      </x:c>
      <x:c r="C843" s="17" t="n">
        <x:v>2025</x:v>
      </x:c>
      <x:c r="D843" s="18" t="n">
        <x:v>45778</x:v>
      </x:c>
      <x:c r="E843" s="8" t="str">
        <x:v>TIGER TROUT</x:v>
      </x:c>
      <x:c r="F843" s="13" t="n">
        <x:v>3500</x:v>
      </x:c>
      <x:c r="G843" s="9" t="n">
        <x:v>22.9</x:v>
      </x:c>
      <x:c r="H843" s="9" t="n">
        <x:v>133.9</x:v>
      </x:c>
      <x:c r="I843" s="8" t="str">
        <x:f>B843&amp;" / "&amp;C843&amp;" / "&amp;E843</x:f>
        <x:v>4446 / 2025 / TIGER TROUT</x:v>
      </x:c>
    </x:row>
    <x:row r="844" ht="23" customHeight="1">
      <x:c r="A844" s="8" t="str">
        <x:v>Dillberry Lake</x:v>
      </x:c>
      <x:c r="B844" s="8" t="str">
        <x:v>4446</x:v>
      </x:c>
      <x:c r="C844" s="17" t="n">
        <x:v>2024</x:v>
      </x:c>
      <x:c r="D844" s="18" t="n">
        <x:v>45566</x:v>
      </x:c>
      <x:c r="E844" s="8" t="str">
        <x:v>RAINBOW TROUT</x:v>
      </x:c>
      <x:c r="F844" s="13" t="n">
        <x:v>20000</x:v>
      </x:c>
      <x:c r="G844" s="9" t="n">
        <x:v>8.4</x:v>
      </x:c>
      <x:c r="H844" s="9" t="n">
        <x:v>6</x:v>
      </x:c>
      <x:c r="I844" s="8" t="str">
        <x:f>B844&amp;" / "&amp;C844&amp;" / "&amp;E844</x:f>
        <x:v>4446 / 2024 / RAINBOW TROUT</x:v>
      </x:c>
    </x:row>
    <x:row r="845" ht="23" customHeight="1">
      <x:c r="A845" s="8" t="str">
        <x:v>Dillberry Lake</x:v>
      </x:c>
      <x:c r="B845" s="8" t="str">
        <x:v>4446</x:v>
      </x:c>
      <x:c r="C845" s="17" t="n">
        <x:v>2024</x:v>
      </x:c>
      <x:c r="D845" s="18" t="n">
        <x:v>45566</x:v>
      </x:c>
      <x:c r="E845" s="8" t="str">
        <x:v>RAINBOW TROUT</x:v>
      </x:c>
      <x:c r="F845" s="13" t="n">
        <x:v>10000</x:v>
      </x:c>
      <x:c r="G845" s="9" t="n">
        <x:v>18.1</x:v>
      </x:c>
      <x:c r="H845" s="9" t="n">
        <x:v>65.4</x:v>
      </x:c>
      <x:c r="I845" s="8" t="str">
        <x:f>B845&amp;" / "&amp;C845&amp;" / "&amp;E845</x:f>
        <x:v>4446 / 2024 / RAINBOW TROUT</x:v>
      </x:c>
    </x:row>
    <x:row r="846" ht="23" customHeight="1">
      <x:c r="A846" s="8" t="str">
        <x:v>Dillberry Lake</x:v>
      </x:c>
      <x:c r="B846" s="8" t="str">
        <x:v>4446</x:v>
      </x:c>
      <x:c r="C846" s="17" t="n">
        <x:v>2024</x:v>
      </x:c>
      <x:c r="D846" s="18" t="n">
        <x:v>45429</x:v>
      </x:c>
      <x:c r="E846" s="8" t="str">
        <x:v>RAINBOW TROUT</x:v>
      </x:c>
      <x:c r="F846" s="13" t="n">
        <x:v>10000</x:v>
      </x:c>
      <x:c r="G846" s="9" t="n">
        <x:v>10.5</x:v>
      </x:c>
      <x:c r="H846" s="9" t="n">
        <x:v>12.8</x:v>
      </x:c>
      <x:c r="I846" s="8" t="str">
        <x:f>B846&amp;" / "&amp;C846&amp;" / "&amp;E846</x:f>
        <x:v>4446 / 2024 / RAINBOW TROUT</x:v>
      </x:c>
    </x:row>
    <x:row r="847" ht="23" customHeight="1">
      <x:c r="A847" s="8" t="str">
        <x:v>Dillberry Lake</x:v>
      </x:c>
      <x:c r="B847" s="8" t="str">
        <x:v>4446</x:v>
      </x:c>
      <x:c r="C847" s="17" t="n">
        <x:v>2024</x:v>
      </x:c>
      <x:c r="D847" s="18" t="n">
        <x:v>45429</x:v>
      </x:c>
      <x:c r="E847" s="8" t="str">
        <x:v>RAINBOW TROUT</x:v>
      </x:c>
      <x:c r="F847" s="13" t="n">
        <x:v>10000</x:v>
      </x:c>
      <x:c r="G847" s="9" t="n">
        <x:v>10.5</x:v>
      </x:c>
      <x:c r="H847" s="9" t="n">
        <x:v>12.8</x:v>
      </x:c>
      <x:c r="I847" s="8" t="str">
        <x:f>B847&amp;" / "&amp;C847&amp;" / "&amp;E847</x:f>
        <x:v>4446 / 2024 / RAINBOW TROUT</x:v>
      </x:c>
    </x:row>
    <x:row r="848" ht="23" customHeight="1">
      <x:c r="A848" s="8" t="str">
        <x:v>Dillberry Lake</x:v>
      </x:c>
      <x:c r="B848" s="8" t="str">
        <x:v>4446</x:v>
      </x:c>
      <x:c r="C848" s="17" t="n">
        <x:v>2024</x:v>
      </x:c>
      <x:c r="D848" s="18" t="n">
        <x:v>45406</x:v>
      </x:c>
      <x:c r="E848" s="8" t="str">
        <x:v>RAINBOW TROUT</x:v>
      </x:c>
      <x:c r="F848" s="13" t="n">
        <x:v>7000</x:v>
      </x:c>
      <x:c r="G848" s="9" t="n">
        <x:v>17.8</x:v>
      </x:c>
      <x:c r="H848" s="9" t="n">
        <x:v>61.3</x:v>
      </x:c>
      <x:c r="I848" s="8" t="str">
        <x:f>B848&amp;" / "&amp;C848&amp;" / "&amp;E848</x:f>
        <x:v>4446 / 2024 / RAINBOW TROUT</x:v>
      </x:c>
    </x:row>
    <x:row r="849" ht="23" customHeight="1">
      <x:c r="A849" s="8" t="str">
        <x:v>Dillberry Lake</x:v>
      </x:c>
      <x:c r="B849" s="8" t="str">
        <x:v>4446</x:v>
      </x:c>
      <x:c r="C849" s="17" t="n">
        <x:v>2024</x:v>
      </x:c>
      <x:c r="D849" s="18" t="n">
        <x:v>45406</x:v>
      </x:c>
      <x:c r="E849" s="8" t="str">
        <x:v>RAINBOW TROUT</x:v>
      </x:c>
      <x:c r="F849" s="13" t="n">
        <x:v>4000</x:v>
      </x:c>
      <x:c r="G849" s="9" t="n">
        <x:v>20</x:v>
      </x:c>
      <x:c r="H849" s="9" t="n">
        <x:v>86.5</x:v>
      </x:c>
      <x:c r="I849" s="8" t="str">
        <x:f>B849&amp;" / "&amp;C849&amp;" / "&amp;E849</x:f>
        <x:v>4446 / 2024 / RAINBOW TROUT</x:v>
      </x:c>
    </x:row>
    <x:row r="850" ht="23" customHeight="1">
      <x:c r="A850" s="8" t="str">
        <x:v>Dillberry Lake</x:v>
      </x:c>
      <x:c r="B850" s="8" t="str">
        <x:v>4446</x:v>
      </x:c>
      <x:c r="C850" s="17" t="n">
        <x:v>2024</x:v>
      </x:c>
      <x:c r="D850" s="18" t="n">
        <x:v>45406</x:v>
      </x:c>
      <x:c r="E850" s="8" t="str">
        <x:v>TIGER TROUT</x:v>
      </x:c>
      <x:c r="F850" s="13" t="n">
        <x:v>2000</x:v>
      </x:c>
      <x:c r="G850" s="9" t="n">
        <x:v>19.9</x:v>
      </x:c>
      <x:c r="H850" s="9" t="n">
        <x:v>85.3</x:v>
      </x:c>
      <x:c r="I850" s="8" t="str">
        <x:f>B850&amp;" / "&amp;C850&amp;" / "&amp;E850</x:f>
        <x:v>4446 / 2024 / TIGER TROUT</x:v>
      </x:c>
    </x:row>
    <x:row r="851" ht="23" customHeight="1">
      <x:c r="A851" s="8" t="str">
        <x:v>Dillberry Lake</x:v>
      </x:c>
      <x:c r="B851" s="8" t="str">
        <x:v>4446</x:v>
      </x:c>
      <x:c r="C851" s="17" t="n">
        <x:v>2023</x:v>
      </x:c>
      <x:c r="D851" s="18" t="n">
        <x:v>45049</x:v>
      </x:c>
      <x:c r="E851" s="8" t="str">
        <x:v>RAINBOW TROUT</x:v>
      </x:c>
      <x:c r="F851" s="13" t="n">
        <x:v>4650</x:v>
      </x:c>
      <x:c r="G851" s="9" t="n">
        <x:v>16.3</x:v>
      </x:c>
      <x:c r="H851" s="9" t="n">
        <x:v>46.5</x:v>
      </x:c>
      <x:c r="I851" s="8" t="str">
        <x:f>B851&amp;" / "&amp;C851&amp;" / "&amp;E851</x:f>
        <x:v>4446 / 2023 / RAINBOW TROUT</x:v>
      </x:c>
    </x:row>
    <x:row r="852" ht="23" customHeight="1">
      <x:c r="A852" s="8" t="str">
        <x:v>Dillberry Lake</x:v>
      </x:c>
      <x:c r="B852" s="8" t="str">
        <x:v>4446</x:v>
      </x:c>
      <x:c r="C852" s="17" t="n">
        <x:v>2023</x:v>
      </x:c>
      <x:c r="D852" s="18" t="n">
        <x:v>45049</x:v>
      </x:c>
      <x:c r="E852" s="8" t="str">
        <x:v>RAINBOW TROUT</x:v>
      </x:c>
      <x:c r="F852" s="13" t="n">
        <x:v>3990</x:v>
      </x:c>
      <x:c r="G852" s="9" t="n">
        <x:v>20.3</x:v>
      </x:c>
      <x:c r="H852" s="9" t="n">
        <x:v>90.9</x:v>
      </x:c>
      <x:c r="I852" s="8" t="str">
        <x:f>B852&amp;" / "&amp;C852&amp;" / "&amp;E852</x:f>
        <x:v>4446 / 2023 / RAINBOW TROUT</x:v>
      </x:c>
    </x:row>
    <x:row r="853" ht="23" customHeight="1">
      <x:c r="A853" s="8" t="str">
        <x:v>Dillberry Lake</x:v>
      </x:c>
      <x:c r="B853" s="8" t="str">
        <x:v>4446</x:v>
      </x:c>
      <x:c r="C853" s="17" t="n">
        <x:v>2023</x:v>
      </x:c>
      <x:c r="D853" s="18" t="n">
        <x:v>45188</x:v>
      </x:c>
      <x:c r="E853" s="8" t="str">
        <x:v>TIGER TROUT</x:v>
      </x:c>
      <x:c r="F853" s="13" t="n">
        <x:v>4000</x:v>
      </x:c>
      <x:c r="G853" s="9" t="n">
        <x:v>9.1</x:v>
      </x:c>
      <x:c r="H853" s="9" t="n">
        <x:v>7.9</x:v>
      </x:c>
      <x:c r="I853" s="8" t="str">
        <x:f>B853&amp;" / "&amp;C853&amp;" / "&amp;E853</x:f>
        <x:v>4446 / 2023 / TIGER TROUT</x:v>
      </x:c>
    </x:row>
    <x:row r="854" ht="23" customHeight="1">
      <x:c r="A854" s="8" t="str">
        <x:v>Dillberry Lake</x:v>
      </x:c>
      <x:c r="B854" s="8" t="str">
        <x:v>4446</x:v>
      </x:c>
      <x:c r="C854" s="17" t="n">
        <x:v>2023</x:v>
      </x:c>
      <x:c r="D854" s="18" t="n">
        <x:v>45049</x:v>
      </x:c>
      <x:c r="E854" s="8" t="str">
        <x:v>TIGER TROUT</x:v>
      </x:c>
      <x:c r="F854" s="13" t="n">
        <x:v>2000</x:v>
      </x:c>
      <x:c r="G854" s="9" t="n">
        <x:v>20</x:v>
      </x:c>
      <x:c r="H854" s="9" t="n">
        <x:v>87</x:v>
      </x:c>
      <x:c r="I854" s="8" t="str">
        <x:f>B854&amp;" / "&amp;C854&amp;" / "&amp;E854</x:f>
        <x:v>4446 / 2023 / TIGER TROUT</x:v>
      </x:c>
    </x:row>
    <x:row r="855" ht="23" customHeight="1">
      <x:c r="A855" s="8" t="str">
        <x:v>Dillberry Lake</x:v>
      </x:c>
      <x:c r="B855" s="8" t="str">
        <x:v>4446</x:v>
      </x:c>
      <x:c r="C855" s="17" t="n">
        <x:v>2022</x:v>
      </x:c>
      <x:c r="D855" s="18" t="n">
        <x:v>44685</x:v>
      </x:c>
      <x:c r="E855" s="8" t="str">
        <x:v>RAINBOW TROUT</x:v>
      </x:c>
      <x:c r="F855" s="13" t="n">
        <x:v>10000</x:v>
      </x:c>
      <x:c r="G855" s="9" t="n">
        <x:v>21.3</x:v>
      </x:c>
      <x:c r="H855" s="9" t="n">
        <x:v>107</x:v>
      </x:c>
      <x:c r="I855" s="8" t="str">
        <x:f>B855&amp;" / "&amp;C855&amp;" / "&amp;E855</x:f>
        <x:v>4446 / 2022 / RAINBOW TROUT</x:v>
      </x:c>
    </x:row>
    <x:row r="856" ht="23" customHeight="1">
      <x:c r="A856" s="8" t="str">
        <x:v>Dillberry Lake</x:v>
      </x:c>
      <x:c r="B856" s="8" t="str">
        <x:v>4446</x:v>
      </x:c>
      <x:c r="C856" s="17" t="n">
        <x:v>2022</x:v>
      </x:c>
      <x:c r="D856" s="18" t="n">
        <x:v>44684</x:v>
      </x:c>
      <x:c r="E856" s="8" t="str">
        <x:v>RAINBOW TROUT</x:v>
      </x:c>
      <x:c r="F856" s="13" t="n">
        <x:v>10000</x:v>
      </x:c>
      <x:c r="G856" s="9" t="n">
        <x:v>16.2</x:v>
      </x:c>
      <x:c r="H856" s="9" t="n">
        <x:v>46.7</x:v>
      </x:c>
      <x:c r="I856" s="8" t="str">
        <x:f>B856&amp;" / "&amp;C856&amp;" / "&amp;E856</x:f>
        <x:v>4446 / 2022 / RAINBOW TROUT</x:v>
      </x:c>
    </x:row>
    <x:row r="857" ht="23" customHeight="1">
      <x:c r="A857" s="8" t="str">
        <x:v>Dillberry Lake</x:v>
      </x:c>
      <x:c r="B857" s="8" t="str">
        <x:v>4446</x:v>
      </x:c>
      <x:c r="C857" s="17" t="n">
        <x:v>2022</x:v>
      </x:c>
      <x:c r="D857" s="18" t="n">
        <x:v>44825</x:v>
      </x:c>
      <x:c r="E857" s="8" t="str">
        <x:v>TIGER TROUT</x:v>
      </x:c>
      <x:c r="F857" s="13" t="n">
        <x:v>12000</x:v>
      </x:c>
      <x:c r="G857" s="9" t="n">
        <x:v>10</x:v>
      </x:c>
      <x:c r="H857" s="9" t="n">
        <x:v>11</x:v>
      </x:c>
      <x:c r="I857" s="8" t="str">
        <x:f>B857&amp;" / "&amp;C857&amp;" / "&amp;E857</x:f>
        <x:v>4446 / 2022 / TIGER TROUT</x:v>
      </x:c>
    </x:row>
    <x:row r="858" ht="23" customHeight="1">
      <x:c r="A858" s="8" t="str">
        <x:v>Dillberry Lake</x:v>
      </x:c>
      <x:c r="B858" s="8" t="str">
        <x:v>4446</x:v>
      </x:c>
      <x:c r="C858" s="17" t="n">
        <x:v>2022</x:v>
      </x:c>
      <x:c r="D858" s="18" t="n">
        <x:v>44684</x:v>
      </x:c>
      <x:c r="E858" s="8" t="str">
        <x:v>TIGER TROUT</x:v>
      </x:c>
      <x:c r="F858" s="13" t="n">
        <x:v>3500</x:v>
      </x:c>
      <x:c r="G858" s="9" t="n">
        <x:v>17.7</x:v>
      </x:c>
      <x:c r="H858" s="9" t="n">
        <x:v>61</x:v>
      </x:c>
      <x:c r="I858" s="8" t="str">
        <x:f>B858&amp;" / "&amp;C858&amp;" / "&amp;E858</x:f>
        <x:v>4446 / 2022 / TIGER TROUT</x:v>
      </x:c>
    </x:row>
    <x:row r="859" ht="23" customHeight="1">
      <x:c r="A859" s="8" t="str">
        <x:v>Dillberry Lake</x:v>
      </x:c>
      <x:c r="B859" s="8" t="str">
        <x:v>4446</x:v>
      </x:c>
      <x:c r="C859" s="17" t="n">
        <x:v>2021</x:v>
      </x:c>
      <x:c r="D859" s="18" t="n">
        <x:v>44461</x:v>
      </x:c>
      <x:c r="E859" s="8" t="str">
        <x:v>RAINBOW TROUT</x:v>
      </x:c>
      <x:c r="F859" s="13" t="n">
        <x:v>9968</x:v>
      </x:c>
      <x:c r="G859" s="9" t="n">
        <x:v>20</x:v>
      </x:c>
      <x:c r="H859" s="9" t="n">
        <x:v>88.9</x:v>
      </x:c>
      <x:c r="I859" s="8" t="str">
        <x:f>B859&amp;" / "&amp;C859&amp;" / "&amp;E859</x:f>
        <x:v>4446 / 2021 / RAINBOW TROUT</x:v>
      </x:c>
    </x:row>
    <x:row r="860" ht="23" customHeight="1">
      <x:c r="A860" s="8" t="str">
        <x:v>Dillberry Lake</x:v>
      </x:c>
      <x:c r="B860" s="8" t="str">
        <x:v>4446</x:v>
      </x:c>
      <x:c r="C860" s="17" t="n">
        <x:v>2021</x:v>
      </x:c>
      <x:c r="D860" s="18" t="n">
        <x:v>44461</x:v>
      </x:c>
      <x:c r="E860" s="8" t="str">
        <x:v>RAINBOW TROUT</x:v>
      </x:c>
      <x:c r="F860" s="13" t="n">
        <x:v>10408</x:v>
      </x:c>
      <x:c r="G860" s="9" t="n">
        <x:v>20</x:v>
      </x:c>
      <x:c r="H860" s="9" t="n">
        <x:v>88.9</x:v>
      </x:c>
      <x:c r="I860" s="8" t="str">
        <x:f>B860&amp;" / "&amp;C860&amp;" / "&amp;E860</x:f>
        <x:v>4446 / 2021 / RAINBOW TROUT</x:v>
      </x:c>
    </x:row>
    <x:row r="861" ht="23" customHeight="1">
      <x:c r="A861" s="8" t="str">
        <x:v>Dillberry Lake</x:v>
      </x:c>
      <x:c r="B861" s="8" t="str">
        <x:v>4446</x:v>
      </x:c>
      <x:c r="C861" s="17" t="n">
        <x:v>2021</x:v>
      </x:c>
      <x:c r="D861" s="18" t="n">
        <x:v>44461</x:v>
      </x:c>
      <x:c r="E861" s="8" t="str">
        <x:v>TIGER TROUT</x:v>
      </x:c>
      <x:c r="F861" s="13" t="n">
        <x:v>3500</x:v>
      </x:c>
      <x:c r="G861" s="9" t="n">
        <x:v>20.3</x:v>
      </x:c>
      <x:c r="H861" s="9" t="n">
        <x:v>92.1</x:v>
      </x:c>
      <x:c r="I861" s="8" t="str">
        <x:f>B861&amp;" / "&amp;C861&amp;" / "&amp;E861</x:f>
        <x:v>4446 / 2021 / TIGER TROUT</x:v>
      </x:c>
    </x:row>
    <x:row r="862" ht="23" customHeight="1">
      <x:c r="A862" s="8" t="str">
        <x:v>Diplomat Mine Pond</x:v>
      </x:c>
      <x:c r="B862" s="8" t="str">
        <x:v>6833</x:v>
      </x:c>
      <x:c r="C862" s="17" t="n">
        <x:v>2026</x:v>
      </x:c>
      <x:c r="D862" s="18" t="n">
        <x:v>46141</x:v>
      </x:c>
      <x:c r="E862" s="8" t="str">
        <x:v>RAINBOW TROUT</x:v>
      </x:c>
      <x:c r="F862" s="13" t="n">
        <x:v>5000</x:v>
      </x:c>
      <x:c r="G862" s="9" t="n">
        <x:v>19.9</x:v>
      </x:c>
      <x:c r="H862" s="9" t="n">
        <x:v>85</x:v>
      </x:c>
      <x:c r="I862" s="8" t="str">
        <x:f>B862&amp;" / "&amp;C862&amp;" / "&amp;E862</x:f>
        <x:v>6833 / 2026 / RAINBOW TROUT</x:v>
      </x:c>
    </x:row>
    <x:row r="863" ht="23" customHeight="1">
      <x:c r="A863" s="8" t="str">
        <x:v>Diplomat Mine Pond</x:v>
      </x:c>
      <x:c r="B863" s="8" t="str">
        <x:v>6833</x:v>
      </x:c>
      <x:c r="C863" s="17" t="n">
        <x:v>2026</x:v>
      </x:c>
      <x:c r="D863" s="18" t="n">
        <x:v>46141</x:v>
      </x:c>
      <x:c r="E863" s="8" t="str">
        <x:v>TIGER TROUT</x:v>
      </x:c>
      <x:c r="F863" s="13" t="n">
        <x:v>1500</x:v>
      </x:c>
      <x:c r="G863" s="9" t="n">
        <x:v>17.6</x:v>
      </x:c>
      <x:c r="H863" s="9" t="n">
        <x:v>59.1</x:v>
      </x:c>
      <x:c r="I863" s="8" t="str">
        <x:f>B863&amp;" / "&amp;C863&amp;" / "&amp;E863</x:f>
        <x:v>6833 / 2026 / TIGER TROUT</x:v>
      </x:c>
    </x:row>
    <x:row r="864" ht="23" customHeight="1">
      <x:c r="A864" s="8" t="str">
        <x:v>Diplomat Mine Pond</x:v>
      </x:c>
      <x:c r="B864" s="8" t="str">
        <x:v>6833</x:v>
      </x:c>
      <x:c r="C864" s="17" t="n">
        <x:v>2025</x:v>
      </x:c>
      <x:c r="D864" s="18" t="n">
        <x:v>45762</x:v>
      </x:c>
      <x:c r="E864" s="8" t="str">
        <x:v>RAINBOW TROUT</x:v>
      </x:c>
      <x:c r="F864" s="13" t="n">
        <x:v>5000</x:v>
      </x:c>
      <x:c r="G864" s="9" t="n">
        <x:v>20</x:v>
      </x:c>
      <x:c r="H864" s="9" t="n">
        <x:v>86</x:v>
      </x:c>
      <x:c r="I864" s="8" t="str">
        <x:f>B864&amp;" / "&amp;C864&amp;" / "&amp;E864</x:f>
        <x:v>6833 / 2025 / RAINBOW TROUT</x:v>
      </x:c>
    </x:row>
    <x:row r="865" ht="23" customHeight="1">
      <x:c r="A865" s="8" t="str">
        <x:v>Diplomat Mine Pond</x:v>
      </x:c>
      <x:c r="B865" s="8" t="str">
        <x:v>6833</x:v>
      </x:c>
      <x:c r="C865" s="17" t="n">
        <x:v>2025</x:v>
      </x:c>
      <x:c r="D865" s="18" t="n">
        <x:v>45762</x:v>
      </x:c>
      <x:c r="E865" s="8" t="str">
        <x:v>TIGER TROUT</x:v>
      </x:c>
      <x:c r="F865" s="13" t="n">
        <x:v>980</x:v>
      </x:c>
      <x:c r="G865" s="9" t="n">
        <x:v>18.6</x:v>
      </x:c>
      <x:c r="H865" s="9" t="n">
        <x:v>70</x:v>
      </x:c>
      <x:c r="I865" s="8" t="str">
        <x:f>B865&amp;" / "&amp;C865&amp;" / "&amp;E865</x:f>
        <x:v>6833 / 2025 / TIGER TROUT</x:v>
      </x:c>
    </x:row>
    <x:row r="866" ht="23" customHeight="1">
      <x:c r="A866" s="8" t="str">
        <x:v>Diplomat Mine Pond</x:v>
      </x:c>
      <x:c r="B866" s="8" t="str">
        <x:v>6833</x:v>
      </x:c>
      <x:c r="C866" s="17" t="n">
        <x:v>2025</x:v>
      </x:c>
      <x:c r="D866" s="18" t="n">
        <x:v>45762</x:v>
      </x:c>
      <x:c r="E866" s="8" t="str">
        <x:v>TIGER TROUT</x:v>
      </x:c>
      <x:c r="F866" s="13" t="n">
        <x:v>520</x:v>
      </x:c>
      <x:c r="G866" s="9" t="n">
        <x:v>20</x:v>
      </x:c>
      <x:c r="H866" s="9" t="n">
        <x:v>86</x:v>
      </x:c>
      <x:c r="I866" s="8" t="str">
        <x:f>B866&amp;" / "&amp;C866&amp;" / "&amp;E866</x:f>
        <x:v>6833 / 2025 / TIGER TROUT</x:v>
      </x:c>
    </x:row>
    <x:row r="867" ht="23" customHeight="1">
      <x:c r="A867" s="8" t="str">
        <x:v>Diplomat Mine Pond</x:v>
      </x:c>
      <x:c r="B867" s="8" t="str">
        <x:v>6833</x:v>
      </x:c>
      <x:c r="C867" s="17" t="n">
        <x:v>2024</x:v>
      </x:c>
      <x:c r="D867" s="18" t="n">
        <x:v>45418</x:v>
      </x:c>
      <x:c r="E867" s="8" t="str">
        <x:v>RAINBOW TROUT</x:v>
      </x:c>
      <x:c r="F867" s="13" t="n">
        <x:v>55</x:v>
      </x:c>
      <x:c r="G867" s="9" t="n">
        <x:v>35.1</x:v>
      </x:c>
      <x:c r="H867" s="9" t="n">
        <x:v>1610</x:v>
      </x:c>
      <x:c r="I867" s="8" t="str">
        <x:f>B867&amp;" / "&amp;C867&amp;" / "&amp;E867</x:f>
        <x:v>6833 / 2024 / RAINBOW TROUT</x:v>
      </x:c>
    </x:row>
    <x:row r="868" ht="23" customHeight="1">
      <x:c r="A868" s="8" t="str">
        <x:v>Diplomat Mine Pond</x:v>
      </x:c>
      <x:c r="B868" s="8" t="str">
        <x:v>6833</x:v>
      </x:c>
      <x:c r="C868" s="17" t="n">
        <x:v>2024</x:v>
      </x:c>
      <x:c r="D868" s="18" t="n">
        <x:v>45407</x:v>
      </x:c>
      <x:c r="E868" s="8" t="str">
        <x:v>RAINBOW TROUT</x:v>
      </x:c>
      <x:c r="F868" s="13" t="n">
        <x:v>30</x:v>
      </x:c>
      <x:c r="G868" s="9" t="n">
        <x:v>43.2</x:v>
      </x:c>
      <x:c r="H868" s="9" t="n">
        <x:v>1750</x:v>
      </x:c>
      <x:c r="I868" s="8" t="str">
        <x:f>B868&amp;" / "&amp;C868&amp;" / "&amp;E868</x:f>
        <x:v>6833 / 2024 / RAINBOW TROUT</x:v>
      </x:c>
    </x:row>
    <x:row r="869" ht="23" customHeight="1">
      <x:c r="A869" s="8" t="str">
        <x:v>Diplomat Mine Pond</x:v>
      </x:c>
      <x:c r="B869" s="8" t="str">
        <x:v>6833</x:v>
      </x:c>
      <x:c r="C869" s="17" t="n">
        <x:v>2024</x:v>
      </x:c>
      <x:c r="D869" s="18" t="n">
        <x:v>45400</x:v>
      </x:c>
      <x:c r="E869" s="8" t="str">
        <x:v>RAINBOW TROUT</x:v>
      </x:c>
      <x:c r="F869" s="13" t="n">
        <x:v>2000</x:v>
      </x:c>
      <x:c r="G869" s="9" t="n">
        <x:v>20.3</x:v>
      </x:c>
      <x:c r="H869" s="9" t="n">
        <x:v>90.3</x:v>
      </x:c>
      <x:c r="I869" s="8" t="str">
        <x:f>B869&amp;" / "&amp;C869&amp;" / "&amp;E869</x:f>
        <x:v>6833 / 2024 / RAINBOW TROUT</x:v>
      </x:c>
    </x:row>
    <x:row r="870" ht="23" customHeight="1">
      <x:c r="A870" s="8" t="str">
        <x:v>Diplomat Mine Pond</x:v>
      </x:c>
      <x:c r="B870" s="8" t="str">
        <x:v>6833</x:v>
      </x:c>
      <x:c r="C870" s="17" t="n">
        <x:v>2024</x:v>
      </x:c>
      <x:c r="D870" s="18" t="n">
        <x:v>45400</x:v>
      </x:c>
      <x:c r="E870" s="8" t="str">
        <x:v>TIGER TROUT</x:v>
      </x:c>
      <x:c r="F870" s="13" t="n">
        <x:v>1500</x:v>
      </x:c>
      <x:c r="G870" s="9" t="n">
        <x:v>19.3</x:v>
      </x:c>
      <x:c r="H870" s="9" t="n">
        <x:v>77.2</x:v>
      </x:c>
      <x:c r="I870" s="8" t="str">
        <x:f>B870&amp;" / "&amp;C870&amp;" / "&amp;E870</x:f>
        <x:v>6833 / 2024 / TIGER TROUT</x:v>
      </x:c>
    </x:row>
    <x:row r="871" ht="23" customHeight="1">
      <x:c r="A871" s="8" t="str">
        <x:v>Diplomat Mine Pond</x:v>
      </x:c>
      <x:c r="B871" s="8" t="str">
        <x:v>6833</x:v>
      </x:c>
      <x:c r="C871" s="17" t="n">
        <x:v>2023</x:v>
      </x:c>
      <x:c r="D871" s="18" t="n">
        <x:v>45188</x:v>
      </x:c>
      <x:c r="E871" s="8" t="str">
        <x:v>RAINBOW TROUT</x:v>
      </x:c>
      <x:c r="F871" s="13" t="n">
        <x:v>1514</x:v>
      </x:c>
      <x:c r="G871" s="9" t="n">
        <x:v>17.5</x:v>
      </x:c>
      <x:c r="H871" s="9" t="n">
        <x:v>65.5</x:v>
      </x:c>
      <x:c r="I871" s="8" t="str">
        <x:f>B871&amp;" / "&amp;C871&amp;" / "&amp;E871</x:f>
        <x:v>6833 / 2023 / RAINBOW TROUT</x:v>
      </x:c>
    </x:row>
    <x:row r="872" ht="23" customHeight="1">
      <x:c r="A872" s="8" t="str">
        <x:v>Diplomat Mine Pond</x:v>
      </x:c>
      <x:c r="B872" s="8" t="str">
        <x:v>6833</x:v>
      </x:c>
      <x:c r="C872" s="17" t="n">
        <x:v>2023</x:v>
      </x:c>
      <x:c r="D872" s="18" t="n">
        <x:v>45050</x:v>
      </x:c>
      <x:c r="E872" s="8" t="str">
        <x:v>RAINBOW TROUT</x:v>
      </x:c>
      <x:c r="F872" s="13" t="n">
        <x:v>1995</x:v>
      </x:c>
      <x:c r="G872" s="9" t="n">
        <x:v>20.2</x:v>
      </x:c>
      <x:c r="H872" s="9" t="n">
        <x:v>88.4</x:v>
      </x:c>
      <x:c r="I872" s="8" t="str">
        <x:f>B872&amp;" / "&amp;C872&amp;" / "&amp;E872</x:f>
        <x:v>6833 / 2023 / RAINBOW TROUT</x:v>
      </x:c>
    </x:row>
    <x:row r="873" ht="23" customHeight="1">
      <x:c r="A873" s="8" t="str">
        <x:v>Diplomat Mine Pond</x:v>
      </x:c>
      <x:c r="B873" s="8" t="str">
        <x:v>6833</x:v>
      </x:c>
      <x:c r="C873" s="17" t="n">
        <x:v>2023</x:v>
      </x:c>
      <x:c r="D873" s="18" t="n">
        <x:v>45046</x:v>
      </x:c>
      <x:c r="E873" s="8" t="str">
        <x:v>RAINBOW TROUT</x:v>
      </x:c>
      <x:c r="F873" s="13" t="n">
        <x:v>3000</x:v>
      </x:c>
      <x:c r="G873" s="9" t="n">
        <x:v>7.4</x:v>
      </x:c>
      <x:c r="H873" s="9" t="n">
        <x:v>4.5</x:v>
      </x:c>
      <x:c r="I873" s="8" t="str">
        <x:f>B873&amp;" / "&amp;C873&amp;" / "&amp;E873</x:f>
        <x:v>6833 / 2023 / RAINBOW TROUT</x:v>
      </x:c>
    </x:row>
    <x:row r="874" ht="23" customHeight="1">
      <x:c r="A874" s="8" t="str">
        <x:v>Diplomat Mine Pond</x:v>
      </x:c>
      <x:c r="B874" s="8" t="str">
        <x:v>6833</x:v>
      </x:c>
      <x:c r="C874" s="17" t="n">
        <x:v>2023</x:v>
      </x:c>
      <x:c r="D874" s="18" t="n">
        <x:v>45050</x:v>
      </x:c>
      <x:c r="E874" s="8" t="str">
        <x:v>TIGER TROUT</x:v>
      </x:c>
      <x:c r="F874" s="13" t="n">
        <x:v>1500</x:v>
      </x:c>
      <x:c r="G874" s="9" t="n">
        <x:v>20</x:v>
      </x:c>
      <x:c r="H874" s="9" t="n">
        <x:v>86.1</x:v>
      </x:c>
      <x:c r="I874" s="8" t="str">
        <x:f>B874&amp;" / "&amp;C874&amp;" / "&amp;E874</x:f>
        <x:v>6833 / 2023 / TIGER TROUT</x:v>
      </x:c>
    </x:row>
    <x:row r="875" ht="23" customHeight="1">
      <x:c r="A875" s="8" t="str">
        <x:v>Diplomat Mine Pond</x:v>
      </x:c>
      <x:c r="B875" s="8" t="str">
        <x:v>6833</x:v>
      </x:c>
      <x:c r="C875" s="17" t="n">
        <x:v>2022</x:v>
      </x:c>
      <x:c r="D875" s="18" t="n">
        <x:v>44832</x:v>
      </x:c>
      <x:c r="E875" s="8" t="str">
        <x:v>RAINBOW TROUT</x:v>
      </x:c>
      <x:c r="F875" s="13" t="n">
        <x:v>1000</x:v>
      </x:c>
      <x:c r="G875" s="9" t="n">
        <x:v>17.4</x:v>
      </x:c>
      <x:c r="H875" s="9" t="n">
        <x:v>58.4</x:v>
      </x:c>
      <x:c r="I875" s="8" t="str">
        <x:f>B875&amp;" / "&amp;C875&amp;" / "&amp;E875</x:f>
        <x:v>6833 / 2022 / RAINBOW TROUT</x:v>
      </x:c>
    </x:row>
    <x:row r="876" ht="23" customHeight="1">
      <x:c r="A876" s="8" t="str">
        <x:v>Diplomat Mine Pond</x:v>
      </x:c>
      <x:c r="B876" s="8" t="str">
        <x:v>6833</x:v>
      </x:c>
      <x:c r="C876" s="17" t="n">
        <x:v>2022</x:v>
      </x:c>
      <x:c r="D876" s="18" t="n">
        <x:v>44832</x:v>
      </x:c>
      <x:c r="E876" s="8" t="str">
        <x:v>RAINBOW TROUT</x:v>
      </x:c>
      <x:c r="F876" s="13" t="n">
        <x:v>4000</x:v>
      </x:c>
      <x:c r="G876" s="9" t="n">
        <x:v>20.1</x:v>
      </x:c>
      <x:c r="H876" s="9" t="n">
        <x:v>86.3</x:v>
      </x:c>
      <x:c r="I876" s="8" t="str">
        <x:f>B876&amp;" / "&amp;C876&amp;" / "&amp;E876</x:f>
        <x:v>6833 / 2022 / RAINBOW TROUT</x:v>
      </x:c>
    </x:row>
    <x:row r="877" ht="23" customHeight="1">
      <x:c r="A877" s="8" t="str">
        <x:v>Diplomat Mine Pond</x:v>
      </x:c>
      <x:c r="B877" s="8" t="str">
        <x:v>6833</x:v>
      </x:c>
      <x:c r="C877" s="17" t="n">
        <x:v>2022</x:v>
      </x:c>
      <x:c r="D877" s="18" t="n">
        <x:v>44683</x:v>
      </x:c>
      <x:c r="E877" s="8" t="str">
        <x:v>RAINBOW TROUT</x:v>
      </x:c>
      <x:c r="F877" s="13" t="n">
        <x:v>5000</x:v>
      </x:c>
      <x:c r="G877" s="9" t="n">
        <x:v>20.3</x:v>
      </x:c>
      <x:c r="H877" s="9" t="n">
        <x:v>91.6</x:v>
      </x:c>
      <x:c r="I877" s="8" t="str">
        <x:f>B877&amp;" / "&amp;C877&amp;" / "&amp;E877</x:f>
        <x:v>6833 / 2022 / RAINBOW TROUT</x:v>
      </x:c>
    </x:row>
    <x:row r="878" ht="23" customHeight="1">
      <x:c r="A878" s="8" t="str">
        <x:v>Diplomat Mine Pond</x:v>
      </x:c>
      <x:c r="B878" s="8" t="str">
        <x:v>6833</x:v>
      </x:c>
      <x:c r="C878" s="17" t="n">
        <x:v>2022</x:v>
      </x:c>
      <x:c r="D878" s="18" t="n">
        <x:v>44677</x:v>
      </x:c>
      <x:c r="E878" s="8" t="str">
        <x:v>TIGER TROUT</x:v>
      </x:c>
      <x:c r="F878" s="13" t="n">
        <x:v>1500</x:v>
      </x:c>
      <x:c r="G878" s="9" t="n">
        <x:v>17.1</x:v>
      </x:c>
      <x:c r="H878" s="9" t="n">
        <x:v>55.2</x:v>
      </x:c>
      <x:c r="I878" s="8" t="str">
        <x:f>B878&amp;" / "&amp;C878&amp;" / "&amp;E878</x:f>
        <x:v>6833 / 2022 / TIGER TROUT</x:v>
      </x:c>
    </x:row>
    <x:row r="879" ht="23" customHeight="1">
      <x:c r="A879" s="8" t="str">
        <x:v>Diplomat Mine Pond</x:v>
      </x:c>
      <x:c r="B879" s="8" t="str">
        <x:v>6833</x:v>
      </x:c>
      <x:c r="C879" s="17" t="n">
        <x:v>2021</x:v>
      </x:c>
      <x:c r="D879" s="18" t="n">
        <x:v>44468</x:v>
      </x:c>
      <x:c r="E879" s="8" t="str">
        <x:v>RAINBOW TROUT</x:v>
      </x:c>
      <x:c r="F879" s="13" t="n">
        <x:v>210</x:v>
      </x:c>
      <x:c r="G879" s="9" t="n">
        <x:v>35</x:v>
      </x:c>
      <x:c r="H879" s="9" t="n">
        <x:v>1050</x:v>
      </x:c>
      <x:c r="I879" s="8" t="str">
        <x:f>B879&amp;" / "&amp;C879&amp;" / "&amp;E879</x:f>
        <x:v>6833 / 2021 / RAINBOW TROUT</x:v>
      </x:c>
    </x:row>
    <x:row r="880" ht="23" customHeight="1">
      <x:c r="A880" s="8" t="str">
        <x:v>Diplomat Mine Pond</x:v>
      </x:c>
      <x:c r="B880" s="8" t="str">
        <x:v>6833</x:v>
      </x:c>
      <x:c r="C880" s="17" t="n">
        <x:v>2021</x:v>
      </x:c>
      <x:c r="D880" s="18" t="n">
        <x:v>44459</x:v>
      </x:c>
      <x:c r="E880" s="8" t="str">
        <x:v>RAINBOW TROUT</x:v>
      </x:c>
      <x:c r="F880" s="13" t="n">
        <x:v>5000</x:v>
      </x:c>
      <x:c r="G880" s="9" t="n">
        <x:v>20.1</x:v>
      </x:c>
      <x:c r="H880" s="9" t="n">
        <x:v>89.4</x:v>
      </x:c>
      <x:c r="I880" s="8" t="str">
        <x:f>B880&amp;" / "&amp;C880&amp;" / "&amp;E880</x:f>
        <x:v>6833 / 2021 / RAINBOW TROUT</x:v>
      </x:c>
    </x:row>
    <x:row r="881" ht="23" customHeight="1">
      <x:c r="A881" s="8" t="str">
        <x:v>Diplomat Mine Pond</x:v>
      </x:c>
      <x:c r="B881" s="8" t="str">
        <x:v>6833</x:v>
      </x:c>
      <x:c r="C881" s="17" t="n">
        <x:v>2021</x:v>
      </x:c>
      <x:c r="D881" s="18" t="n">
        <x:v>44313</x:v>
      </x:c>
      <x:c r="E881" s="8" t="str">
        <x:v>RAINBOW TROUT</x:v>
      </x:c>
      <x:c r="F881" s="13" t="n">
        <x:v>50</x:v>
      </x:c>
      <x:c r="G881" s="9" t="n">
        <x:v>30</x:v>
      </x:c>
      <x:c r="H881" s="9" t="n">
        <x:v>410</x:v>
      </x:c>
      <x:c r="I881" s="8" t="str">
        <x:f>B881&amp;" / "&amp;C881&amp;" / "&amp;E881</x:f>
        <x:v>6833 / 2021 / RAINBOW TROUT</x:v>
      </x:c>
    </x:row>
    <x:row r="882" ht="23" customHeight="1">
      <x:c r="A882" s="8" t="str">
        <x:v>Diplomat Mine Pond</x:v>
      </x:c>
      <x:c r="B882" s="8" t="str">
        <x:v>6833</x:v>
      </x:c>
      <x:c r="C882" s="17" t="n">
        <x:v>2021</x:v>
      </x:c>
      <x:c r="D882" s="18" t="n">
        <x:v>44306</x:v>
      </x:c>
      <x:c r="E882" s="8" t="str">
        <x:v>RAINBOW TROUT</x:v>
      </x:c>
      <x:c r="F882" s="13" t="n">
        <x:v>5000</x:v>
      </x:c>
      <x:c r="G882" s="9" t="n">
        <x:v>20</x:v>
      </x:c>
      <x:c r="H882" s="9" t="n">
        <x:v>88</x:v>
      </x:c>
      <x:c r="I882" s="8" t="str">
        <x:f>B882&amp;" / "&amp;C882&amp;" / "&amp;E882</x:f>
        <x:v>6833 / 2021 / RAINBOW TROUT</x:v>
      </x:c>
    </x:row>
    <x:row r="883" ht="23" customHeight="1">
      <x:c r="A883" s="8" t="str">
        <x:v>Diplomat Mine Pond</x:v>
      </x:c>
      <x:c r="B883" s="8" t="str">
        <x:v>6833</x:v>
      </x:c>
      <x:c r="C883" s="17" t="n">
        <x:v>2021</x:v>
      </x:c>
      <x:c r="D883" s="18" t="n">
        <x:v>44468</x:v>
      </x:c>
      <x:c r="E883" s="8" t="str">
        <x:v>TIGER TROUT</x:v>
      </x:c>
      <x:c r="F883" s="13" t="n">
        <x:v>1500</x:v>
      </x:c>
      <x:c r="G883" s="9" t="n">
        <x:v>19.6</x:v>
      </x:c>
      <x:c r="H883" s="9" t="n">
        <x:v>83.8</x:v>
      </x:c>
      <x:c r="I883" s="8" t="str">
        <x:f>B883&amp;" / "&amp;C883&amp;" / "&amp;E883</x:f>
        <x:v>6833 / 2021 / TIGER TROUT</x:v>
      </x:c>
    </x:row>
    <x:row r="884" ht="23" customHeight="1">
      <x:c r="A884" s="8" t="str">
        <x:v>Dolberg Lake</x:v>
      </x:c>
      <x:c r="B884" s="8" t="str">
        <x:v>4458</x:v>
      </x:c>
      <x:c r="C884" s="17" t="n">
        <x:v>2026</x:v>
      </x:c>
      <x:c r="D884" s="18" t="n">
        <x:v>46164</x:v>
      </x:c>
      <x:c r="E884" s="8" t="str">
        <x:v>BROWN TROUT</x:v>
      </x:c>
      <x:c r="F884" s="13" t="n">
        <x:v>2000</x:v>
      </x:c>
      <x:c r="G884" s="9" t="n">
        <x:v>20.1</x:v>
      </x:c>
      <x:c r="H884" s="9" t="n">
        <x:v>90.2</x:v>
      </x:c>
      <x:c r="I884" s="8" t="str">
        <x:f>B884&amp;" / "&amp;C884&amp;" / "&amp;E884</x:f>
        <x:v>4458 / 2026 / BROWN TROUT</x:v>
      </x:c>
    </x:row>
    <x:row r="885" ht="23" customHeight="1">
      <x:c r="A885" s="8" t="str">
        <x:v>Dolberg Lake</x:v>
      </x:c>
      <x:c r="B885" s="8" t="str">
        <x:v>4458</x:v>
      </x:c>
      <x:c r="C885" s="17" t="n">
        <x:v>2026</x:v>
      </x:c>
      <x:c r="D885" s="18" t="n">
        <x:v>46164</x:v>
      </x:c>
      <x:c r="E885" s="8" t="str">
        <x:v>RAINBOW TROUT</x:v>
      </x:c>
      <x:c r="F885" s="13" t="n">
        <x:v>8000</x:v>
      </x:c>
      <x:c r="G885" s="9" t="n">
        <x:v>21.1</x:v>
      </x:c>
      <x:c r="H885" s="9" t="n">
        <x:v>102.7</x:v>
      </x:c>
      <x:c r="I885" s="8" t="str">
        <x:f>B885&amp;" / "&amp;C885&amp;" / "&amp;E885</x:f>
        <x:v>4458 / 2026 / RAINBOW TROUT</x:v>
      </x:c>
    </x:row>
    <x:row r="886" ht="23" customHeight="1">
      <x:c r="A886" s="8" t="str">
        <x:v>Dolberg Lake</x:v>
      </x:c>
      <x:c r="B886" s="8" t="str">
        <x:v>4458</x:v>
      </x:c>
      <x:c r="C886" s="17" t="n">
        <x:v>2026</x:v>
      </x:c>
      <x:c r="D886" s="18" t="n">
        <x:v>46164</x:v>
      </x:c>
      <x:c r="E886" s="8" t="str">
        <x:v>TIGER TROUT</x:v>
      </x:c>
      <x:c r="F886" s="13" t="n">
        <x:v>2000</x:v>
      </x:c>
      <x:c r="G886" s="9" t="n">
        <x:v>21.9</x:v>
      </x:c>
      <x:c r="H886" s="9" t="n">
        <x:v>115.7</x:v>
      </x:c>
      <x:c r="I886" s="8" t="str">
        <x:f>B886&amp;" / "&amp;C886&amp;" / "&amp;E886</x:f>
        <x:v>4458 / 2026 / TIGER TROUT</x:v>
      </x:c>
    </x:row>
    <x:row r="887" ht="23" customHeight="1">
      <x:c r="A887" s="8" t="str">
        <x:v>Dolberg Lake</x:v>
      </x:c>
      <x:c r="B887" s="8" t="str">
        <x:v>4458</x:v>
      </x:c>
      <x:c r="C887" s="17" t="n">
        <x:v>2025</x:v>
      </x:c>
      <x:c r="D887" s="18" t="n">
        <x:v>45796</x:v>
      </x:c>
      <x:c r="E887" s="8" t="str">
        <x:v>RAINBOW TROUT</x:v>
      </x:c>
      <x:c r="F887" s="13" t="n">
        <x:v>8000</x:v>
      </x:c>
      <x:c r="G887" s="9" t="n">
        <x:v>20.6</x:v>
      </x:c>
      <x:c r="H887" s="9" t="n">
        <x:v>96.6</x:v>
      </x:c>
      <x:c r="I887" s="8" t="str">
        <x:f>B887&amp;" / "&amp;C887&amp;" / "&amp;E887</x:f>
        <x:v>4458 / 2025 / RAINBOW TROUT</x:v>
      </x:c>
    </x:row>
    <x:row r="888" ht="23" customHeight="1">
      <x:c r="A888" s="8" t="str">
        <x:v>Dolberg Lake</x:v>
      </x:c>
      <x:c r="B888" s="8" t="str">
        <x:v>4458</x:v>
      </x:c>
      <x:c r="C888" s="17" t="n">
        <x:v>2024</x:v>
      </x:c>
      <x:c r="D888" s="18" t="n">
        <x:v>45412</x:v>
      </x:c>
      <x:c r="E888" s="8" t="str">
        <x:v>BROWN TROUT</x:v>
      </x:c>
      <x:c r="F888" s="13" t="n">
        <x:v>1400</x:v>
      </x:c>
      <x:c r="G888" s="9" t="n">
        <x:v>20.2</x:v>
      </x:c>
      <x:c r="H888" s="9" t="n">
        <x:v>88.6</x:v>
      </x:c>
      <x:c r="I888" s="8" t="str">
        <x:f>B888&amp;" / "&amp;C888&amp;" / "&amp;E888</x:f>
        <x:v>4458 / 2024 / BROWN TROUT</x:v>
      </x:c>
    </x:row>
    <x:row r="889" ht="23" customHeight="1">
      <x:c r="A889" s="8" t="str">
        <x:v>Dolberg Lake</x:v>
      </x:c>
      <x:c r="B889" s="8" t="str">
        <x:v>4458</x:v>
      </x:c>
      <x:c r="C889" s="17" t="n">
        <x:v>2024</x:v>
      </x:c>
      <x:c r="D889" s="18" t="n">
        <x:v>45555</x:v>
      </x:c>
      <x:c r="E889" s="8" t="str">
        <x:v>RAINBOW TROUT</x:v>
      </x:c>
      <x:c r="F889" s="13" t="n">
        <x:v>5000</x:v>
      </x:c>
      <x:c r="G889" s="9" t="n">
        <x:v>20.7</x:v>
      </x:c>
      <x:c r="H889" s="9" t="n">
        <x:v>98.2</x:v>
      </x:c>
      <x:c r="I889" s="8" t="str">
        <x:f>B889&amp;" / "&amp;C889&amp;" / "&amp;E889</x:f>
        <x:v>4458 / 2024 / RAINBOW TROUT</x:v>
      </x:c>
    </x:row>
    <x:row r="890" ht="23" customHeight="1">
      <x:c r="A890" s="8" t="str">
        <x:v>Dolberg Lake</x:v>
      </x:c>
      <x:c r="B890" s="8" t="str">
        <x:v>4458</x:v>
      </x:c>
      <x:c r="C890" s="17" t="n">
        <x:v>2024</x:v>
      </x:c>
      <x:c r="D890" s="18" t="n">
        <x:v>45425</x:v>
      </x:c>
      <x:c r="E890" s="8" t="str">
        <x:v>RAINBOW TROUT</x:v>
      </x:c>
      <x:c r="F890" s="13" t="n">
        <x:v>5000</x:v>
      </x:c>
      <x:c r="G890" s="9" t="n">
        <x:v>10.2</x:v>
      </x:c>
      <x:c r="H890" s="9" t="n">
        <x:v>11.7</x:v>
      </x:c>
      <x:c r="I890" s="8" t="str">
        <x:f>B890&amp;" / "&amp;C890&amp;" / "&amp;E890</x:f>
        <x:v>4458 / 2024 / RAINBOW TROUT</x:v>
      </x:c>
    </x:row>
    <x:row r="891" ht="23" customHeight="1">
      <x:c r="A891" s="8" t="str">
        <x:v>Dolberg Lake</x:v>
      </x:c>
      <x:c r="B891" s="8" t="str">
        <x:v>4458</x:v>
      </x:c>
      <x:c r="C891" s="17" t="n">
        <x:v>2024</x:v>
      </x:c>
      <x:c r="D891" s="18" t="n">
        <x:v>45412</x:v>
      </x:c>
      <x:c r="E891" s="8" t="str">
        <x:v>RAINBOW TROUT</x:v>
      </x:c>
      <x:c r="F891" s="13" t="n">
        <x:v>3200</x:v>
      </x:c>
      <x:c r="G891" s="9" t="n">
        <x:v>20.3</x:v>
      </x:c>
      <x:c r="H891" s="9" t="n">
        <x:v>91</x:v>
      </x:c>
      <x:c r="I891" s="8" t="str">
        <x:f>B891&amp;" / "&amp;C891&amp;" / "&amp;E891</x:f>
        <x:v>4458 / 2024 / RAINBOW TROUT</x:v>
      </x:c>
    </x:row>
    <x:row r="892" ht="23" customHeight="1">
      <x:c r="A892" s="8" t="str">
        <x:v>Dolberg Lake</x:v>
      </x:c>
      <x:c r="B892" s="8" t="str">
        <x:v>4458</x:v>
      </x:c>
      <x:c r="C892" s="17" t="n">
        <x:v>2024</x:v>
      </x:c>
      <x:c r="D892" s="18" t="n">
        <x:v>45563</x:v>
      </x:c>
      <x:c r="E892" s="8" t="str">
        <x:v>TIGER TROUT</x:v>
      </x:c>
      <x:c r="F892" s="13" t="n">
        <x:v>7155</x:v>
      </x:c>
      <x:c r="G892" s="9" t="n">
        <x:v>10.6</x:v>
      </x:c>
      <x:c r="H892" s="9" t="n">
        <x:v>12.9</x:v>
      </x:c>
      <x:c r="I892" s="8" t="str">
        <x:f>B892&amp;" / "&amp;C892&amp;" / "&amp;E892</x:f>
        <x:v>4458 / 2024 / TIGER TROUT</x:v>
      </x:c>
    </x:row>
    <x:row r="893" ht="23" customHeight="1">
      <x:c r="A893" s="8" t="str">
        <x:v>Dolberg Lake</x:v>
      </x:c>
      <x:c r="B893" s="8" t="str">
        <x:v>4458</x:v>
      </x:c>
      <x:c r="C893" s="17" t="n">
        <x:v>2024</x:v>
      </x:c>
      <x:c r="D893" s="18" t="n">
        <x:v>45412</x:v>
      </x:c>
      <x:c r="E893" s="8" t="str">
        <x:v>TIGER TROUT</x:v>
      </x:c>
      <x:c r="F893" s="13" t="n">
        <x:v>2000</x:v>
      </x:c>
      <x:c r="G893" s="9" t="n">
        <x:v>19.6</x:v>
      </x:c>
      <x:c r="H893" s="9" t="n">
        <x:v>81.9</x:v>
      </x:c>
      <x:c r="I893" s="8" t="str">
        <x:f>B893&amp;" / "&amp;C893&amp;" / "&amp;E893</x:f>
        <x:v>4458 / 2024 / TIGER TROUT</x:v>
      </x:c>
    </x:row>
    <x:row r="894" ht="23" customHeight="1">
      <x:c r="A894" s="8" t="str">
        <x:v>Dolberg Lake</x:v>
      </x:c>
      <x:c r="B894" s="8" t="str">
        <x:v>4458</x:v>
      </x:c>
      <x:c r="C894" s="17" t="n">
        <x:v>2023</x:v>
      </x:c>
      <x:c r="D894" s="18" t="n">
        <x:v>45068</x:v>
      </x:c>
      <x:c r="E894" s="8" t="str">
        <x:v>RAINBOW TROUT</x:v>
      </x:c>
      <x:c r="F894" s="13" t="n">
        <x:v>5000</x:v>
      </x:c>
      <x:c r="G894" s="9" t="n">
        <x:v>9.5</x:v>
      </x:c>
      <x:c r="H894" s="9" t="n">
        <x:v>9.6</x:v>
      </x:c>
      <x:c r="I894" s="8" t="str">
        <x:f>B894&amp;" / "&amp;C894&amp;" / "&amp;E894</x:f>
        <x:v>4458 / 2023 / RAINBOW TROUT</x:v>
      </x:c>
    </x:row>
    <x:row r="895" ht="23" customHeight="1">
      <x:c r="A895" s="8" t="str">
        <x:v>Dolberg Lake</x:v>
      </x:c>
      <x:c r="B895" s="8" t="str">
        <x:v>4458</x:v>
      </x:c>
      <x:c r="C895" s="17" t="n">
        <x:v>2023</x:v>
      </x:c>
      <x:c r="D895" s="18" t="n">
        <x:v>45050</x:v>
      </x:c>
      <x:c r="E895" s="8" t="str">
        <x:v>RAINBOW TROUT</x:v>
      </x:c>
      <x:c r="F895" s="13" t="n">
        <x:v>3192</x:v>
      </x:c>
      <x:c r="G895" s="9" t="n">
        <x:v>20.2</x:v>
      </x:c>
      <x:c r="H895" s="9" t="n">
        <x:v>88.4</x:v>
      </x:c>
      <x:c r="I895" s="8" t="str">
        <x:f>B895&amp;" / "&amp;C895&amp;" / "&amp;E895</x:f>
        <x:v>4458 / 2023 / RAINBOW TROUT</x:v>
      </x:c>
    </x:row>
    <x:row r="896" ht="23" customHeight="1">
      <x:c r="A896" s="8" t="str">
        <x:v>Dolberg Lake</x:v>
      </x:c>
      <x:c r="B896" s="8" t="str">
        <x:v>4458</x:v>
      </x:c>
      <x:c r="C896" s="17" t="n">
        <x:v>2022</x:v>
      </x:c>
      <x:c r="D896" s="18" t="n">
        <x:v>44707</x:v>
      </x:c>
      <x:c r="E896" s="8" t="str">
        <x:v>BROWN TROUT</x:v>
      </x:c>
      <x:c r="F896" s="13" t="n">
        <x:v>2000</x:v>
      </x:c>
      <x:c r="G896" s="9" t="n">
        <x:v>17.7</x:v>
      </x:c>
      <x:c r="H896" s="9" t="n">
        <x:v>61.3</x:v>
      </x:c>
      <x:c r="I896" s="8" t="str">
        <x:f>B896&amp;" / "&amp;C896&amp;" / "&amp;E896</x:f>
        <x:v>4458 / 2022 / BROWN TROUT</x:v>
      </x:c>
    </x:row>
    <x:row r="897" ht="23" customHeight="1">
      <x:c r="A897" s="8" t="str">
        <x:v>Dolberg Lake</x:v>
      </x:c>
      <x:c r="B897" s="8" t="str">
        <x:v>4458</x:v>
      </x:c>
      <x:c r="C897" s="17" t="n">
        <x:v>2022</x:v>
      </x:c>
      <x:c r="D897" s="18" t="n">
        <x:v>44707</x:v>
      </x:c>
      <x:c r="E897" s="8" t="str">
        <x:v>RAINBOW TROUT</x:v>
      </x:c>
      <x:c r="F897" s="13" t="n">
        <x:v>8000</x:v>
      </x:c>
      <x:c r="G897" s="9" t="n">
        <x:v>20</x:v>
      </x:c>
      <x:c r="H897" s="9" t="n">
        <x:v>88.8</x:v>
      </x:c>
      <x:c r="I897" s="8" t="str">
        <x:f>B897&amp;" / "&amp;C897&amp;" / "&amp;E897</x:f>
        <x:v>4458 / 2022 / RAINBOW TROUT</x:v>
      </x:c>
    </x:row>
    <x:row r="898" ht="23" customHeight="1">
      <x:c r="A898" s="8" t="str">
        <x:v>Dolberg Lake</x:v>
      </x:c>
      <x:c r="B898" s="8" t="str">
        <x:v>4458</x:v>
      </x:c>
      <x:c r="C898" s="17" t="n">
        <x:v>2022</x:v>
      </x:c>
      <x:c r="D898" s="18" t="n">
        <x:v>44707</x:v>
      </x:c>
      <x:c r="E898" s="8" t="str">
        <x:v>TIGER TROUT</x:v>
      </x:c>
      <x:c r="F898" s="13" t="n">
        <x:v>2000</x:v>
      </x:c>
      <x:c r="G898" s="9" t="n">
        <x:v>16.7</x:v>
      </x:c>
      <x:c r="H898" s="9" t="n">
        <x:v>51.8</x:v>
      </x:c>
      <x:c r="I898" s="8" t="str">
        <x:f>B898&amp;" / "&amp;C898&amp;" / "&amp;E898</x:f>
        <x:v>4458 / 2022 / TIGER TROUT</x:v>
      </x:c>
    </x:row>
    <x:row r="899" ht="23" customHeight="1">
      <x:c r="A899" s="8" t="str">
        <x:v>Dolberg Lake</x:v>
      </x:c>
      <x:c r="B899" s="8" t="str">
        <x:v>4458</x:v>
      </x:c>
      <x:c r="C899" s="17" t="n">
        <x:v>2021</x:v>
      </x:c>
      <x:c r="D899" s="18" t="n">
        <x:v>44347</x:v>
      </x:c>
      <x:c r="E899" s="8" t="str">
        <x:v>RAINBOW TROUT</x:v>
      </x:c>
      <x:c r="F899" s="13" t="n">
        <x:v>8000</x:v>
      </x:c>
      <x:c r="G899" s="9" t="n">
        <x:v>20.9</x:v>
      </x:c>
      <x:c r="H899" s="9" t="n">
        <x:v>100.6</x:v>
      </x:c>
      <x:c r="I899" s="8" t="str">
        <x:f>B899&amp;" / "&amp;C899&amp;" / "&amp;E899</x:f>
        <x:v>4458 / 2021 / RAINBOW TROUT</x:v>
      </x:c>
    </x:row>
    <x:row r="900" ht="23" customHeight="1">
      <x:c r="A900" s="8" t="str">
        <x:v>Dormer Lake</x:v>
      </x:c>
      <x:c r="B900" s="8" t="str">
        <x:v>6836</x:v>
      </x:c>
      <x:c r="C900" s="17" t="n">
        <x:v>2022</x:v>
      </x:c>
      <x:c r="D900" s="18" t="n">
        <x:v>44824</x:v>
      </x:c>
      <x:c r="E900" s="8" t="str">
        <x:v>CUTTHROAT TROUT</x:v>
      </x:c>
      <x:c r="F900" s="13" t="n">
        <x:v>1500</x:v>
      </x:c>
      <x:c r="G900" s="9" t="n">
        <x:v>18.4</x:v>
      </x:c>
      <x:c r="H900" s="9" t="n">
        <x:v>67.4</x:v>
      </x:c>
      <x:c r="I900" s="8" t="str">
        <x:f>B900&amp;" / "&amp;C900&amp;" / "&amp;E900</x:f>
        <x:v>6836 / 2022 / CUTTHROAT TROUT</x:v>
      </x:c>
    </x:row>
    <x:row r="901" ht="23" customHeight="1">
      <x:c r="A901" s="8" t="str">
        <x:v>Dunn Lake</x:v>
      </x:c>
      <x:c r="B901" s="8" t="str">
        <x:v>4488</x:v>
      </x:c>
      <x:c r="C901" s="17" t="n">
        <x:v>2026</x:v>
      </x:c>
      <x:c r="D901" s="18" t="n">
        <x:v>46169</x:v>
      </x:c>
      <x:c r="E901" s="8" t="str">
        <x:v>BROOK TROUT</x:v>
      </x:c>
      <x:c r="F901" s="13" t="n">
        <x:v>3000</x:v>
      </x:c>
      <x:c r="G901" s="9" t="n">
        <x:v>19.6</x:v>
      </x:c>
      <x:c r="H901" s="9" t="n">
        <x:v>80.9</x:v>
      </x:c>
      <x:c r="I901" s="8" t="str">
        <x:f>B901&amp;" / "&amp;C901&amp;" / "&amp;E901</x:f>
        <x:v>4488 / 2026 / BROOK TROUT</x:v>
      </x:c>
    </x:row>
    <x:row r="902" ht="23" customHeight="1">
      <x:c r="A902" s="8" t="str">
        <x:v>Dunn Lake</x:v>
      </x:c>
      <x:c r="B902" s="8" t="str">
        <x:v>4488</x:v>
      </x:c>
      <x:c r="C902" s="17" t="n">
        <x:v>2025</x:v>
      </x:c>
      <x:c r="D902" s="18" t="n">
        <x:v>45804</x:v>
      </x:c>
      <x:c r="E902" s="8" t="str">
        <x:v>BROOK TROUT</x:v>
      </x:c>
      <x:c r="F902" s="13" t="n">
        <x:v>3000</x:v>
      </x:c>
      <x:c r="G902" s="9" t="n">
        <x:v>20.9</x:v>
      </x:c>
      <x:c r="H902" s="9" t="n">
        <x:v>99.2</x:v>
      </x:c>
      <x:c r="I902" s="8" t="str">
        <x:f>B902&amp;" / "&amp;C902&amp;" / "&amp;E902</x:f>
        <x:v>4488 / 2025 / BROOK TROUT</x:v>
      </x:c>
    </x:row>
    <x:row r="903" ht="23" customHeight="1">
      <x:c r="A903" s="8" t="str">
        <x:v>Dunn Lake</x:v>
      </x:c>
      <x:c r="B903" s="8" t="str">
        <x:v>4488</x:v>
      </x:c>
      <x:c r="C903" s="17" t="n">
        <x:v>2024</x:v>
      </x:c>
      <x:c r="D903" s="18" t="n">
        <x:v>45439</x:v>
      </x:c>
      <x:c r="E903" s="8" t="str">
        <x:v>BROOK TROUT</x:v>
      </x:c>
      <x:c r="F903" s="13" t="n">
        <x:v>1500</x:v>
      </x:c>
      <x:c r="G903" s="9" t="n">
        <x:v>19.2</x:v>
      </x:c>
      <x:c r="H903" s="9" t="n">
        <x:v>76</x:v>
      </x:c>
      <x:c r="I903" s="8" t="str">
        <x:f>B903&amp;" / "&amp;C903&amp;" / "&amp;E903</x:f>
        <x:v>4488 / 2024 / BROOK TROUT</x:v>
      </x:c>
    </x:row>
    <x:row r="904" ht="23" customHeight="1">
      <x:c r="A904" s="8" t="str">
        <x:v>Dunn Lake</x:v>
      </x:c>
      <x:c r="B904" s="8" t="str">
        <x:v>4488</x:v>
      </x:c>
      <x:c r="C904" s="17" t="n">
        <x:v>2023</x:v>
      </x:c>
      <x:c r="D904" s="18" t="n">
        <x:v>45204</x:v>
      </x:c>
      <x:c r="E904" s="8" t="str">
        <x:v>BROOK TROUT</x:v>
      </x:c>
      <x:c r="F904" s="13" t="n">
        <x:v>2000</x:v>
      </x:c>
      <x:c r="G904" s="9" t="n">
        <x:v>22.5</x:v>
      </x:c>
      <x:c r="H904" s="9" t="n">
        <x:v>123.5</x:v>
      </x:c>
      <x:c r="I904" s="8" t="str">
        <x:f>B904&amp;" / "&amp;C904&amp;" / "&amp;E904</x:f>
        <x:v>4488 / 2023 / BROOK TROUT</x:v>
      </x:c>
    </x:row>
    <x:row r="905" ht="23" customHeight="1">
      <x:c r="A905" s="8" t="str">
        <x:v>Dunn Lake</x:v>
      </x:c>
      <x:c r="B905" s="8" t="str">
        <x:v>4488</x:v>
      </x:c>
      <x:c r="C905" s="17" t="n">
        <x:v>2022</x:v>
      </x:c>
      <x:c r="D905" s="18" t="n">
        <x:v>44717</x:v>
      </x:c>
      <x:c r="E905" s="8" t="str">
        <x:v>BROOK TROUT</x:v>
      </x:c>
      <x:c r="F905" s="13" t="n">
        <x:v>3000</x:v>
      </x:c>
      <x:c r="G905" s="9" t="n">
        <x:v>19.8</x:v>
      </x:c>
      <x:c r="H905" s="9" t="n">
        <x:v>86.1</x:v>
      </x:c>
      <x:c r="I905" s="8" t="str">
        <x:f>B905&amp;" / "&amp;C905&amp;" / "&amp;E905</x:f>
        <x:v>4488 / 2022 / BROOK TROUT</x:v>
      </x:c>
    </x:row>
    <x:row r="906" ht="23" customHeight="1">
      <x:c r="A906" s="8" t="str">
        <x:v>Dunn Lake</x:v>
      </x:c>
      <x:c r="B906" s="8" t="str">
        <x:v>4488</x:v>
      </x:c>
      <x:c r="C906" s="17" t="n">
        <x:v>2021</x:v>
      </x:c>
      <x:c r="D906" s="18" t="n">
        <x:v>44349</x:v>
      </x:c>
      <x:c r="E906" s="8" t="str">
        <x:v>BROOK TROUT</x:v>
      </x:c>
      <x:c r="F906" s="13" t="n">
        <x:v>3000</x:v>
      </x:c>
      <x:c r="G906" s="9" t="n">
        <x:v>20.4</x:v>
      </x:c>
      <x:c r="H906" s="9" t="n">
        <x:v>94</x:v>
      </x:c>
      <x:c r="I906" s="8" t="str">
        <x:f>B906&amp;" / "&amp;C906&amp;" / "&amp;E906</x:f>
        <x:v>4488 / 2021 / BROOK TROUT</x:v>
      </x:c>
    </x:row>
    <x:row r="907" ht="23" customHeight="1">
      <x:c r="A907" s="8" t="str">
        <x:v>Eagle Lake</x:v>
      </x:c>
      <x:c r="B907" s="8" t="str">
        <x:v>4495</x:v>
      </x:c>
      <x:c r="C907" s="17" t="n">
        <x:v>2025</x:v>
      </x:c>
      <x:c r="D907" s="18" t="n">
        <x:v>45923</x:v>
      </x:c>
      <x:c r="E907" s="8" t="str">
        <x:v>CUTTHROAT TROUT</x:v>
      </x:c>
      <x:c r="F907" s="13" t="n">
        <x:v>750</x:v>
      </x:c>
      <x:c r="G907" s="9" t="n">
        <x:v>18.2</x:v>
      </x:c>
      <x:c r="H907" s="9" t="n">
        <x:v>65.1</x:v>
      </x:c>
      <x:c r="I907" s="8" t="str">
        <x:f>B907&amp;" / "&amp;C907&amp;" / "&amp;E907</x:f>
        <x:v>4495 / 2025 / CUTTHROAT TROUT</x:v>
      </x:c>
    </x:row>
    <x:row r="908" ht="23" customHeight="1">
      <x:c r="A908" s="8" t="str">
        <x:v>Eagle Lake</x:v>
      </x:c>
      <x:c r="B908" s="8" t="str">
        <x:v>4495</x:v>
      </x:c>
      <x:c r="C908" s="17" t="n">
        <x:v>2023</x:v>
      </x:c>
      <x:c r="D908" s="18" t="n">
        <x:v>45176</x:v>
      </x:c>
      <x:c r="E908" s="8" t="str">
        <x:v>CUTTHROAT TROUT</x:v>
      </x:c>
      <x:c r="F908" s="13" t="n">
        <x:v>1500</x:v>
      </x:c>
      <x:c r="G908" s="9" t="n">
        <x:v>16.7</x:v>
      </x:c>
      <x:c r="H908" s="9" t="n">
        <x:v>50.4</x:v>
      </x:c>
      <x:c r="I908" s="8" t="str">
        <x:f>B908&amp;" / "&amp;C908&amp;" / "&amp;E908</x:f>
        <x:v>4495 / 2023 / CUTTHROAT TROUT</x:v>
      </x:c>
    </x:row>
    <x:row r="909" ht="23" customHeight="1">
      <x:c r="A909" s="8" t="str">
        <x:v>Eagle Lake</x:v>
      </x:c>
      <x:c r="B909" s="8" t="str">
        <x:v>4495</x:v>
      </x:c>
      <x:c r="C909" s="17" t="n">
        <x:v>2021</x:v>
      </x:c>
      <x:c r="D909" s="18" t="n">
        <x:v>44446</x:v>
      </x:c>
      <x:c r="E909" s="8" t="str">
        <x:v>CUTTHROAT TROUT</x:v>
      </x:c>
      <x:c r="F909" s="13" t="n">
        <x:v>7500</x:v>
      </x:c>
      <x:c r="G909" s="9" t="n">
        <x:v>5.5</x:v>
      </x:c>
      <x:c r="H909" s="9" t="n">
        <x:v>1.9</x:v>
      </x:c>
      <x:c r="I909" s="8" t="str">
        <x:f>B909&amp;" / "&amp;C909&amp;" / "&amp;E909</x:f>
        <x:v>4495 / 2021 / CUTTHROAT TROUT</x:v>
      </x:c>
    </x:row>
    <x:row r="910" ht="23" customHeight="1">
      <x:c r="A910" s="8" t="str">
        <x:v>East Dollar Lake</x:v>
      </x:c>
      <x:c r="B910" s="8" t="str">
        <x:v>4460</x:v>
      </x:c>
      <x:c r="C910" s="17" t="n">
        <x:v>2026</x:v>
      </x:c>
      <x:c r="D910" s="18" t="n">
        <x:v>46161</x:v>
      </x:c>
      <x:c r="E910" s="8" t="str">
        <x:v>BROWN TROUT</x:v>
      </x:c>
      <x:c r="F910" s="13" t="n">
        <x:v>500</x:v>
      </x:c>
      <x:c r="G910" s="9" t="n">
        <x:v>21.9</x:v>
      </x:c>
      <x:c r="H910" s="9" t="n">
        <x:v>114.5</x:v>
      </x:c>
      <x:c r="I910" s="8" t="str">
        <x:f>B910&amp;" / "&amp;C910&amp;" / "&amp;E910</x:f>
        <x:v>4460 / 2026 / BROWN TROUT</x:v>
      </x:c>
    </x:row>
    <x:row r="911" ht="23" customHeight="1">
      <x:c r="A911" s="8" t="str">
        <x:v>East Dollar Lake</x:v>
      </x:c>
      <x:c r="B911" s="8" t="str">
        <x:v>4460</x:v>
      </x:c>
      <x:c r="C911" s="17" t="n">
        <x:v>2026</x:v>
      </x:c>
      <x:c r="D911" s="18" t="n">
        <x:v>46161</x:v>
      </x:c>
      <x:c r="E911" s="8" t="str">
        <x:v>RAINBOW TROUT</x:v>
      </x:c>
      <x:c r="F911" s="13" t="n">
        <x:v>3000</x:v>
      </x:c>
      <x:c r="G911" s="9" t="n">
        <x:v>20.3</x:v>
      </x:c>
      <x:c r="H911" s="9" t="n">
        <x:v>92.9</x:v>
      </x:c>
      <x:c r="I911" s="8" t="str">
        <x:f>B911&amp;" / "&amp;C911&amp;" / "&amp;E911</x:f>
        <x:v>4460 / 2026 / RAINBOW TROUT</x:v>
      </x:c>
    </x:row>
    <x:row r="912" ht="23" customHeight="1">
      <x:c r="A912" s="8" t="str">
        <x:v>East Dollar Lake</x:v>
      </x:c>
      <x:c r="B912" s="8" t="str">
        <x:v>4460</x:v>
      </x:c>
      <x:c r="C912" s="17" t="n">
        <x:v>2026</x:v>
      </x:c>
      <x:c r="D912" s="18" t="n">
        <x:v>46161</x:v>
      </x:c>
      <x:c r="E912" s="8" t="str">
        <x:v>TIGER TROUT</x:v>
      </x:c>
      <x:c r="F912" s="13" t="n">
        <x:v>300</x:v>
      </x:c>
      <x:c r="G912" s="9" t="n">
        <x:v>21.8</x:v>
      </x:c>
      <x:c r="H912" s="9" t="n">
        <x:v>115.7</x:v>
      </x:c>
      <x:c r="I912" s="8" t="str">
        <x:f>B912&amp;" / "&amp;C912&amp;" / "&amp;E912</x:f>
        <x:v>4460 / 2026 / TIGER TROUT</x:v>
      </x:c>
    </x:row>
    <x:row r="913" ht="23" customHeight="1">
      <x:c r="A913" s="8" t="str">
        <x:v>East Dollar Lake</x:v>
      </x:c>
      <x:c r="B913" s="8" t="str">
        <x:v>4460</x:v>
      </x:c>
      <x:c r="C913" s="17" t="n">
        <x:v>2025</x:v>
      </x:c>
      <x:c r="D913" s="18" t="n">
        <x:v>45788</x:v>
      </x:c>
      <x:c r="E913" s="8" t="str">
        <x:v>BROWN TROUT</x:v>
      </x:c>
      <x:c r="F913" s="13" t="n">
        <x:v>500</x:v>
      </x:c>
      <x:c r="G913" s="9" t="n">
        <x:v>19.1</x:v>
      </x:c>
      <x:c r="H913" s="9" t="n">
        <x:v>75.2</x:v>
      </x:c>
      <x:c r="I913" s="8" t="str">
        <x:f>B913&amp;" / "&amp;C913&amp;" / "&amp;E913</x:f>
        <x:v>4460 / 2025 / BROWN TROUT</x:v>
      </x:c>
    </x:row>
    <x:row r="914" ht="23" customHeight="1">
      <x:c r="A914" s="8" t="str">
        <x:v>East Dollar Lake</x:v>
      </x:c>
      <x:c r="B914" s="8" t="str">
        <x:v>4460</x:v>
      </x:c>
      <x:c r="C914" s="17" t="n">
        <x:v>2025</x:v>
      </x:c>
      <x:c r="D914" s="18" t="n">
        <x:v>45788</x:v>
      </x:c>
      <x:c r="E914" s="8" t="str">
        <x:v>RAINBOW TROUT</x:v>
      </x:c>
      <x:c r="F914" s="13" t="n">
        <x:v>3000</x:v>
      </x:c>
      <x:c r="G914" s="9" t="n">
        <x:v>20.2</x:v>
      </x:c>
      <x:c r="H914" s="9" t="n">
        <x:v>91.3</x:v>
      </x:c>
      <x:c r="I914" s="8" t="str">
        <x:f>B914&amp;" / "&amp;C914&amp;" / "&amp;E914</x:f>
        <x:v>4460 / 2025 / RAINBOW TROUT</x:v>
      </x:c>
    </x:row>
    <x:row r="915" ht="23" customHeight="1">
      <x:c r="A915" s="8" t="str">
        <x:v>East Dollar Lake</x:v>
      </x:c>
      <x:c r="B915" s="8" t="str">
        <x:v>4460</x:v>
      </x:c>
      <x:c r="C915" s="17" t="n">
        <x:v>2025</x:v>
      </x:c>
      <x:c r="D915" s="18" t="n">
        <x:v>45788</x:v>
      </x:c>
      <x:c r="E915" s="8" t="str">
        <x:v>TIGER TROUT</x:v>
      </x:c>
      <x:c r="F915" s="13" t="n">
        <x:v>300</x:v>
      </x:c>
      <x:c r="G915" s="9" t="n">
        <x:v>23.7</x:v>
      </x:c>
      <x:c r="H915" s="9" t="n">
        <x:v>149.1</x:v>
      </x:c>
      <x:c r="I915" s="8" t="str">
        <x:f>B915&amp;" / "&amp;C915&amp;" / "&amp;E915</x:f>
        <x:v>4460 / 2025 / TIGER TROUT</x:v>
      </x:c>
    </x:row>
    <x:row r="916" ht="23" customHeight="1">
      <x:c r="A916" s="8" t="str">
        <x:v>East Dollar Lake</x:v>
      </x:c>
      <x:c r="B916" s="8" t="str">
        <x:v>4460</x:v>
      </x:c>
      <x:c r="C916" s="17" t="n">
        <x:v>2024</x:v>
      </x:c>
      <x:c r="D916" s="18" t="n">
        <x:v>45419</x:v>
      </x:c>
      <x:c r="E916" s="8" t="str">
        <x:v>BROWN TROUT</x:v>
      </x:c>
      <x:c r="F916" s="13" t="n">
        <x:v>500</x:v>
      </x:c>
      <x:c r="G916" s="9" t="n">
        <x:v>20.1</x:v>
      </x:c>
      <x:c r="H916" s="9" t="n">
        <x:v>88</x:v>
      </x:c>
      <x:c r="I916" s="8" t="str">
        <x:f>B916&amp;" / "&amp;C916&amp;" / "&amp;E916</x:f>
        <x:v>4460 / 2024 / BROWN TROUT</x:v>
      </x:c>
    </x:row>
    <x:row r="917" ht="23" customHeight="1">
      <x:c r="A917" s="8" t="str">
        <x:v>East Dollar Lake</x:v>
      </x:c>
      <x:c r="B917" s="8" t="str">
        <x:v>4460</x:v>
      </x:c>
      <x:c r="C917" s="17" t="n">
        <x:v>2024</x:v>
      </x:c>
      <x:c r="D917" s="18" t="n">
        <x:v>45419</x:v>
      </x:c>
      <x:c r="E917" s="8" t="str">
        <x:v>RAINBOW TROUT</x:v>
      </x:c>
      <x:c r="F917" s="13" t="n">
        <x:v>1500</x:v>
      </x:c>
      <x:c r="G917" s="9" t="n">
        <x:v>19.9</x:v>
      </x:c>
      <x:c r="H917" s="9" t="n">
        <x:v>85.5</x:v>
      </x:c>
      <x:c r="I917" s="8" t="str">
        <x:f>B917&amp;" / "&amp;C917&amp;" / "&amp;E917</x:f>
        <x:v>4460 / 2024 / RAINBOW TROUT</x:v>
      </x:c>
    </x:row>
    <x:row r="918" ht="23" customHeight="1">
      <x:c r="A918" s="8" t="str">
        <x:v>East Dollar Lake</x:v>
      </x:c>
      <x:c r="B918" s="8" t="str">
        <x:v>4460</x:v>
      </x:c>
      <x:c r="C918" s="17" t="n">
        <x:v>2024</x:v>
      </x:c>
      <x:c r="D918" s="18" t="n">
        <x:v>45419</x:v>
      </x:c>
      <x:c r="E918" s="8" t="str">
        <x:v>TIGER TROUT</x:v>
      </x:c>
      <x:c r="F918" s="13" t="n">
        <x:v>300</x:v>
      </x:c>
      <x:c r="G918" s="9" t="n">
        <x:v>19.5</x:v>
      </x:c>
      <x:c r="H918" s="9" t="n">
        <x:v>80</x:v>
      </x:c>
      <x:c r="I918" s="8" t="str">
        <x:f>B918&amp;" / "&amp;C918&amp;" / "&amp;E918</x:f>
        <x:v>4460 / 2024 / TIGER TROUT</x:v>
      </x:c>
    </x:row>
    <x:row r="919" ht="23" customHeight="1">
      <x:c r="A919" s="8" t="str">
        <x:v>East Dollar Lake</x:v>
      </x:c>
      <x:c r="B919" s="8" t="str">
        <x:v>4460</x:v>
      </x:c>
      <x:c r="C919" s="17" t="n">
        <x:v>2023</x:v>
      </x:c>
      <x:c r="D919" s="18" t="n">
        <x:v>45054</x:v>
      </x:c>
      <x:c r="E919" s="8" t="str">
        <x:v>BROWN TROUT</x:v>
      </x:c>
      <x:c r="F919" s="13" t="n">
        <x:v>500</x:v>
      </x:c>
      <x:c r="G919" s="9" t="n">
        <x:v>18.6</x:v>
      </x:c>
      <x:c r="H919" s="9" t="n">
        <x:v>71.2</x:v>
      </x:c>
      <x:c r="I919" s="8" t="str">
        <x:f>B919&amp;" / "&amp;C919&amp;" / "&amp;E919</x:f>
        <x:v>4460 / 2023 / BROWN TROUT</x:v>
      </x:c>
    </x:row>
    <x:row r="920" ht="23" customHeight="1">
      <x:c r="A920" s="8" t="str">
        <x:v>East Dollar Lake</x:v>
      </x:c>
      <x:c r="B920" s="8" t="str">
        <x:v>4460</x:v>
      </x:c>
      <x:c r="C920" s="17" t="n">
        <x:v>2023</x:v>
      </x:c>
      <x:c r="D920" s="18" t="n">
        <x:v>45054</x:v>
      </x:c>
      <x:c r="E920" s="8" t="str">
        <x:v>RAINBOW TROUT</x:v>
      </x:c>
      <x:c r="F920" s="13" t="n">
        <x:v>1506</x:v>
      </x:c>
      <x:c r="G920" s="9" t="n">
        <x:v>20.5</x:v>
      </x:c>
      <x:c r="H920" s="9" t="n">
        <x:v>94.8</x:v>
      </x:c>
      <x:c r="I920" s="8" t="str">
        <x:f>B920&amp;" / "&amp;C920&amp;" / "&amp;E920</x:f>
        <x:v>4460 / 2023 / RAINBOW TROUT</x:v>
      </x:c>
    </x:row>
    <x:row r="921" ht="23" customHeight="1">
      <x:c r="A921" s="8" t="str">
        <x:v>East Dollar Lake</x:v>
      </x:c>
      <x:c r="B921" s="8" t="str">
        <x:v>4460</x:v>
      </x:c>
      <x:c r="C921" s="17" t="n">
        <x:v>2023</x:v>
      </x:c>
      <x:c r="D921" s="18" t="n">
        <x:v>45054</x:v>
      </x:c>
      <x:c r="E921" s="8" t="str">
        <x:v>TIGER TROUT</x:v>
      </x:c>
      <x:c r="F921" s="13" t="n">
        <x:v>300</x:v>
      </x:c>
      <x:c r="G921" s="9" t="n">
        <x:v>20</x:v>
      </x:c>
      <x:c r="H921" s="9" t="n">
        <x:v>88.3</x:v>
      </x:c>
      <x:c r="I921" s="8" t="str">
        <x:f>B921&amp;" / "&amp;C921&amp;" / "&amp;E921</x:f>
        <x:v>4460 / 2023 / TIGER TROUT</x:v>
      </x:c>
    </x:row>
    <x:row r="922" ht="23" customHeight="1">
      <x:c r="A922" s="8" t="str">
        <x:v>East Dollar Lake</x:v>
      </x:c>
      <x:c r="B922" s="8" t="str">
        <x:v>4460</x:v>
      </x:c>
      <x:c r="C922" s="17" t="n">
        <x:v>2022</x:v>
      </x:c>
      <x:c r="D922" s="18" t="n">
        <x:v>44696</x:v>
      </x:c>
      <x:c r="E922" s="8" t="str">
        <x:v>BROWN TROUT</x:v>
      </x:c>
      <x:c r="F922" s="13" t="n">
        <x:v>500</x:v>
      </x:c>
      <x:c r="G922" s="9" t="n">
        <x:v>17.9</x:v>
      </x:c>
      <x:c r="H922" s="9" t="n">
        <x:v>63</x:v>
      </x:c>
      <x:c r="I922" s="8" t="str">
        <x:f>B922&amp;" / "&amp;C922&amp;" / "&amp;E922</x:f>
        <x:v>4460 / 2022 / BROWN TROUT</x:v>
      </x:c>
    </x:row>
    <x:row r="923" ht="23" customHeight="1">
      <x:c r="A923" s="8" t="str">
        <x:v>East Dollar Lake</x:v>
      </x:c>
      <x:c r="B923" s="8" t="str">
        <x:v>4460</x:v>
      </x:c>
      <x:c r="C923" s="17" t="n">
        <x:v>2022</x:v>
      </x:c>
      <x:c r="D923" s="18" t="n">
        <x:v>44696</x:v>
      </x:c>
      <x:c r="E923" s="8" t="str">
        <x:v>RAINBOW TROUT</x:v>
      </x:c>
      <x:c r="F923" s="13" t="n">
        <x:v>3000</x:v>
      </x:c>
      <x:c r="G923" s="9" t="n">
        <x:v>21.2</x:v>
      </x:c>
      <x:c r="H923" s="9" t="n">
        <x:v>105</x:v>
      </x:c>
      <x:c r="I923" s="8" t="str">
        <x:f>B923&amp;" / "&amp;C923&amp;" / "&amp;E923</x:f>
        <x:v>4460 / 2022 / RAINBOW TROUT</x:v>
      </x:c>
    </x:row>
    <x:row r="924" ht="23" customHeight="1">
      <x:c r="A924" s="8" t="str">
        <x:v>East Dollar Lake</x:v>
      </x:c>
      <x:c r="B924" s="8" t="str">
        <x:v>4460</x:v>
      </x:c>
      <x:c r="C924" s="17" t="n">
        <x:v>2022</x:v>
      </x:c>
      <x:c r="D924" s="18" t="n">
        <x:v>44696</x:v>
      </x:c>
      <x:c r="E924" s="8" t="str">
        <x:v>TIGER TROUT</x:v>
      </x:c>
      <x:c r="F924" s="13" t="n">
        <x:v>300</x:v>
      </x:c>
      <x:c r="G924" s="9" t="n">
        <x:v>17.7</x:v>
      </x:c>
      <x:c r="H924" s="9" t="n">
        <x:v>61.6</x:v>
      </x:c>
      <x:c r="I924" s="8" t="str">
        <x:f>B924&amp;" / "&amp;C924&amp;" / "&amp;E924</x:f>
        <x:v>4460 / 2022 / TIGER TROUT</x:v>
      </x:c>
    </x:row>
    <x:row r="925" ht="23" customHeight="1">
      <x:c r="A925" s="8" t="str">
        <x:v>East Dollar Lake</x:v>
      </x:c>
      <x:c r="B925" s="8" t="str">
        <x:v>4460</x:v>
      </x:c>
      <x:c r="C925" s="17" t="n">
        <x:v>2021</x:v>
      </x:c>
      <x:c r="D925" s="18" t="n">
        <x:v>44332</x:v>
      </x:c>
      <x:c r="E925" s="8" t="str">
        <x:v>BROWN TROUT</x:v>
      </x:c>
      <x:c r="F925" s="13" t="n">
        <x:v>500</x:v>
      </x:c>
      <x:c r="G925" s="9" t="n">
        <x:v>19.1</x:v>
      </x:c>
      <x:c r="H925" s="9" t="n">
        <x:v>76.9</x:v>
      </x:c>
      <x:c r="I925" s="8" t="str">
        <x:f>B925&amp;" / "&amp;C925&amp;" / "&amp;E925</x:f>
        <x:v>4460 / 2021 / BROWN TROUT</x:v>
      </x:c>
    </x:row>
    <x:row r="926" ht="23" customHeight="1">
      <x:c r="A926" s="8" t="str">
        <x:v>East Dollar Lake</x:v>
      </x:c>
      <x:c r="B926" s="8" t="str">
        <x:v>4460</x:v>
      </x:c>
      <x:c r="C926" s="17" t="n">
        <x:v>2021</x:v>
      </x:c>
      <x:c r="D926" s="18" t="n">
        <x:v>44332</x:v>
      </x:c>
      <x:c r="E926" s="8" t="str">
        <x:v>RAINBOW TROUT</x:v>
      </x:c>
      <x:c r="F926" s="13" t="n">
        <x:v>3000</x:v>
      </x:c>
      <x:c r="G926" s="9" t="n">
        <x:v>18.9</x:v>
      </x:c>
      <x:c r="H926" s="9" t="n">
        <x:v>75.3</x:v>
      </x:c>
      <x:c r="I926" s="8" t="str">
        <x:f>B926&amp;" / "&amp;C926&amp;" / "&amp;E926</x:f>
        <x:v>4460 / 2021 / RAINBOW TROUT</x:v>
      </x:c>
    </x:row>
    <x:row r="927" ht="23" customHeight="1">
      <x:c r="A927" s="8" t="str">
        <x:v>East Dollar Lake</x:v>
      </x:c>
      <x:c r="B927" s="8" t="str">
        <x:v>4460</x:v>
      </x:c>
      <x:c r="C927" s="17" t="n">
        <x:v>2021</x:v>
      </x:c>
      <x:c r="D927" s="18" t="n">
        <x:v>44465</x:v>
      </x:c>
      <x:c r="E927" s="8" t="str">
        <x:v>TIGER TROUT</x:v>
      </x:c>
      <x:c r="F927" s="13" t="n">
        <x:v>300</x:v>
      </x:c>
      <x:c r="G927" s="9" t="n">
        <x:v>20.3</x:v>
      </x:c>
      <x:c r="H927" s="9" t="n">
        <x:v>92.1</x:v>
      </x:c>
      <x:c r="I927" s="8" t="str">
        <x:f>B927&amp;" / "&amp;C927&amp;" / "&amp;E927</x:f>
        <x:v>4460 / 2021 / TIGER TROUT</x:v>
      </x:c>
    </x:row>
    <x:row r="928" ht="23" customHeight="1">
      <x:c r="A928" s="8" t="str">
        <x:v>East Pit Lake</x:v>
      </x:c>
      <x:c r="B928" s="8" t="str">
        <x:v>6840</x:v>
      </x:c>
      <x:c r="C928" s="17" t="n">
        <x:v>2026</x:v>
      </x:c>
      <x:c r="D928" s="18" t="n">
        <x:v>46153</x:v>
      </x:c>
      <x:c r="E928" s="8" t="str">
        <x:v>RAINBOW TROUT</x:v>
      </x:c>
      <x:c r="F928" s="13" t="n">
        <x:v>11600</x:v>
      </x:c>
      <x:c r="G928" s="9" t="n">
        <x:v>20</x:v>
      </x:c>
      <x:c r="H928" s="9" t="n">
        <x:v>89</x:v>
      </x:c>
      <x:c r="I928" s="8" t="str">
        <x:f>B928&amp;" / "&amp;C928&amp;" / "&amp;E928</x:f>
        <x:v>6840 / 2026 / RAINBOW TROUT</x:v>
      </x:c>
    </x:row>
    <x:row r="929" ht="23" customHeight="1">
      <x:c r="A929" s="8" t="str">
        <x:v>East Pit Lake</x:v>
      </x:c>
      <x:c r="B929" s="8" t="str">
        <x:v>6840</x:v>
      </x:c>
      <x:c r="C929" s="17" t="n">
        <x:v>2025</x:v>
      </x:c>
      <x:c r="D929" s="18" t="n">
        <x:v>45783</x:v>
      </x:c>
      <x:c r="E929" s="8" t="str">
        <x:v>RAINBOW TROUT</x:v>
      </x:c>
      <x:c r="F929" s="13" t="n">
        <x:v>11600</x:v>
      </x:c>
      <x:c r="G929" s="9" t="n">
        <x:v>22</x:v>
      </x:c>
      <x:c r="H929" s="9" t="n">
        <x:v>118</x:v>
      </x:c>
      <x:c r="I929" s="8" t="str">
        <x:f>B929&amp;" / "&amp;C929&amp;" / "&amp;E929</x:f>
        <x:v>6840 / 2025 / RAINBOW TROUT</x:v>
      </x:c>
    </x:row>
    <x:row r="930" ht="23" customHeight="1">
      <x:c r="A930" s="8" t="str">
        <x:v>East Pit Lake</x:v>
      </x:c>
      <x:c r="B930" s="8" t="str">
        <x:v>6840</x:v>
      </x:c>
      <x:c r="C930" s="17" t="n">
        <x:v>2024</x:v>
      </x:c>
      <x:c r="D930" s="18" t="n">
        <x:v>45562</x:v>
      </x:c>
      <x:c r="E930" s="8" t="str">
        <x:v>RAINBOW TROUT</x:v>
      </x:c>
      <x:c r="F930" s="13" t="n">
        <x:v>4500</x:v>
      </x:c>
      <x:c r="G930" s="9" t="n">
        <x:v>20.5</x:v>
      </x:c>
      <x:c r="H930" s="9" t="n">
        <x:v>95.3</x:v>
      </x:c>
      <x:c r="I930" s="8" t="str">
        <x:f>B930&amp;" / "&amp;C930&amp;" / "&amp;E930</x:f>
        <x:v>6840 / 2024 / RAINBOW TROUT</x:v>
      </x:c>
    </x:row>
    <x:row r="931" ht="23" customHeight="1">
      <x:c r="A931" s="8" t="str">
        <x:v>East Pit Lake</x:v>
      </x:c>
      <x:c r="B931" s="8" t="str">
        <x:v>6840</x:v>
      </x:c>
      <x:c r="C931" s="17" t="n">
        <x:v>2024</x:v>
      </x:c>
      <x:c r="D931" s="18" t="n">
        <x:v>45427</x:v>
      </x:c>
      <x:c r="E931" s="8" t="str">
        <x:v>RAINBOW TROUT</x:v>
      </x:c>
      <x:c r="F931" s="13" t="n">
        <x:v>7000</x:v>
      </x:c>
      <x:c r="G931" s="9" t="n">
        <x:v>10.5</x:v>
      </x:c>
      <x:c r="H931" s="9" t="n">
        <x:v>12.7</x:v>
      </x:c>
      <x:c r="I931" s="8" t="str">
        <x:f>B931&amp;" / "&amp;C931&amp;" / "&amp;E931</x:f>
        <x:v>6840 / 2024 / RAINBOW TROUT</x:v>
      </x:c>
    </x:row>
    <x:row r="932" ht="23" customHeight="1">
      <x:c r="A932" s="8" t="str">
        <x:v>East Pit Lake</x:v>
      </x:c>
      <x:c r="B932" s="8" t="str">
        <x:v>6840</x:v>
      </x:c>
      <x:c r="C932" s="17" t="n">
        <x:v>2024</x:v>
      </x:c>
      <x:c r="D932" s="18" t="n">
        <x:v>45415</x:v>
      </x:c>
      <x:c r="E932" s="8" t="str">
        <x:v>RAINBOW TROUT</x:v>
      </x:c>
      <x:c r="F932" s="13" t="n">
        <x:v>8120</x:v>
      </x:c>
      <x:c r="G932" s="9" t="n">
        <x:v>18.6</x:v>
      </x:c>
      <x:c r="H932" s="9" t="n">
        <x:v>69.6</x:v>
      </x:c>
      <x:c r="I932" s="8" t="str">
        <x:f>B932&amp;" / "&amp;C932&amp;" / "&amp;E932</x:f>
        <x:v>6840 / 2024 / RAINBOW TROUT</x:v>
      </x:c>
    </x:row>
    <x:row r="933" ht="23" customHeight="1">
      <x:c r="A933" s="8" t="str">
        <x:v>East Pit Lake</x:v>
      </x:c>
      <x:c r="B933" s="8" t="str">
        <x:v>6840</x:v>
      </x:c>
      <x:c r="C933" s="17" t="n">
        <x:v>2023</x:v>
      </x:c>
      <x:c r="D933" s="18" t="n">
        <x:v>45064</x:v>
      </x:c>
      <x:c r="E933" s="8" t="str">
        <x:v>RAINBOW TROUT</x:v>
      </x:c>
      <x:c r="F933" s="13" t="n">
        <x:v>7000</x:v>
      </x:c>
      <x:c r="G933" s="9" t="n">
        <x:v>8.6</x:v>
      </x:c>
      <x:c r="H933" s="9" t="n">
        <x:v>7.3</x:v>
      </x:c>
      <x:c r="I933" s="8" t="str">
        <x:f>B933&amp;" / "&amp;C933&amp;" / "&amp;E933</x:f>
        <x:v>6840 / 2023 / RAINBOW TROUT</x:v>
      </x:c>
    </x:row>
    <x:row r="934" ht="23" customHeight="1">
      <x:c r="A934" s="8" t="str">
        <x:v>East Pit Lake</x:v>
      </x:c>
      <x:c r="B934" s="8" t="str">
        <x:v>6840</x:v>
      </x:c>
      <x:c r="C934" s="17" t="n">
        <x:v>2023</x:v>
      </x:c>
      <x:c r="D934" s="18" t="n">
        <x:v>45056</x:v>
      </x:c>
      <x:c r="E934" s="8" t="str">
        <x:v>RAINBOW TROUT</x:v>
      </x:c>
      <x:c r="F934" s="13" t="n">
        <x:v>5394</x:v>
      </x:c>
      <x:c r="G934" s="9" t="n">
        <x:v>15.9</x:v>
      </x:c>
      <x:c r="H934" s="9" t="n">
        <x:v>44.2</x:v>
      </x:c>
      <x:c r="I934" s="8" t="str">
        <x:f>B934&amp;" / "&amp;C934&amp;" / "&amp;E934</x:f>
        <x:v>6840 / 2023 / RAINBOW TROUT</x:v>
      </x:c>
    </x:row>
    <x:row r="935" ht="23" customHeight="1">
      <x:c r="A935" s="8" t="str">
        <x:v>East Pit Lake</x:v>
      </x:c>
      <x:c r="B935" s="8" t="str">
        <x:v>6840</x:v>
      </x:c>
      <x:c r="C935" s="17" t="n">
        <x:v>2022</x:v>
      </x:c>
      <x:c r="D935" s="18" t="n">
        <x:v>44819</x:v>
      </x:c>
      <x:c r="E935" s="8" t="str">
        <x:v>RAINBOW TROUT</x:v>
      </x:c>
      <x:c r="F935" s="13" t="n">
        <x:v>3000</x:v>
      </x:c>
      <x:c r="G935" s="9" t="n">
        <x:v>6.9</x:v>
      </x:c>
      <x:c r="H935" s="9" t="n">
        <x:v>3.6</x:v>
      </x:c>
      <x:c r="I935" s="8" t="str">
        <x:f>B935&amp;" / "&amp;C935&amp;" / "&amp;E935</x:f>
        <x:v>6840 / 2022 / RAINBOW TROUT</x:v>
      </x:c>
    </x:row>
    <x:row r="936" ht="23" customHeight="1">
      <x:c r="A936" s="8" t="str">
        <x:v>East Pit Lake</x:v>
      </x:c>
      <x:c r="B936" s="8" t="str">
        <x:v>6840</x:v>
      </x:c>
      <x:c r="C936" s="17" t="n">
        <x:v>2022</x:v>
      </x:c>
      <x:c r="D936" s="18" t="n">
        <x:v>44690</x:v>
      </x:c>
      <x:c r="E936" s="8" t="str">
        <x:v>RAINBOW TROUT</x:v>
      </x:c>
      <x:c r="F936" s="13" t="n">
        <x:v>5800</x:v>
      </x:c>
      <x:c r="G936" s="9" t="n">
        <x:v>16</x:v>
      </x:c>
      <x:c r="H936" s="9" t="n">
        <x:v>45.3</x:v>
      </x:c>
      <x:c r="I936" s="8" t="str">
        <x:f>B936&amp;" / "&amp;C936&amp;" / "&amp;E936</x:f>
        <x:v>6840 / 2022 / RAINBOW TROUT</x:v>
      </x:c>
    </x:row>
    <x:row r="937" ht="23" customHeight="1">
      <x:c r="A937" s="8" t="str">
        <x:v>East Pit Lake</x:v>
      </x:c>
      <x:c r="B937" s="8" t="str">
        <x:v>6840</x:v>
      </x:c>
      <x:c r="C937" s="17" t="n">
        <x:v>2022</x:v>
      </x:c>
      <x:c r="D937" s="18" t="n">
        <x:v>44690</x:v>
      </x:c>
      <x:c r="E937" s="8" t="str">
        <x:v>RAINBOW TROUT</x:v>
      </x:c>
      <x:c r="F937" s="13" t="n">
        <x:v>5800</x:v>
      </x:c>
      <x:c r="G937" s="9" t="n">
        <x:v>18.7</x:v>
      </x:c>
      <x:c r="H937" s="9" t="n">
        <x:v>72.7</x:v>
      </x:c>
      <x:c r="I937" s="8" t="str">
        <x:f>B937&amp;" / "&amp;C937&amp;" / "&amp;E937</x:f>
        <x:v>6840 / 2022 / RAINBOW TROUT</x:v>
      </x:c>
    </x:row>
    <x:row r="938" ht="23" customHeight="1">
      <x:c r="A938" s="8" t="str">
        <x:v>East Pit Lake</x:v>
      </x:c>
      <x:c r="B938" s="8" t="str">
        <x:v>6840</x:v>
      </x:c>
      <x:c r="C938" s="17" t="n">
        <x:v>2021</x:v>
      </x:c>
      <x:c r="D938" s="18" t="n">
        <x:v>44321</x:v>
      </x:c>
      <x:c r="E938" s="8" t="str">
        <x:v>RAINBOW TROUT</x:v>
      </x:c>
      <x:c r="F938" s="13" t="n">
        <x:v>5200</x:v>
      </x:c>
      <x:c r="G938" s="9" t="n">
        <x:v>20.4</x:v>
      </x:c>
      <x:c r="H938" s="9" t="n">
        <x:v>94.4</x:v>
      </x:c>
      <x:c r="I938" s="8" t="str">
        <x:f>B938&amp;" / "&amp;C938&amp;" / "&amp;E938</x:f>
        <x:v>6840 / 2021 / RAINBOW TROUT</x:v>
      </x:c>
    </x:row>
    <x:row r="939" ht="23" customHeight="1">
      <x:c r="A939" s="8" t="str">
        <x:v>East Pit Lake</x:v>
      </x:c>
      <x:c r="B939" s="8" t="str">
        <x:v>6840</x:v>
      </x:c>
      <x:c r="C939" s="17" t="n">
        <x:v>2021</x:v>
      </x:c>
      <x:c r="D939" s="18" t="n">
        <x:v>44321</x:v>
      </x:c>
      <x:c r="E939" s="8" t="str">
        <x:v>RAINBOW TROUT</x:v>
      </x:c>
      <x:c r="F939" s="13" t="n">
        <x:v>6400</x:v>
      </x:c>
      <x:c r="G939" s="9" t="n">
        <x:v>18.2</x:v>
      </x:c>
      <x:c r="H939" s="9" t="n">
        <x:v>66.3</x:v>
      </x:c>
      <x:c r="I939" s="8" t="str">
        <x:f>B939&amp;" / "&amp;C939&amp;" / "&amp;E939</x:f>
        <x:v>6840 / 2021 / RAINBOW TROUT</x:v>
      </x:c>
    </x:row>
    <x:row r="940" ht="23" customHeight="1">
      <x:c r="A940" s="8" t="str">
        <x:v>East Stormwater Pond</x:v>
      </x:c>
      <x:c r="B940" s="8" t="str">
        <x:v>22993</x:v>
      </x:c>
      <x:c r="C940" s="17" t="n">
        <x:v>2026</x:v>
      </x:c>
      <x:c r="D940" s="18" t="n">
        <x:v>46164</x:v>
      </x:c>
      <x:c r="E940" s="8" t="str">
        <x:v>BROWN TROUT</x:v>
      </x:c>
      <x:c r="F940" s="13" t="n">
        <x:v>50</x:v>
      </x:c>
      <x:c r="G940" s="9" t="n">
        <x:v>64</x:v>
      </x:c>
      <x:c r="H940" s="9" t="n">
        <x:v>3200</x:v>
      </x:c>
      <x:c r="I940" s="8" t="str">
        <x:f>B940&amp;" / "&amp;C940&amp;" / "&amp;E940</x:f>
        <x:v>22993 / 2026 / BROWN TROUT</x:v>
      </x:c>
    </x:row>
    <x:row r="941" ht="23" customHeight="1">
      <x:c r="A941" s="8" t="str">
        <x:v>East Stormwater Pond</x:v>
      </x:c>
      <x:c r="B941" s="8" t="str">
        <x:v>22993</x:v>
      </x:c>
      <x:c r="C941" s="17" t="n">
        <x:v>2026</x:v>
      </x:c>
      <x:c r="D941" s="18" t="n">
        <x:v>46146</x:v>
      </x:c>
      <x:c r="E941" s="8" t="str">
        <x:v>BROWN TROUT</x:v>
      </x:c>
      <x:c r="F941" s="13" t="n">
        <x:v>100</x:v>
      </x:c>
      <x:c r="G941" s="9" t="n">
        <x:v>18.1</x:v>
      </x:c>
      <x:c r="H941" s="9" t="n">
        <x:v>64</x:v>
      </x:c>
      <x:c r="I941" s="8" t="str">
        <x:f>B941&amp;" / "&amp;C941&amp;" / "&amp;E941</x:f>
        <x:v>22993 / 2026 / BROWN TROUT</x:v>
      </x:c>
    </x:row>
    <x:row r="942" ht="23" customHeight="1">
      <x:c r="A942" s="8" t="str">
        <x:v>East Stormwater Pond</x:v>
      </x:c>
      <x:c r="B942" s="8" t="str">
        <x:v>22993</x:v>
      </x:c>
      <x:c r="C942" s="17" t="n">
        <x:v>2026</x:v>
      </x:c>
      <x:c r="D942" s="18" t="n">
        <x:v>46141</x:v>
      </x:c>
      <x:c r="E942" s="8" t="str">
        <x:v>RAINBOW TROUT</x:v>
      </x:c>
      <x:c r="F942" s="13" t="n">
        <x:v>1000</x:v>
      </x:c>
      <x:c r="G942" s="9" t="n">
        <x:v>20.1</x:v>
      </x:c>
      <x:c r="H942" s="9" t="n">
        <x:v>92.6</x:v>
      </x:c>
      <x:c r="I942" s="8" t="str">
        <x:f>B942&amp;" / "&amp;C942&amp;" / "&amp;E942</x:f>
        <x:v>22993 / 2026 / RAINBOW TROUT</x:v>
      </x:c>
    </x:row>
    <x:row r="943" ht="23" customHeight="1">
      <x:c r="A943" s="8" t="str">
        <x:v>East Stormwater Pond</x:v>
      </x:c>
      <x:c r="B943" s="8" t="str">
        <x:v>22993</x:v>
      </x:c>
      <x:c r="C943" s="17" t="n">
        <x:v>2025</x:v>
      </x:c>
      <x:c r="D943" s="18" t="n">
        <x:v>45777</x:v>
      </x:c>
      <x:c r="E943" s="8" t="str">
        <x:v>BROWN TROUT</x:v>
      </x:c>
      <x:c r="F943" s="13" t="n">
        <x:v>100</x:v>
      </x:c>
      <x:c r="G943" s="9" t="n">
        <x:v>18.9</x:v>
      </x:c>
      <x:c r="H943" s="9" t="n">
        <x:v>72.4</x:v>
      </x:c>
      <x:c r="I943" s="8" t="str">
        <x:f>B943&amp;" / "&amp;C943&amp;" / "&amp;E943</x:f>
        <x:v>22993 / 2025 / BROWN TROUT</x:v>
      </x:c>
    </x:row>
    <x:row r="944" ht="23" customHeight="1">
      <x:c r="A944" s="8" t="str">
        <x:v>East Stormwater Pond</x:v>
      </x:c>
      <x:c r="B944" s="8" t="str">
        <x:v>22993</x:v>
      </x:c>
      <x:c r="C944" s="17" t="n">
        <x:v>2025</x:v>
      </x:c>
      <x:c r="D944" s="18" t="n">
        <x:v>45776</x:v>
      </x:c>
      <x:c r="E944" s="8" t="str">
        <x:v>RAINBOW TROUT</x:v>
      </x:c>
      <x:c r="F944" s="13" t="n">
        <x:v>1000</x:v>
      </x:c>
      <x:c r="G944" s="9" t="n">
        <x:v>20.3</x:v>
      </x:c>
      <x:c r="H944" s="9" t="n">
        <x:v>94.3</x:v>
      </x:c>
      <x:c r="I944" s="8" t="str">
        <x:f>B944&amp;" / "&amp;C944&amp;" / "&amp;E944</x:f>
        <x:v>22993 / 2025 / RAINBOW TROUT</x:v>
      </x:c>
    </x:row>
    <x:row r="945" ht="23" customHeight="1">
      <x:c r="A945" s="8" t="str">
        <x:v>East Stormwater Pond</x:v>
      </x:c>
      <x:c r="B945" s="8" t="str">
        <x:v>22993</x:v>
      </x:c>
      <x:c r="C945" s="17" t="n">
        <x:v>2024</x:v>
      </x:c>
      <x:c r="D945" s="18" t="n">
        <x:v>45412</x:v>
      </x:c>
      <x:c r="E945" s="8" t="str">
        <x:v>BROWN TROUT</x:v>
      </x:c>
      <x:c r="F945" s="13" t="n">
        <x:v>100</x:v>
      </x:c>
      <x:c r="G945" s="9" t="n">
        <x:v>20.4</x:v>
      </x:c>
      <x:c r="H945" s="9" t="n">
        <x:v>92</x:v>
      </x:c>
      <x:c r="I945" s="8" t="str">
        <x:f>B945&amp;" / "&amp;C945&amp;" / "&amp;E945</x:f>
        <x:v>22993 / 2024 / BROWN TROUT</x:v>
      </x:c>
    </x:row>
    <x:row r="946" ht="23" customHeight="1">
      <x:c r="A946" s="8" t="str">
        <x:v>East Stormwater Pond</x:v>
      </x:c>
      <x:c r="B946" s="8" t="str">
        <x:v>22993</x:v>
      </x:c>
      <x:c r="C946" s="17" t="n">
        <x:v>2024</x:v>
      </x:c>
      <x:c r="D946" s="18" t="n">
        <x:v>45440</x:v>
      </x:c>
      <x:c r="E946" s="8" t="str">
        <x:v>RAINBOW TROUT</x:v>
      </x:c>
      <x:c r="F946" s="13" t="n">
        <x:v>1000</x:v>
      </x:c>
      <x:c r="G946" s="9" t="n">
        <x:v>20.3</x:v>
      </x:c>
      <x:c r="H946" s="9" t="n">
        <x:v>89.1</x:v>
      </x:c>
      <x:c r="I946" s="8" t="str">
        <x:f>B946&amp;" / "&amp;C946&amp;" / "&amp;E946</x:f>
        <x:v>22993 / 2024 / RAINBOW TROUT</x:v>
      </x:c>
    </x:row>
    <x:row r="947" ht="23" customHeight="1">
      <x:c r="A947" s="8" t="str">
        <x:v>East Stormwater Pond</x:v>
      </x:c>
      <x:c r="B947" s="8" t="str">
        <x:v>22993</x:v>
      </x:c>
      <x:c r="C947" s="17" t="n">
        <x:v>2023</x:v>
      </x:c>
      <x:c r="D947" s="18" t="n">
        <x:v>45049</x:v>
      </x:c>
      <x:c r="E947" s="8" t="str">
        <x:v>BROWN TROUT</x:v>
      </x:c>
      <x:c r="F947" s="13" t="n">
        <x:v>100</x:v>
      </x:c>
      <x:c r="G947" s="9" t="n">
        <x:v>18.8</x:v>
      </x:c>
      <x:c r="H947" s="9" t="n">
        <x:v>72</x:v>
      </x:c>
      <x:c r="I947" s="8" t="str">
        <x:f>B947&amp;" / "&amp;C947&amp;" / "&amp;E947</x:f>
        <x:v>22993 / 2023 / BROWN TROUT</x:v>
      </x:c>
    </x:row>
    <x:row r="948" ht="23" customHeight="1">
      <x:c r="A948" s="8" t="str">
        <x:v>East Stormwater Pond</x:v>
      </x:c>
      <x:c r="B948" s="8" t="str">
        <x:v>22993</x:v>
      </x:c>
      <x:c r="C948" s="17" t="n">
        <x:v>2023</x:v>
      </x:c>
      <x:c r="D948" s="18" t="n">
        <x:v>45181</x:v>
      </x:c>
      <x:c r="E948" s="8" t="str">
        <x:v>RAINBOW TROUT</x:v>
      </x:c>
      <x:c r="F948" s="13" t="n">
        <x:v>500</x:v>
      </x:c>
      <x:c r="G948" s="9" t="n">
        <x:v>25.3</x:v>
      </x:c>
      <x:c r="H948" s="9" t="n">
        <x:v>174.1</x:v>
      </x:c>
      <x:c r="I948" s="8" t="str">
        <x:f>B948&amp;" / "&amp;C948&amp;" / "&amp;E948</x:f>
        <x:v>22993 / 2023 / RAINBOW TROUT</x:v>
      </x:c>
    </x:row>
    <x:row r="949" ht="23" customHeight="1">
      <x:c r="A949" s="8" t="str">
        <x:v>East Stormwater Pond</x:v>
      </x:c>
      <x:c r="B949" s="8" t="str">
        <x:v>22993</x:v>
      </x:c>
      <x:c r="C949" s="17" t="n">
        <x:v>2023</x:v>
      </x:c>
      <x:c r="D949" s="18" t="n">
        <x:v>45055</x:v>
      </x:c>
      <x:c r="E949" s="8" t="str">
        <x:v>RAINBOW TROUT</x:v>
      </x:c>
      <x:c r="F949" s="13" t="n">
        <x:v>1000</x:v>
      </x:c>
      <x:c r="G949" s="9" t="n">
        <x:v>20.5</x:v>
      </x:c>
      <x:c r="H949" s="9" t="n">
        <x:v>89.9</x:v>
      </x:c>
      <x:c r="I949" s="8" t="str">
        <x:f>B949&amp;" / "&amp;C949&amp;" / "&amp;E949</x:f>
        <x:v>22993 / 2023 / RAINBOW TROUT</x:v>
      </x:c>
    </x:row>
    <x:row r="950" ht="23" customHeight="1">
      <x:c r="A950" s="8" t="str">
        <x:v>East Stormwater Pond</x:v>
      </x:c>
      <x:c r="B950" s="8" t="str">
        <x:v>22993</x:v>
      </x:c>
      <x:c r="C950" s="17" t="n">
        <x:v>2022</x:v>
      </x:c>
      <x:c r="D950" s="18" t="n">
        <x:v>44677</x:v>
      </x:c>
      <x:c r="E950" s="8" t="str">
        <x:v>BROWN TROUT</x:v>
      </x:c>
      <x:c r="F950" s="13" t="n">
        <x:v>150</x:v>
      </x:c>
      <x:c r="G950" s="9" t="n">
        <x:v>18.2</x:v>
      </x:c>
      <x:c r="H950" s="9" t="n">
        <x:v>66.5</x:v>
      </x:c>
      <x:c r="I950" s="8" t="str">
        <x:f>B950&amp;" / "&amp;C950&amp;" / "&amp;E950</x:f>
        <x:v>22993 / 2022 / BROWN TROUT</x:v>
      </x:c>
    </x:row>
    <x:row r="951" ht="23" customHeight="1">
      <x:c r="A951" s="8" t="str">
        <x:v>East Stormwater Pond</x:v>
      </x:c>
      <x:c r="B951" s="8" t="str">
        <x:v>22993</x:v>
      </x:c>
      <x:c r="C951" s="17" t="n">
        <x:v>2021</x:v>
      </x:c>
      <x:c r="D951" s="18" t="n">
        <x:v>44336</x:v>
      </x:c>
      <x:c r="E951" s="8" t="str">
        <x:v>RAINBOW TROUT</x:v>
      </x:c>
      <x:c r="F951" s="13" t="n">
        <x:v>500</x:v>
      </x:c>
      <x:c r="G951" s="9" t="n">
        <x:v>21.1</x:v>
      </x:c>
      <x:c r="H951" s="9" t="n">
        <x:v>83.1</x:v>
      </x:c>
      <x:c r="I951" s="8" t="str">
        <x:f>B951&amp;" / "&amp;C951&amp;" / "&amp;E951</x:f>
        <x:v>22993 / 2021 / RAINBOW TROUT</x:v>
      </x:c>
    </x:row>
    <x:row r="952" ht="23" customHeight="1">
      <x:c r="A952" s="8" t="str">
        <x:v>East Twin Lake</x:v>
      </x:c>
      <x:c r="B952" s="8" t="str">
        <x:v>6044</x:v>
      </x:c>
      <x:c r="C952" s="17" t="n">
        <x:v>2026</x:v>
      </x:c>
      <x:c r="D952" s="18" t="n">
        <x:v>46176</x:v>
      </x:c>
      <x:c r="E952" s="8" t="str">
        <x:v>RAINBOW TROUT</x:v>
      </x:c>
      <x:c r="F952" s="13" t="n">
        <x:v>4200</x:v>
      </x:c>
      <x:c r="G952" s="9" t="n">
        <x:v>22.3</x:v>
      </x:c>
      <x:c r="H952" s="9" t="n">
        <x:v>122.9</x:v>
      </x:c>
      <x:c r="I952" s="8" t="str">
        <x:f>B952&amp;" / "&amp;C952&amp;" / "&amp;E952</x:f>
        <x:v>6044 / 2026 / RAINBOW TROUT</x:v>
      </x:c>
    </x:row>
    <x:row r="953" ht="23" customHeight="1">
      <x:c r="A953" s="8" t="str">
        <x:v>East Twin Lake</x:v>
      </x:c>
      <x:c r="B953" s="8" t="str">
        <x:v>6044</x:v>
      </x:c>
      <x:c r="C953" s="17" t="n">
        <x:v>2026</x:v>
      </x:c>
      <x:c r="D953" s="18" t="n">
        <x:v>46176</x:v>
      </x:c>
      <x:c r="E953" s="8" t="str">
        <x:v>TIGER TROUT</x:v>
      </x:c>
      <x:c r="F953" s="13" t="n">
        <x:v>1000</x:v>
      </x:c>
      <x:c r="G953" s="9" t="n">
        <x:v>22.5</x:v>
      </x:c>
      <x:c r="H953" s="9" t="n">
        <x:v>125.4</x:v>
      </x:c>
      <x:c r="I953" s="8" t="str">
        <x:f>B953&amp;" / "&amp;C953&amp;" / "&amp;E953</x:f>
        <x:v>6044 / 2026 / TIGER TROUT</x:v>
      </x:c>
    </x:row>
    <x:row r="954" ht="23" customHeight="1">
      <x:c r="A954" s="8" t="str">
        <x:v>East Twin Lake</x:v>
      </x:c>
      <x:c r="B954" s="8" t="str">
        <x:v>6044</x:v>
      </x:c>
      <x:c r="C954" s="17" t="n">
        <x:v>2025</x:v>
      </x:c>
      <x:c r="D954" s="18" t="n">
        <x:v>45914</x:v>
      </x:c>
      <x:c r="E954" s="8" t="str">
        <x:v>RAINBOW TROUT</x:v>
      </x:c>
      <x:c r="F954" s="13" t="n">
        <x:v>4200</x:v>
      </x:c>
      <x:c r="G954" s="9" t="n">
        <x:v>20.4</x:v>
      </x:c>
      <x:c r="H954" s="9" t="n">
        <x:v>94</x:v>
      </x:c>
      <x:c r="I954" s="8" t="str">
        <x:f>B954&amp;" / "&amp;C954&amp;" / "&amp;E954</x:f>
        <x:v>6044 / 2025 / RAINBOW TROUT</x:v>
      </x:c>
    </x:row>
    <x:row r="955" ht="23" customHeight="1">
      <x:c r="A955" s="8" t="str">
        <x:v>East Twin Lake</x:v>
      </x:c>
      <x:c r="B955" s="8" t="str">
        <x:v>6044</x:v>
      </x:c>
      <x:c r="C955" s="17" t="n">
        <x:v>2025</x:v>
      </x:c>
      <x:c r="D955" s="18" t="n">
        <x:v>45797</x:v>
      </x:c>
      <x:c r="E955" s="8" t="str">
        <x:v>RAINBOW TROUT</x:v>
      </x:c>
      <x:c r="F955" s="13" t="n">
        <x:v>4200</x:v>
      </x:c>
      <x:c r="G955" s="9" t="n">
        <x:v>20.6</x:v>
      </x:c>
      <x:c r="H955" s="9" t="n">
        <x:v>96.5</x:v>
      </x:c>
      <x:c r="I955" s="8" t="str">
        <x:f>B955&amp;" / "&amp;C955&amp;" / "&amp;E955</x:f>
        <x:v>6044 / 2025 / RAINBOW TROUT</x:v>
      </x:c>
    </x:row>
    <x:row r="956" ht="23" customHeight="1">
      <x:c r="A956" s="8" t="str">
        <x:v>East Twin Lake</x:v>
      </x:c>
      <x:c r="B956" s="8" t="str">
        <x:v>6044</x:v>
      </x:c>
      <x:c r="C956" s="17" t="n">
        <x:v>2025</x:v>
      </x:c>
      <x:c r="D956" s="18" t="n">
        <x:v>45797</x:v>
      </x:c>
      <x:c r="E956" s="8" t="str">
        <x:v>TIGER TROUT</x:v>
      </x:c>
      <x:c r="F956" s="13" t="n">
        <x:v>1000</x:v>
      </x:c>
      <x:c r="G956" s="9" t="n">
        <x:v>23.9</x:v>
      </x:c>
      <x:c r="H956" s="9" t="n">
        <x:v>151.4</x:v>
      </x:c>
      <x:c r="I956" s="8" t="str">
        <x:f>B956&amp;" / "&amp;C956&amp;" / "&amp;E956</x:f>
        <x:v>6044 / 2025 / TIGER TROUT</x:v>
      </x:c>
    </x:row>
    <x:row r="957" ht="23" customHeight="1">
      <x:c r="A957" s="8" t="str">
        <x:v>East Twin Lake</x:v>
      </x:c>
      <x:c r="B957" s="8" t="str">
        <x:v>6044</x:v>
      </x:c>
      <x:c r="C957" s="17" t="n">
        <x:v>2024</x:v>
      </x:c>
      <x:c r="D957" s="18" t="n">
        <x:v>45551</x:v>
      </x:c>
      <x:c r="E957" s="8" t="str">
        <x:v>RAINBOW TROUT</x:v>
      </x:c>
      <x:c r="F957" s="13" t="n">
        <x:v>4200</x:v>
      </x:c>
      <x:c r="G957" s="9" t="n">
        <x:v>20.4</x:v>
      </x:c>
      <x:c r="H957" s="9" t="n">
        <x:v>94.1</x:v>
      </x:c>
      <x:c r="I957" s="8" t="str">
        <x:f>B957&amp;" / "&amp;C957&amp;" / "&amp;E957</x:f>
        <x:v>6044 / 2024 / RAINBOW TROUT</x:v>
      </x:c>
    </x:row>
    <x:row r="958" ht="23" customHeight="1">
      <x:c r="A958" s="8" t="str">
        <x:v>East Twin Lake</x:v>
      </x:c>
      <x:c r="B958" s="8" t="str">
        <x:v>6044</x:v>
      </x:c>
      <x:c r="C958" s="17" t="n">
        <x:v>2024</x:v>
      </x:c>
      <x:c r="D958" s="18" t="n">
        <x:v>45426</x:v>
      </x:c>
      <x:c r="E958" s="8" t="str">
        <x:v>RAINBOW TROUT</x:v>
      </x:c>
      <x:c r="F958" s="13" t="n">
        <x:v>1680</x:v>
      </x:c>
      <x:c r="G958" s="9" t="n">
        <x:v>20</x:v>
      </x:c>
      <x:c r="H958" s="9" t="n">
        <x:v>86.8</x:v>
      </x:c>
      <x:c r="I958" s="8" t="str">
        <x:f>B958&amp;" / "&amp;C958&amp;" / "&amp;E958</x:f>
        <x:v>6044 / 2024 / RAINBOW TROUT</x:v>
      </x:c>
    </x:row>
    <x:row r="959" ht="23" customHeight="1">
      <x:c r="A959" s="8" t="str">
        <x:v>East Twin Lake</x:v>
      </x:c>
      <x:c r="B959" s="8" t="str">
        <x:v>6044</x:v>
      </x:c>
      <x:c r="C959" s="17" t="n">
        <x:v>2024</x:v>
      </x:c>
      <x:c r="D959" s="18" t="n">
        <x:v>45426</x:v>
      </x:c>
      <x:c r="E959" s="8" t="str">
        <x:v>TIGER TROUT</x:v>
      </x:c>
      <x:c r="F959" s="13" t="n">
        <x:v>1000</x:v>
      </x:c>
      <x:c r="G959" s="9" t="n">
        <x:v>19.4</x:v>
      </x:c>
      <x:c r="H959" s="9" t="n">
        <x:v>78.4</x:v>
      </x:c>
      <x:c r="I959" s="8" t="str">
        <x:f>B959&amp;" / "&amp;C959&amp;" / "&amp;E959</x:f>
        <x:v>6044 / 2024 / TIGER TROUT</x:v>
      </x:c>
    </x:row>
    <x:row r="960" ht="23" customHeight="1">
      <x:c r="A960" s="8" t="str">
        <x:v>East Twin Lake</x:v>
      </x:c>
      <x:c r="B960" s="8" t="str">
        <x:v>6044</x:v>
      </x:c>
      <x:c r="C960" s="17" t="n">
        <x:v>2023</x:v>
      </x:c>
      <x:c r="D960" s="18" t="n">
        <x:v>45069</x:v>
      </x:c>
      <x:c r="E960" s="8" t="str">
        <x:v>RAINBOW TROUT</x:v>
      </x:c>
      <x:c r="F960" s="13" t="n">
        <x:v>974</x:v>
      </x:c>
      <x:c r="G960" s="9" t="n">
        <x:v>20.2</x:v>
      </x:c>
      <x:c r="H960" s="9" t="n">
        <x:v>89.1</x:v>
      </x:c>
      <x:c r="I960" s="8" t="str">
        <x:f>B960&amp;" / "&amp;C960&amp;" / "&amp;E960</x:f>
        <x:v>6044 / 2023 / RAINBOW TROUT</x:v>
      </x:c>
    </x:row>
    <x:row r="961" ht="23" customHeight="1">
      <x:c r="A961" s="8" t="str">
        <x:v>East Twin Lake</x:v>
      </x:c>
      <x:c r="B961" s="8" t="str">
        <x:v>6044</x:v>
      </x:c>
      <x:c r="C961" s="17" t="n">
        <x:v>2023</x:v>
      </x:c>
      <x:c r="D961" s="18" t="n">
        <x:v>45069</x:v>
      </x:c>
      <x:c r="E961" s="8" t="str">
        <x:v>RAINBOW TROUT</x:v>
      </x:c>
      <x:c r="F961" s="13" t="n">
        <x:v>702</x:v>
      </x:c>
      <x:c r="G961" s="9" t="n">
        <x:v>20.2</x:v>
      </x:c>
      <x:c r="H961" s="9" t="n">
        <x:v>89.1</x:v>
      </x:c>
      <x:c r="I961" s="8" t="str">
        <x:f>B961&amp;" / "&amp;C961&amp;" / "&amp;E961</x:f>
        <x:v>6044 / 2023 / RAINBOW TROUT</x:v>
      </x:c>
    </x:row>
    <x:row r="962" ht="23" customHeight="1">
      <x:c r="A962" s="8" t="str">
        <x:v>East Twin Lake</x:v>
      </x:c>
      <x:c r="B962" s="8" t="str">
        <x:v>6044</x:v>
      </x:c>
      <x:c r="C962" s="17" t="n">
        <x:v>2023</x:v>
      </x:c>
      <x:c r="D962" s="18" t="n">
        <x:v>45069</x:v>
      </x:c>
      <x:c r="E962" s="8" t="str">
        <x:v>TIGER TROUT</x:v>
      </x:c>
      <x:c r="F962" s="13" t="n">
        <x:v>1000</x:v>
      </x:c>
      <x:c r="G962" s="9" t="n">
        <x:v>20.4</x:v>
      </x:c>
      <x:c r="H962" s="9" t="n">
        <x:v>92</x:v>
      </x:c>
      <x:c r="I962" s="8" t="str">
        <x:f>B962&amp;" / "&amp;C962&amp;" / "&amp;E962</x:f>
        <x:v>6044 / 2023 / TIGER TROUT</x:v>
      </x:c>
    </x:row>
    <x:row r="963" ht="23" customHeight="1">
      <x:c r="A963" s="8" t="str">
        <x:v>East Twin Lake</x:v>
      </x:c>
      <x:c r="B963" s="8" t="str">
        <x:v>6044</x:v>
      </x:c>
      <x:c r="C963" s="17" t="n">
        <x:v>2022</x:v>
      </x:c>
      <x:c r="D963" s="18" t="n">
        <x:v>44697</x:v>
      </x:c>
      <x:c r="E963" s="8" t="str">
        <x:v>RAINBOW TROUT</x:v>
      </x:c>
      <x:c r="F963" s="13" t="n">
        <x:v>4200</x:v>
      </x:c>
      <x:c r="G963" s="9" t="n">
        <x:v>19.2</x:v>
      </x:c>
      <x:c r="H963" s="9" t="n">
        <x:v>78.2</x:v>
      </x:c>
      <x:c r="I963" s="8" t="str">
        <x:f>B963&amp;" / "&amp;C963&amp;" / "&amp;E963</x:f>
        <x:v>6044 / 2022 / RAINBOW TROUT</x:v>
      </x:c>
    </x:row>
    <x:row r="964" ht="23" customHeight="1">
      <x:c r="A964" s="8" t="str">
        <x:v>East Twin Lake</x:v>
      </x:c>
      <x:c r="B964" s="8" t="str">
        <x:v>6044</x:v>
      </x:c>
      <x:c r="C964" s="17" t="n">
        <x:v>2022</x:v>
      </x:c>
      <x:c r="D964" s="18" t="n">
        <x:v>44697</x:v>
      </x:c>
      <x:c r="E964" s="8" t="str">
        <x:v>TIGER TROUT</x:v>
      </x:c>
      <x:c r="F964" s="13" t="n">
        <x:v>1000</x:v>
      </x:c>
      <x:c r="G964" s="9" t="n">
        <x:v>17.7</x:v>
      </x:c>
      <x:c r="H964" s="9" t="n">
        <x:v>61.6</x:v>
      </x:c>
      <x:c r="I964" s="8" t="str">
        <x:f>B964&amp;" / "&amp;C964&amp;" / "&amp;E964</x:f>
        <x:v>6044 / 2022 / TIGER TROUT</x:v>
      </x:c>
    </x:row>
    <x:row r="965" ht="23" customHeight="1">
      <x:c r="A965" s="8" t="str">
        <x:v>East Twin Lake</x:v>
      </x:c>
      <x:c r="B965" s="8" t="str">
        <x:v>6044</x:v>
      </x:c>
      <x:c r="C965" s="17" t="n">
        <x:v>2021</x:v>
      </x:c>
      <x:c r="D965" s="18" t="n">
        <x:v>44328</x:v>
      </x:c>
      <x:c r="E965" s="8" t="str">
        <x:v>RAINBOW TROUT</x:v>
      </x:c>
      <x:c r="F965" s="13" t="n">
        <x:v>4200</x:v>
      </x:c>
      <x:c r="G965" s="9" t="n">
        <x:v>21</x:v>
      </x:c>
      <x:c r="H965" s="9" t="n">
        <x:v>102.6</x:v>
      </x:c>
      <x:c r="I965" s="8" t="str">
        <x:f>B965&amp;" / "&amp;C965&amp;" / "&amp;E965</x:f>
        <x:v>6044 / 2021 / RAINBOW TROUT</x:v>
      </x:c>
    </x:row>
    <x:row r="966" ht="23" customHeight="1">
      <x:c r="A966" s="8" t="str">
        <x:v>East Twin Lake</x:v>
      </x:c>
      <x:c r="B966" s="8" t="str">
        <x:v>6044</x:v>
      </x:c>
      <x:c r="C966" s="17" t="n">
        <x:v>2021</x:v>
      </x:c>
      <x:c r="D966" s="18" t="n">
        <x:v>44453</x:v>
      </x:c>
      <x:c r="E966" s="8" t="str">
        <x:v>TIGER TROUT</x:v>
      </x:c>
      <x:c r="F966" s="13" t="n">
        <x:v>1000</x:v>
      </x:c>
      <x:c r="G966" s="9" t="n">
        <x:v>20.1</x:v>
      </x:c>
      <x:c r="H966" s="9" t="n">
        <x:v>90.3</x:v>
      </x:c>
      <x:c r="I966" s="8" t="str">
        <x:f>B966&amp;" / "&amp;C966&amp;" / "&amp;E966</x:f>
        <x:v>6044 / 2021 / TIGER TROUT</x:v>
      </x:c>
    </x:row>
    <x:row r="967" ht="23" customHeight="1">
      <x:c r="A967" s="8" t="str">
        <x:v>Echo Dale Regional Park Pond</x:v>
      </x:c>
      <x:c r="B967" s="8" t="str">
        <x:v>6842</x:v>
      </x:c>
      <x:c r="C967" s="17" t="n">
        <x:v>2024</x:v>
      </x:c>
      <x:c r="D967" s="18" t="n">
        <x:v>45428</x:v>
      </x:c>
      <x:c r="E967" s="8" t="str">
        <x:v>RAINBOW TROUT</x:v>
      </x:c>
      <x:c r="F967" s="13" t="n">
        <x:v>40</x:v>
      </x:c>
      <x:c r="G967" s="9" t="n">
        <x:v>30.1</x:v>
      </x:c>
      <x:c r="H967" s="9" t="n">
        <x:v>268</x:v>
      </x:c>
      <x:c r="I967" s="8" t="str">
        <x:f>B967&amp;" / "&amp;C967&amp;" / "&amp;E967</x:f>
        <x:v>6842 / 2024 / RAINBOW TROUT</x:v>
      </x:c>
    </x:row>
    <x:row r="968" ht="23" customHeight="1">
      <x:c r="A968" s="8" t="str">
        <x:v>Echo Dale Regional Park Pond</x:v>
      </x:c>
      <x:c r="B968" s="8" t="str">
        <x:v>6842</x:v>
      </x:c>
      <x:c r="C968" s="17" t="n">
        <x:v>2024</x:v>
      </x:c>
      <x:c r="D968" s="18" t="n">
        <x:v>45428</x:v>
      </x:c>
      <x:c r="E968" s="8" t="str">
        <x:v>RAINBOW TROUT</x:v>
      </x:c>
      <x:c r="F968" s="13" t="n">
        <x:v>1760</x:v>
      </x:c>
      <x:c r="G968" s="9" t="n">
        <x:v>20.1</x:v>
      </x:c>
      <x:c r="H968" s="9" t="n">
        <x:v>90.9</x:v>
      </x:c>
      <x:c r="I968" s="8" t="str">
        <x:f>B968&amp;" / "&amp;C968&amp;" / "&amp;E968</x:f>
        <x:v>6842 / 2024 / RAINBOW TROUT</x:v>
      </x:c>
    </x:row>
    <x:row r="969" ht="23" customHeight="1">
      <x:c r="A969" s="8" t="str">
        <x:v>Echo Dale Regional Park Pond</x:v>
      </x:c>
      <x:c r="B969" s="8" t="str">
        <x:v>6842</x:v>
      </x:c>
      <x:c r="C969" s="17" t="n">
        <x:v>2021</x:v>
      </x:c>
      <x:c r="D969" s="18" t="n">
        <x:v>44347</x:v>
      </x:c>
      <x:c r="E969" s="8" t="str">
        <x:v>RAINBOW TROUT</x:v>
      </x:c>
      <x:c r="F969" s="13" t="n">
        <x:v>1800</x:v>
      </x:c>
      <x:c r="G969" s="9" t="n">
        <x:v>21.3</x:v>
      </x:c>
      <x:c r="H969" s="9" t="n">
        <x:v>98.3</x:v>
      </x:c>
      <x:c r="I969" s="8" t="str">
        <x:f>B969&amp;" / "&amp;C969&amp;" / "&amp;E969</x:f>
        <x:v>6842 / 2021 / RAINBOW TROUT</x:v>
      </x:c>
    </x:row>
    <x:row r="970" ht="23" customHeight="1">
      <x:c r="A970" s="8" t="str">
        <x:v>Edith Lake</x:v>
      </x:c>
      <x:c r="B970" s="8" t="str">
        <x:v>4505</x:v>
      </x:c>
      <x:c r="C970" s="17" t="n">
        <x:v>2026</x:v>
      </x:c>
      <x:c r="D970" s="18" t="n">
        <x:v>46188</x:v>
      </x:c>
      <x:c r="E970" s="8" t="str">
        <x:v>BROOK TROUT</x:v>
      </x:c>
      <x:c r="F970" s="13" t="n">
        <x:v>2100</x:v>
      </x:c>
      <x:c r="G970" s="9" t="n">
        <x:v>21.8</x:v>
      </x:c>
      <x:c r="H970" s="9" t="n">
        <x:v>114.9</x:v>
      </x:c>
      <x:c r="I970" s="8" t="str">
        <x:f>B970&amp;" / "&amp;C970&amp;" / "&amp;E970</x:f>
        <x:v>4505 / 2026 / BROOK TROUT</x:v>
      </x:c>
    </x:row>
    <x:row r="971" ht="23" customHeight="1">
      <x:c r="A971" s="8" t="str">
        <x:v>Edith Lake</x:v>
      </x:c>
      <x:c r="B971" s="8" t="str">
        <x:v>4505</x:v>
      </x:c>
      <x:c r="C971" s="17" t="n">
        <x:v>2025</x:v>
      </x:c>
      <x:c r="D971" s="18" t="n">
        <x:v>45798</x:v>
      </x:c>
      <x:c r="E971" s="8" t="str">
        <x:v>BROOK TROUT</x:v>
      </x:c>
      <x:c r="F971" s="13" t="n">
        <x:v>2100</x:v>
      </x:c>
      <x:c r="G971" s="9" t="n">
        <x:v>19.1</x:v>
      </x:c>
      <x:c r="H971" s="9" t="n">
        <x:v>75.1</x:v>
      </x:c>
      <x:c r="I971" s="8" t="str">
        <x:f>B971&amp;" / "&amp;C971&amp;" / "&amp;E971</x:f>
        <x:v>4505 / 2025 / BROOK TROUT</x:v>
      </x:c>
    </x:row>
    <x:row r="972" ht="23" customHeight="1">
      <x:c r="A972" s="8" t="str">
        <x:v>Edith Lake</x:v>
      </x:c>
      <x:c r="B972" s="8" t="str">
        <x:v>4505</x:v>
      </x:c>
      <x:c r="C972" s="17" t="n">
        <x:v>2024</x:v>
      </x:c>
      <x:c r="D972" s="18" t="n">
        <x:v>45463</x:v>
      </x:c>
      <x:c r="E972" s="8" t="str">
        <x:v>BROOK TROUT</x:v>
      </x:c>
      <x:c r="F972" s="13" t="n">
        <x:v>1550</x:v>
      </x:c>
      <x:c r="G972" s="9" t="n">
        <x:v>21</x:v>
      </x:c>
      <x:c r="H972" s="9" t="n">
        <x:v>75</x:v>
      </x:c>
      <x:c r="I972" s="8" t="str">
        <x:f>B972&amp;" / "&amp;C972&amp;" / "&amp;E972</x:f>
        <x:v>4505 / 2024 / BROOK TROUT</x:v>
      </x:c>
    </x:row>
    <x:row r="973" ht="23" customHeight="1">
      <x:c r="A973" s="8" t="str">
        <x:v>Edith Lake</x:v>
      </x:c>
      <x:c r="B973" s="8" t="str">
        <x:v>4505</x:v>
      </x:c>
      <x:c r="C973" s="17" t="n">
        <x:v>2023</x:v>
      </x:c>
      <x:c r="D973" s="18" t="n">
        <x:v>45082</x:v>
      </x:c>
      <x:c r="E973" s="8" t="str">
        <x:v>BROOK TROUT</x:v>
      </x:c>
      <x:c r="F973" s="13" t="n">
        <x:v>1550</x:v>
      </x:c>
      <x:c r="G973" s="9" t="n">
        <x:v>21.4</x:v>
      </x:c>
      <x:c r="H973" s="9" t="n">
        <x:v>92.7</x:v>
      </x:c>
      <x:c r="I973" s="8" t="str">
        <x:f>B973&amp;" / "&amp;C973&amp;" / "&amp;E973</x:f>
        <x:v>4505 / 2023 / BROOK TROUT</x:v>
      </x:c>
    </x:row>
    <x:row r="974" ht="23" customHeight="1">
      <x:c r="A974" s="8" t="str">
        <x:v>Edith Lake</x:v>
      </x:c>
      <x:c r="B974" s="8" t="str">
        <x:v>4505</x:v>
      </x:c>
      <x:c r="C974" s="17" t="n">
        <x:v>2022</x:v>
      </x:c>
      <x:c r="D974" s="18" t="n">
        <x:v>44705</x:v>
      </x:c>
      <x:c r="E974" s="8" t="str">
        <x:v>BROOK TROUT</x:v>
      </x:c>
      <x:c r="F974" s="13" t="n">
        <x:v>2100</x:v>
      </x:c>
      <x:c r="G974" s="9" t="n">
        <x:v>19.1</x:v>
      </x:c>
      <x:c r="H974" s="9" t="n">
        <x:v>76.8</x:v>
      </x:c>
      <x:c r="I974" s="8" t="str">
        <x:f>B974&amp;" / "&amp;C974&amp;" / "&amp;E974</x:f>
        <x:v>4505 / 2022 / BROOK TROUT</x:v>
      </x:c>
    </x:row>
    <x:row r="975" ht="23" customHeight="1">
      <x:c r="A975" s="8" t="str">
        <x:v>Edith Lake</x:v>
      </x:c>
      <x:c r="B975" s="8" t="str">
        <x:v>4505</x:v>
      </x:c>
      <x:c r="C975" s="17" t="n">
        <x:v>2021</x:v>
      </x:c>
      <x:c r="D975" s="18" t="n">
        <x:v>44340</x:v>
      </x:c>
      <x:c r="E975" s="8" t="str">
        <x:v>BROOK TROUT</x:v>
      </x:c>
      <x:c r="F975" s="13" t="n">
        <x:v>2100</x:v>
      </x:c>
      <x:c r="G975" s="9" t="n">
        <x:v>20.4</x:v>
      </x:c>
      <x:c r="H975" s="9" t="n">
        <x:v>94.1</x:v>
      </x:c>
      <x:c r="I975" s="8" t="str">
        <x:f>B975&amp;" / "&amp;C975&amp;" / "&amp;E975</x:f>
        <x:v>4505 / 2021 / BROOK TROUT</x:v>
      </x:c>
    </x:row>
    <x:row r="976" ht="23" customHeight="1">
      <x:c r="A976" s="8" t="str">
        <x:v>Elk Creek Pond</x:v>
      </x:c>
      <x:c r="B976" s="8" t="str">
        <x:v>6820</x:v>
      </x:c>
      <x:c r="C976" s="17" t="n">
        <x:v>2026</x:v>
      </x:c>
      <x:c r="D976" s="18" t="n">
        <x:v>46163</x:v>
      </x:c>
      <x:c r="E976" s="8" t="str">
        <x:v>RAINBOW TROUT</x:v>
      </x:c>
      <x:c r="F976" s="13" t="n">
        <x:v>500</x:v>
      </x:c>
      <x:c r="G976" s="9" t="n">
        <x:v>20.3</x:v>
      </x:c>
      <x:c r="H976" s="9" t="n">
        <x:v>90.9</x:v>
      </x:c>
      <x:c r="I976" s="8" t="str">
        <x:f>B976&amp;" / "&amp;C976&amp;" / "&amp;E976</x:f>
        <x:v>6820 / 2026 / RAINBOW TROUT</x:v>
      </x:c>
    </x:row>
    <x:row r="977" ht="23" customHeight="1">
      <x:c r="A977" s="8" t="str">
        <x:v>Elk Creek Pond</x:v>
      </x:c>
      <x:c r="B977" s="8" t="str">
        <x:v>6820</x:v>
      </x:c>
      <x:c r="C977" s="17" t="n">
        <x:v>2025</x:v>
      </x:c>
      <x:c r="D977" s="18" t="n">
        <x:v>45802</x:v>
      </x:c>
      <x:c r="E977" s="8" t="str">
        <x:v>RAINBOW TROUT</x:v>
      </x:c>
      <x:c r="F977" s="13" t="n">
        <x:v>500</x:v>
      </x:c>
      <x:c r="G977" s="9" t="n">
        <x:v>20</x:v>
      </x:c>
      <x:c r="H977" s="9" t="n">
        <x:v>87</x:v>
      </x:c>
      <x:c r="I977" s="8" t="str">
        <x:f>B977&amp;" / "&amp;C977&amp;" / "&amp;E977</x:f>
        <x:v>6820 / 2025 / RAINBOW TROUT</x:v>
      </x:c>
    </x:row>
    <x:row r="978" ht="23" customHeight="1">
      <x:c r="A978" s="8" t="str">
        <x:v>Elk Creek Pond</x:v>
      </x:c>
      <x:c r="B978" s="8" t="str">
        <x:v>6820</x:v>
      </x:c>
      <x:c r="C978" s="17" t="n">
        <x:v>2024</x:v>
      </x:c>
      <x:c r="D978" s="18" t="n">
        <x:v>45420</x:v>
      </x:c>
      <x:c r="E978" s="8" t="str">
        <x:v>RAINBOW TROUT</x:v>
      </x:c>
      <x:c r="F978" s="13" t="n">
        <x:v>250</x:v>
      </x:c>
      <x:c r="G978" s="9" t="n">
        <x:v>20.7</x:v>
      </x:c>
      <x:c r="H978" s="9" t="n">
        <x:v>95.5</x:v>
      </x:c>
      <x:c r="I978" s="8" t="str">
        <x:f>B978&amp;" / "&amp;C978&amp;" / "&amp;E978</x:f>
        <x:v>6820 / 2024 / RAINBOW TROUT</x:v>
      </x:c>
    </x:row>
    <x:row r="979" ht="23" customHeight="1">
      <x:c r="A979" s="8" t="str">
        <x:v>Elk Creek Pond</x:v>
      </x:c>
      <x:c r="B979" s="8" t="str">
        <x:v>6820</x:v>
      </x:c>
      <x:c r="C979" s="17" t="n">
        <x:v>2023</x:v>
      </x:c>
      <x:c r="D979" s="18" t="n">
        <x:v>45062</x:v>
      </x:c>
      <x:c r="E979" s="8" t="str">
        <x:v>RAINBOW TROUT</x:v>
      </x:c>
      <x:c r="F979" s="13" t="n">
        <x:v>251</x:v>
      </x:c>
      <x:c r="G979" s="9" t="n">
        <x:v>21</x:v>
      </x:c>
      <x:c r="H979" s="9" t="n">
        <x:v>100.4</x:v>
      </x:c>
      <x:c r="I979" s="8" t="str">
        <x:f>B979&amp;" / "&amp;C979&amp;" / "&amp;E979</x:f>
        <x:v>6820 / 2023 / RAINBOW TROUT</x:v>
      </x:c>
    </x:row>
    <x:row r="980" ht="23" customHeight="1">
      <x:c r="A980" s="8" t="str">
        <x:v>Elk Creek Pond</x:v>
      </x:c>
      <x:c r="B980" s="8" t="str">
        <x:v>6820</x:v>
      </x:c>
      <x:c r="C980" s="17" t="n">
        <x:v>2022</x:v>
      </x:c>
      <x:c r="D980" s="18" t="n">
        <x:v>44705</x:v>
      </x:c>
      <x:c r="E980" s="8" t="str">
        <x:v>RAINBOW TROUT</x:v>
      </x:c>
      <x:c r="F980" s="13" t="n">
        <x:v>500</x:v>
      </x:c>
      <x:c r="G980" s="9" t="n">
        <x:v>22.4</x:v>
      </x:c>
      <x:c r="H980" s="9" t="n">
        <x:v>100.1</x:v>
      </x:c>
      <x:c r="I980" s="8" t="str">
        <x:f>B980&amp;" / "&amp;C980&amp;" / "&amp;E980</x:f>
        <x:v>6820 / 2022 / RAINBOW TROUT</x:v>
      </x:c>
    </x:row>
    <x:row r="981" ht="23" customHeight="1">
      <x:c r="A981" s="8" t="str">
        <x:v>Elk Creek Pond</x:v>
      </x:c>
      <x:c r="B981" s="8" t="str">
        <x:v>6820</x:v>
      </x:c>
      <x:c r="C981" s="17" t="n">
        <x:v>2021</x:v>
      </x:c>
      <x:c r="D981" s="18" t="n">
        <x:v>44329</x:v>
      </x:c>
      <x:c r="E981" s="8" t="str">
        <x:v>RAINBOW TROUT</x:v>
      </x:c>
      <x:c r="F981" s="13" t="n">
        <x:v>500</x:v>
      </x:c>
      <x:c r="G981" s="9" t="n">
        <x:v>17.8</x:v>
      </x:c>
      <x:c r="H981" s="9" t="n">
        <x:v>62.8</x:v>
      </x:c>
      <x:c r="I981" s="8" t="str">
        <x:f>B981&amp;" / "&amp;C981&amp;" / "&amp;E981</x:f>
        <x:v>6820 / 2021 / RAINBOW TROUT</x:v>
      </x:c>
    </x:row>
    <x:row r="982" ht="23" customHeight="1">
      <x:c r="A982" s="8" t="str">
        <x:v>Elk Point Pond</x:v>
      </x:c>
      <x:c r="B982" s="8" t="str">
        <x:v>417505</x:v>
      </x:c>
      <x:c r="C982" s="17" t="n">
        <x:v>2026</x:v>
      </x:c>
      <x:c r="D982" s="18" t="n">
        <x:v>46154</x:v>
      </x:c>
      <x:c r="E982" s="8" t="str">
        <x:v>BROOK TROUT</x:v>
      </x:c>
      <x:c r="F982" s="13" t="n">
        <x:v>500</x:v>
      </x:c>
      <x:c r="G982" s="9" t="n">
        <x:v>20</x:v>
      </x:c>
      <x:c r="H982" s="9" t="n">
        <x:v>88.3</x:v>
      </x:c>
      <x:c r="I982" s="8" t="str">
        <x:f>B982&amp;" / "&amp;C982&amp;" / "&amp;E982</x:f>
        <x:v>417505 / 2026 / BROOK TROUT</x:v>
      </x:c>
    </x:row>
    <x:row r="983" ht="23" customHeight="1">
      <x:c r="A983" s="8" t="str">
        <x:v>Elk Point Pond</x:v>
      </x:c>
      <x:c r="B983" s="8" t="str">
        <x:v>417505</x:v>
      </x:c>
      <x:c r="C983" s="17" t="n">
        <x:v>2026</x:v>
      </x:c>
      <x:c r="D983" s="18" t="n">
        <x:v>46154</x:v>
      </x:c>
      <x:c r="E983" s="8" t="str">
        <x:v>RAINBOW TROUT</x:v>
      </x:c>
      <x:c r="F983" s="13" t="n">
        <x:v>900</x:v>
      </x:c>
      <x:c r="G983" s="9" t="n">
        <x:v>23.1</x:v>
      </x:c>
      <x:c r="H983" s="9" t="n">
        <x:v>135.7</x:v>
      </x:c>
      <x:c r="I983" s="8" t="str">
        <x:f>B983&amp;" / "&amp;C983&amp;" / "&amp;E983</x:f>
        <x:v>417505 / 2026 / RAINBOW TROUT</x:v>
      </x:c>
    </x:row>
    <x:row r="984" ht="23" customHeight="1">
      <x:c r="A984" s="8" t="str">
        <x:v>Elk Point Pond</x:v>
      </x:c>
      <x:c r="B984" s="8" t="str">
        <x:v>417505</x:v>
      </x:c>
      <x:c r="C984" s="17" t="n">
        <x:v>2026</x:v>
      </x:c>
      <x:c r="D984" s="18" t="n">
        <x:v>46154</x:v>
      </x:c>
      <x:c r="E984" s="8" t="str">
        <x:v>TIGER TROUT</x:v>
      </x:c>
      <x:c r="F984" s="13" t="n">
        <x:v>150</x:v>
      </x:c>
      <x:c r="G984" s="9" t="n">
        <x:v>23.1</x:v>
      </x:c>
      <x:c r="H984" s="9" t="n">
        <x:v>136.2</x:v>
      </x:c>
      <x:c r="I984" s="8" t="str">
        <x:f>B984&amp;" / "&amp;C984&amp;" / "&amp;E984</x:f>
        <x:v>417505 / 2026 / TIGER TROUT</x:v>
      </x:c>
    </x:row>
    <x:row r="985" ht="23" customHeight="1">
      <x:c r="A985" s="8" t="str">
        <x:v>Elk Point Pond</x:v>
      </x:c>
      <x:c r="B985" s="8" t="str">
        <x:v>417505</x:v>
      </x:c>
      <x:c r="C985" s="17" t="n">
        <x:v>2025</x:v>
      </x:c>
      <x:c r="D985" s="18" t="n">
        <x:v>45771</x:v>
      </x:c>
      <x:c r="E985" s="8" t="str">
        <x:v>BROOK TROUT</x:v>
      </x:c>
      <x:c r="F985" s="13" t="n">
        <x:v>500</x:v>
      </x:c>
      <x:c r="G985" s="9" t="n">
        <x:v>20.2</x:v>
      </x:c>
      <x:c r="H985" s="9" t="n">
        <x:v>89.2</x:v>
      </x:c>
      <x:c r="I985" s="8" t="str">
        <x:f>B985&amp;" / "&amp;C985&amp;" / "&amp;E985</x:f>
        <x:v>417505 / 2025 / BROOK TROUT</x:v>
      </x:c>
    </x:row>
    <x:row r="986" ht="23" customHeight="1">
      <x:c r="A986" s="8" t="str">
        <x:v>Elk Point Pond</x:v>
      </x:c>
      <x:c r="B986" s="8" t="str">
        <x:v>417505</x:v>
      </x:c>
      <x:c r="C986" s="17" t="n">
        <x:v>2025</x:v>
      </x:c>
      <x:c r="D986" s="18" t="n">
        <x:v>45776</x:v>
      </x:c>
      <x:c r="E986" s="8" t="str">
        <x:v>RAINBOW TROUT</x:v>
      </x:c>
      <x:c r="F986" s="13" t="n">
        <x:v>900</x:v>
      </x:c>
      <x:c r="G986" s="9" t="n">
        <x:v>22.8</x:v>
      </x:c>
      <x:c r="H986" s="9" t="n">
        <x:v>131.3</x:v>
      </x:c>
      <x:c r="I986" s="8" t="str">
        <x:f>B986&amp;" / "&amp;C986&amp;" / "&amp;E986</x:f>
        <x:v>417505 / 2025 / RAINBOW TROUT</x:v>
      </x:c>
    </x:row>
    <x:row r="987" ht="23" customHeight="1">
      <x:c r="A987" s="8" t="str">
        <x:v>Elk Point Pond</x:v>
      </x:c>
      <x:c r="B987" s="8" t="str">
        <x:v>417505</x:v>
      </x:c>
      <x:c r="C987" s="17" t="n">
        <x:v>2025</x:v>
      </x:c>
      <x:c r="D987" s="18" t="n">
        <x:v>45776</x:v>
      </x:c>
      <x:c r="E987" s="8" t="str">
        <x:v>TIGER TROUT</x:v>
      </x:c>
      <x:c r="F987" s="13" t="n">
        <x:v>150</x:v>
      </x:c>
      <x:c r="G987" s="9" t="n">
        <x:v>22.2</x:v>
      </x:c>
      <x:c r="H987" s="9" t="n">
        <x:v>121.7</x:v>
      </x:c>
      <x:c r="I987" s="8" t="str">
        <x:f>B987&amp;" / "&amp;C987&amp;" / "&amp;E987</x:f>
        <x:v>417505 / 2025 / TIGER TROUT</x:v>
      </x:c>
    </x:row>
    <x:row r="988" ht="23" customHeight="1">
      <x:c r="A988" s="8" t="str">
        <x:v>Elk Point Pond</x:v>
      </x:c>
      <x:c r="B988" s="8" t="str">
        <x:v>417505</x:v>
      </x:c>
      <x:c r="C988" s="17" t="n">
        <x:v>2024</x:v>
      </x:c>
      <x:c r="D988" s="18" t="n">
        <x:v>45415</x:v>
      </x:c>
      <x:c r="E988" s="8" t="str">
        <x:v>BROOK TROUT</x:v>
      </x:c>
      <x:c r="F988" s="13" t="n">
        <x:v>500</x:v>
      </x:c>
      <x:c r="G988" s="9" t="n">
        <x:v>19.5</x:v>
      </x:c>
      <x:c r="H988" s="9" t="n">
        <x:v>80</x:v>
      </x:c>
      <x:c r="I988" s="8" t="str">
        <x:f>B988&amp;" / "&amp;C988&amp;" / "&amp;E988</x:f>
        <x:v>417505 / 2024 / BROOK TROUT</x:v>
      </x:c>
    </x:row>
    <x:row r="989" ht="23" customHeight="1">
      <x:c r="A989" s="8" t="str">
        <x:v>Elk Point Pond</x:v>
      </x:c>
      <x:c r="B989" s="8" t="str">
        <x:v>417505</x:v>
      </x:c>
      <x:c r="C989" s="17" t="n">
        <x:v>2024</x:v>
      </x:c>
      <x:c r="D989" s="18" t="n">
        <x:v>45415</x:v>
      </x:c>
      <x:c r="E989" s="8" t="str">
        <x:v>RAINBOW TROUT</x:v>
      </x:c>
      <x:c r="F989" s="13" t="n">
        <x:v>360</x:v>
      </x:c>
      <x:c r="G989" s="9" t="n">
        <x:v>19.5</x:v>
      </x:c>
      <x:c r="H989" s="9" t="n">
        <x:v>80</x:v>
      </x:c>
      <x:c r="I989" s="8" t="str">
        <x:f>B989&amp;" / "&amp;C989&amp;" / "&amp;E989</x:f>
        <x:v>417505 / 2024 / RAINBOW TROUT</x:v>
      </x:c>
    </x:row>
    <x:row r="990" ht="23" customHeight="1">
      <x:c r="A990" s="8" t="str">
        <x:v>Elk Point Pond</x:v>
      </x:c>
      <x:c r="B990" s="8" t="str">
        <x:v>417505</x:v>
      </x:c>
      <x:c r="C990" s="17" t="n">
        <x:v>2024</x:v>
      </x:c>
      <x:c r="D990" s="18" t="n">
        <x:v>45415</x:v>
      </x:c>
      <x:c r="E990" s="8" t="str">
        <x:v>TIGER TROUT</x:v>
      </x:c>
      <x:c r="F990" s="13" t="n">
        <x:v>150</x:v>
      </x:c>
      <x:c r="G990" s="9" t="n">
        <x:v>20.1</x:v>
      </x:c>
      <x:c r="H990" s="9" t="n">
        <x:v>87.3</x:v>
      </x:c>
      <x:c r="I990" s="8" t="str">
        <x:f>B990&amp;" / "&amp;C990&amp;" / "&amp;E990</x:f>
        <x:v>417505 / 2024 / TIGER TROUT</x:v>
      </x:c>
    </x:row>
    <x:row r="991" ht="23" customHeight="1">
      <x:c r="A991" s="8" t="str">
        <x:v>Elk Point Pond</x:v>
      </x:c>
      <x:c r="B991" s="8" t="str">
        <x:v>417505</x:v>
      </x:c>
      <x:c r="C991" s="17" t="n">
        <x:v>2023</x:v>
      </x:c>
      <x:c r="D991" s="18" t="n">
        <x:v>45061</x:v>
      </x:c>
      <x:c r="E991" s="8" t="str">
        <x:v>BROOK TROUT</x:v>
      </x:c>
      <x:c r="F991" s="13" t="n">
        <x:v>500</x:v>
      </x:c>
      <x:c r="G991" s="9" t="n">
        <x:v>20.4</x:v>
      </x:c>
      <x:c r="H991" s="9" t="n">
        <x:v>92.1</x:v>
      </x:c>
      <x:c r="I991" s="8" t="str">
        <x:f>B991&amp;" / "&amp;C991&amp;" / "&amp;E991</x:f>
        <x:v>417505 / 2023 / BROOK TROUT</x:v>
      </x:c>
    </x:row>
    <x:row r="992" ht="23" customHeight="1">
      <x:c r="A992" s="8" t="str">
        <x:v>Elk Point Pond</x:v>
      </x:c>
      <x:c r="B992" s="8" t="str">
        <x:v>417505</x:v>
      </x:c>
      <x:c r="C992" s="17" t="n">
        <x:v>2023</x:v>
      </x:c>
      <x:c r="D992" s="18" t="n">
        <x:v>45050</x:v>
      </x:c>
      <x:c r="E992" s="8" t="str">
        <x:v>RAINBOW TROUT</x:v>
      </x:c>
      <x:c r="F992" s="13" t="n">
        <x:v>359</x:v>
      </x:c>
      <x:c r="G992" s="9" t="n">
        <x:v>20.1</x:v>
      </x:c>
      <x:c r="H992" s="9" t="n">
        <x:v>88.1</x:v>
      </x:c>
      <x:c r="I992" s="8" t="str">
        <x:f>B992&amp;" / "&amp;C992&amp;" / "&amp;E992</x:f>
        <x:v>417505 / 2023 / RAINBOW TROUT</x:v>
      </x:c>
    </x:row>
    <x:row r="993" ht="23" customHeight="1">
      <x:c r="A993" s="8" t="str">
        <x:v>Elk Point Pond</x:v>
      </x:c>
      <x:c r="B993" s="8" t="str">
        <x:v>417505</x:v>
      </x:c>
      <x:c r="C993" s="17" t="n">
        <x:v>2023</x:v>
      </x:c>
      <x:c r="D993" s="18" t="n">
        <x:v>45050</x:v>
      </x:c>
      <x:c r="E993" s="8" t="str">
        <x:v>TIGER TROUT</x:v>
      </x:c>
      <x:c r="F993" s="13" t="n">
        <x:v>150</x:v>
      </x:c>
      <x:c r="G993" s="9" t="n">
        <x:v>19.9</x:v>
      </x:c>
      <x:c r="H993" s="9" t="n">
        <x:v>85.7</x:v>
      </x:c>
      <x:c r="I993" s="8" t="str">
        <x:f>B993&amp;" / "&amp;C993&amp;" / "&amp;E993</x:f>
        <x:v>417505 / 2023 / TIGER TROUT</x:v>
      </x:c>
    </x:row>
    <x:row r="994" ht="23" customHeight="1">
      <x:c r="A994" s="8" t="str">
        <x:v>Elk Point Pond</x:v>
      </x:c>
      <x:c r="B994" s="8" t="str">
        <x:v>417505</x:v>
      </x:c>
      <x:c r="C994" s="17" t="n">
        <x:v>2022</x:v>
      </x:c>
      <x:c r="D994" s="18" t="n">
        <x:v>44700</x:v>
      </x:c>
      <x:c r="E994" s="8" t="str">
        <x:v>BROOK TROUT</x:v>
      </x:c>
      <x:c r="F994" s="13" t="n">
        <x:v>500</x:v>
      </x:c>
      <x:c r="G994" s="9" t="n">
        <x:v>19.9</x:v>
      </x:c>
      <x:c r="H994" s="9" t="n">
        <x:v>87.7</x:v>
      </x:c>
      <x:c r="I994" s="8" t="str">
        <x:f>B994&amp;" / "&amp;C994&amp;" / "&amp;E994</x:f>
        <x:v>417505 / 2022 / BROOK TROUT</x:v>
      </x:c>
    </x:row>
    <x:row r="995" ht="23" customHeight="1">
      <x:c r="A995" s="8" t="str">
        <x:v>Elk Point Pond</x:v>
      </x:c>
      <x:c r="B995" s="8" t="str">
        <x:v>417505</x:v>
      </x:c>
      <x:c r="C995" s="17" t="n">
        <x:v>2022</x:v>
      </x:c>
      <x:c r="D995" s="18" t="n">
        <x:v>44700</x:v>
      </x:c>
      <x:c r="E995" s="8" t="str">
        <x:v>RAINBOW TROUT</x:v>
      </x:c>
      <x:c r="F995" s="13" t="n">
        <x:v>900</x:v>
      </x:c>
      <x:c r="G995" s="9" t="n">
        <x:v>23.4</x:v>
      </x:c>
      <x:c r="H995" s="9" t="n">
        <x:v>141.7</x:v>
      </x:c>
      <x:c r="I995" s="8" t="str">
        <x:f>B995&amp;" / "&amp;C995&amp;" / "&amp;E995</x:f>
        <x:v>417505 / 2022 / RAINBOW TROUT</x:v>
      </x:c>
    </x:row>
    <x:row r="996" ht="23" customHeight="1">
      <x:c r="A996" s="8" t="str">
        <x:v>Elk Point Pond</x:v>
      </x:c>
      <x:c r="B996" s="8" t="str">
        <x:v>417505</x:v>
      </x:c>
      <x:c r="C996" s="17" t="n">
        <x:v>2022</x:v>
      </x:c>
      <x:c r="D996" s="18" t="n">
        <x:v>44700</x:v>
      </x:c>
      <x:c r="E996" s="8" t="str">
        <x:v>TIGER TROUT</x:v>
      </x:c>
      <x:c r="F996" s="13" t="n">
        <x:v>150</x:v>
      </x:c>
      <x:c r="G996" s="9" t="n">
        <x:v>17.7</x:v>
      </x:c>
      <x:c r="H996" s="9" t="n">
        <x:v>61.6</x:v>
      </x:c>
      <x:c r="I996" s="8" t="str">
        <x:f>B996&amp;" / "&amp;C996&amp;" / "&amp;E996</x:f>
        <x:v>417505 / 2022 / TIGER TROUT</x:v>
      </x:c>
    </x:row>
    <x:row r="997" ht="23" customHeight="1">
      <x:c r="A997" s="8" t="str">
        <x:v>Elk Point Pond</x:v>
      </x:c>
      <x:c r="B997" s="8" t="str">
        <x:v>417505</x:v>
      </x:c>
      <x:c r="C997" s="17" t="n">
        <x:v>2021</x:v>
      </x:c>
      <x:c r="D997" s="18" t="n">
        <x:v>44322</x:v>
      </x:c>
      <x:c r="E997" s="8" t="str">
        <x:v>RAINBOW TROUT</x:v>
      </x:c>
      <x:c r="F997" s="13" t="n">
        <x:v>900</x:v>
      </x:c>
      <x:c r="G997" s="9" t="n">
        <x:v>17.6</x:v>
      </x:c>
      <x:c r="H997" s="9" t="n">
        <x:v>59.9</x:v>
      </x:c>
      <x:c r="I997" s="8" t="str">
        <x:f>B997&amp;" / "&amp;C997&amp;" / "&amp;E997</x:f>
        <x:v>417505 / 2021 / RAINBOW TROUT</x:v>
      </x:c>
    </x:row>
    <x:row r="998" ht="23" customHeight="1">
      <x:c r="A998" s="8" t="str">
        <x:v>Emerald Lake</x:v>
      </x:c>
      <x:c r="B998" s="8" t="str">
        <x:v>6821</x:v>
      </x:c>
      <x:c r="C998" s="17" t="n">
        <x:v>2026</x:v>
      </x:c>
      <x:c r="D998" s="18" t="n">
        <x:v>46189</x:v>
      </x:c>
      <x:c r="E998" s="8" t="str">
        <x:v>BROOK TROUT</x:v>
      </x:c>
      <x:c r="F998" s="13" t="n">
        <x:v>2600</x:v>
      </x:c>
      <x:c r="G998" s="9" t="n">
        <x:v>21.4</x:v>
      </x:c>
      <x:c r="H998" s="9" t="n">
        <x:v>109.3</x:v>
      </x:c>
      <x:c r="I998" s="8" t="str">
        <x:f>B998&amp;" / "&amp;C998&amp;" / "&amp;E998</x:f>
        <x:v>6821 / 2026 / BROOK TROUT</x:v>
      </x:c>
    </x:row>
    <x:row r="999" ht="23" customHeight="1">
      <x:c r="A999" s="8" t="str">
        <x:v>Emerald Lake</x:v>
      </x:c>
      <x:c r="B999" s="8" t="str">
        <x:v>6821</x:v>
      </x:c>
      <x:c r="C999" s="17" t="n">
        <x:v>2025</x:v>
      </x:c>
      <x:c r="D999" s="18" t="n">
        <x:v>45805</x:v>
      </x:c>
      <x:c r="E999" s="8" t="str">
        <x:v>BROOK TROUT</x:v>
      </x:c>
      <x:c r="F999" s="13" t="n">
        <x:v>2600</x:v>
      </x:c>
      <x:c r="G999" s="9" t="n">
        <x:v>20.9</x:v>
      </x:c>
      <x:c r="H999" s="9" t="n">
        <x:v>99.2</x:v>
      </x:c>
      <x:c r="I999" s="8" t="str">
        <x:f>B999&amp;" / "&amp;C999&amp;" / "&amp;E999</x:f>
        <x:v>6821 / 2025 / BROOK TROUT</x:v>
      </x:c>
    </x:row>
    <x:row r="1000" ht="23" customHeight="1">
      <x:c r="A1000" s="8" t="str">
        <x:v>Emerald Lake</x:v>
      </x:c>
      <x:c r="B1000" s="8" t="str">
        <x:v>6821</x:v>
      </x:c>
      <x:c r="C1000" s="17" t="n">
        <x:v>2024</x:v>
      </x:c>
      <x:c r="D1000" s="18" t="n">
        <x:v>45446</x:v>
      </x:c>
      <x:c r="E1000" s="8" t="str">
        <x:v>BROOK TROUT</x:v>
      </x:c>
      <x:c r="F1000" s="13" t="n">
        <x:v>1800</x:v>
      </x:c>
      <x:c r="G1000" s="9" t="n">
        <x:v>21.7</x:v>
      </x:c>
      <x:c r="H1000" s="9" t="n">
        <x:v>76</x:v>
      </x:c>
      <x:c r="I1000" s="8" t="str">
        <x:f>B1000&amp;" / "&amp;C1000&amp;" / "&amp;E1000</x:f>
        <x:v>6821 / 2024 / BROOK TROUT</x:v>
      </x:c>
    </x:row>
    <x:row r="1001" ht="23" customHeight="1">
      <x:c r="A1001" s="8" t="str">
        <x:v>Emerald Lake</x:v>
      </x:c>
      <x:c r="B1001" s="8" t="str">
        <x:v>6821</x:v>
      </x:c>
      <x:c r="C1001" s="17" t="n">
        <x:v>2023</x:v>
      </x:c>
      <x:c r="D1001" s="18" t="n">
        <x:v>45204</x:v>
      </x:c>
      <x:c r="E1001" s="8" t="str">
        <x:v>BROOK TROUT</x:v>
      </x:c>
      <x:c r="F1001" s="13" t="n">
        <x:v>1800</x:v>
      </x:c>
      <x:c r="G1001" s="9" t="n">
        <x:v>23.4</x:v>
      </x:c>
      <x:c r="H1001" s="9" t="n">
        <x:v>137.8</x:v>
      </x:c>
      <x:c r="I1001" s="8" t="str">
        <x:f>B1001&amp;" / "&amp;C1001&amp;" / "&amp;E1001</x:f>
        <x:v>6821 / 2023 / BROOK TROUT</x:v>
      </x:c>
    </x:row>
    <x:row r="1002" ht="23" customHeight="1">
      <x:c r="A1002" s="8" t="str">
        <x:v>Emerald Lake</x:v>
      </x:c>
      <x:c r="B1002" s="8" t="str">
        <x:v>6821</x:v>
      </x:c>
      <x:c r="C1002" s="17" t="n">
        <x:v>2022</x:v>
      </x:c>
      <x:c r="D1002" s="18" t="n">
        <x:v>44713</x:v>
      </x:c>
      <x:c r="E1002" s="8" t="str">
        <x:v>BROOK TROUT</x:v>
      </x:c>
      <x:c r="F1002" s="13" t="n">
        <x:v>2600</x:v>
      </x:c>
      <x:c r="G1002" s="9" t="n">
        <x:v>19.8</x:v>
      </x:c>
      <x:c r="H1002" s="9" t="n">
        <x:v>86.1</x:v>
      </x:c>
      <x:c r="I1002" s="8" t="str">
        <x:f>B1002&amp;" / "&amp;C1002&amp;" / "&amp;E1002</x:f>
        <x:v>6821 / 2022 / BROOK TROUT</x:v>
      </x:c>
    </x:row>
    <x:row r="1003" ht="23" customHeight="1">
      <x:c r="A1003" s="8" t="str">
        <x:v>Emerald Lake</x:v>
      </x:c>
      <x:c r="B1003" s="8" t="str">
        <x:v>6821</x:v>
      </x:c>
      <x:c r="C1003" s="17" t="n">
        <x:v>2021</x:v>
      </x:c>
      <x:c r="D1003" s="18" t="n">
        <x:v>44333</x:v>
      </x:c>
      <x:c r="E1003" s="8" t="str">
        <x:v>BROOK TROUT</x:v>
      </x:c>
      <x:c r="F1003" s="13" t="n">
        <x:v>2600</x:v>
      </x:c>
      <x:c r="G1003" s="9" t="n">
        <x:v>20</x:v>
      </x:c>
      <x:c r="H1003" s="9" t="n">
        <x:v>89.1</x:v>
      </x:c>
      <x:c r="I1003" s="8" t="str">
        <x:f>B1003&amp;" / "&amp;C1003&amp;" / "&amp;E1003</x:f>
        <x:v>6821 / 2021 / BROOK TROUT</x:v>
      </x:c>
    </x:row>
    <x:row r="1004" ht="23" customHeight="1">
      <x:c r="A1004" s="8" t="str">
        <x:v>Emerson Lake</x:v>
      </x:c>
      <x:c r="B1004" s="8" t="str">
        <x:v>6822</x:v>
      </x:c>
      <x:c r="C1004" s="17" t="n">
        <x:v>2026</x:v>
      </x:c>
      <x:c r="D1004" s="18" t="n">
        <x:v>46134</x:v>
      </x:c>
      <x:c r="E1004" s="8" t="str">
        <x:v>BROWN TROUT</x:v>
      </x:c>
      <x:c r="F1004" s="13" t="n">
        <x:v>200</x:v>
      </x:c>
      <x:c r="G1004" s="9" t="n">
        <x:v>17.2</x:v>
      </x:c>
      <x:c r="H1004" s="9" t="n">
        <x:v>54.5</x:v>
      </x:c>
      <x:c r="I1004" s="8" t="str">
        <x:f>B1004&amp;" / "&amp;C1004&amp;" / "&amp;E1004</x:f>
        <x:v>6822 / 2026 / BROWN TROUT</x:v>
      </x:c>
    </x:row>
    <x:row r="1005" ht="23" customHeight="1">
      <x:c r="A1005" s="8" t="str">
        <x:v>Emerson Lake</x:v>
      </x:c>
      <x:c r="B1005" s="8" t="str">
        <x:v>6822</x:v>
      </x:c>
      <x:c r="C1005" s="17" t="n">
        <x:v>2026</x:v>
      </x:c>
      <x:c r="D1005" s="18" t="n">
        <x:v>46183</x:v>
      </x:c>
      <x:c r="E1005" s="8" t="str">
        <x:v>RAINBOW TROUT</x:v>
      </x:c>
      <x:c r="F1005" s="13" t="n">
        <x:v>1400</x:v>
      </x:c>
      <x:c r="G1005" s="9" t="n">
        <x:v>21.1</x:v>
      </x:c>
      <x:c r="H1005" s="9" t="n">
        <x:v>91.6</x:v>
      </x:c>
      <x:c r="I1005" s="8" t="str">
        <x:f>B1005&amp;" / "&amp;C1005&amp;" / "&amp;E1005</x:f>
        <x:v>6822 / 2026 / RAINBOW TROUT</x:v>
      </x:c>
    </x:row>
    <x:row r="1006" ht="23" customHeight="1">
      <x:c r="A1006" s="8" t="str">
        <x:v>Emerson Lake</x:v>
      </x:c>
      <x:c r="B1006" s="8" t="str">
        <x:v>6822</x:v>
      </x:c>
      <x:c r="C1006" s="17" t="n">
        <x:v>2026</x:v>
      </x:c>
      <x:c r="D1006" s="18" t="n">
        <x:v>46134</x:v>
      </x:c>
      <x:c r="E1006" s="8" t="str">
        <x:v>RAINBOW TROUT</x:v>
      </x:c>
      <x:c r="F1006" s="13" t="n">
        <x:v>1400</x:v>
      </x:c>
      <x:c r="G1006" s="9" t="n">
        <x:v>23.7</x:v>
      </x:c>
      <x:c r="H1006" s="9" t="n">
        <x:v>143.1</x:v>
      </x:c>
      <x:c r="I1006" s="8" t="str">
        <x:f>B1006&amp;" / "&amp;C1006&amp;" / "&amp;E1006</x:f>
        <x:v>6822 / 2026 / RAINBOW TROUT</x:v>
      </x:c>
    </x:row>
    <x:row r="1007" ht="23" customHeight="1">
      <x:c r="A1007" s="8" t="str">
        <x:v>Emerson Lake</x:v>
      </x:c>
      <x:c r="B1007" s="8" t="str">
        <x:v>6822</x:v>
      </x:c>
      <x:c r="C1007" s="17" t="n">
        <x:v>2025</x:v>
      </x:c>
      <x:c r="D1007" s="18" t="n">
        <x:v>45763</x:v>
      </x:c>
      <x:c r="E1007" s="8" t="str">
        <x:v>BROWN TROUT</x:v>
      </x:c>
      <x:c r="F1007" s="13" t="n">
        <x:v>200</x:v>
      </x:c>
      <x:c r="G1007" s="9" t="n">
        <x:v>18.5</x:v>
      </x:c>
      <x:c r="H1007" s="9" t="n">
        <x:v>68</x:v>
      </x:c>
      <x:c r="I1007" s="8" t="str">
        <x:f>B1007&amp;" / "&amp;C1007&amp;" / "&amp;E1007</x:f>
        <x:v>6822 / 2025 / BROWN TROUT</x:v>
      </x:c>
    </x:row>
    <x:row r="1008" ht="23" customHeight="1">
      <x:c r="A1008" s="8" t="str">
        <x:v>Emerson Lake</x:v>
      </x:c>
      <x:c r="B1008" s="8" t="str">
        <x:v>6822</x:v>
      </x:c>
      <x:c r="C1008" s="17" t="n">
        <x:v>2025</x:v>
      </x:c>
      <x:c r="D1008" s="18" t="n">
        <x:v>45819</x:v>
      </x:c>
      <x:c r="E1008" s="8" t="str">
        <x:v>RAINBOW TROUT</x:v>
      </x:c>
      <x:c r="F1008" s="13" t="n">
        <x:v>2362</x:v>
      </x:c>
      <x:c r="G1008" s="9" t="n">
        <x:v>20.3</x:v>
      </x:c>
      <x:c r="H1008" s="9" t="n">
        <x:v>91.7</x:v>
      </x:c>
      <x:c r="I1008" s="8" t="str">
        <x:f>B1008&amp;" / "&amp;C1008&amp;" / "&amp;E1008</x:f>
        <x:v>6822 / 2025 / RAINBOW TROUT</x:v>
      </x:c>
    </x:row>
    <x:row r="1009" ht="23" customHeight="1">
      <x:c r="A1009" s="8" t="str">
        <x:v>Emerson Lake</x:v>
      </x:c>
      <x:c r="B1009" s="8" t="str">
        <x:v>6822</x:v>
      </x:c>
      <x:c r="C1009" s="17" t="n">
        <x:v>2025</x:v>
      </x:c>
      <x:c r="D1009" s="18" t="n">
        <x:v>45763</x:v>
      </x:c>
      <x:c r="E1009" s="8" t="str">
        <x:v>RAINBOW TROUT</x:v>
      </x:c>
      <x:c r="F1009" s="13" t="n">
        <x:v>1400</x:v>
      </x:c>
      <x:c r="G1009" s="9" t="n">
        <x:v>20.1</x:v>
      </x:c>
      <x:c r="H1009" s="9" t="n">
        <x:v>87.8</x:v>
      </x:c>
      <x:c r="I1009" s="8" t="str">
        <x:f>B1009&amp;" / "&amp;C1009&amp;" / "&amp;E1009</x:f>
        <x:v>6822 / 2025 / RAINBOW TROUT</x:v>
      </x:c>
    </x:row>
    <x:row r="1010" ht="23" customHeight="1">
      <x:c r="A1010" s="8" t="str">
        <x:v>Emerson Lake</x:v>
      </x:c>
      <x:c r="B1010" s="8" t="str">
        <x:v>6822</x:v>
      </x:c>
      <x:c r="C1010" s="17" t="n">
        <x:v>2024</x:v>
      </x:c>
      <x:c r="D1010" s="18" t="n">
        <x:v>45415</x:v>
      </x:c>
      <x:c r="E1010" s="8" t="str">
        <x:v>BROWN TROUT</x:v>
      </x:c>
      <x:c r="F1010" s="13" t="n">
        <x:v>200</x:v>
      </x:c>
      <x:c r="G1010" s="9" t="n">
        <x:v>19.8</x:v>
      </x:c>
      <x:c r="H1010" s="9" t="n">
        <x:v>83.5</x:v>
      </x:c>
      <x:c r="I1010" s="8" t="str">
        <x:f>B1010&amp;" / "&amp;C1010&amp;" / "&amp;E1010</x:f>
        <x:v>6822 / 2024 / BROWN TROUT</x:v>
      </x:c>
    </x:row>
    <x:row r="1011" ht="23" customHeight="1">
      <x:c r="A1011" s="8" t="str">
        <x:v>Emerson Lake</x:v>
      </x:c>
      <x:c r="B1011" s="8" t="str">
        <x:v>6822</x:v>
      </x:c>
      <x:c r="C1011" s="17" t="n">
        <x:v>2024</x:v>
      </x:c>
      <x:c r="D1011" s="18" t="n">
        <x:v>45456</x:v>
      </x:c>
      <x:c r="E1011" s="8" t="str">
        <x:v>RAINBOW TROUT</x:v>
      </x:c>
      <x:c r="F1011" s="13" t="n">
        <x:v>50</x:v>
      </x:c>
      <x:c r="G1011" s="9" t="n">
        <x:v>30</x:v>
      </x:c>
      <x:c r="H1011" s="9" t="n">
        <x:v>335</x:v>
      </x:c>
      <x:c r="I1011" s="8" t="str">
        <x:f>B1011&amp;" / "&amp;C1011&amp;" / "&amp;E1011</x:f>
        <x:v>6822 / 2024 / RAINBOW TROUT</x:v>
      </x:c>
    </x:row>
    <x:row r="1012" ht="23" customHeight="1">
      <x:c r="A1012" s="8" t="str">
        <x:v>Emerson Lake</x:v>
      </x:c>
      <x:c r="B1012" s="8" t="str">
        <x:v>6822</x:v>
      </x:c>
      <x:c r="C1012" s="17" t="n">
        <x:v>2024</x:v>
      </x:c>
      <x:c r="D1012" s="18" t="n">
        <x:v>45456</x:v>
      </x:c>
      <x:c r="E1012" s="8" t="str">
        <x:v>RAINBOW TROUT</x:v>
      </x:c>
      <x:c r="F1012" s="13" t="n">
        <x:v>1400</x:v>
      </x:c>
      <x:c r="G1012" s="9" t="n">
        <x:v>20.4</x:v>
      </x:c>
      <x:c r="H1012" s="9" t="n">
        <x:v>87</x:v>
      </x:c>
      <x:c r="I1012" s="8" t="str">
        <x:f>B1012&amp;" / "&amp;C1012&amp;" / "&amp;E1012</x:f>
        <x:v>6822 / 2024 / RAINBOW TROUT</x:v>
      </x:c>
    </x:row>
    <x:row r="1013" ht="23" customHeight="1">
      <x:c r="A1013" s="8" t="str">
        <x:v>Emerson Lake</x:v>
      </x:c>
      <x:c r="B1013" s="8" t="str">
        <x:v>6822</x:v>
      </x:c>
      <x:c r="C1013" s="17" t="n">
        <x:v>2024</x:v>
      </x:c>
      <x:c r="D1013" s="18" t="n">
        <x:v>45415</x:v>
      </x:c>
      <x:c r="E1013" s="8" t="str">
        <x:v>RAINBOW TROUT</x:v>
      </x:c>
      <x:c r="F1013" s="13" t="n">
        <x:v>1400</x:v>
      </x:c>
      <x:c r="G1013" s="9" t="n">
        <x:v>20.5</x:v>
      </x:c>
      <x:c r="H1013" s="9" t="n">
        <x:v>92.6</x:v>
      </x:c>
      <x:c r="I1013" s="8" t="str">
        <x:f>B1013&amp;" / "&amp;C1013&amp;" / "&amp;E1013</x:f>
        <x:v>6822 / 2024 / RAINBOW TROUT</x:v>
      </x:c>
    </x:row>
    <x:row r="1014" ht="23" customHeight="1">
      <x:c r="A1014" s="8" t="str">
        <x:v>Emerson Lake</x:v>
      </x:c>
      <x:c r="B1014" s="8" t="str">
        <x:v>6822</x:v>
      </x:c>
      <x:c r="C1014" s="17" t="n">
        <x:v>2023</x:v>
      </x:c>
      <x:c r="D1014" s="18" t="n">
        <x:v>45039</x:v>
      </x:c>
      <x:c r="E1014" s="8" t="str">
        <x:v>BROWN TROUT</x:v>
      </x:c>
      <x:c r="F1014" s="13" t="n">
        <x:v>200</x:v>
      </x:c>
      <x:c r="G1014" s="9" t="n">
        <x:v>18.7</x:v>
      </x:c>
      <x:c r="H1014" s="9" t="n">
        <x:v>72.4</x:v>
      </x:c>
      <x:c r="I1014" s="8" t="str">
        <x:f>B1014&amp;" / "&amp;C1014&amp;" / "&amp;E1014</x:f>
        <x:v>6822 / 2023 / BROWN TROUT</x:v>
      </x:c>
    </x:row>
    <x:row r="1015" ht="23" customHeight="1">
      <x:c r="A1015" s="8" t="str">
        <x:v>Emerson Lake</x:v>
      </x:c>
      <x:c r="B1015" s="8" t="str">
        <x:v>6822</x:v>
      </x:c>
      <x:c r="C1015" s="17" t="n">
        <x:v>2023</x:v>
      </x:c>
      <x:c r="D1015" s="18" t="n">
        <x:v>45061</x:v>
      </x:c>
      <x:c r="E1015" s="8" t="str">
        <x:v>RAINBOW TROUT</x:v>
      </x:c>
      <x:c r="F1015" s="13" t="n">
        <x:v>1500</x:v>
      </x:c>
      <x:c r="G1015" s="9" t="n">
        <x:v>20.5</x:v>
      </x:c>
      <x:c r="H1015" s="9" t="n">
        <x:v>89.9</x:v>
      </x:c>
      <x:c r="I1015" s="8" t="str">
        <x:f>B1015&amp;" / "&amp;C1015&amp;" / "&amp;E1015</x:f>
        <x:v>6822 / 2023 / RAINBOW TROUT</x:v>
      </x:c>
    </x:row>
    <x:row r="1016" ht="23" customHeight="1">
      <x:c r="A1016" s="8" t="str">
        <x:v>Emerson Lake</x:v>
      </x:c>
      <x:c r="B1016" s="8" t="str">
        <x:v>6822</x:v>
      </x:c>
      <x:c r="C1016" s="17" t="n">
        <x:v>2023</x:v>
      </x:c>
      <x:c r="D1016" s="18" t="n">
        <x:v>45039</x:v>
      </x:c>
      <x:c r="E1016" s="8" t="str">
        <x:v>RAINBOW TROUT</x:v>
      </x:c>
      <x:c r="F1016" s="13" t="n">
        <x:v>1400</x:v>
      </x:c>
      <x:c r="G1016" s="9" t="n">
        <x:v>20.9</x:v>
      </x:c>
      <x:c r="H1016" s="9" t="n">
        <x:v>100.8</x:v>
      </x:c>
      <x:c r="I1016" s="8" t="str">
        <x:f>B1016&amp;" / "&amp;C1016&amp;" / "&amp;E1016</x:f>
        <x:v>6822 / 2023 / RAINBOW TROUT</x:v>
      </x:c>
    </x:row>
    <x:row r="1017" ht="23" customHeight="1">
      <x:c r="A1017" s="8" t="str">
        <x:v>Emerson Lake</x:v>
      </x:c>
      <x:c r="B1017" s="8" t="str">
        <x:v>6822</x:v>
      </x:c>
      <x:c r="C1017" s="17" t="n">
        <x:v>2022</x:v>
      </x:c>
      <x:c r="D1017" s="18" t="n">
        <x:v>44677</x:v>
      </x:c>
      <x:c r="E1017" s="8" t="str">
        <x:v>BROWN TROUT</x:v>
      </x:c>
      <x:c r="F1017" s="13" t="n">
        <x:v>200</x:v>
      </x:c>
      <x:c r="G1017" s="9" t="n">
        <x:v>18.2</x:v>
      </x:c>
      <x:c r="H1017" s="9" t="n">
        <x:v>66.5</x:v>
      </x:c>
      <x:c r="I1017" s="8" t="str">
        <x:f>B1017&amp;" / "&amp;C1017&amp;" / "&amp;E1017</x:f>
        <x:v>6822 / 2022 / BROWN TROUT</x:v>
      </x:c>
    </x:row>
    <x:row r="1018" ht="23" customHeight="1">
      <x:c r="A1018" s="8" t="str">
        <x:v>Emerson Lake</x:v>
      </x:c>
      <x:c r="B1018" s="8" t="str">
        <x:v>6822</x:v>
      </x:c>
      <x:c r="C1018" s="17" t="n">
        <x:v>2022</x:v>
      </x:c>
      <x:c r="D1018" s="18" t="n">
        <x:v>44721</x:v>
      </x:c>
      <x:c r="E1018" s="8" t="str">
        <x:v>RAINBOW TROUT</x:v>
      </x:c>
      <x:c r="F1018" s="13" t="n">
        <x:v>1400</x:v>
      </x:c>
      <x:c r="G1018" s="9" t="n">
        <x:v>20.1</x:v>
      </x:c>
      <x:c r="H1018" s="9" t="n">
        <x:v>90.6</x:v>
      </x:c>
      <x:c r="I1018" s="8" t="str">
        <x:f>B1018&amp;" / "&amp;C1018&amp;" / "&amp;E1018</x:f>
        <x:v>6822 / 2022 / RAINBOW TROUT</x:v>
      </x:c>
    </x:row>
    <x:row r="1019" ht="23" customHeight="1">
      <x:c r="A1019" s="8" t="str">
        <x:v>Emerson Lake</x:v>
      </x:c>
      <x:c r="B1019" s="8" t="str">
        <x:v>6822</x:v>
      </x:c>
      <x:c r="C1019" s="17" t="n">
        <x:v>2022</x:v>
      </x:c>
      <x:c r="D1019" s="18" t="n">
        <x:v>44677</x:v>
      </x:c>
      <x:c r="E1019" s="8" t="str">
        <x:v>RAINBOW TROUT</x:v>
      </x:c>
      <x:c r="F1019" s="13" t="n">
        <x:v>1400</x:v>
      </x:c>
      <x:c r="G1019" s="9" t="n">
        <x:v>21.3</x:v>
      </x:c>
      <x:c r="H1019" s="9" t="n">
        <x:v>106.4</x:v>
      </x:c>
      <x:c r="I1019" s="8" t="str">
        <x:f>B1019&amp;" / "&amp;C1019&amp;" / "&amp;E1019</x:f>
        <x:v>6822 / 2022 / RAINBOW TROUT</x:v>
      </x:c>
    </x:row>
    <x:row r="1020" ht="23" customHeight="1">
      <x:c r="A1020" s="8" t="str">
        <x:v>Emerson Lake</x:v>
      </x:c>
      <x:c r="B1020" s="8" t="str">
        <x:v>6822</x:v>
      </x:c>
      <x:c r="C1020" s="17" t="n">
        <x:v>2021</x:v>
      </x:c>
      <x:c r="D1020" s="18" t="n">
        <x:v>44298</x:v>
      </x:c>
      <x:c r="E1020" s="8" t="str">
        <x:v>BROWN TROUT</x:v>
      </x:c>
      <x:c r="F1020" s="13" t="n">
        <x:v>200</x:v>
      </x:c>
      <x:c r="G1020" s="9" t="n">
        <x:v>16.8</x:v>
      </x:c>
      <x:c r="H1020" s="9" t="n">
        <x:v>52.1</x:v>
      </x:c>
      <x:c r="I1020" s="8" t="str">
        <x:f>B1020&amp;" / "&amp;C1020&amp;" / "&amp;E1020</x:f>
        <x:v>6822 / 2021 / BROWN TROUT</x:v>
      </x:c>
    </x:row>
    <x:row r="1021" ht="23" customHeight="1">
      <x:c r="A1021" s="8" t="str">
        <x:v>Emerson Lake</x:v>
      </x:c>
      <x:c r="B1021" s="8" t="str">
        <x:v>6822</x:v>
      </x:c>
      <x:c r="C1021" s="17" t="n">
        <x:v>2021</x:v>
      </x:c>
      <x:c r="D1021" s="18" t="n">
        <x:v>44453</x:v>
      </x:c>
      <x:c r="E1021" s="8" t="str">
        <x:v>RAINBOW TROUT</x:v>
      </x:c>
      <x:c r="F1021" s="13" t="n">
        <x:v>1000</x:v>
      </x:c>
      <x:c r="G1021" s="9" t="n">
        <x:v>20.3</x:v>
      </x:c>
      <x:c r="H1021" s="9" t="n">
        <x:v>89.7</x:v>
      </x:c>
      <x:c r="I1021" s="8" t="str">
        <x:f>B1021&amp;" / "&amp;C1021&amp;" / "&amp;E1021</x:f>
        <x:v>6822 / 2021 / RAINBOW TROUT</x:v>
      </x:c>
    </x:row>
    <x:row r="1022" ht="23" customHeight="1">
      <x:c r="A1022" s="8" t="str">
        <x:v>Emerson Lake</x:v>
      </x:c>
      <x:c r="B1022" s="8" t="str">
        <x:v>6822</x:v>
      </x:c>
      <x:c r="C1022" s="17" t="n">
        <x:v>2021</x:v>
      </x:c>
      <x:c r="D1022" s="18" t="n">
        <x:v>44365</x:v>
      </x:c>
      <x:c r="E1022" s="8" t="str">
        <x:v>RAINBOW TROUT</x:v>
      </x:c>
      <x:c r="F1022" s="13" t="n">
        <x:v>1400</x:v>
      </x:c>
      <x:c r="G1022" s="9" t="n">
        <x:v>20.1</x:v>
      </x:c>
      <x:c r="H1022" s="9" t="n">
        <x:v>87.6</x:v>
      </x:c>
      <x:c r="I1022" s="8" t="str">
        <x:f>B1022&amp;" / "&amp;C1022&amp;" / "&amp;E1022</x:f>
        <x:v>6822 / 2021 / RAINBOW TROUT</x:v>
      </x:c>
    </x:row>
    <x:row r="1023" ht="23" customHeight="1">
      <x:c r="A1023" s="8" t="str">
        <x:v>Emerson Lake</x:v>
      </x:c>
      <x:c r="B1023" s="8" t="str">
        <x:v>6822</x:v>
      </x:c>
      <x:c r="C1023" s="17" t="n">
        <x:v>2021</x:v>
      </x:c>
      <x:c r="D1023" s="18" t="n">
        <x:v>44298</x:v>
      </x:c>
      <x:c r="E1023" s="8" t="str">
        <x:v>RAINBOW TROUT</x:v>
      </x:c>
      <x:c r="F1023" s="13" t="n">
        <x:v>1400</x:v>
      </x:c>
      <x:c r="G1023" s="9" t="n">
        <x:v>20.4</x:v>
      </x:c>
      <x:c r="H1023" s="9" t="n">
        <x:v>94</x:v>
      </x:c>
      <x:c r="I1023" s="8" t="str">
        <x:f>B1023&amp;" / "&amp;C1023&amp;" / "&amp;E1023</x:f>
        <x:v>6822 / 2021 / RAINBOW TROUT</x:v>
      </x:c>
    </x:row>
    <x:row r="1024" ht="23" customHeight="1">
      <x:c r="A1024" s="8" t="str">
        <x:v>Emerson Lakes</x:v>
      </x:c>
      <x:c r="B1024" s="8" t="str">
        <x:v>4535</x:v>
      </x:c>
      <x:c r="C1024" s="17" t="n">
        <x:v>2026</x:v>
      </x:c>
      <x:c r="D1024" s="18" t="n">
        <x:v>46162</x:v>
      </x:c>
      <x:c r="E1024" s="8" t="str">
        <x:v>RAINBOW TROUT</x:v>
      </x:c>
      <x:c r="F1024" s="13" t="n">
        <x:v>2250</x:v>
      </x:c>
      <x:c r="G1024" s="9" t="n">
        <x:v>16</x:v>
      </x:c>
      <x:c r="H1024" s="9" t="n">
        <x:v>43</x:v>
      </x:c>
      <x:c r="I1024" s="8" t="str">
        <x:f>B1024&amp;" / "&amp;C1024&amp;" / "&amp;E1024</x:f>
        <x:v>4535 / 2026 / RAINBOW TROUT</x:v>
      </x:c>
    </x:row>
    <x:row r="1025" ht="23" customHeight="1">
      <x:c r="A1025" s="8" t="str">
        <x:v>Emerson Lakes</x:v>
      </x:c>
      <x:c r="B1025" s="8" t="str">
        <x:v>4535</x:v>
      </x:c>
      <x:c r="C1025" s="17" t="n">
        <x:v>2024</x:v>
      </x:c>
      <x:c r="D1025" s="18" t="n">
        <x:v>45442</x:v>
      </x:c>
      <x:c r="E1025" s="8" t="str">
        <x:v>RAINBOW TROUT</x:v>
      </x:c>
      <x:c r="F1025" s="13" t="n">
        <x:v>1125</x:v>
      </x:c>
      <x:c r="G1025" s="9" t="n">
        <x:v>20.5</x:v>
      </x:c>
      <x:c r="H1025" s="9" t="n">
        <x:v>93.7</x:v>
      </x:c>
      <x:c r="I1025" s="8" t="str">
        <x:f>B1025&amp;" / "&amp;C1025&amp;" / "&amp;E1025</x:f>
        <x:v>4535 / 2024 / RAINBOW TROUT</x:v>
      </x:c>
    </x:row>
    <x:row r="1026" ht="23" customHeight="1">
      <x:c r="A1026" s="8" t="str">
        <x:v>Emerson Lakes</x:v>
      </x:c>
      <x:c r="B1026" s="8" t="str">
        <x:v>4535</x:v>
      </x:c>
      <x:c r="C1026" s="17" t="n">
        <x:v>2023</x:v>
      </x:c>
      <x:c r="D1026" s="18" t="n">
        <x:v>45068</x:v>
      </x:c>
      <x:c r="E1026" s="8" t="str">
        <x:v>RAINBOW TROUT</x:v>
      </x:c>
      <x:c r="F1026" s="13" t="n">
        <x:v>1067</x:v>
      </x:c>
      <x:c r="G1026" s="9" t="n">
        <x:v>17.6</x:v>
      </x:c>
      <x:c r="H1026" s="9" t="n">
        <x:v>58.8</x:v>
      </x:c>
      <x:c r="I1026" s="8" t="str">
        <x:f>B1026&amp;" / "&amp;C1026&amp;" / "&amp;E1026</x:f>
        <x:v>4535 / 2023 / RAINBOW TROUT</x:v>
      </x:c>
    </x:row>
    <x:row r="1027" ht="23" customHeight="1">
      <x:c r="A1027" s="8" t="str">
        <x:v>Emerson Lakes</x:v>
      </x:c>
      <x:c r="B1027" s="8" t="str">
        <x:v>4535</x:v>
      </x:c>
      <x:c r="C1027" s="17" t="n">
        <x:v>2022</x:v>
      </x:c>
      <x:c r="D1027" s="18" t="n">
        <x:v>44710</x:v>
      </x:c>
      <x:c r="E1027" s="8" t="str">
        <x:v>RAINBOW TROUT</x:v>
      </x:c>
      <x:c r="F1027" s="13" t="n">
        <x:v>2250</x:v>
      </x:c>
      <x:c r="G1027" s="9" t="n">
        <x:v>19.1</x:v>
      </x:c>
      <x:c r="H1027" s="9" t="n">
        <x:v>75.9</x:v>
      </x:c>
      <x:c r="I1027" s="8" t="str">
        <x:f>B1027&amp;" / "&amp;C1027&amp;" / "&amp;E1027</x:f>
        <x:v>4535 / 2022 / RAINBOW TROUT</x:v>
      </x:c>
    </x:row>
    <x:row r="1028" ht="23" customHeight="1">
      <x:c r="A1028" s="8" t="str">
        <x:v>Emerson Lakes</x:v>
      </x:c>
      <x:c r="B1028" s="8" t="str">
        <x:v>4535</x:v>
      </x:c>
      <x:c r="C1028" s="17" t="n">
        <x:v>2021</x:v>
      </x:c>
      <x:c r="D1028" s="18" t="n">
        <x:v>44349</x:v>
      </x:c>
      <x:c r="E1028" s="8" t="str">
        <x:v>RAINBOW TROUT</x:v>
      </x:c>
      <x:c r="F1028" s="13" t="n">
        <x:v>2250</x:v>
      </x:c>
      <x:c r="G1028" s="9" t="n">
        <x:v>21.6</x:v>
      </x:c>
      <x:c r="H1028" s="9" t="n">
        <x:v>112.3</x:v>
      </x:c>
      <x:c r="I1028" s="8" t="str">
        <x:f>B1028&amp;" / "&amp;C1028&amp;" / "&amp;E1028</x:f>
        <x:v>4535 / 2021 / RAINBOW TROUT</x:v>
      </x:c>
    </x:row>
    <x:row r="1029" ht="23" customHeight="1">
      <x:c r="A1029" s="8" t="str">
        <x:v>Enchant Pond</x:v>
      </x:c>
      <x:c r="B1029" s="8" t="str">
        <x:v>6823</x:v>
      </x:c>
      <x:c r="C1029" s="17" t="n">
        <x:v>2026</x:v>
      </x:c>
      <x:c r="D1029" s="18" t="n">
        <x:v>46143</x:v>
      </x:c>
      <x:c r="E1029" s="8" t="str">
        <x:v>RAINBOW TROUT</x:v>
      </x:c>
      <x:c r="F1029" s="13" t="n">
        <x:v>2000</x:v>
      </x:c>
      <x:c r="G1029" s="9" t="n">
        <x:v>20.1</x:v>
      </x:c>
      <x:c r="H1029" s="9" t="n">
        <x:v>92.6</x:v>
      </x:c>
      <x:c r="I1029" s="8" t="str">
        <x:f>B1029&amp;" / "&amp;C1029&amp;" / "&amp;E1029</x:f>
        <x:v>6823 / 2026 / RAINBOW TROUT</x:v>
      </x:c>
    </x:row>
    <x:row r="1030" ht="23" customHeight="1">
      <x:c r="A1030" s="8" t="str">
        <x:v>Enchant Pond</x:v>
      </x:c>
      <x:c r="B1030" s="8" t="str">
        <x:v>6823</x:v>
      </x:c>
      <x:c r="C1030" s="17" t="n">
        <x:v>2026</x:v>
      </x:c>
      <x:c r="D1030" s="18" t="n">
        <x:v>46132</x:v>
      </x:c>
      <x:c r="E1030" s="8" t="str">
        <x:v>TIGER TROUT</x:v>
      </x:c>
      <x:c r="F1030" s="13" t="n">
        <x:v>200</x:v>
      </x:c>
      <x:c r="G1030" s="9" t="n">
        <x:v>17</x:v>
      </x:c>
      <x:c r="H1030" s="9" t="n">
        <x:v>53.3</x:v>
      </x:c>
      <x:c r="I1030" s="8" t="str">
        <x:f>B1030&amp;" / "&amp;C1030&amp;" / "&amp;E1030</x:f>
        <x:v>6823 / 2026 / TIGER TROUT</x:v>
      </x:c>
    </x:row>
    <x:row r="1031" ht="23" customHeight="1">
      <x:c r="A1031" s="8" t="str">
        <x:v>Enchant Pond</x:v>
      </x:c>
      <x:c r="B1031" s="8" t="str">
        <x:v>6823</x:v>
      </x:c>
      <x:c r="C1031" s="17" t="n">
        <x:v>2025</x:v>
      </x:c>
      <x:c r="D1031" s="18" t="n">
        <x:v>45764</x:v>
      </x:c>
      <x:c r="E1031" s="8" t="str">
        <x:v>RAINBOW TROUT</x:v>
      </x:c>
      <x:c r="F1031" s="13" t="n">
        <x:v>2000</x:v>
      </x:c>
      <x:c r="G1031" s="9" t="n">
        <x:v>20.3</x:v>
      </x:c>
      <x:c r="H1031" s="9" t="n">
        <x:v>94.3</x:v>
      </x:c>
      <x:c r="I1031" s="8" t="str">
        <x:f>B1031&amp;" / "&amp;C1031&amp;" / "&amp;E1031</x:f>
        <x:v>6823 / 2025 / RAINBOW TROUT</x:v>
      </x:c>
    </x:row>
    <x:row r="1032" ht="23" customHeight="1">
      <x:c r="A1032" s="8" t="str">
        <x:v>Enchant Pond</x:v>
      </x:c>
      <x:c r="B1032" s="8" t="str">
        <x:v>6823</x:v>
      </x:c>
      <x:c r="C1032" s="17" t="n">
        <x:v>2025</x:v>
      </x:c>
      <x:c r="D1032" s="18" t="n">
        <x:v>45763</x:v>
      </x:c>
      <x:c r="E1032" s="8" t="str">
        <x:v>TIGER TROUT</x:v>
      </x:c>
      <x:c r="F1032" s="13" t="n">
        <x:v>200</x:v>
      </x:c>
      <x:c r="G1032" s="9" t="n">
        <x:v>20.3</x:v>
      </x:c>
      <x:c r="H1032" s="9" t="n">
        <x:v>90</x:v>
      </x:c>
      <x:c r="I1032" s="8" t="str">
        <x:f>B1032&amp;" / "&amp;C1032&amp;" / "&amp;E1032</x:f>
        <x:v>6823 / 2025 / TIGER TROUT</x:v>
      </x:c>
    </x:row>
    <x:row r="1033" ht="23" customHeight="1">
      <x:c r="A1033" s="8" t="str">
        <x:v>Enchant Pond</x:v>
      </x:c>
      <x:c r="B1033" s="8" t="str">
        <x:v>6823</x:v>
      </x:c>
      <x:c r="C1033" s="17" t="n">
        <x:v>2024</x:v>
      </x:c>
      <x:c r="D1033" s="18" t="n">
        <x:v>45400</x:v>
      </x:c>
      <x:c r="E1033" s="8" t="str">
        <x:v>RAINBOW TROUT</x:v>
      </x:c>
      <x:c r="F1033" s="13" t="n">
        <x:v>2000</x:v>
      </x:c>
      <x:c r="G1033" s="9" t="n">
        <x:v>20.5</x:v>
      </x:c>
      <x:c r="H1033" s="9" t="n">
        <x:v>93.1</x:v>
      </x:c>
      <x:c r="I1033" s="8" t="str">
        <x:f>B1033&amp;" / "&amp;C1033&amp;" / "&amp;E1033</x:f>
        <x:v>6823 / 2024 / RAINBOW TROUT</x:v>
      </x:c>
    </x:row>
    <x:row r="1034" ht="23" customHeight="1">
      <x:c r="A1034" s="8" t="str">
        <x:v>Enchant Pond</x:v>
      </x:c>
      <x:c r="B1034" s="8" t="str">
        <x:v>6823</x:v>
      </x:c>
      <x:c r="C1034" s="17" t="n">
        <x:v>2024</x:v>
      </x:c>
      <x:c r="D1034" s="18" t="n">
        <x:v>45392</x:v>
      </x:c>
      <x:c r="E1034" s="8" t="str">
        <x:v>TIGER TROUT</x:v>
      </x:c>
      <x:c r="F1034" s="13" t="n">
        <x:v>200</x:v>
      </x:c>
      <x:c r="G1034" s="9" t="n">
        <x:v>20</x:v>
      </x:c>
      <x:c r="H1034" s="9" t="n">
        <x:v>87</x:v>
      </x:c>
      <x:c r="I1034" s="8" t="str">
        <x:f>B1034&amp;" / "&amp;C1034&amp;" / "&amp;E1034</x:f>
        <x:v>6823 / 2024 / TIGER TROUT</x:v>
      </x:c>
    </x:row>
    <x:row r="1035" ht="23" customHeight="1">
      <x:c r="A1035" s="8" t="str">
        <x:v>Enchant Pond</x:v>
      </x:c>
      <x:c r="B1035" s="8" t="str">
        <x:v>6823</x:v>
      </x:c>
      <x:c r="C1035" s="17" t="n">
        <x:v>2023</x:v>
      </x:c>
      <x:c r="D1035" s="18" t="n">
        <x:v>45039</x:v>
      </x:c>
      <x:c r="E1035" s="8" t="str">
        <x:v>RAINBOW TROUT</x:v>
      </x:c>
      <x:c r="F1035" s="13" t="n">
        <x:v>2200</x:v>
      </x:c>
      <x:c r="G1035" s="9" t="n">
        <x:v>21.7</x:v>
      </x:c>
      <x:c r="H1035" s="9" t="n">
        <x:v>96.3</x:v>
      </x:c>
      <x:c r="I1035" s="8" t="str">
        <x:f>B1035&amp;" / "&amp;C1035&amp;" / "&amp;E1035</x:f>
        <x:v>6823 / 2023 / RAINBOW TROUT</x:v>
      </x:c>
    </x:row>
    <x:row r="1036" ht="23" customHeight="1">
      <x:c r="A1036" s="8" t="str">
        <x:v>Enchant Pond</x:v>
      </x:c>
      <x:c r="B1036" s="8" t="str">
        <x:v>6823</x:v>
      </x:c>
      <x:c r="C1036" s="17" t="n">
        <x:v>2023</x:v>
      </x:c>
      <x:c r="D1036" s="18" t="n">
        <x:v>45036</x:v>
      </x:c>
      <x:c r="E1036" s="8" t="str">
        <x:v>TIGER TROUT</x:v>
      </x:c>
      <x:c r="F1036" s="13" t="n">
        <x:v>200</x:v>
      </x:c>
      <x:c r="G1036" s="9" t="n">
        <x:v>19.3</x:v>
      </x:c>
      <x:c r="H1036" s="9" t="n">
        <x:v>80</x:v>
      </x:c>
      <x:c r="I1036" s="8" t="str">
        <x:f>B1036&amp;" / "&amp;C1036&amp;" / "&amp;E1036</x:f>
        <x:v>6823 / 2023 / TIGER TROUT</x:v>
      </x:c>
    </x:row>
    <x:row r="1037" ht="23" customHeight="1">
      <x:c r="A1037" s="8" t="str">
        <x:v>Enchant Pond</x:v>
      </x:c>
      <x:c r="B1037" s="8" t="str">
        <x:v>6823</x:v>
      </x:c>
      <x:c r="C1037" s="17" t="n">
        <x:v>2022</x:v>
      </x:c>
      <x:c r="D1037" s="18" t="n">
        <x:v>44719</x:v>
      </x:c>
      <x:c r="E1037" s="8" t="str">
        <x:v>RAINBOW TROUT</x:v>
      </x:c>
      <x:c r="F1037" s="13" t="n">
        <x:v>1000</x:v>
      </x:c>
      <x:c r="G1037" s="9" t="n">
        <x:v>20.3</x:v>
      </x:c>
      <x:c r="H1037" s="9" t="n">
        <x:v>96.6</x:v>
      </x:c>
      <x:c r="I1037" s="8" t="str">
        <x:f>B1037&amp;" / "&amp;C1037&amp;" / "&amp;E1037</x:f>
        <x:v>6823 / 2022 / RAINBOW TROUT</x:v>
      </x:c>
    </x:row>
    <x:row r="1038" ht="23" customHeight="1">
      <x:c r="A1038" s="8" t="str">
        <x:v>Enchant Pond</x:v>
      </x:c>
      <x:c r="B1038" s="8" t="str">
        <x:v>6823</x:v>
      </x:c>
      <x:c r="C1038" s="17" t="n">
        <x:v>2022</x:v>
      </x:c>
      <x:c r="D1038" s="18" t="n">
        <x:v>44671</x:v>
      </x:c>
      <x:c r="E1038" s="8" t="str">
        <x:v>RAINBOW TROUT</x:v>
      </x:c>
      <x:c r="F1038" s="13" t="n">
        <x:v>1475</x:v>
      </x:c>
      <x:c r="G1038" s="9" t="n">
        <x:v>20.7</x:v>
      </x:c>
      <x:c r="H1038" s="9" t="n">
        <x:v>97.1</x:v>
      </x:c>
      <x:c r="I1038" s="8" t="str">
        <x:f>B1038&amp;" / "&amp;C1038&amp;" / "&amp;E1038</x:f>
        <x:v>6823 / 2022 / RAINBOW TROUT</x:v>
      </x:c>
    </x:row>
    <x:row r="1039" ht="23" customHeight="1">
      <x:c r="A1039" s="8" t="str">
        <x:v>Enchant Pond</x:v>
      </x:c>
      <x:c r="B1039" s="8" t="str">
        <x:v>6823</x:v>
      </x:c>
      <x:c r="C1039" s="17" t="n">
        <x:v>2021</x:v>
      </x:c>
      <x:c r="D1039" s="18" t="n">
        <x:v>44453</x:v>
      </x:c>
      <x:c r="E1039" s="8" t="str">
        <x:v>RAINBOW TROUT</x:v>
      </x:c>
      <x:c r="F1039" s="13" t="n">
        <x:v>700</x:v>
      </x:c>
      <x:c r="G1039" s="9" t="n">
        <x:v>20.3</x:v>
      </x:c>
      <x:c r="H1039" s="9" t="n">
        <x:v>89.7</x:v>
      </x:c>
      <x:c r="I1039" s="8" t="str">
        <x:f>B1039&amp;" / "&amp;C1039&amp;" / "&amp;E1039</x:f>
        <x:v>6823 / 2021 / RAINBOW TROUT</x:v>
      </x:c>
    </x:row>
    <x:row r="1040" ht="23" customHeight="1">
      <x:c r="A1040" s="8" t="str">
        <x:v>Enchant Pond</x:v>
      </x:c>
      <x:c r="B1040" s="8" t="str">
        <x:v>6823</x:v>
      </x:c>
      <x:c r="C1040" s="17" t="n">
        <x:v>2021</x:v>
      </x:c>
      <x:c r="D1040" s="18" t="n">
        <x:v>44363</x:v>
      </x:c>
      <x:c r="E1040" s="8" t="str">
        <x:v>RAINBOW TROUT</x:v>
      </x:c>
      <x:c r="F1040" s="13" t="n">
        <x:v>1475</x:v>
      </x:c>
      <x:c r="G1040" s="9" t="n">
        <x:v>20.3</x:v>
      </x:c>
      <x:c r="H1040" s="9" t="n">
        <x:v>88.6</x:v>
      </x:c>
      <x:c r="I1040" s="8" t="str">
        <x:f>B1040&amp;" / "&amp;C1040&amp;" / "&amp;E1040</x:f>
        <x:v>6823 / 2021 / RAINBOW TROUT</x:v>
      </x:c>
    </x:row>
    <x:row r="1041" ht="23" customHeight="1">
      <x:c r="A1041" s="8" t="str">
        <x:v>Enchant Pond</x:v>
      </x:c>
      <x:c r="B1041" s="8" t="str">
        <x:v>6823</x:v>
      </x:c>
      <x:c r="C1041" s="17" t="n">
        <x:v>2021</x:v>
      </x:c>
      <x:c r="D1041" s="18" t="n">
        <x:v>44299</x:v>
      </x:c>
      <x:c r="E1041" s="8" t="str">
        <x:v>RAINBOW TROUT</x:v>
      </x:c>
      <x:c r="F1041" s="13" t="n">
        <x:v>1000</x:v>
      </x:c>
      <x:c r="G1041" s="9" t="n">
        <x:v>21.4</x:v>
      </x:c>
      <x:c r="H1041" s="9" t="n">
        <x:v>97.3</x:v>
      </x:c>
      <x:c r="I1041" s="8" t="str">
        <x:f>B1041&amp;" / "&amp;C1041&amp;" / "&amp;E1041</x:f>
        <x:v>6823 / 2021 / RAINBOW TROUT</x:v>
      </x:c>
    </x:row>
    <x:row r="1042" ht="23" customHeight="1">
      <x:c r="A1042" s="8" t="str">
        <x:v>Engstrom Lake</x:v>
      </x:c>
      <x:c r="B1042" s="8" t="str">
        <x:v>4539</x:v>
      </x:c>
      <x:c r="C1042" s="17" t="n">
        <x:v>2026</x:v>
      </x:c>
      <x:c r="D1042" s="18" t="n">
        <x:v>46171</x:v>
      </x:c>
      <x:c r="E1042" s="8" t="str">
        <x:v>RAINBOW TROUT</x:v>
      </x:c>
      <x:c r="F1042" s="13" t="n">
        <x:v>8425</x:v>
      </x:c>
      <x:c r="G1042" s="9" t="n">
        <x:v>21</x:v>
      </x:c>
      <x:c r="H1042" s="9" t="n">
        <x:v>101.8</x:v>
      </x:c>
      <x:c r="I1042" s="8" t="str">
        <x:f>B1042&amp;" / "&amp;C1042&amp;" / "&amp;E1042</x:f>
        <x:v>4539 / 2026 / RAINBOW TROUT</x:v>
      </x:c>
    </x:row>
    <x:row r="1043" ht="23" customHeight="1">
      <x:c r="A1043" s="8" t="str">
        <x:v>Engstrom Lake</x:v>
      </x:c>
      <x:c r="B1043" s="8" t="str">
        <x:v>4539</x:v>
      </x:c>
      <x:c r="C1043" s="17" t="n">
        <x:v>2026</x:v>
      </x:c>
      <x:c r="D1043" s="18" t="n">
        <x:v>46171</x:v>
      </x:c>
      <x:c r="E1043" s="8" t="str">
        <x:v>RAINBOW TROUT</x:v>
      </x:c>
      <x:c r="F1043" s="13" t="n">
        <x:v>14575</x:v>
      </x:c>
      <x:c r="G1043" s="9" t="n">
        <x:v>21.7</x:v>
      </x:c>
      <x:c r="H1043" s="9" t="n">
        <x:v>113.4</x:v>
      </x:c>
      <x:c r="I1043" s="8" t="str">
        <x:f>B1043&amp;" / "&amp;C1043&amp;" / "&amp;E1043</x:f>
        <x:v>4539 / 2026 / RAINBOW TROUT</x:v>
      </x:c>
    </x:row>
    <x:row r="1044" ht="23" customHeight="1">
      <x:c r="A1044" s="8" t="str">
        <x:v>Engstrom Lake</x:v>
      </x:c>
      <x:c r="B1044" s="8" t="str">
        <x:v>4539</x:v>
      </x:c>
      <x:c r="C1044" s="17" t="n">
        <x:v>2025</x:v>
      </x:c>
      <x:c r="D1044" s="18" t="n">
        <x:v>45923</x:v>
      </x:c>
      <x:c r="E1044" s="8" t="str">
        <x:v>RAINBOW TROUT</x:v>
      </x:c>
      <x:c r="F1044" s="13" t="n">
        <x:v>10070</x:v>
      </x:c>
      <x:c r="G1044" s="9" t="n">
        <x:v>17.9</x:v>
      </x:c>
      <x:c r="H1044" s="9" t="n">
        <x:v>63.6</x:v>
      </x:c>
      <x:c r="I1044" s="8" t="str">
        <x:f>B1044&amp;" / "&amp;C1044&amp;" / "&amp;E1044</x:f>
        <x:v>4539 / 2025 / RAINBOW TROUT</x:v>
      </x:c>
    </x:row>
    <x:row r="1045" ht="23" customHeight="1">
      <x:c r="A1045" s="8" t="str">
        <x:v>Engstrom Lake</x:v>
      </x:c>
      <x:c r="B1045" s="8" t="str">
        <x:v>4539</x:v>
      </x:c>
      <x:c r="C1045" s="17" t="n">
        <x:v>2025</x:v>
      </x:c>
      <x:c r="D1045" s="18" t="n">
        <x:v>45923</x:v>
      </x:c>
      <x:c r="E1045" s="8" t="str">
        <x:v>RAINBOW TROUT</x:v>
      </x:c>
      <x:c r="F1045" s="13" t="n">
        <x:v>10170</x:v>
      </x:c>
      <x:c r="G1045" s="9" t="n">
        <x:v>18.4</x:v>
      </x:c>
      <x:c r="H1045" s="9" t="n">
        <x:v>69.1</x:v>
      </x:c>
      <x:c r="I1045" s="8" t="str">
        <x:f>B1045&amp;" / "&amp;C1045&amp;" / "&amp;E1045</x:f>
        <x:v>4539 / 2025 / RAINBOW TROUT</x:v>
      </x:c>
    </x:row>
    <x:row r="1046" ht="23" customHeight="1">
      <x:c r="A1046" s="8" t="str">
        <x:v>Engstrom Lake</x:v>
      </x:c>
      <x:c r="B1046" s="8" t="str">
        <x:v>4539</x:v>
      </x:c>
      <x:c r="C1046" s="17" t="n">
        <x:v>2025</x:v>
      </x:c>
      <x:c r="D1046" s="18" t="n">
        <x:v>45923</x:v>
      </x:c>
      <x:c r="E1046" s="8" t="str">
        <x:v>RAINBOW TROUT</x:v>
      </x:c>
      <x:c r="F1046" s="13" t="n">
        <x:v>4760</x:v>
      </x:c>
      <x:c r="G1046" s="9" t="n">
        <x:v>17.1</x:v>
      </x:c>
      <x:c r="H1046" s="9" t="n">
        <x:v>55.5</x:v>
      </x:c>
      <x:c r="I1046" s="8" t="str">
        <x:f>B1046&amp;" / "&amp;C1046&amp;" / "&amp;E1046</x:f>
        <x:v>4539 / 2025 / RAINBOW TROUT</x:v>
      </x:c>
    </x:row>
    <x:row r="1047" ht="23" customHeight="1">
      <x:c r="A1047" s="8" t="str">
        <x:v>Engstrom Lake</x:v>
      </x:c>
      <x:c r="B1047" s="8" t="str">
        <x:v>4539</x:v>
      </x:c>
      <x:c r="C1047" s="17" t="n">
        <x:v>2025</x:v>
      </x:c>
      <x:c r="D1047" s="18" t="n">
        <x:v>45784</x:v>
      </x:c>
      <x:c r="E1047" s="8" t="str">
        <x:v>RAINBOW TROUT</x:v>
      </x:c>
      <x:c r="F1047" s="13" t="n">
        <x:v>20000</x:v>
      </x:c>
      <x:c r="G1047" s="9" t="n">
        <x:v>20</x:v>
      </x:c>
      <x:c r="H1047" s="9" t="n">
        <x:v>87</x:v>
      </x:c>
      <x:c r="I1047" s="8" t="str">
        <x:f>B1047&amp;" / "&amp;C1047&amp;" / "&amp;E1047</x:f>
        <x:v>4539 / 2025 / RAINBOW TROUT</x:v>
      </x:c>
    </x:row>
    <x:row r="1048" ht="23" customHeight="1">
      <x:c r="A1048" s="8" t="str">
        <x:v>Engstrom Lake</x:v>
      </x:c>
      <x:c r="B1048" s="8" t="str">
        <x:v>4539</x:v>
      </x:c>
      <x:c r="C1048" s="17" t="n">
        <x:v>2024</x:v>
      </x:c>
      <x:c r="D1048" s="18" t="n">
        <x:v>45551</x:v>
      </x:c>
      <x:c r="E1048" s="8" t="str">
        <x:v>RAINBOW TROUT</x:v>
      </x:c>
      <x:c r="F1048" s="13" t="n">
        <x:v>15000</x:v>
      </x:c>
      <x:c r="G1048" s="9" t="n">
        <x:v>22.2</x:v>
      </x:c>
      <x:c r="H1048" s="9" t="n">
        <x:v>121.8</x:v>
      </x:c>
      <x:c r="I1048" s="8" t="str">
        <x:f>B1048&amp;" / "&amp;C1048&amp;" / "&amp;E1048</x:f>
        <x:v>4539 / 2024 / RAINBOW TROUT</x:v>
      </x:c>
    </x:row>
    <x:row r="1049" ht="23" customHeight="1">
      <x:c r="A1049" s="8" t="str">
        <x:v>Engstrom Lake</x:v>
      </x:c>
      <x:c r="B1049" s="8" t="str">
        <x:v>4539</x:v>
      </x:c>
      <x:c r="C1049" s="17" t="n">
        <x:v>2024</x:v>
      </x:c>
      <x:c r="D1049" s="18" t="n">
        <x:v>45447</x:v>
      </x:c>
      <x:c r="E1049" s="8" t="str">
        <x:v>RAINBOW TROUT</x:v>
      </x:c>
      <x:c r="F1049" s="13" t="n">
        <x:v>6000</x:v>
      </x:c>
      <x:c r="G1049" s="9" t="n">
        <x:v>20.4</x:v>
      </x:c>
      <x:c r="H1049" s="9" t="n">
        <x:v>87</x:v>
      </x:c>
      <x:c r="I1049" s="8" t="str">
        <x:f>B1049&amp;" / "&amp;C1049&amp;" / "&amp;E1049</x:f>
        <x:v>4539 / 2024 / RAINBOW TROUT</x:v>
      </x:c>
    </x:row>
    <x:row r="1050" ht="23" customHeight="1">
      <x:c r="A1050" s="8" t="str">
        <x:v>Engstrom Lake</x:v>
      </x:c>
      <x:c r="B1050" s="8" t="str">
        <x:v>4539</x:v>
      </x:c>
      <x:c r="C1050" s="17" t="n">
        <x:v>2024</x:v>
      </x:c>
      <x:c r="D1050" s="18" t="n">
        <x:v>45436</x:v>
      </x:c>
      <x:c r="E1050" s="8" t="str">
        <x:v>RAINBOW TROUT</x:v>
      </x:c>
      <x:c r="F1050" s="13" t="n">
        <x:v>10000</x:v>
      </x:c>
      <x:c r="G1050" s="9" t="n">
        <x:v>10.1</x:v>
      </x:c>
      <x:c r="H1050" s="9" t="n">
        <x:v>11.4</x:v>
      </x:c>
      <x:c r="I1050" s="8" t="str">
        <x:f>B1050&amp;" / "&amp;C1050&amp;" / "&amp;E1050</x:f>
        <x:v>4539 / 2024 / RAINBOW TROUT</x:v>
      </x:c>
    </x:row>
    <x:row r="1051" ht="23" customHeight="1">
      <x:c r="A1051" s="8" t="str">
        <x:v>Engstrom Lake</x:v>
      </x:c>
      <x:c r="B1051" s="8" t="str">
        <x:v>4539</x:v>
      </x:c>
      <x:c r="C1051" s="17" t="n">
        <x:v>2023</x:v>
      </x:c>
      <x:c r="D1051" s="18" t="n">
        <x:v>45181</x:v>
      </x:c>
      <x:c r="E1051" s="8" t="str">
        <x:v>RAINBOW TROUT</x:v>
      </x:c>
      <x:c r="F1051" s="13" t="n">
        <x:v>10002</x:v>
      </x:c>
      <x:c r="G1051" s="9" t="n">
        <x:v>15.8</x:v>
      </x:c>
      <x:c r="H1051" s="9" t="n">
        <x:v>37.9</x:v>
      </x:c>
      <x:c r="I1051" s="8" t="str">
        <x:f>B1051&amp;" / "&amp;C1051&amp;" / "&amp;E1051</x:f>
        <x:v>4539 / 2023 / RAINBOW TROUT</x:v>
      </x:c>
    </x:row>
    <x:row r="1052" ht="23" customHeight="1">
      <x:c r="A1052" s="8" t="str">
        <x:v>Engstrom Lake</x:v>
      </x:c>
      <x:c r="B1052" s="8" t="str">
        <x:v>4539</x:v>
      </x:c>
      <x:c r="C1052" s="17" t="n">
        <x:v>2023</x:v>
      </x:c>
      <x:c r="D1052" s="18" t="n">
        <x:v>45062</x:v>
      </x:c>
      <x:c r="E1052" s="8" t="str">
        <x:v>RAINBOW TROUT</x:v>
      </x:c>
      <x:c r="F1052" s="13" t="n">
        <x:v>20000</x:v>
      </x:c>
      <x:c r="G1052" s="9" t="n">
        <x:v>9</x:v>
      </x:c>
      <x:c r="H1052" s="9" t="n">
        <x:v>8.2</x:v>
      </x:c>
      <x:c r="I1052" s="8" t="str">
        <x:f>B1052&amp;" / "&amp;C1052&amp;" / "&amp;E1052</x:f>
        <x:v>4539 / 2023 / RAINBOW TROUT</x:v>
      </x:c>
    </x:row>
    <x:row r="1053" ht="23" customHeight="1">
      <x:c r="A1053" s="8" t="str">
        <x:v>Engstrom Lake</x:v>
      </x:c>
      <x:c r="B1053" s="8" t="str">
        <x:v>4539</x:v>
      </x:c>
      <x:c r="C1053" s="17" t="n">
        <x:v>2023</x:v>
      </x:c>
      <x:c r="D1053" s="18" t="n">
        <x:v>45062</x:v>
      </x:c>
      <x:c r="E1053" s="8" t="str">
        <x:v>RAINBOW TROUT</x:v>
      </x:c>
      <x:c r="F1053" s="13" t="n">
        <x:v>11539</x:v>
      </x:c>
      <x:c r="G1053" s="9" t="n">
        <x:v>16.9</x:v>
      </x:c>
      <x:c r="H1053" s="9" t="n">
        <x:v>51.3</x:v>
      </x:c>
      <x:c r="I1053" s="8" t="str">
        <x:f>B1053&amp;" / "&amp;C1053&amp;" / "&amp;E1053</x:f>
        <x:v>4539 / 2023 / RAINBOW TROUT</x:v>
      </x:c>
    </x:row>
    <x:row r="1054" ht="23" customHeight="1">
      <x:c r="A1054" s="8" t="str">
        <x:v>Engstrom Lake</x:v>
      </x:c>
      <x:c r="B1054" s="8" t="str">
        <x:v>4539</x:v>
      </x:c>
      <x:c r="C1054" s="17" t="n">
        <x:v>2022</x:v>
      </x:c>
      <x:c r="D1054" s="18" t="n">
        <x:v>44831</x:v>
      </x:c>
      <x:c r="E1054" s="8" t="str">
        <x:v>RAINBOW TROUT</x:v>
      </x:c>
      <x:c r="F1054" s="13" t="n">
        <x:v>11000</x:v>
      </x:c>
      <x:c r="G1054" s="9" t="n">
        <x:v>17.5</x:v>
      </x:c>
      <x:c r="H1054" s="9" t="n">
        <x:v>63.8</x:v>
      </x:c>
      <x:c r="I1054" s="8" t="str">
        <x:f>B1054&amp;" / "&amp;C1054&amp;" / "&amp;E1054</x:f>
        <x:v>4539 / 2022 / RAINBOW TROUT</x:v>
      </x:c>
    </x:row>
    <x:row r="1055" ht="23" customHeight="1">
      <x:c r="A1055" s="8" t="str">
        <x:v>Engstrom Lake</x:v>
      </x:c>
      <x:c r="B1055" s="8" t="str">
        <x:v>4539</x:v>
      </x:c>
      <x:c r="C1055" s="17" t="n">
        <x:v>2022</x:v>
      </x:c>
      <x:c r="D1055" s="18" t="n">
        <x:v>44822</x:v>
      </x:c>
      <x:c r="E1055" s="8" t="str">
        <x:v>RAINBOW TROUT</x:v>
      </x:c>
      <x:c r="F1055" s="13" t="n">
        <x:v>14092</x:v>
      </x:c>
      <x:c r="G1055" s="9" t="n">
        <x:v>13.8</x:v>
      </x:c>
      <x:c r="H1055" s="9" t="n">
        <x:v>29.4</x:v>
      </x:c>
      <x:c r="I1055" s="8" t="str">
        <x:f>B1055&amp;" / "&amp;C1055&amp;" / "&amp;E1055</x:f>
        <x:v>4539 / 2022 / RAINBOW TROUT</x:v>
      </x:c>
    </x:row>
    <x:row r="1056" ht="23" customHeight="1">
      <x:c r="A1056" s="8" t="str">
        <x:v>Engstrom Lake</x:v>
      </x:c>
      <x:c r="B1056" s="8" t="str">
        <x:v>4539</x:v>
      </x:c>
      <x:c r="C1056" s="17" t="n">
        <x:v>2022</x:v>
      </x:c>
      <x:c r="D1056" s="18" t="n">
        <x:v>44694</x:v>
      </x:c>
      <x:c r="E1056" s="8" t="str">
        <x:v>RAINBOW TROUT</x:v>
      </x:c>
      <x:c r="F1056" s="13" t="n">
        <x:v>25002</x:v>
      </x:c>
      <x:c r="G1056" s="9" t="n">
        <x:v>19.4</x:v>
      </x:c>
      <x:c r="H1056" s="9" t="n">
        <x:v>81.1</x:v>
      </x:c>
      <x:c r="I1056" s="8" t="str">
        <x:f>B1056&amp;" / "&amp;C1056&amp;" / "&amp;E1056</x:f>
        <x:v>4539 / 2022 / RAINBOW TROUT</x:v>
      </x:c>
    </x:row>
    <x:row r="1057" ht="23" customHeight="1">
      <x:c r="A1057" s="8" t="str">
        <x:v>Engstrom Lake</x:v>
      </x:c>
      <x:c r="B1057" s="8" t="str">
        <x:v>4539</x:v>
      </x:c>
      <x:c r="C1057" s="17" t="n">
        <x:v>2021</x:v>
      </x:c>
      <x:c r="D1057" s="18" t="n">
        <x:v>44474</x:v>
      </x:c>
      <x:c r="E1057" s="8" t="str">
        <x:v>RAINBOW TROUT</x:v>
      </x:c>
      <x:c r="F1057" s="13" t="n">
        <x:v>19850</x:v>
      </x:c>
      <x:c r="G1057" s="9" t="n">
        <x:v>17</x:v>
      </x:c>
      <x:c r="H1057" s="9" t="n">
        <x:v>54</x:v>
      </x:c>
      <x:c r="I1057" s="8" t="str">
        <x:f>B1057&amp;" / "&amp;C1057&amp;" / "&amp;E1057</x:f>
        <x:v>4539 / 2021 / RAINBOW TROUT</x:v>
      </x:c>
    </x:row>
    <x:row r="1058" ht="23" customHeight="1">
      <x:c r="A1058" s="8" t="str">
        <x:v>Engstrom Lake</x:v>
      </x:c>
      <x:c r="B1058" s="8" t="str">
        <x:v>4539</x:v>
      </x:c>
      <x:c r="C1058" s="17" t="n">
        <x:v>2021</x:v>
      </x:c>
      <x:c r="D1058" s="18" t="n">
        <x:v>44336</x:v>
      </x:c>
      <x:c r="E1058" s="8" t="str">
        <x:v>RAINBOW TROUT</x:v>
      </x:c>
      <x:c r="F1058" s="13" t="n">
        <x:v>9290</x:v>
      </x:c>
      <x:c r="G1058" s="9" t="n">
        <x:v>15</x:v>
      </x:c>
      <x:c r="H1058" s="9" t="n">
        <x:v>36.8</x:v>
      </x:c>
      <x:c r="I1058" s="8" t="str">
        <x:f>B1058&amp;" / "&amp;C1058&amp;" / "&amp;E1058</x:f>
        <x:v>4539 / 2021 / RAINBOW TROUT</x:v>
      </x:c>
    </x:row>
    <x:row r="1059" ht="23" customHeight="1">
      <x:c r="A1059" s="8" t="str">
        <x:v>Engstrom Lake</x:v>
      </x:c>
      <x:c r="B1059" s="8" t="str">
        <x:v>4539</x:v>
      </x:c>
      <x:c r="C1059" s="17" t="n">
        <x:v>2021</x:v>
      </x:c>
      <x:c r="D1059" s="18" t="n">
        <x:v>44336</x:v>
      </x:c>
      <x:c r="E1059" s="8" t="str">
        <x:v>RAINBOW TROUT</x:v>
      </x:c>
      <x:c r="F1059" s="13" t="n">
        <x:v>8210</x:v>
      </x:c>
      <x:c r="G1059" s="9" t="n">
        <x:v>16.9</x:v>
      </x:c>
      <x:c r="H1059" s="9" t="n">
        <x:v>53.5</x:v>
      </x:c>
      <x:c r="I1059" s="8" t="str">
        <x:f>B1059&amp;" / "&amp;C1059&amp;" / "&amp;E1059</x:f>
        <x:v>4539 / 2021 / RAINBOW TROUT</x:v>
      </x:c>
    </x:row>
    <x:row r="1060" ht="23" customHeight="1">
      <x:c r="A1060" s="8" t="str">
        <x:v>Engstrom Lake</x:v>
      </x:c>
      <x:c r="B1060" s="8" t="str">
        <x:v>4539</x:v>
      </x:c>
      <x:c r="C1060" s="17" t="n">
        <x:v>2021</x:v>
      </x:c>
      <x:c r="D1060" s="18" t="n">
        <x:v>44336</x:v>
      </x:c>
      <x:c r="E1060" s="8" t="str">
        <x:v>RAINBOW TROUT</x:v>
      </x:c>
      <x:c r="F1060" s="13" t="n">
        <x:v>7500</x:v>
      </x:c>
      <x:c r="G1060" s="9" t="n">
        <x:v>19.4</x:v>
      </x:c>
      <x:c r="H1060" s="9" t="n">
        <x:v>80.4</x:v>
      </x:c>
      <x:c r="I1060" s="8" t="str">
        <x:f>B1060&amp;" / "&amp;C1060&amp;" / "&amp;E1060</x:f>
        <x:v>4539 / 2021 / RAINBOW TROUT</x:v>
      </x:c>
    </x:row>
    <x:row r="1061" ht="23" customHeight="1">
      <x:c r="A1061" s="8" t="str">
        <x:v>Entry Lake</x:v>
      </x:c>
      <x:c r="B1061" s="8" t="str">
        <x:v>6662</x:v>
      </x:c>
      <x:c r="C1061" s="17" t="n">
        <x:v>2025</x:v>
      </x:c>
      <x:c r="D1061" s="18" t="n">
        <x:v>45924</x:v>
      </x:c>
      <x:c r="E1061" s="8" t="str">
        <x:v>CUTTHROAT TROUT</x:v>
      </x:c>
      <x:c r="F1061" s="13" t="n">
        <x:v>668</x:v>
      </x:c>
      <x:c r="G1061" s="9" t="n">
        <x:v>4.7</x:v>
      </x:c>
      <x:c r="H1061" s="9" t="n">
        <x:v>1.1</x:v>
      </x:c>
      <x:c r="I1061" s="8" t="str">
        <x:f>B1061&amp;" / "&amp;C1061&amp;" / "&amp;E1061</x:f>
        <x:v>6662 / 2025 / CUTTHROAT TROUT</x:v>
      </x:c>
    </x:row>
    <x:row r="1062" ht="23" customHeight="1">
      <x:c r="A1062" s="8" t="str">
        <x:v>Entry Lake</x:v>
      </x:c>
      <x:c r="B1062" s="8" t="str">
        <x:v>6662</x:v>
      </x:c>
      <x:c r="C1062" s="17" t="n">
        <x:v>2021</x:v>
      </x:c>
      <x:c r="D1062" s="18" t="n">
        <x:v>44446</x:v>
      </x:c>
      <x:c r="E1062" s="8" t="str">
        <x:v>CUTTHROAT TROUT</x:v>
      </x:c>
      <x:c r="F1062" s="13" t="n">
        <x:v>500</x:v>
      </x:c>
      <x:c r="G1062" s="9" t="n">
        <x:v>5.5</x:v>
      </x:c>
      <x:c r="H1062" s="9" t="n">
        <x:v>1.9</x:v>
      </x:c>
      <x:c r="I1062" s="8" t="str">
        <x:f>B1062&amp;" / "&amp;C1062&amp;" / "&amp;E1062</x:f>
        <x:v>6662 / 2021 / CUTTHROAT TROUT</x:v>
      </x:c>
    </x:row>
    <x:row r="1063" ht="23" customHeight="1">
      <x:c r="A1063" s="8" t="str">
        <x:v>Fairfax Lake</x:v>
      </x:c>
      <x:c r="B1063" s="8" t="str">
        <x:v>4562</x:v>
      </x:c>
      <x:c r="C1063" s="17" t="n">
        <x:v>2026</x:v>
      </x:c>
      <x:c r="D1063" s="18" t="n">
        <x:v>46190</x:v>
      </x:c>
      <x:c r="E1063" s="8" t="str">
        <x:v>RAINBOW TROUT</x:v>
      </x:c>
      <x:c r="F1063" s="13" t="n">
        <x:v>10000</x:v>
      </x:c>
      <x:c r="G1063" s="9" t="n">
        <x:v>17.4</x:v>
      </x:c>
      <x:c r="H1063" s="9" t="n">
        <x:v>55.8</x:v>
      </x:c>
      <x:c r="I1063" s="8" t="str">
        <x:f>B1063&amp;" / "&amp;C1063&amp;" / "&amp;E1063</x:f>
        <x:v>4562 / 2026 / RAINBOW TROUT</x:v>
      </x:c>
    </x:row>
    <x:row r="1064" ht="23" customHeight="1">
      <x:c r="A1064" s="8" t="str">
        <x:v>Fairfax Lake</x:v>
      </x:c>
      <x:c r="B1064" s="8" t="str">
        <x:v>4562</x:v>
      </x:c>
      <x:c r="C1064" s="17" t="n">
        <x:v>2025</x:v>
      </x:c>
      <x:c r="D1064" s="18" t="n">
        <x:v>45817</x:v>
      </x:c>
      <x:c r="E1064" s="8" t="str">
        <x:v>RAINBOW TROUT</x:v>
      </x:c>
      <x:c r="F1064" s="13" t="n">
        <x:v>10000</x:v>
      </x:c>
      <x:c r="G1064" s="9" t="n">
        <x:v>19.6</x:v>
      </x:c>
      <x:c r="H1064" s="9" t="n">
        <x:v>83.3</x:v>
      </x:c>
      <x:c r="I1064" s="8" t="str">
        <x:f>B1064&amp;" / "&amp;C1064&amp;" / "&amp;E1064</x:f>
        <x:v>4562 / 2025 / RAINBOW TROUT</x:v>
      </x:c>
    </x:row>
    <x:row r="1065" ht="23" customHeight="1">
      <x:c r="A1065" s="8" t="str">
        <x:v>Fairfax Lake</x:v>
      </x:c>
      <x:c r="B1065" s="8" t="str">
        <x:v>4562</x:v>
      </x:c>
      <x:c r="C1065" s="17" t="n">
        <x:v>2024</x:v>
      </x:c>
      <x:c r="D1065" s="18" t="n">
        <x:v>45554</x:v>
      </x:c>
      <x:c r="E1065" s="8" t="str">
        <x:v>RAINBOW TROUT</x:v>
      </x:c>
      <x:c r="F1065" s="13" t="n">
        <x:v>5000</x:v>
      </x:c>
      <x:c r="G1065" s="9" t="n">
        <x:v>23.1</x:v>
      </x:c>
      <x:c r="H1065" s="9" t="n">
        <x:v>136.9</x:v>
      </x:c>
      <x:c r="I1065" s="8" t="str">
        <x:f>B1065&amp;" / "&amp;C1065&amp;" / "&amp;E1065</x:f>
        <x:v>4562 / 2024 / RAINBOW TROUT</x:v>
      </x:c>
    </x:row>
    <x:row r="1066" ht="23" customHeight="1">
      <x:c r="A1066" s="8" t="str">
        <x:v>Fairfax Lake</x:v>
      </x:c>
      <x:c r="B1066" s="8" t="str">
        <x:v>4562</x:v>
      </x:c>
      <x:c r="C1066" s="17" t="n">
        <x:v>2024</x:v>
      </x:c>
      <x:c r="D1066" s="18" t="n">
        <x:v>45433</x:v>
      </x:c>
      <x:c r="E1066" s="8" t="str">
        <x:v>RAINBOW TROUT</x:v>
      </x:c>
      <x:c r="F1066" s="13" t="n">
        <x:v>5000</x:v>
      </x:c>
      <x:c r="G1066" s="9" t="n">
        <x:v>20.7</x:v>
      </x:c>
      <x:c r="H1066" s="9" t="n">
        <x:v>96</x:v>
      </x:c>
      <x:c r="I1066" s="8" t="str">
        <x:f>B1066&amp;" / "&amp;C1066&amp;" / "&amp;E1066</x:f>
        <x:v>4562 / 2024 / RAINBOW TROUT</x:v>
      </x:c>
    </x:row>
    <x:row r="1067" ht="23" customHeight="1">
      <x:c r="A1067" s="8" t="str">
        <x:v>Fairfax Lake</x:v>
      </x:c>
      <x:c r="B1067" s="8" t="str">
        <x:v>4562</x:v>
      </x:c>
      <x:c r="C1067" s="17" t="n">
        <x:v>2023</x:v>
      </x:c>
      <x:c r="D1067" s="18" t="n">
        <x:v>45068</x:v>
      </x:c>
      <x:c r="E1067" s="8" t="str">
        <x:v>RAINBOW TROUT</x:v>
      </x:c>
      <x:c r="F1067" s="13" t="n">
        <x:v>4740</x:v>
      </x:c>
      <x:c r="G1067" s="9" t="n">
        <x:v>17.6</x:v>
      </x:c>
      <x:c r="H1067" s="9" t="n">
        <x:v>58.8</x:v>
      </x:c>
      <x:c r="I1067" s="8" t="str">
        <x:f>B1067&amp;" / "&amp;C1067&amp;" / "&amp;E1067</x:f>
        <x:v>4562 / 2023 / RAINBOW TROUT</x:v>
      </x:c>
    </x:row>
    <x:row r="1068" ht="23" customHeight="1">
      <x:c r="A1068" s="8" t="str">
        <x:v>Fairfax Lake</x:v>
      </x:c>
      <x:c r="B1068" s="8" t="str">
        <x:v>4562</x:v>
      </x:c>
      <x:c r="C1068" s="17" t="n">
        <x:v>2022</x:v>
      </x:c>
      <x:c r="D1068" s="18" t="n">
        <x:v>44717</x:v>
      </x:c>
      <x:c r="E1068" s="8" t="str">
        <x:v>RAINBOW TROUT</x:v>
      </x:c>
      <x:c r="F1068" s="13" t="n">
        <x:v>10000</x:v>
      </x:c>
      <x:c r="G1068" s="9" t="n">
        <x:v>13.1</x:v>
      </x:c>
      <x:c r="H1068" s="9" t="n">
        <x:v>24.5</x:v>
      </x:c>
      <x:c r="I1068" s="8" t="str">
        <x:f>B1068&amp;" / "&amp;C1068&amp;" / "&amp;E1068</x:f>
        <x:v>4562 / 2022 / RAINBOW TROUT</x:v>
      </x:c>
    </x:row>
    <x:row r="1069" ht="23" customHeight="1">
      <x:c r="A1069" s="8" t="str">
        <x:v>Fairfax Lake</x:v>
      </x:c>
      <x:c r="B1069" s="8" t="str">
        <x:v>4562</x:v>
      </x:c>
      <x:c r="C1069" s="17" t="n">
        <x:v>2021</x:v>
      </x:c>
      <x:c r="D1069" s="18" t="n">
        <x:v>44347</x:v>
      </x:c>
      <x:c r="E1069" s="8" t="str">
        <x:v>RAINBOW TROUT</x:v>
      </x:c>
      <x:c r="F1069" s="13" t="n">
        <x:v>10000</x:v>
      </x:c>
      <x:c r="G1069" s="9" t="n">
        <x:v>14.6</x:v>
      </x:c>
      <x:c r="H1069" s="9" t="n">
        <x:v>34.4</x:v>
      </x:c>
      <x:c r="I1069" s="8" t="str">
        <x:f>B1069&amp;" / "&amp;C1069&amp;" / "&amp;E1069</x:f>
        <x:v>4562 / 2021 / RAINBOW TROUT</x:v>
      </x:c>
    </x:row>
    <x:row r="1070" ht="23" customHeight="1">
      <x:c r="A1070" s="8" t="str">
        <x:v>Fairview College Pond</x:v>
      </x:c>
      <x:c r="B1070" s="8" t="str">
        <x:v>6825</x:v>
      </x:c>
      <x:c r="C1070" s="17" t="n">
        <x:v>2026</x:v>
      </x:c>
      <x:c r="D1070" s="18" t="n">
        <x:v>46161</x:v>
      </x:c>
      <x:c r="E1070" s="8" t="str">
        <x:v>RAINBOW TROUT</x:v>
      </x:c>
      <x:c r="F1070" s="13" t="n">
        <x:v>500</x:v>
      </x:c>
      <x:c r="G1070" s="9" t="n">
        <x:v>22.1</x:v>
      </x:c>
      <x:c r="H1070" s="9" t="n">
        <x:v>119.6</x:v>
      </x:c>
      <x:c r="I1070" s="8" t="str">
        <x:f>B1070&amp;" / "&amp;C1070&amp;" / "&amp;E1070</x:f>
        <x:v>6825 / 2026 / RAINBOW TROUT</x:v>
      </x:c>
    </x:row>
    <x:row r="1071" ht="23" customHeight="1">
      <x:c r="A1071" s="8" t="str">
        <x:v>Fairview College Pond</x:v>
      </x:c>
      <x:c r="B1071" s="8" t="str">
        <x:v>6825</x:v>
      </x:c>
      <x:c r="C1071" s="17" t="n">
        <x:v>2025</x:v>
      </x:c>
      <x:c r="D1071" s="18" t="n">
        <x:v>45797</x:v>
      </x:c>
      <x:c r="E1071" s="8" t="str">
        <x:v>RAINBOW TROUT</x:v>
      </x:c>
      <x:c r="F1071" s="13" t="n">
        <x:v>500</x:v>
      </x:c>
      <x:c r="G1071" s="9" t="n">
        <x:v>20.6</x:v>
      </x:c>
      <x:c r="H1071" s="9" t="n">
        <x:v>96.6</x:v>
      </x:c>
      <x:c r="I1071" s="8" t="str">
        <x:f>B1071&amp;" / "&amp;C1071&amp;" / "&amp;E1071</x:f>
        <x:v>6825 / 2025 / RAINBOW TROUT</x:v>
      </x:c>
    </x:row>
    <x:row r="1072" ht="23" customHeight="1">
      <x:c r="A1072" s="8" t="str">
        <x:v>Fairview College Pond</x:v>
      </x:c>
      <x:c r="B1072" s="8" t="str">
        <x:v>6825</x:v>
      </x:c>
      <x:c r="C1072" s="17" t="n">
        <x:v>2024</x:v>
      </x:c>
      <x:c r="D1072" s="18" t="n">
        <x:v>45420</x:v>
      </x:c>
      <x:c r="E1072" s="8" t="str">
        <x:v>RAINBOW TROUT</x:v>
      </x:c>
      <x:c r="F1072" s="13" t="n">
        <x:v>500</x:v>
      </x:c>
      <x:c r="G1072" s="9" t="n">
        <x:v>20.1</x:v>
      </x:c>
      <x:c r="H1072" s="9" t="n">
        <x:v>87.5</x:v>
      </x:c>
      <x:c r="I1072" s="8" t="str">
        <x:f>B1072&amp;" / "&amp;C1072&amp;" / "&amp;E1072</x:f>
        <x:v>6825 / 2024 / RAINBOW TROUT</x:v>
      </x:c>
    </x:row>
    <x:row r="1073" ht="23" customHeight="1">
      <x:c r="A1073" s="8" t="str">
        <x:v>Fairview College Pond</x:v>
      </x:c>
      <x:c r="B1073" s="8" t="str">
        <x:v>6825</x:v>
      </x:c>
      <x:c r="C1073" s="17" t="n">
        <x:v>2023</x:v>
      </x:c>
      <x:c r="D1073" s="18" t="n">
        <x:v>45055</x:v>
      </x:c>
      <x:c r="E1073" s="8" t="str">
        <x:v>RAINBOW TROUT</x:v>
      </x:c>
      <x:c r="F1073" s="13" t="n">
        <x:v>251</x:v>
      </x:c>
      <x:c r="G1073" s="9" t="n">
        <x:v>19.9</x:v>
      </x:c>
      <x:c r="H1073" s="9" t="n">
        <x:v>87.4</x:v>
      </x:c>
      <x:c r="I1073" s="8" t="str">
        <x:f>B1073&amp;" / "&amp;C1073&amp;" / "&amp;E1073</x:f>
        <x:v>6825 / 2023 / RAINBOW TROUT</x:v>
      </x:c>
    </x:row>
    <x:row r="1074" ht="23" customHeight="1">
      <x:c r="A1074" s="8" t="str">
        <x:v>Fairview College Pond</x:v>
      </x:c>
      <x:c r="B1074" s="8" t="str">
        <x:v>6825</x:v>
      </x:c>
      <x:c r="C1074" s="17" t="n">
        <x:v>2022</x:v>
      </x:c>
      <x:c r="D1074" s="18" t="n">
        <x:v>44705</x:v>
      </x:c>
      <x:c r="E1074" s="8" t="str">
        <x:v>RAINBOW TROUT</x:v>
      </x:c>
      <x:c r="F1074" s="13" t="n">
        <x:v>500</x:v>
      </x:c>
      <x:c r="G1074" s="9" t="n">
        <x:v>20.4</x:v>
      </x:c>
      <x:c r="H1074" s="9" t="n">
        <x:v>93.4</x:v>
      </x:c>
      <x:c r="I1074" s="8" t="str">
        <x:f>B1074&amp;" / "&amp;C1074&amp;" / "&amp;E1074</x:f>
        <x:v>6825 / 2022 / RAINBOW TROUT</x:v>
      </x:c>
    </x:row>
    <x:row r="1075" ht="23" customHeight="1">
      <x:c r="A1075" s="8" t="str">
        <x:v>Fairview College Pond</x:v>
      </x:c>
      <x:c r="B1075" s="8" t="str">
        <x:v>6825</x:v>
      </x:c>
      <x:c r="C1075" s="17" t="n">
        <x:v>2021</x:v>
      </x:c>
      <x:c r="D1075" s="18" t="n">
        <x:v>44333</x:v>
      </x:c>
      <x:c r="E1075" s="8" t="str">
        <x:v>RAINBOW TROUT</x:v>
      </x:c>
      <x:c r="F1075" s="13" t="n">
        <x:v>500</x:v>
      </x:c>
      <x:c r="G1075" s="9" t="n">
        <x:v>18.9</x:v>
      </x:c>
      <x:c r="H1075" s="9" t="n">
        <x:v>74.8</x:v>
      </x:c>
      <x:c r="I1075" s="8" t="str">
        <x:f>B1075&amp;" / "&amp;C1075&amp;" / "&amp;E1075</x:f>
        <x:v>6825 / 2021 / RAINBOW TROUT</x:v>
      </x:c>
    </x:row>
    <x:row r="1076" ht="23" customHeight="1">
      <x:c r="A1076" s="8" t="str">
        <x:v>Fickle Lake</x:v>
      </x:c>
      <x:c r="B1076" s="8" t="str">
        <x:v>4571</x:v>
      </x:c>
      <x:c r="C1076" s="17" t="n">
        <x:v>2025</x:v>
      </x:c>
      <x:c r="D1076" s="18" t="n">
        <x:v>45811</x:v>
      </x:c>
      <x:c r="E1076" s="8" t="str">
        <x:v>WALLEYE</x:v>
      </x:c>
      <x:c r="F1076" s="13" t="n">
        <x:v>343980</x:v>
      </x:c>
      <x:c r="G1076" s="9" t="n">
        <x:v>0.4</x:v>
      </x:c>
      <x:c r="H1076" s="9" t="str">
        <x:v>Unknown</x:v>
      </x:c>
      <x:c r="I1076" s="8" t="str">
        <x:f>B1076&amp;" / "&amp;C1076&amp;" / "&amp;E1076</x:f>
        <x:v>4571 / 2025 / WALLEYE</x:v>
      </x:c>
    </x:row>
    <x:row r="1077" ht="23" customHeight="1">
      <x:c r="A1077" s="8" t="str">
        <x:v>Fiesta Lake</x:v>
      </x:c>
      <x:c r="B1077" s="8" t="str">
        <x:v>24364</x:v>
      </x:c>
      <x:c r="C1077" s="17" t="n">
        <x:v>2026</x:v>
      </x:c>
      <x:c r="D1077" s="18" t="n">
        <x:v>46163</x:v>
      </x:c>
      <x:c r="E1077" s="8" t="str">
        <x:v>RAINBOW TROUT</x:v>
      </x:c>
      <x:c r="F1077" s="13" t="n">
        <x:v>550</x:v>
      </x:c>
      <x:c r="G1077" s="9" t="n">
        <x:v>20.1</x:v>
      </x:c>
      <x:c r="H1077" s="9" t="n">
        <x:v>87.3</x:v>
      </x:c>
      <x:c r="I1077" s="8" t="str">
        <x:f>B1077&amp;" / "&amp;C1077&amp;" / "&amp;E1077</x:f>
        <x:v>24364 / 2026 / RAINBOW TROUT</x:v>
      </x:c>
    </x:row>
    <x:row r="1078" ht="23" customHeight="1">
      <x:c r="A1078" s="8" t="str">
        <x:v>Fiesta Lake</x:v>
      </x:c>
      <x:c r="B1078" s="8" t="str">
        <x:v>24364</x:v>
      </x:c>
      <x:c r="C1078" s="17" t="n">
        <x:v>2025</x:v>
      </x:c>
      <x:c r="D1078" s="18" t="n">
        <x:v>45790</x:v>
      </x:c>
      <x:c r="E1078" s="8" t="str">
        <x:v>RAINBOW TROUT</x:v>
      </x:c>
      <x:c r="F1078" s="13" t="n">
        <x:v>550</x:v>
      </x:c>
      <x:c r="G1078" s="9" t="n">
        <x:v>20</x:v>
      </x:c>
      <x:c r="H1078" s="9" t="n">
        <x:v>83.3</x:v>
      </x:c>
      <x:c r="I1078" s="8" t="str">
        <x:f>B1078&amp;" / "&amp;C1078&amp;" / "&amp;E1078</x:f>
        <x:v>24364 / 2025 / RAINBOW TROUT</x:v>
      </x:c>
    </x:row>
    <x:row r="1079" ht="23" customHeight="1">
      <x:c r="A1079" s="8" t="str">
        <x:v>Fiesta Lake</x:v>
      </x:c>
      <x:c r="B1079" s="8" t="str">
        <x:v>24364</x:v>
      </x:c>
      <x:c r="C1079" s="17" t="n">
        <x:v>2024</x:v>
      </x:c>
      <x:c r="D1079" s="18" t="n">
        <x:v>45418</x:v>
      </x:c>
      <x:c r="E1079" s="8" t="str">
        <x:v>RAINBOW TROUT</x:v>
      </x:c>
      <x:c r="F1079" s="13" t="n">
        <x:v>275</x:v>
      </x:c>
      <x:c r="G1079" s="9" t="n">
        <x:v>20.2</x:v>
      </x:c>
      <x:c r="H1079" s="9" t="n">
        <x:v>89.6</x:v>
      </x:c>
      <x:c r="I1079" s="8" t="str">
        <x:f>B1079&amp;" / "&amp;C1079&amp;" / "&amp;E1079</x:f>
        <x:v>24364 / 2024 / RAINBOW TROUT</x:v>
      </x:c>
    </x:row>
    <x:row r="1080" ht="23" customHeight="1">
      <x:c r="A1080" s="8" t="str">
        <x:v>Fiesta Lake</x:v>
      </x:c>
      <x:c r="B1080" s="8" t="str">
        <x:v>24364</x:v>
      </x:c>
      <x:c r="C1080" s="17" t="n">
        <x:v>2023</x:v>
      </x:c>
      <x:c r="D1080" s="18" t="n">
        <x:v>45056</x:v>
      </x:c>
      <x:c r="E1080" s="8" t="str">
        <x:v>RAINBOW TROUT</x:v>
      </x:c>
      <x:c r="F1080" s="13" t="n">
        <x:v>276</x:v>
      </x:c>
      <x:c r="G1080" s="9" t="n">
        <x:v>20</x:v>
      </x:c>
      <x:c r="H1080" s="9" t="n">
        <x:v>88.4</x:v>
      </x:c>
      <x:c r="I1080" s="8" t="str">
        <x:f>B1080&amp;" / "&amp;C1080&amp;" / "&amp;E1080</x:f>
        <x:v>24364 / 2023 / RAINBOW TROUT</x:v>
      </x:c>
    </x:row>
    <x:row r="1081" ht="23" customHeight="1">
      <x:c r="A1081" s="8" t="str">
        <x:v>Fiesta Lake</x:v>
      </x:c>
      <x:c r="B1081" s="8" t="str">
        <x:v>24364</x:v>
      </x:c>
      <x:c r="C1081" s="17" t="n">
        <x:v>2022</x:v>
      </x:c>
      <x:c r="D1081" s="18" t="n">
        <x:v>44704</x:v>
      </x:c>
      <x:c r="E1081" s="8" t="str">
        <x:v>RAINBOW TROUT</x:v>
      </x:c>
      <x:c r="F1081" s="13" t="n">
        <x:v>550</x:v>
      </x:c>
      <x:c r="G1081" s="9" t="n">
        <x:v>24.7</x:v>
      </x:c>
      <x:c r="H1081" s="9" t="n">
        <x:v>105.1</x:v>
      </x:c>
      <x:c r="I1081" s="8" t="str">
        <x:f>B1081&amp;" / "&amp;C1081&amp;" / "&amp;E1081</x:f>
        <x:v>24364 / 2022 / RAINBOW TROUT</x:v>
      </x:c>
    </x:row>
    <x:row r="1082" ht="23" customHeight="1">
      <x:c r="A1082" s="8" t="str">
        <x:v>Fiesta Lake</x:v>
      </x:c>
      <x:c r="B1082" s="8" t="str">
        <x:v>24364</x:v>
      </x:c>
      <x:c r="C1082" s="17" t="n">
        <x:v>2021</x:v>
      </x:c>
      <x:c r="D1082" s="18" t="n">
        <x:v>44326</x:v>
      </x:c>
      <x:c r="E1082" s="8" t="str">
        <x:v>RAINBOW TROUT</x:v>
      </x:c>
      <x:c r="F1082" s="13" t="n">
        <x:v>500</x:v>
      </x:c>
      <x:c r="G1082" s="9" t="n">
        <x:v>17.5</x:v>
      </x:c>
      <x:c r="H1082" s="9" t="n">
        <x:v>58</x:v>
      </x:c>
      <x:c r="I1082" s="8" t="str">
        <x:f>B1082&amp;" / "&amp;C1082&amp;" / "&amp;E1082</x:f>
        <x:v>24364 / 2021 / RAINBOW TROUT</x:v>
      </x:c>
    </x:row>
    <x:row r="1083" ht="23" customHeight="1">
      <x:c r="A1083" s="8" t="str">
        <x:v>Figure Eight Lake</x:v>
      </x:c>
      <x:c r="B1083" s="8" t="str">
        <x:v>6827</x:v>
      </x:c>
      <x:c r="C1083" s="17" t="n">
        <x:v>2026</x:v>
      </x:c>
      <x:c r="D1083" s="18" t="n">
        <x:v>46167</x:v>
      </x:c>
      <x:c r="E1083" s="8" t="str">
        <x:v>RAINBOW TROUT</x:v>
      </x:c>
      <x:c r="F1083" s="13" t="n">
        <x:v>9000</x:v>
      </x:c>
      <x:c r="G1083" s="9" t="n">
        <x:v>20.8</x:v>
      </x:c>
      <x:c r="H1083" s="9" t="n">
        <x:v>99.9</x:v>
      </x:c>
      <x:c r="I1083" s="8" t="str">
        <x:f>B1083&amp;" / "&amp;C1083&amp;" / "&amp;E1083</x:f>
        <x:v>6827 / 2026 / RAINBOW TROUT</x:v>
      </x:c>
    </x:row>
    <x:row r="1084" ht="23" customHeight="1">
      <x:c r="A1084" s="8" t="str">
        <x:v>Figure Eight Lake</x:v>
      </x:c>
      <x:c r="B1084" s="8" t="str">
        <x:v>6827</x:v>
      </x:c>
      <x:c r="C1084" s="17" t="n">
        <x:v>2025</x:v>
      </x:c>
      <x:c r="D1084" s="18" t="n">
        <x:v>45791</x:v>
      </x:c>
      <x:c r="E1084" s="8" t="str">
        <x:v>RAINBOW TROUT</x:v>
      </x:c>
      <x:c r="F1084" s="13" t="n">
        <x:v>9000</x:v>
      </x:c>
      <x:c r="G1084" s="9" t="n">
        <x:v>20.3</x:v>
      </x:c>
      <x:c r="H1084" s="9" t="n">
        <x:v>92</x:v>
      </x:c>
      <x:c r="I1084" s="8" t="str">
        <x:f>B1084&amp;" / "&amp;C1084&amp;" / "&amp;E1084</x:f>
        <x:v>6827 / 2025 / RAINBOW TROUT</x:v>
      </x:c>
    </x:row>
    <x:row r="1085" ht="23" customHeight="1">
      <x:c r="A1085" s="8" t="str">
        <x:v>Figure Eight Lake</x:v>
      </x:c>
      <x:c r="B1085" s="8" t="str">
        <x:v>6827</x:v>
      </x:c>
      <x:c r="C1085" s="17" t="n">
        <x:v>2024</x:v>
      </x:c>
      <x:c r="D1085" s="18" t="n">
        <x:v>45560</x:v>
      </x:c>
      <x:c r="E1085" s="8" t="str">
        <x:v>RAINBOW TROUT</x:v>
      </x:c>
      <x:c r="F1085" s="13" t="n">
        <x:v>6000</x:v>
      </x:c>
      <x:c r="G1085" s="9" t="n">
        <x:v>19.8</x:v>
      </x:c>
      <x:c r="H1085" s="9" t="n">
        <x:v>86.7</x:v>
      </x:c>
      <x:c r="I1085" s="8" t="str">
        <x:f>B1085&amp;" / "&amp;C1085&amp;" / "&amp;E1085</x:f>
        <x:v>6827 / 2024 / RAINBOW TROUT</x:v>
      </x:c>
    </x:row>
    <x:row r="1086" ht="23" customHeight="1">
      <x:c r="A1086" s="8" t="str">
        <x:v>Figure Eight Lake</x:v>
      </x:c>
      <x:c r="B1086" s="8" t="str">
        <x:v>6827</x:v>
      </x:c>
      <x:c r="C1086" s="17" t="n">
        <x:v>2024</x:v>
      </x:c>
      <x:c r="D1086" s="18" t="n">
        <x:v>45419</x:v>
      </x:c>
      <x:c r="E1086" s="8" t="str">
        <x:v>RAINBOW TROUT</x:v>
      </x:c>
      <x:c r="F1086" s="13" t="n">
        <x:v>4500</x:v>
      </x:c>
      <x:c r="G1086" s="9" t="n">
        <x:v>19.9</x:v>
      </x:c>
      <x:c r="H1086" s="9" t="n">
        <x:v>85.7</x:v>
      </x:c>
      <x:c r="I1086" s="8" t="str">
        <x:f>B1086&amp;" / "&amp;C1086&amp;" / "&amp;E1086</x:f>
        <x:v>6827 / 2024 / RAINBOW TROUT</x:v>
      </x:c>
    </x:row>
    <x:row r="1087" ht="23" customHeight="1">
      <x:c r="A1087" s="8" t="str">
        <x:v>Figure Eight Lake</x:v>
      </x:c>
      <x:c r="B1087" s="8" t="str">
        <x:v>6827</x:v>
      </x:c>
      <x:c r="C1087" s="17" t="n">
        <x:v>2023</x:v>
      </x:c>
      <x:c r="D1087" s="18" t="n">
        <x:v>45054</x:v>
      </x:c>
      <x:c r="E1087" s="8" t="str">
        <x:v>RAINBOW TROUT</x:v>
      </x:c>
      <x:c r="F1087" s="13" t="n">
        <x:v>4518</x:v>
      </x:c>
      <x:c r="G1087" s="9" t="n">
        <x:v>20.3</x:v>
      </x:c>
      <x:c r="H1087" s="9" t="n">
        <x:v>92</x:v>
      </x:c>
      <x:c r="I1087" s="8" t="str">
        <x:f>B1087&amp;" / "&amp;C1087&amp;" / "&amp;E1087</x:f>
        <x:v>6827 / 2023 / RAINBOW TROUT</x:v>
      </x:c>
    </x:row>
    <x:row r="1088" ht="23" customHeight="1">
      <x:c r="A1088" s="8" t="str">
        <x:v>Figure Eight Lake</x:v>
      </x:c>
      <x:c r="B1088" s="8" t="str">
        <x:v>6827</x:v>
      </x:c>
      <x:c r="C1088" s="17" t="n">
        <x:v>2022</x:v>
      </x:c>
      <x:c r="D1088" s="18" t="n">
        <x:v>44714</x:v>
      </x:c>
      <x:c r="E1088" s="8" t="str">
        <x:v>RAINBOW TROUT</x:v>
      </x:c>
      <x:c r="F1088" s="13" t="n">
        <x:v>9000</x:v>
      </x:c>
      <x:c r="G1088" s="9" t="n">
        <x:v>22.1</x:v>
      </x:c>
      <x:c r="H1088" s="9" t="n">
        <x:v>119.7</x:v>
      </x:c>
      <x:c r="I1088" s="8" t="str">
        <x:f>B1088&amp;" / "&amp;C1088&amp;" / "&amp;E1088</x:f>
        <x:v>6827 / 2022 / RAINBOW TROUT</x:v>
      </x:c>
    </x:row>
    <x:row r="1089" ht="23" customHeight="1">
      <x:c r="A1089" s="8" t="str">
        <x:v>Figure Eight Lake</x:v>
      </x:c>
      <x:c r="B1089" s="8" t="str">
        <x:v>6827</x:v>
      </x:c>
      <x:c r="C1089" s="17" t="n">
        <x:v>2021</x:v>
      </x:c>
      <x:c r="D1089" s="18" t="n">
        <x:v>44328</x:v>
      </x:c>
      <x:c r="E1089" s="8" t="str">
        <x:v>RAINBOW TROUT</x:v>
      </x:c>
      <x:c r="F1089" s="13" t="n">
        <x:v>9000</x:v>
      </x:c>
      <x:c r="G1089" s="9" t="n">
        <x:v>21.2</x:v>
      </x:c>
      <x:c r="H1089" s="9" t="n">
        <x:v>104.9</x:v>
      </x:c>
      <x:c r="I1089" s="8" t="str">
        <x:f>B1089&amp;" / "&amp;C1089&amp;" / "&amp;E1089</x:f>
        <x:v>6827 / 2021 / RAINBOW TROUT</x:v>
      </x:c>
    </x:row>
    <x:row r="1090" ht="23" customHeight="1">
      <x:c r="A1090" s="8" t="str">
        <x:v>Fish Lake</x:v>
      </x:c>
      <x:c r="B1090" s="8" t="str">
        <x:v>5804</x:v>
      </x:c>
      <x:c r="C1090" s="17" t="n">
        <x:v>2026</x:v>
      </x:c>
      <x:c r="D1090" s="18" t="n">
        <x:v>46162</x:v>
      </x:c>
      <x:c r="E1090" s="8" t="str">
        <x:v>RAINBOW TROUT</x:v>
      </x:c>
      <x:c r="F1090" s="13" t="n">
        <x:v>20000</x:v>
      </x:c>
      <x:c r="G1090" s="9" t="n">
        <x:v>20.8</x:v>
      </x:c>
      <x:c r="H1090" s="9" t="n">
        <x:v>97.4</x:v>
      </x:c>
      <x:c r="I1090" s="8" t="str">
        <x:f>B1090&amp;" / "&amp;C1090&amp;" / "&amp;E1090</x:f>
        <x:v>5804 / 2026 / RAINBOW TROUT</x:v>
      </x:c>
    </x:row>
    <x:row r="1091" ht="23" customHeight="1">
      <x:c r="A1091" s="8" t="str">
        <x:v>Fish Lake</x:v>
      </x:c>
      <x:c r="B1091" s="8" t="str">
        <x:v>5804</x:v>
      </x:c>
      <x:c r="C1091" s="17" t="n">
        <x:v>2025</x:v>
      </x:c>
      <x:c r="D1091" s="18" t="n">
        <x:v>45789</x:v>
      </x:c>
      <x:c r="E1091" s="8" t="str">
        <x:v>RAINBOW TROUT</x:v>
      </x:c>
      <x:c r="F1091" s="13" t="n">
        <x:v>10000</x:v>
      </x:c>
      <x:c r="G1091" s="9" t="n">
        <x:v>20.3</x:v>
      </x:c>
      <x:c r="H1091" s="9" t="n">
        <x:v>90</x:v>
      </x:c>
      <x:c r="I1091" s="8" t="str">
        <x:f>B1091&amp;" / "&amp;C1091&amp;" / "&amp;E1091</x:f>
        <x:v>5804 / 2025 / RAINBOW TROUT</x:v>
      </x:c>
    </x:row>
    <x:row r="1092" ht="23" customHeight="1">
      <x:c r="A1092" s="8" t="str">
        <x:v>Fish Lake</x:v>
      </x:c>
      <x:c r="B1092" s="8" t="str">
        <x:v>5804</x:v>
      </x:c>
      <x:c r="C1092" s="17" t="n">
        <x:v>2025</x:v>
      </x:c>
      <x:c r="D1092" s="18" t="n">
        <x:v>45789</x:v>
      </x:c>
      <x:c r="E1092" s="8" t="str">
        <x:v>RAINBOW TROUT</x:v>
      </x:c>
      <x:c r="F1092" s="13" t="n">
        <x:v>10000</x:v>
      </x:c>
      <x:c r="G1092" s="9" t="n">
        <x:v>20.3</x:v>
      </x:c>
      <x:c r="H1092" s="9" t="n">
        <x:v>90</x:v>
      </x:c>
      <x:c r="I1092" s="8" t="str">
        <x:f>B1092&amp;" / "&amp;C1092&amp;" / "&amp;E1092</x:f>
        <x:v>5804 / 2025 / RAINBOW TROUT</x:v>
      </x:c>
    </x:row>
    <x:row r="1093" ht="23" customHeight="1">
      <x:c r="A1093" s="8" t="str">
        <x:v>Fish Lake</x:v>
      </x:c>
      <x:c r="B1093" s="8" t="str">
        <x:v>5804</x:v>
      </x:c>
      <x:c r="C1093" s="17" t="n">
        <x:v>2024</x:v>
      </x:c>
      <x:c r="D1093" s="18" t="n">
        <x:v>45558</x:v>
      </x:c>
      <x:c r="E1093" s="8" t="str">
        <x:v>RAINBOW TROUT</x:v>
      </x:c>
      <x:c r="F1093" s="13" t="n">
        <x:v>11650</x:v>
      </x:c>
      <x:c r="G1093" s="9" t="n">
        <x:v>17.5</x:v>
      </x:c>
      <x:c r="H1093" s="9" t="n">
        <x:v>59.9</x:v>
      </x:c>
      <x:c r="I1093" s="8" t="str">
        <x:f>B1093&amp;" / "&amp;C1093&amp;" / "&amp;E1093</x:f>
        <x:v>5804 / 2024 / RAINBOW TROUT</x:v>
      </x:c>
    </x:row>
    <x:row r="1094" ht="23" customHeight="1">
      <x:c r="A1094" s="8" t="str">
        <x:v>Fish Lake</x:v>
      </x:c>
      <x:c r="B1094" s="8" t="str">
        <x:v>5804</x:v>
      </x:c>
      <x:c r="C1094" s="17" t="n">
        <x:v>2024</x:v>
      </x:c>
      <x:c r="D1094" s="18" t="n">
        <x:v>45558</x:v>
      </x:c>
      <x:c r="E1094" s="8" t="str">
        <x:v>RAINBOW TROUT</x:v>
      </x:c>
      <x:c r="F1094" s="13" t="n">
        <x:v>6350</x:v>
      </x:c>
      <x:c r="G1094" s="9" t="n">
        <x:v>21.6</x:v>
      </x:c>
      <x:c r="H1094" s="9" t="n">
        <x:v>96.2</x:v>
      </x:c>
      <x:c r="I1094" s="8" t="str">
        <x:f>B1094&amp;" / "&amp;C1094&amp;" / "&amp;E1094</x:f>
        <x:v>5804 / 2024 / RAINBOW TROUT</x:v>
      </x:c>
    </x:row>
    <x:row r="1095" ht="23" customHeight="1">
      <x:c r="A1095" s="8" t="str">
        <x:v>Fish Lake</x:v>
      </x:c>
      <x:c r="B1095" s="8" t="str">
        <x:v>5804</x:v>
      </x:c>
      <x:c r="C1095" s="17" t="n">
        <x:v>2024</x:v>
      </x:c>
      <x:c r="D1095" s="18" t="n">
        <x:v>45419</x:v>
      </x:c>
      <x:c r="E1095" s="8" t="str">
        <x:v>RAINBOW TROUT</x:v>
      </x:c>
      <x:c r="F1095" s="13" t="n">
        <x:v>2356</x:v>
      </x:c>
      <x:c r="G1095" s="9" t="n">
        <x:v>20.3</x:v>
      </x:c>
      <x:c r="H1095" s="9" t="n">
        <x:v>90.9</x:v>
      </x:c>
      <x:c r="I1095" s="8" t="str">
        <x:f>B1095&amp;" / "&amp;C1095&amp;" / "&amp;E1095</x:f>
        <x:v>5804 / 2024 / RAINBOW TROUT</x:v>
      </x:c>
    </x:row>
    <x:row r="1096" ht="23" customHeight="1">
      <x:c r="A1096" s="8" t="str">
        <x:v>Fish Lake</x:v>
      </x:c>
      <x:c r="B1096" s="8" t="str">
        <x:v>5804</x:v>
      </x:c>
      <x:c r="C1096" s="17" t="n">
        <x:v>2024</x:v>
      </x:c>
      <x:c r="D1096" s="18" t="n">
        <x:v>45419</x:v>
      </x:c>
      <x:c r="E1096" s="8" t="str">
        <x:v>RAINBOW TROUT</x:v>
      </x:c>
      <x:c r="F1096" s="13" t="n">
        <x:v>7644</x:v>
      </x:c>
      <x:c r="G1096" s="9" t="n">
        <x:v>20.1</x:v>
      </x:c>
      <x:c r="H1096" s="9" t="n">
        <x:v>88.1</x:v>
      </x:c>
      <x:c r="I1096" s="8" t="str">
        <x:f>B1096&amp;" / "&amp;C1096&amp;" / "&amp;E1096</x:f>
        <x:v>5804 / 2024 / RAINBOW TROUT</x:v>
      </x:c>
    </x:row>
    <x:row r="1097" ht="23" customHeight="1">
      <x:c r="A1097" s="8" t="str">
        <x:v>Fish Lake</x:v>
      </x:c>
      <x:c r="B1097" s="8" t="str">
        <x:v>5804</x:v>
      </x:c>
      <x:c r="C1097" s="17" t="n">
        <x:v>2023</x:v>
      </x:c>
      <x:c r="D1097" s="18" t="n">
        <x:v>45176</x:v>
      </x:c>
      <x:c r="E1097" s="8" t="str">
        <x:v>RAINBOW TROUT</x:v>
      </x:c>
      <x:c r="F1097" s="13" t="n">
        <x:v>7500</x:v>
      </x:c>
      <x:c r="G1097" s="9" t="n">
        <x:v>13.3</x:v>
      </x:c>
      <x:c r="H1097" s="9" t="n">
        <x:v>25.6</x:v>
      </x:c>
      <x:c r="I1097" s="8" t="str">
        <x:f>B1097&amp;" / "&amp;C1097&amp;" / "&amp;E1097</x:f>
        <x:v>5804 / 2023 / RAINBOW TROUT</x:v>
      </x:c>
    </x:row>
    <x:row r="1098" ht="23" customHeight="1">
      <x:c r="A1098" s="8" t="str">
        <x:v>Fish Lake</x:v>
      </x:c>
      <x:c r="B1098" s="8" t="str">
        <x:v>5804</x:v>
      </x:c>
      <x:c r="C1098" s="17" t="n">
        <x:v>2023</x:v>
      </x:c>
      <x:c r="D1098" s="18" t="n">
        <x:v>45061</x:v>
      </x:c>
      <x:c r="E1098" s="8" t="str">
        <x:v>RAINBOW TROUT</x:v>
      </x:c>
      <x:c r="F1098" s="13" t="n">
        <x:v>3792</x:v>
      </x:c>
      <x:c r="G1098" s="9" t="n">
        <x:v>17.8</x:v>
      </x:c>
      <x:c r="H1098" s="9" t="n">
        <x:v>61.3</x:v>
      </x:c>
      <x:c r="I1098" s="8" t="str">
        <x:f>B1098&amp;" / "&amp;C1098&amp;" / "&amp;E1098</x:f>
        <x:v>5804 / 2023 / RAINBOW TROUT</x:v>
      </x:c>
    </x:row>
    <x:row r="1099" ht="23" customHeight="1">
      <x:c r="A1099" s="8" t="str">
        <x:v>Fish Lake</x:v>
      </x:c>
      <x:c r="B1099" s="8" t="str">
        <x:v>5804</x:v>
      </x:c>
      <x:c r="C1099" s="17" t="n">
        <x:v>2023</x:v>
      </x:c>
      <x:c r="D1099" s="18" t="n">
        <x:v>45061</x:v>
      </x:c>
      <x:c r="E1099" s="8" t="str">
        <x:v>RAINBOW TROUT</x:v>
      </x:c>
      <x:c r="F1099" s="13" t="n">
        <x:v>4860</x:v>
      </x:c>
      <x:c r="G1099" s="9" t="n">
        <x:v>20</x:v>
      </x:c>
      <x:c r="H1099" s="9" t="n">
        <x:v>85.9</x:v>
      </x:c>
      <x:c r="I1099" s="8" t="str">
        <x:f>B1099&amp;" / "&amp;C1099&amp;" / "&amp;E1099</x:f>
        <x:v>5804 / 2023 / RAINBOW TROUT</x:v>
      </x:c>
    </x:row>
    <x:row r="1100" ht="23" customHeight="1">
      <x:c r="A1100" s="8" t="str">
        <x:v>Fish Lake</x:v>
      </x:c>
      <x:c r="B1100" s="8" t="str">
        <x:v>5804</x:v>
      </x:c>
      <x:c r="C1100" s="17" t="n">
        <x:v>2023</x:v>
      </x:c>
      <x:c r="D1100" s="18" t="n">
        <x:v>45060</x:v>
      </x:c>
      <x:c r="E1100" s="8" t="str">
        <x:v>RAINBOW TROUT</x:v>
      </x:c>
      <x:c r="F1100" s="13" t="n">
        <x:v>10000</x:v>
      </x:c>
      <x:c r="G1100" s="9" t="n">
        <x:v>8.9</x:v>
      </x:c>
      <x:c r="H1100" s="9" t="n">
        <x:v>7.8</x:v>
      </x:c>
      <x:c r="I1100" s="8" t="str">
        <x:f>B1100&amp;" / "&amp;C1100&amp;" / "&amp;E1100</x:f>
        <x:v>5804 / 2023 / RAINBOW TROUT</x:v>
      </x:c>
    </x:row>
    <x:row r="1101" ht="23" customHeight="1">
      <x:c r="A1101" s="8" t="str">
        <x:v>Fish Lake</x:v>
      </x:c>
      <x:c r="B1101" s="8" t="str">
        <x:v>5804</x:v>
      </x:c>
      <x:c r="C1101" s="17" t="n">
        <x:v>2022</x:v>
      </x:c>
      <x:c r="D1101" s="18" t="n">
        <x:v>44719</x:v>
      </x:c>
      <x:c r="E1101" s="8" t="str">
        <x:v>RAINBOW TROUT</x:v>
      </x:c>
      <x:c r="F1101" s="13" t="n">
        <x:v>12450</x:v>
      </x:c>
      <x:c r="G1101" s="9" t="n">
        <x:v>22.3</x:v>
      </x:c>
      <x:c r="H1101" s="9" t="n">
        <x:v>122</x:v>
      </x:c>
      <x:c r="I1101" s="8" t="str">
        <x:f>B1101&amp;" / "&amp;C1101&amp;" / "&amp;E1101</x:f>
        <x:v>5804 / 2022 / RAINBOW TROUT</x:v>
      </x:c>
    </x:row>
    <x:row r="1102" ht="23" customHeight="1">
      <x:c r="A1102" s="8" t="str">
        <x:v>Fish Lake</x:v>
      </x:c>
      <x:c r="B1102" s="8" t="str">
        <x:v>5804</x:v>
      </x:c>
      <x:c r="C1102" s="17" t="n">
        <x:v>2022</x:v>
      </x:c>
      <x:c r="D1102" s="18" t="n">
        <x:v>44697</x:v>
      </x:c>
      <x:c r="E1102" s="8" t="str">
        <x:v>RAINBOW TROUT</x:v>
      </x:c>
      <x:c r="F1102" s="13" t="n">
        <x:v>8000</x:v>
      </x:c>
      <x:c r="G1102" s="9" t="n">
        <x:v>18.3</x:v>
      </x:c>
      <x:c r="H1102" s="9" t="n">
        <x:v>66.3</x:v>
      </x:c>
      <x:c r="I1102" s="8" t="str">
        <x:f>B1102&amp;" / "&amp;C1102&amp;" / "&amp;E1102</x:f>
        <x:v>5804 / 2022 / RAINBOW TROUT</x:v>
      </x:c>
    </x:row>
    <x:row r="1103" ht="23" customHeight="1">
      <x:c r="A1103" s="8" t="str">
        <x:v>Fish Lake</x:v>
      </x:c>
      <x:c r="B1103" s="8" t="str">
        <x:v>5804</x:v>
      </x:c>
      <x:c r="C1103" s="17" t="n">
        <x:v>2021</x:v>
      </x:c>
      <x:c r="D1103" s="18" t="n">
        <x:v>44326</x:v>
      </x:c>
      <x:c r="E1103" s="8" t="str">
        <x:v>RAINBOW TROUT</x:v>
      </x:c>
      <x:c r="F1103" s="13" t="n">
        <x:v>20652</x:v>
      </x:c>
      <x:c r="G1103" s="9" t="n">
        <x:v>17.7</x:v>
      </x:c>
      <x:c r="H1103" s="9" t="n">
        <x:v>61.6</x:v>
      </x:c>
      <x:c r="I1103" s="8" t="str">
        <x:f>B1103&amp;" / "&amp;C1103&amp;" / "&amp;E1103</x:f>
        <x:v>5804 / 2021 / RAINBOW TROUT</x:v>
      </x:c>
    </x:row>
    <x:row r="1104" ht="23" customHeight="1">
      <x:c r="A1104" s="8" t="str">
        <x:v>Footner Pond</x:v>
      </x:c>
      <x:c r="B1104" s="8" t="str">
        <x:v>6830</x:v>
      </x:c>
      <x:c r="C1104" s="17" t="n">
        <x:v>2026</x:v>
      </x:c>
      <x:c r="D1104" s="18" t="n">
        <x:v>46162</x:v>
      </x:c>
      <x:c r="E1104" s="8" t="str">
        <x:v>RAINBOW TROUT</x:v>
      </x:c>
      <x:c r="F1104" s="13" t="n">
        <x:v>500</x:v>
      </x:c>
      <x:c r="G1104" s="9" t="n">
        <x:v>23.7</x:v>
      </x:c>
      <x:c r="H1104" s="9" t="n">
        <x:v>147.2</x:v>
      </x:c>
      <x:c r="I1104" s="8" t="str">
        <x:f>B1104&amp;" / "&amp;C1104&amp;" / "&amp;E1104</x:f>
        <x:v>6830 / 2026 / RAINBOW TROUT</x:v>
      </x:c>
    </x:row>
    <x:row r="1105" ht="23" customHeight="1">
      <x:c r="A1105" s="8" t="str">
        <x:v>Footner Pond</x:v>
      </x:c>
      <x:c r="B1105" s="8" t="str">
        <x:v>6830</x:v>
      </x:c>
      <x:c r="C1105" s="17" t="n">
        <x:v>2025</x:v>
      </x:c>
      <x:c r="D1105" s="18" t="n">
        <x:v>45789</x:v>
      </x:c>
      <x:c r="E1105" s="8" t="str">
        <x:v>RAINBOW TROUT</x:v>
      </x:c>
      <x:c r="F1105" s="13" t="n">
        <x:v>500</x:v>
      </x:c>
      <x:c r="G1105" s="9" t="n">
        <x:v>23.6</x:v>
      </x:c>
      <x:c r="H1105" s="9" t="n">
        <x:v>144.6</x:v>
      </x:c>
      <x:c r="I1105" s="8" t="str">
        <x:f>B1105&amp;" / "&amp;C1105&amp;" / "&amp;E1105</x:f>
        <x:v>6830 / 2025 / RAINBOW TROUT</x:v>
      </x:c>
    </x:row>
    <x:row r="1106" ht="23" customHeight="1">
      <x:c r="A1106" s="8" t="str">
        <x:v>Footner Pond</x:v>
      </x:c>
      <x:c r="B1106" s="8" t="str">
        <x:v>6830</x:v>
      </x:c>
      <x:c r="C1106" s="17" t="n">
        <x:v>2024</x:v>
      </x:c>
      <x:c r="D1106" s="18" t="n">
        <x:v>45426</x:v>
      </x:c>
      <x:c r="E1106" s="8" t="str">
        <x:v>RAINBOW TROUT</x:v>
      </x:c>
      <x:c r="F1106" s="13" t="n">
        <x:v>250</x:v>
      </x:c>
      <x:c r="G1106" s="9" t="n">
        <x:v>20.7</x:v>
      </x:c>
      <x:c r="H1106" s="9" t="n">
        <x:v>95.1</x:v>
      </x:c>
      <x:c r="I1106" s="8" t="str">
        <x:f>B1106&amp;" / "&amp;C1106&amp;" / "&amp;E1106</x:f>
        <x:v>6830 / 2024 / RAINBOW TROUT</x:v>
      </x:c>
    </x:row>
    <x:row r="1107" ht="23" customHeight="1">
      <x:c r="A1107" s="8" t="str">
        <x:v>Footner Pond</x:v>
      </x:c>
      <x:c r="B1107" s="8" t="str">
        <x:v>6830</x:v>
      </x:c>
      <x:c r="C1107" s="17" t="n">
        <x:v>2023</x:v>
      </x:c>
      <x:c r="D1107" s="18" t="n">
        <x:v>45069</x:v>
      </x:c>
      <x:c r="E1107" s="8" t="str">
        <x:v>RAINBOW TROUT</x:v>
      </x:c>
      <x:c r="F1107" s="13" t="n">
        <x:v>251</x:v>
      </x:c>
      <x:c r="G1107" s="9" t="n">
        <x:v>20.4</x:v>
      </x:c>
      <x:c r="H1107" s="9" t="n">
        <x:v>92</x:v>
      </x:c>
      <x:c r="I1107" s="8" t="str">
        <x:f>B1107&amp;" / "&amp;C1107&amp;" / "&amp;E1107</x:f>
        <x:v>6830 / 2023 / RAINBOW TROUT</x:v>
      </x:c>
    </x:row>
    <x:row r="1108" ht="23" customHeight="1">
      <x:c r="A1108" s="8" t="str">
        <x:v>Footner Pond</x:v>
      </x:c>
      <x:c r="B1108" s="8" t="str">
        <x:v>6830</x:v>
      </x:c>
      <x:c r="C1108" s="17" t="n">
        <x:v>2022</x:v>
      </x:c>
      <x:c r="D1108" s="18" t="n">
        <x:v>44697</x:v>
      </x:c>
      <x:c r="E1108" s="8" t="str">
        <x:v>RAINBOW TROUT</x:v>
      </x:c>
      <x:c r="F1108" s="13" t="n">
        <x:v>500</x:v>
      </x:c>
      <x:c r="G1108" s="9" t="n">
        <x:v>21.9</x:v>
      </x:c>
      <x:c r="H1108" s="9" t="n">
        <x:v>116.9</x:v>
      </x:c>
      <x:c r="I1108" s="8" t="str">
        <x:f>B1108&amp;" / "&amp;C1108&amp;" / "&amp;E1108</x:f>
        <x:v>6830 / 2022 / RAINBOW TROUT</x:v>
      </x:c>
    </x:row>
    <x:row r="1109" ht="23" customHeight="1">
      <x:c r="A1109" s="8" t="str">
        <x:v>Footner Pond</x:v>
      </x:c>
      <x:c r="B1109" s="8" t="str">
        <x:v>6830</x:v>
      </x:c>
      <x:c r="C1109" s="17" t="n">
        <x:v>2021</x:v>
      </x:c>
      <x:c r="D1109" s="18" t="n">
        <x:v>44342</x:v>
      </x:c>
      <x:c r="E1109" s="8" t="str">
        <x:v>RAINBOW TROUT</x:v>
      </x:c>
      <x:c r="F1109" s="13" t="n">
        <x:v>500</x:v>
      </x:c>
      <x:c r="G1109" s="9" t="n">
        <x:v>19.9</x:v>
      </x:c>
      <x:c r="H1109" s="9" t="n">
        <x:v>86.6</x:v>
      </x:c>
      <x:c r="I1109" s="8" t="str">
        <x:f>B1109&amp;" / "&amp;C1109&amp;" / "&amp;E1109</x:f>
        <x:v>6830 / 2021 / RAINBOW TROUT</x:v>
      </x:c>
    </x:row>
    <x:row r="1110" ht="23" customHeight="1">
      <x:c r="A1110" s="8" t="str">
        <x:v>Foremost Reservoir</x:v>
      </x:c>
      <x:c r="B1110" s="8" t="str">
        <x:v>6831</x:v>
      </x:c>
      <x:c r="C1110" s="17" t="n">
        <x:v>2026</x:v>
      </x:c>
      <x:c r="D1110" s="18" t="n">
        <x:v>46127</x:v>
      </x:c>
      <x:c r="E1110" s="8" t="str">
        <x:v>RAINBOW TROUT</x:v>
      </x:c>
      <x:c r="F1110" s="13" t="n">
        <x:v>1500</x:v>
      </x:c>
      <x:c r="G1110" s="9" t="n">
        <x:v>20.3</x:v>
      </x:c>
      <x:c r="H1110" s="9" t="n">
        <x:v>89.4</x:v>
      </x:c>
      <x:c r="I1110" s="8" t="str">
        <x:f>B1110&amp;" / "&amp;C1110&amp;" / "&amp;E1110</x:f>
        <x:v>6831 / 2026 / RAINBOW TROUT</x:v>
      </x:c>
    </x:row>
    <x:row r="1111" ht="23" customHeight="1">
      <x:c r="A1111" s="8" t="str">
        <x:v>Foremost Reservoir</x:v>
      </x:c>
      <x:c r="B1111" s="8" t="str">
        <x:v>6831</x:v>
      </x:c>
      <x:c r="C1111" s="17" t="n">
        <x:v>2025</x:v>
      </x:c>
      <x:c r="D1111" s="18" t="n">
        <x:v>45938</x:v>
      </x:c>
      <x:c r="E1111" s="8" t="str">
        <x:v>RAINBOW TROUT</x:v>
      </x:c>
      <x:c r="F1111" s="13" t="n">
        <x:v>500</x:v>
      </x:c>
      <x:c r="G1111" s="9" t="n">
        <x:v>25</x:v>
      </x:c>
      <x:c r="H1111" s="9" t="n">
        <x:v>180</x:v>
      </x:c>
      <x:c r="I1111" s="8" t="str">
        <x:f>B1111&amp;" / "&amp;C1111&amp;" / "&amp;E1111</x:f>
        <x:v>6831 / 2025 / RAINBOW TROUT</x:v>
      </x:c>
    </x:row>
    <x:row r="1112" ht="23" customHeight="1">
      <x:c r="A1112" s="8" t="str">
        <x:v>Foremost Reservoir</x:v>
      </x:c>
      <x:c r="B1112" s="8" t="str">
        <x:v>6831</x:v>
      </x:c>
      <x:c r="C1112" s="17" t="n">
        <x:v>2024</x:v>
      </x:c>
      <x:c r="D1112" s="18" t="n">
        <x:v>45572</x:v>
      </x:c>
      <x:c r="E1112" s="8" t="str">
        <x:v>RAINBOW TROUT</x:v>
      </x:c>
      <x:c r="F1112" s="13" t="n">
        <x:v>500</x:v>
      </x:c>
      <x:c r="G1112" s="9" t="n">
        <x:v>21.8</x:v>
      </x:c>
      <x:c r="H1112" s="9" t="n">
        <x:v>100.1</x:v>
      </x:c>
      <x:c r="I1112" s="8" t="str">
        <x:f>B1112&amp;" / "&amp;C1112&amp;" / "&amp;E1112</x:f>
        <x:v>6831 / 2024 / RAINBOW TROUT</x:v>
      </x:c>
    </x:row>
    <x:row r="1113" ht="23" customHeight="1">
      <x:c r="A1113" s="8" t="str">
        <x:v>Foremost Reservoir</x:v>
      </x:c>
      <x:c r="B1113" s="8" t="str">
        <x:v>6831</x:v>
      </x:c>
      <x:c r="C1113" s="17" t="n">
        <x:v>2024</x:v>
      </x:c>
      <x:c r="D1113" s="18" t="n">
        <x:v>45400</x:v>
      </x:c>
      <x:c r="E1113" s="8" t="str">
        <x:v>RAINBOW TROUT</x:v>
      </x:c>
      <x:c r="F1113" s="13" t="n">
        <x:v>1500</x:v>
      </x:c>
      <x:c r="G1113" s="9" t="n">
        <x:v>20.5</x:v>
      </x:c>
      <x:c r="H1113" s="9" t="n">
        <x:v>93.1</x:v>
      </x:c>
      <x:c r="I1113" s="8" t="str">
        <x:f>B1113&amp;" / "&amp;C1113&amp;" / "&amp;E1113</x:f>
        <x:v>6831 / 2024 / RAINBOW TROUT</x:v>
      </x:c>
    </x:row>
    <x:row r="1114" ht="23" customHeight="1">
      <x:c r="A1114" s="8" t="str">
        <x:v>Foremost Reservoir</x:v>
      </x:c>
      <x:c r="B1114" s="8" t="str">
        <x:v>6831</x:v>
      </x:c>
      <x:c r="C1114" s="17" t="n">
        <x:v>2023</x:v>
      </x:c>
      <x:c r="D1114" s="18" t="n">
        <x:v>45040</x:v>
      </x:c>
      <x:c r="E1114" s="8" t="str">
        <x:v>RAINBOW TROUT</x:v>
      </x:c>
      <x:c r="F1114" s="13" t="n">
        <x:v>2500</x:v>
      </x:c>
      <x:c r="G1114" s="9" t="n">
        <x:v>21.7</x:v>
      </x:c>
      <x:c r="H1114" s="9" t="n">
        <x:v>95.5</x:v>
      </x:c>
      <x:c r="I1114" s="8" t="str">
        <x:f>B1114&amp;" / "&amp;C1114&amp;" / "&amp;E1114</x:f>
        <x:v>6831 / 2023 / RAINBOW TROUT</x:v>
      </x:c>
    </x:row>
    <x:row r="1115" ht="23" customHeight="1">
      <x:c r="A1115" s="8" t="str">
        <x:v>Foremost Reservoir</x:v>
      </x:c>
      <x:c r="B1115" s="8" t="str">
        <x:v>6831</x:v>
      </x:c>
      <x:c r="C1115" s="17" t="n">
        <x:v>2022</x:v>
      </x:c>
      <x:c r="D1115" s="18" t="n">
        <x:v>44846</x:v>
      </x:c>
      <x:c r="E1115" s="8" t="str">
        <x:v>RAINBOW TROUT</x:v>
      </x:c>
      <x:c r="F1115" s="13" t="n">
        <x:v>1106</x:v>
      </x:c>
      <x:c r="G1115" s="9" t="n">
        <x:v>23.9</x:v>
      </x:c>
      <x:c r="H1115" s="9" t="n">
        <x:v>124.1</x:v>
      </x:c>
      <x:c r="I1115" s="8" t="str">
        <x:f>B1115&amp;" / "&amp;C1115&amp;" / "&amp;E1115</x:f>
        <x:v>6831 / 2022 / RAINBOW TROUT</x:v>
      </x:c>
    </x:row>
    <x:row r="1116" ht="23" customHeight="1">
      <x:c r="A1116" s="8" t="str">
        <x:v>Foremost Reservoir</x:v>
      </x:c>
      <x:c r="B1116" s="8" t="str">
        <x:v>6831</x:v>
      </x:c>
      <x:c r="C1116" s="17" t="n">
        <x:v>2022</x:v>
      </x:c>
      <x:c r="D1116" s="18" t="n">
        <x:v>44675</x:v>
      </x:c>
      <x:c r="E1116" s="8" t="str">
        <x:v>RAINBOW TROUT</x:v>
      </x:c>
      <x:c r="F1116" s="13" t="n">
        <x:v>2500</x:v>
      </x:c>
      <x:c r="G1116" s="9" t="n">
        <x:v>21.1</x:v>
      </x:c>
      <x:c r="H1116" s="9" t="n">
        <x:v>95.6</x:v>
      </x:c>
      <x:c r="I1116" s="8" t="str">
        <x:f>B1116&amp;" / "&amp;C1116&amp;" / "&amp;E1116</x:f>
        <x:v>6831 / 2022 / RAINBOW TROUT</x:v>
      </x:c>
    </x:row>
    <x:row r="1117" ht="23" customHeight="1">
      <x:c r="A1117" s="8" t="str">
        <x:v>Foremost Reservoir</x:v>
      </x:c>
      <x:c r="B1117" s="8" t="str">
        <x:v>6831</x:v>
      </x:c>
      <x:c r="C1117" s="17" t="n">
        <x:v>2021</x:v>
      </x:c>
      <x:c r="D1117" s="18" t="n">
        <x:v>44454</x:v>
      </x:c>
      <x:c r="E1117" s="8" t="str">
        <x:v>RAINBOW TROUT</x:v>
      </x:c>
      <x:c r="F1117" s="13" t="n">
        <x:v>955</x:v>
      </x:c>
      <x:c r="G1117" s="9" t="n">
        <x:v>20.9</x:v>
      </x:c>
      <x:c r="H1117" s="9" t="n">
        <x:v>92</x:v>
      </x:c>
      <x:c r="I1117" s="8" t="str">
        <x:f>B1117&amp;" / "&amp;C1117&amp;" / "&amp;E1117</x:f>
        <x:v>6831 / 2021 / RAINBOW TROUT</x:v>
      </x:c>
    </x:row>
    <x:row r="1118" ht="23" customHeight="1">
      <x:c r="A1118" s="8" t="str">
        <x:v>Foremost Reservoir</x:v>
      </x:c>
      <x:c r="B1118" s="8" t="str">
        <x:v>6831</x:v>
      </x:c>
      <x:c r="C1118" s="17" t="n">
        <x:v>2021</x:v>
      </x:c>
      <x:c r="D1118" s="18" t="n">
        <x:v>44299</x:v>
      </x:c>
      <x:c r="E1118" s="8" t="str">
        <x:v>RAINBOW TROUT</x:v>
      </x:c>
      <x:c r="F1118" s="13" t="n">
        <x:v>1500</x:v>
      </x:c>
      <x:c r="G1118" s="9" t="n">
        <x:v>21.4</x:v>
      </x:c>
      <x:c r="H1118" s="9" t="n">
        <x:v>97.3</x:v>
      </x:c>
      <x:c r="I1118" s="8" t="str">
        <x:f>B1118&amp;" / "&amp;C1118&amp;" / "&amp;E1118</x:f>
        <x:v>6831 / 2021 / RAINBOW TROUT</x:v>
      </x:c>
    </x:row>
    <x:row r="1119" ht="23" customHeight="1">
      <x:c r="A1119" s="8" t="str">
        <x:v>Fort Lions Park Pond</x:v>
      </x:c>
      <x:c r="B1119" s="8" t="str">
        <x:v>26854</x:v>
      </x:c>
      <x:c r="C1119" s="17" t="n">
        <x:v>2026</x:v>
      </x:c>
      <x:c r="D1119" s="18" t="n">
        <x:v>46147</x:v>
      </x:c>
      <x:c r="E1119" s="8" t="str">
        <x:v>BROWN TROUT</x:v>
      </x:c>
      <x:c r="F1119" s="13" t="n">
        <x:v>250</x:v>
      </x:c>
      <x:c r="G1119" s="9" t="n">
        <x:v>17.7</x:v>
      </x:c>
      <x:c r="H1119" s="9" t="n">
        <x:v>60</x:v>
      </x:c>
      <x:c r="I1119" s="8" t="str">
        <x:f>B1119&amp;" / "&amp;C1119&amp;" / "&amp;E1119</x:f>
        <x:v>26854 / 2026 / BROWN TROUT</x:v>
      </x:c>
    </x:row>
    <x:row r="1120" ht="23" customHeight="1">
      <x:c r="A1120" s="8" t="str">
        <x:v>Fort Lions Park Pond</x:v>
      </x:c>
      <x:c r="B1120" s="8" t="str">
        <x:v>26854</x:v>
      </x:c>
      <x:c r="C1120" s="17" t="n">
        <x:v>2026</x:v>
      </x:c>
      <x:c r="D1120" s="18" t="n">
        <x:v>46181</x:v>
      </x:c>
      <x:c r="E1120" s="8" t="str">
        <x:v>RAINBOW TROUT</x:v>
      </x:c>
      <x:c r="F1120" s="13" t="n">
        <x:v>1000</x:v>
      </x:c>
      <x:c r="G1120" s="9" t="n">
        <x:v>20.4</x:v>
      </x:c>
      <x:c r="H1120" s="9" t="n">
        <x:v>93.4</x:v>
      </x:c>
      <x:c r="I1120" s="8" t="str">
        <x:f>B1120&amp;" / "&amp;C1120&amp;" / "&amp;E1120</x:f>
        <x:v>26854 / 2026 / RAINBOW TROUT</x:v>
      </x:c>
    </x:row>
    <x:row r="1121" ht="23" customHeight="1">
      <x:c r="A1121" s="8" t="str">
        <x:v>Fort Lions Park Pond</x:v>
      </x:c>
      <x:c r="B1121" s="8" t="str">
        <x:v>26854</x:v>
      </x:c>
      <x:c r="C1121" s="17" t="n">
        <x:v>2026</x:v>
      </x:c>
      <x:c r="D1121" s="18" t="n">
        <x:v>46147</x:v>
      </x:c>
      <x:c r="E1121" s="8" t="str">
        <x:v>RAINBOW TROUT</x:v>
      </x:c>
      <x:c r="F1121" s="13" t="n">
        <x:v>800</x:v>
      </x:c>
      <x:c r="G1121" s="9" t="n">
        <x:v>22.7</x:v>
      </x:c>
      <x:c r="H1121" s="9" t="n">
        <x:v>126.5</x:v>
      </x:c>
      <x:c r="I1121" s="8" t="str">
        <x:f>B1121&amp;" / "&amp;C1121&amp;" / "&amp;E1121</x:f>
        <x:v>26854 / 2026 / RAINBOW TROUT</x:v>
      </x:c>
    </x:row>
    <x:row r="1122" ht="23" customHeight="1">
      <x:c r="A1122" s="8" t="str">
        <x:v>Fort Lions Park Pond</x:v>
      </x:c>
      <x:c r="B1122" s="8" t="str">
        <x:v>26854</x:v>
      </x:c>
      <x:c r="C1122" s="17" t="n">
        <x:v>2026</x:v>
      </x:c>
      <x:c r="D1122" s="18" t="n">
        <x:v>46147</x:v>
      </x:c>
      <x:c r="E1122" s="8" t="str">
        <x:v>TIGER TROUT</x:v>
      </x:c>
      <x:c r="F1122" s="13" t="n">
        <x:v>250</x:v>
      </x:c>
      <x:c r="G1122" s="9" t="n">
        <x:v>17.3</x:v>
      </x:c>
      <x:c r="H1122" s="9" t="n">
        <x:v>56</x:v>
      </x:c>
      <x:c r="I1122" s="8" t="str">
        <x:f>B1122&amp;" / "&amp;C1122&amp;" / "&amp;E1122</x:f>
        <x:v>26854 / 2026 / TIGER TROUT</x:v>
      </x:c>
    </x:row>
    <x:row r="1123" ht="23" customHeight="1">
      <x:c r="A1123" s="8" t="str">
        <x:v>Fort Lions Park Pond</x:v>
      </x:c>
      <x:c r="B1123" s="8" t="str">
        <x:v>26854</x:v>
      </x:c>
      <x:c r="C1123" s="17" t="n">
        <x:v>2026</x:v>
      </x:c>
      <x:c r="D1123" s="18" t="n">
        <x:v>46147</x:v>
      </x:c>
      <x:c r="E1123" s="8" t="str">
        <x:v>TIGER TROUT</x:v>
      </x:c>
      <x:c r="F1123" s="13" t="n">
        <x:v>200</x:v>
      </x:c>
      <x:c r="G1123" s="9" t="n">
        <x:v>17.3</x:v>
      </x:c>
      <x:c r="H1123" s="9" t="n">
        <x:v>56</x:v>
      </x:c>
      <x:c r="I1123" s="8" t="str">
        <x:f>B1123&amp;" / "&amp;C1123&amp;" / "&amp;E1123</x:f>
        <x:v>26854 / 2026 / TIGER TROUT</x:v>
      </x:c>
    </x:row>
    <x:row r="1124" ht="23" customHeight="1">
      <x:c r="A1124" s="8" t="str">
        <x:v>Fort Lions Park Pond</x:v>
      </x:c>
      <x:c r="B1124" s="8" t="str">
        <x:v>26854</x:v>
      </x:c>
      <x:c r="C1124" s="17" t="n">
        <x:v>2025</x:v>
      </x:c>
      <x:c r="D1124" s="18" t="n">
        <x:v>45782</x:v>
      </x:c>
      <x:c r="E1124" s="8" t="str">
        <x:v>BROWN TROUT</x:v>
      </x:c>
      <x:c r="F1124" s="13" t="n">
        <x:v>250</x:v>
      </x:c>
      <x:c r="G1124" s="9" t="n">
        <x:v>19.1</x:v>
      </x:c>
      <x:c r="H1124" s="9" t="n">
        <x:v>75.2</x:v>
      </x:c>
      <x:c r="I1124" s="8" t="str">
        <x:f>B1124&amp;" / "&amp;C1124&amp;" / "&amp;E1124</x:f>
        <x:v>26854 / 2025 / BROWN TROUT</x:v>
      </x:c>
    </x:row>
    <x:row r="1125" ht="23" customHeight="1">
      <x:c r="A1125" s="8" t="str">
        <x:v>Fort Lions Park Pond</x:v>
      </x:c>
      <x:c r="B1125" s="8" t="str">
        <x:v>26854</x:v>
      </x:c>
      <x:c r="C1125" s="17" t="n">
        <x:v>2025</x:v>
      </x:c>
      <x:c r="D1125" s="18" t="n">
        <x:v>45805</x:v>
      </x:c>
      <x:c r="E1125" s="8" t="str">
        <x:v>RAINBOW TROUT</x:v>
      </x:c>
      <x:c r="F1125" s="13" t="n">
        <x:v>50</x:v>
      </x:c>
      <x:c r="G1125" s="9" t="n">
        <x:v>32</x:v>
      </x:c>
      <x:c r="H1125" s="9" t="n">
        <x:v>350</x:v>
      </x:c>
      <x:c r="I1125" s="8" t="str">
        <x:f>B1125&amp;" / "&amp;C1125&amp;" / "&amp;E1125</x:f>
        <x:v>26854 / 2025 / RAINBOW TROUT</x:v>
      </x:c>
    </x:row>
    <x:row r="1126" ht="23" customHeight="1">
      <x:c r="A1126" s="8" t="str">
        <x:v>Fort Lions Park Pond</x:v>
      </x:c>
      <x:c r="B1126" s="8" t="str">
        <x:v>26854</x:v>
      </x:c>
      <x:c r="C1126" s="17" t="n">
        <x:v>2025</x:v>
      </x:c>
      <x:c r="D1126" s="18" t="n">
        <x:v>45805</x:v>
      </x:c>
      <x:c r="E1126" s="8" t="str">
        <x:v>RAINBOW TROUT</x:v>
      </x:c>
      <x:c r="F1126" s="13" t="n">
        <x:v>1000</x:v>
      </x:c>
      <x:c r="G1126" s="9" t="n">
        <x:v>20.6</x:v>
      </x:c>
      <x:c r="H1126" s="9" t="n">
        <x:v>89.1</x:v>
      </x:c>
      <x:c r="I1126" s="8" t="str">
        <x:f>B1126&amp;" / "&amp;C1126&amp;" / "&amp;E1126</x:f>
        <x:v>26854 / 2025 / RAINBOW TROUT</x:v>
      </x:c>
    </x:row>
    <x:row r="1127" ht="23" customHeight="1">
      <x:c r="A1127" s="8" t="str">
        <x:v>Fort Lions Park Pond</x:v>
      </x:c>
      <x:c r="B1127" s="8" t="str">
        <x:v>26854</x:v>
      </x:c>
      <x:c r="C1127" s="17" t="n">
        <x:v>2025</x:v>
      </x:c>
      <x:c r="D1127" s="18" t="n">
        <x:v>45782</x:v>
      </x:c>
      <x:c r="E1127" s="8" t="str">
        <x:v>RAINBOW TROUT</x:v>
      </x:c>
      <x:c r="F1127" s="13" t="n">
        <x:v>800</x:v>
      </x:c>
      <x:c r="G1127" s="9" t="n">
        <x:v>20.1</x:v>
      </x:c>
      <x:c r="H1127" s="9" t="n">
        <x:v>87.5</x:v>
      </x:c>
      <x:c r="I1127" s="8" t="str">
        <x:f>B1127&amp;" / "&amp;C1127&amp;" / "&amp;E1127</x:f>
        <x:v>26854 / 2025 / RAINBOW TROUT</x:v>
      </x:c>
    </x:row>
    <x:row r="1128" ht="23" customHeight="1">
      <x:c r="A1128" s="8" t="str">
        <x:v>Fort Lions Park Pond</x:v>
      </x:c>
      <x:c r="B1128" s="8" t="str">
        <x:v>26854</x:v>
      </x:c>
      <x:c r="C1128" s="17" t="n">
        <x:v>2025</x:v>
      </x:c>
      <x:c r="D1128" s="18" t="n">
        <x:v>45788</x:v>
      </x:c>
      <x:c r="E1128" s="8" t="str">
        <x:v>TIGER TROUT</x:v>
      </x:c>
      <x:c r="F1128" s="13" t="n">
        <x:v>250</x:v>
      </x:c>
      <x:c r="G1128" s="9" t="n">
        <x:v>20.4</x:v>
      </x:c>
      <x:c r="H1128" s="9" t="n">
        <x:v>92</x:v>
      </x:c>
      <x:c r="I1128" s="8" t="str">
        <x:f>B1128&amp;" / "&amp;C1128&amp;" / "&amp;E1128</x:f>
        <x:v>26854 / 2025 / TIGER TROUT</x:v>
      </x:c>
    </x:row>
    <x:row r="1129" ht="23" customHeight="1">
      <x:c r="A1129" s="8" t="str">
        <x:v>Fort Lions Park Pond</x:v>
      </x:c>
      <x:c r="B1129" s="8" t="str">
        <x:v>26854</x:v>
      </x:c>
      <x:c r="C1129" s="17" t="n">
        <x:v>2025</x:v>
      </x:c>
      <x:c r="D1129" s="18" t="n">
        <x:v>45782</x:v>
      </x:c>
      <x:c r="E1129" s="8" t="str">
        <x:v>TIGER TROUT</x:v>
      </x:c>
      <x:c r="F1129" s="13" t="n">
        <x:v>200</x:v>
      </x:c>
      <x:c r="G1129" s="9" t="n">
        <x:v>20.4</x:v>
      </x:c>
      <x:c r="H1129" s="9" t="n">
        <x:v>92</x:v>
      </x:c>
      <x:c r="I1129" s="8" t="str">
        <x:f>B1129&amp;" / "&amp;C1129&amp;" / "&amp;E1129</x:f>
        <x:v>26854 / 2025 / TIGER TROUT</x:v>
      </x:c>
    </x:row>
    <x:row r="1130" ht="23" customHeight="1">
      <x:c r="A1130" s="8" t="str">
        <x:v>Fort Lions Park Pond</x:v>
      </x:c>
      <x:c r="B1130" s="8" t="str">
        <x:v>26854</x:v>
      </x:c>
      <x:c r="C1130" s="17" t="n">
        <x:v>2024</x:v>
      </x:c>
      <x:c r="D1130" s="18" t="n">
        <x:v>45420</x:v>
      </x:c>
      <x:c r="E1130" s="8" t="str">
        <x:v>BROWN TROUT</x:v>
      </x:c>
      <x:c r="F1130" s="13" t="n">
        <x:v>250</x:v>
      </x:c>
      <x:c r="G1130" s="9" t="n">
        <x:v>20.4</x:v>
      </x:c>
      <x:c r="H1130" s="9" t="n">
        <x:v>91.2</x:v>
      </x:c>
      <x:c r="I1130" s="8" t="str">
        <x:f>B1130&amp;" / "&amp;C1130&amp;" / "&amp;E1130</x:f>
        <x:v>26854 / 2024 / BROWN TROUT</x:v>
      </x:c>
    </x:row>
    <x:row r="1131" ht="23" customHeight="1">
      <x:c r="A1131" s="8" t="str">
        <x:v>Fort Lions Park Pond</x:v>
      </x:c>
      <x:c r="B1131" s="8" t="str">
        <x:v>26854</x:v>
      </x:c>
      <x:c r="C1131" s="17" t="n">
        <x:v>2024</x:v>
      </x:c>
      <x:c r="D1131" s="18" t="n">
        <x:v>45441</x:v>
      </x:c>
      <x:c r="E1131" s="8" t="str">
        <x:v>RAINBOW TROUT</x:v>
      </x:c>
      <x:c r="F1131" s="13" t="n">
        <x:v>50</x:v>
      </x:c>
      <x:c r="G1131" s="9" t="n">
        <x:v>30</x:v>
      </x:c>
      <x:c r="H1131" s="9" t="n">
        <x:v>325</x:v>
      </x:c>
      <x:c r="I1131" s="8" t="str">
        <x:f>B1131&amp;" / "&amp;C1131&amp;" / "&amp;E1131</x:f>
        <x:v>26854 / 2024 / RAINBOW TROUT</x:v>
      </x:c>
    </x:row>
    <x:row r="1132" ht="23" customHeight="1">
      <x:c r="A1132" s="8" t="str">
        <x:v>Fort Lions Park Pond</x:v>
      </x:c>
      <x:c r="B1132" s="8" t="str">
        <x:v>26854</x:v>
      </x:c>
      <x:c r="C1132" s="17" t="n">
        <x:v>2024</x:v>
      </x:c>
      <x:c r="D1132" s="18" t="n">
        <x:v>45441</x:v>
      </x:c>
      <x:c r="E1132" s="8" t="str">
        <x:v>RAINBOW TROUT</x:v>
      </x:c>
      <x:c r="F1132" s="13" t="n">
        <x:v>1100</x:v>
      </x:c>
      <x:c r="G1132" s="9" t="n">
        <x:v>20.7</x:v>
      </x:c>
      <x:c r="H1132" s="9" t="n">
        <x:v>95.2</x:v>
      </x:c>
      <x:c r="I1132" s="8" t="str">
        <x:f>B1132&amp;" / "&amp;C1132&amp;" / "&amp;E1132</x:f>
        <x:v>26854 / 2024 / RAINBOW TROUT</x:v>
      </x:c>
    </x:row>
    <x:row r="1133" ht="23" customHeight="1">
      <x:c r="A1133" s="8" t="str">
        <x:v>Fort Lions Park Pond</x:v>
      </x:c>
      <x:c r="B1133" s="8" t="str">
        <x:v>26854</x:v>
      </x:c>
      <x:c r="C1133" s="17" t="n">
        <x:v>2024</x:v>
      </x:c>
      <x:c r="D1133" s="18" t="n">
        <x:v>45420</x:v>
      </x:c>
      <x:c r="E1133" s="8" t="str">
        <x:v>RAINBOW TROUT</x:v>
      </x:c>
      <x:c r="F1133" s="13" t="n">
        <x:v>800</x:v>
      </x:c>
      <x:c r="G1133" s="9" t="n">
        <x:v>20.7</x:v>
      </x:c>
      <x:c r="H1133" s="9" t="n">
        <x:v>95.5</x:v>
      </x:c>
      <x:c r="I1133" s="8" t="str">
        <x:f>B1133&amp;" / "&amp;C1133&amp;" / "&amp;E1133</x:f>
        <x:v>26854 / 2024 / RAINBOW TROUT</x:v>
      </x:c>
    </x:row>
    <x:row r="1134" ht="23" customHeight="1">
      <x:c r="A1134" s="8" t="str">
        <x:v>Fort Lions Park Pond</x:v>
      </x:c>
      <x:c r="B1134" s="8" t="str">
        <x:v>26854</x:v>
      </x:c>
      <x:c r="C1134" s="17" t="n">
        <x:v>2024</x:v>
      </x:c>
      <x:c r="D1134" s="18" t="n">
        <x:v>45420</x:v>
      </x:c>
      <x:c r="E1134" s="8" t="str">
        <x:v>TIGER TROUT</x:v>
      </x:c>
      <x:c r="F1134" s="13" t="n">
        <x:v>450</x:v>
      </x:c>
      <x:c r="G1134" s="9" t="n">
        <x:v>19.4</x:v>
      </x:c>
      <x:c r="H1134" s="9" t="n">
        <x:v>78.4</x:v>
      </x:c>
      <x:c r="I1134" s="8" t="str">
        <x:f>B1134&amp;" / "&amp;C1134&amp;" / "&amp;E1134</x:f>
        <x:v>26854 / 2024 / TIGER TROUT</x:v>
      </x:c>
    </x:row>
    <x:row r="1135" ht="23" customHeight="1">
      <x:c r="A1135" s="8" t="str">
        <x:v>Fort Lions Park Pond</x:v>
      </x:c>
      <x:c r="B1135" s="8" t="str">
        <x:v>26854</x:v>
      </x:c>
      <x:c r="C1135" s="17" t="n">
        <x:v>2023</x:v>
      </x:c>
      <x:c r="D1135" s="18" t="n">
        <x:v>45061</x:v>
      </x:c>
      <x:c r="E1135" s="8" t="str">
        <x:v>BROWN TROUT</x:v>
      </x:c>
      <x:c r="F1135" s="13" t="n">
        <x:v>250</x:v>
      </x:c>
      <x:c r="G1135" s="9" t="n">
        <x:v>18</x:v>
      </x:c>
      <x:c r="H1135" s="9" t="n">
        <x:v>63.2</x:v>
      </x:c>
      <x:c r="I1135" s="8" t="str">
        <x:f>B1135&amp;" / "&amp;C1135&amp;" / "&amp;E1135</x:f>
        <x:v>26854 / 2023 / BROWN TROUT</x:v>
      </x:c>
    </x:row>
    <x:row r="1136" ht="23" customHeight="1">
      <x:c r="A1136" s="8" t="str">
        <x:v>Fort Lions Park Pond</x:v>
      </x:c>
      <x:c r="B1136" s="8" t="str">
        <x:v>26854</x:v>
      </x:c>
      <x:c r="C1136" s="17" t="n">
        <x:v>2023</x:v>
      </x:c>
      <x:c r="D1136" s="18" t="n">
        <x:v>45084</x:v>
      </x:c>
      <x:c r="E1136" s="8" t="str">
        <x:v>RAINBOW TROUT</x:v>
      </x:c>
      <x:c r="F1136" s="13" t="n">
        <x:v>100</x:v>
      </x:c>
      <x:c r="G1136" s="9" t="n">
        <x:v>30</x:v>
      </x:c>
      <x:c r="H1136" s="9" t="n">
        <x:v>239</x:v>
      </x:c>
      <x:c r="I1136" s="8" t="str">
        <x:f>B1136&amp;" / "&amp;C1136&amp;" / "&amp;E1136</x:f>
        <x:v>26854 / 2023 / RAINBOW TROUT</x:v>
      </x:c>
    </x:row>
    <x:row r="1137" ht="23" customHeight="1">
      <x:c r="A1137" s="8" t="str">
        <x:v>Fort Lions Park Pond</x:v>
      </x:c>
      <x:c r="B1137" s="8" t="str">
        <x:v>26854</x:v>
      </x:c>
      <x:c r="C1137" s="17" t="n">
        <x:v>2023</x:v>
      </x:c>
      <x:c r="D1137" s="18" t="n">
        <x:v>45084</x:v>
      </x:c>
      <x:c r="E1137" s="8" t="str">
        <x:v>RAINBOW TROUT</x:v>
      </x:c>
      <x:c r="F1137" s="13" t="n">
        <x:v>1700</x:v>
      </x:c>
      <x:c r="G1137" s="9" t="n">
        <x:v>21.7</x:v>
      </x:c>
      <x:c r="H1137" s="9" t="n">
        <x:v>93.2</x:v>
      </x:c>
      <x:c r="I1137" s="8" t="str">
        <x:f>B1137&amp;" / "&amp;C1137&amp;" / "&amp;E1137</x:f>
        <x:v>26854 / 2023 / RAINBOW TROUT</x:v>
      </x:c>
    </x:row>
    <x:row r="1138" ht="23" customHeight="1">
      <x:c r="A1138" s="8" t="str">
        <x:v>Fort Lions Park Pond</x:v>
      </x:c>
      <x:c r="B1138" s="8" t="str">
        <x:v>26854</x:v>
      </x:c>
      <x:c r="C1138" s="17" t="n">
        <x:v>2023</x:v>
      </x:c>
      <x:c r="D1138" s="18" t="n">
        <x:v>45061</x:v>
      </x:c>
      <x:c r="E1138" s="8" t="str">
        <x:v>RAINBOW TROUT</x:v>
      </x:c>
      <x:c r="F1138" s="13" t="n">
        <x:v>600</x:v>
      </x:c>
      <x:c r="G1138" s="9" t="n">
        <x:v>21.6</x:v>
      </x:c>
      <x:c r="H1138" s="9" t="n">
        <x:v>108.7</x:v>
      </x:c>
      <x:c r="I1138" s="8" t="str">
        <x:f>B1138&amp;" / "&amp;C1138&amp;" / "&amp;E1138</x:f>
        <x:v>26854 / 2023 / RAINBOW TROUT</x:v>
      </x:c>
    </x:row>
    <x:row r="1139" ht="23" customHeight="1">
      <x:c r="A1139" s="8" t="str">
        <x:v>Fort Lions Park Pond</x:v>
      </x:c>
      <x:c r="B1139" s="8" t="str">
        <x:v>26854</x:v>
      </x:c>
      <x:c r="C1139" s="17" t="n">
        <x:v>2023</x:v>
      </x:c>
      <x:c r="D1139" s="18" t="n">
        <x:v>45061</x:v>
      </x:c>
      <x:c r="E1139" s="8" t="str">
        <x:v>TIGER TROUT</x:v>
      </x:c>
      <x:c r="F1139" s="13" t="n">
        <x:v>200</x:v>
      </x:c>
      <x:c r="G1139" s="9" t="n">
        <x:v>19.5</x:v>
      </x:c>
      <x:c r="H1139" s="9" t="n">
        <x:v>80.4</x:v>
      </x:c>
      <x:c r="I1139" s="8" t="str">
        <x:f>B1139&amp;" / "&amp;C1139&amp;" / "&amp;E1139</x:f>
        <x:v>26854 / 2023 / TIGER TROUT</x:v>
      </x:c>
    </x:row>
    <x:row r="1140" ht="23" customHeight="1">
      <x:c r="A1140" s="8" t="str">
        <x:v>Fort Lions Park Pond</x:v>
      </x:c>
      <x:c r="B1140" s="8" t="str">
        <x:v>26854</x:v>
      </x:c>
      <x:c r="C1140" s="17" t="n">
        <x:v>2023</x:v>
      </x:c>
      <x:c r="D1140" s="18" t="n">
        <x:v>45061</x:v>
      </x:c>
      <x:c r="E1140" s="8" t="str">
        <x:v>TIGER TROUT</x:v>
      </x:c>
      <x:c r="F1140" s="13" t="n">
        <x:v>250</x:v>
      </x:c>
      <x:c r="G1140" s="9" t="n">
        <x:v>19.5</x:v>
      </x:c>
      <x:c r="H1140" s="9" t="n">
        <x:v>80.4</x:v>
      </x:c>
      <x:c r="I1140" s="8" t="str">
        <x:f>B1140&amp;" / "&amp;C1140&amp;" / "&amp;E1140</x:f>
        <x:v>26854 / 2023 / TIGER TROUT</x:v>
      </x:c>
    </x:row>
    <x:row r="1141" ht="23" customHeight="1">
      <x:c r="A1141" s="8" t="str">
        <x:v>Fort Lions Park Pond</x:v>
      </x:c>
      <x:c r="B1141" s="8" t="str">
        <x:v>26854</x:v>
      </x:c>
      <x:c r="C1141" s="17" t="n">
        <x:v>2022</x:v>
      </x:c>
      <x:c r="D1141" s="18" t="n">
        <x:v>44692</x:v>
      </x:c>
      <x:c r="E1141" s="8" t="str">
        <x:v>BROWN TROUT</x:v>
      </x:c>
      <x:c r="F1141" s="13" t="n">
        <x:v>250</x:v>
      </x:c>
      <x:c r="G1141" s="9" t="n">
        <x:v>18.1</x:v>
      </x:c>
      <x:c r="H1141" s="9" t="n">
        <x:v>65.2</x:v>
      </x:c>
      <x:c r="I1141" s="8" t="str">
        <x:f>B1141&amp;" / "&amp;C1141&amp;" / "&amp;E1141</x:f>
        <x:v>26854 / 2022 / BROWN TROUT</x:v>
      </x:c>
    </x:row>
    <x:row r="1142" ht="23" customHeight="1">
      <x:c r="A1142" s="8" t="str">
        <x:v>Fort Lions Park Pond</x:v>
      </x:c>
      <x:c r="B1142" s="8" t="str">
        <x:v>26854</x:v>
      </x:c>
      <x:c r="C1142" s="17" t="n">
        <x:v>2022</x:v>
      </x:c>
      <x:c r="D1142" s="18" t="n">
        <x:v>44713</x:v>
      </x:c>
      <x:c r="E1142" s="8" t="str">
        <x:v>RAINBOW TROUT</x:v>
      </x:c>
      <x:c r="F1142" s="13" t="n">
        <x:v>150</x:v>
      </x:c>
      <x:c r="G1142" s="9" t="n">
        <x:v>30.1</x:v>
      </x:c>
      <x:c r="H1142" s="9" t="n">
        <x:v>150.2</x:v>
      </x:c>
      <x:c r="I1142" s="8" t="str">
        <x:f>B1142&amp;" / "&amp;C1142&amp;" / "&amp;E1142</x:f>
        <x:v>26854 / 2022 / RAINBOW TROUT</x:v>
      </x:c>
    </x:row>
    <x:row r="1143" ht="23" customHeight="1">
      <x:c r="A1143" s="8" t="str">
        <x:v>Fort Lions Park Pond</x:v>
      </x:c>
      <x:c r="B1143" s="8" t="str">
        <x:v>26854</x:v>
      </x:c>
      <x:c r="C1143" s="17" t="n">
        <x:v>2022</x:v>
      </x:c>
      <x:c r="D1143" s="18" t="n">
        <x:v>44713</x:v>
      </x:c>
      <x:c r="E1143" s="8" t="str">
        <x:v>RAINBOW TROUT</x:v>
      </x:c>
      <x:c r="F1143" s="13" t="n">
        <x:v>1550</x:v>
      </x:c>
      <x:c r="G1143" s="9" t="n">
        <x:v>20.5</x:v>
      </x:c>
      <x:c r="H1143" s="9" t="n">
        <x:v>97.3</x:v>
      </x:c>
      <x:c r="I1143" s="8" t="str">
        <x:f>B1143&amp;" / "&amp;C1143&amp;" / "&amp;E1143</x:f>
        <x:v>26854 / 2022 / RAINBOW TROUT</x:v>
      </x:c>
    </x:row>
    <x:row r="1144" ht="23" customHeight="1">
      <x:c r="A1144" s="8" t="str">
        <x:v>Fort Lions Park Pond</x:v>
      </x:c>
      <x:c r="B1144" s="8" t="str">
        <x:v>26854</x:v>
      </x:c>
      <x:c r="C1144" s="17" t="n">
        <x:v>2022</x:v>
      </x:c>
      <x:c r="D1144" s="18" t="n">
        <x:v>44692</x:v>
      </x:c>
      <x:c r="E1144" s="8" t="str">
        <x:v>RAINBOW TROUT</x:v>
      </x:c>
      <x:c r="F1144" s="13" t="n">
        <x:v>800</x:v>
      </x:c>
      <x:c r="G1144" s="9" t="n">
        <x:v>20.4</x:v>
      </x:c>
      <x:c r="H1144" s="9" t="n">
        <x:v>93.9</x:v>
      </x:c>
      <x:c r="I1144" s="8" t="str">
        <x:f>B1144&amp;" / "&amp;C1144&amp;" / "&amp;E1144</x:f>
        <x:v>26854 / 2022 / RAINBOW TROUT</x:v>
      </x:c>
    </x:row>
    <x:row r="1145" ht="23" customHeight="1">
      <x:c r="A1145" s="8" t="str">
        <x:v>Fort Lions Park Pond</x:v>
      </x:c>
      <x:c r="B1145" s="8" t="str">
        <x:v>26854</x:v>
      </x:c>
      <x:c r="C1145" s="17" t="n">
        <x:v>2022</x:v>
      </x:c>
      <x:c r="D1145" s="18" t="n">
        <x:v>44836</x:v>
      </x:c>
      <x:c r="E1145" s="8" t="str">
        <x:v>TIGER TROUT</x:v>
      </x:c>
      <x:c r="F1145" s="13" t="n">
        <x:v>250</x:v>
      </x:c>
      <x:c r="G1145" s="9" t="n">
        <x:v>24.5</x:v>
      </x:c>
      <x:c r="H1145" s="9" t="n">
        <x:v>163.6</x:v>
      </x:c>
      <x:c r="I1145" s="8" t="str">
        <x:f>B1145&amp;" / "&amp;C1145&amp;" / "&amp;E1145</x:f>
        <x:v>26854 / 2022 / TIGER TROUT</x:v>
      </x:c>
    </x:row>
    <x:row r="1146" ht="23" customHeight="1">
      <x:c r="A1146" s="8" t="str">
        <x:v>Fort Lions Park Pond</x:v>
      </x:c>
      <x:c r="B1146" s="8" t="str">
        <x:v>26854</x:v>
      </x:c>
      <x:c r="C1146" s="17" t="n">
        <x:v>2022</x:v>
      </x:c>
      <x:c r="D1146" s="18" t="n">
        <x:v>44692</x:v>
      </x:c>
      <x:c r="E1146" s="8" t="str">
        <x:v>TIGER TROUT</x:v>
      </x:c>
      <x:c r="F1146" s="13" t="n">
        <x:v>200</x:v>
      </x:c>
      <x:c r="G1146" s="9" t="n">
        <x:v>16.7</x:v>
      </x:c>
      <x:c r="H1146" s="9" t="n">
        <x:v>51.8</x:v>
      </x:c>
      <x:c r="I1146" s="8" t="str">
        <x:f>B1146&amp;" / "&amp;C1146&amp;" / "&amp;E1146</x:f>
        <x:v>26854 / 2022 / TIGER TROUT</x:v>
      </x:c>
    </x:row>
    <x:row r="1147" ht="23" customHeight="1">
      <x:c r="A1147" s="8" t="str">
        <x:v>Fort Lions Park Pond</x:v>
      </x:c>
      <x:c r="B1147" s="8" t="str">
        <x:v>26854</x:v>
      </x:c>
      <x:c r="C1147" s="17" t="n">
        <x:v>2021</x:v>
      </x:c>
      <x:c r="D1147" s="18" t="n">
        <x:v>44313</x:v>
      </x:c>
      <x:c r="E1147" s="8" t="str">
        <x:v>BROWN TROUT</x:v>
      </x:c>
      <x:c r="F1147" s="13" t="n">
        <x:v>250</x:v>
      </x:c>
      <x:c r="G1147" s="9" t="n">
        <x:v>17</x:v>
      </x:c>
      <x:c r="H1147" s="9" t="n">
        <x:v>54</x:v>
      </x:c>
      <x:c r="I1147" s="8" t="str">
        <x:f>B1147&amp;" / "&amp;C1147&amp;" / "&amp;E1147</x:f>
        <x:v>26854 / 2021 / BROWN TROUT</x:v>
      </x:c>
    </x:row>
    <x:row r="1148" ht="23" customHeight="1">
      <x:c r="A1148" s="8" t="str">
        <x:v>Fort Lions Park Pond</x:v>
      </x:c>
      <x:c r="B1148" s="8" t="str">
        <x:v>26854</x:v>
      </x:c>
      <x:c r="C1148" s="17" t="n">
        <x:v>2021</x:v>
      </x:c>
      <x:c r="D1148" s="18" t="n">
        <x:v>44371</x:v>
      </x:c>
      <x:c r="E1148" s="8" t="str">
        <x:v>RAINBOW TROUT</x:v>
      </x:c>
      <x:c r="F1148" s="13" t="n">
        <x:v>1700</x:v>
      </x:c>
      <x:c r="G1148" s="9" t="n">
        <x:v>20.3</x:v>
      </x:c>
      <x:c r="H1148" s="9" t="n">
        <x:v>90.3</x:v>
      </x:c>
      <x:c r="I1148" s="8" t="str">
        <x:f>B1148&amp;" / "&amp;C1148&amp;" / "&amp;E1148</x:f>
        <x:v>26854 / 2021 / RAINBOW TROUT</x:v>
      </x:c>
    </x:row>
    <x:row r="1149" ht="23" customHeight="1">
      <x:c r="A1149" s="8" t="str">
        <x:v>Fort Lions Park Pond</x:v>
      </x:c>
      <x:c r="B1149" s="8" t="str">
        <x:v>26854</x:v>
      </x:c>
      <x:c r="C1149" s="17" t="n">
        <x:v>2021</x:v>
      </x:c>
      <x:c r="D1149" s="18" t="n">
        <x:v>44313</x:v>
      </x:c>
      <x:c r="E1149" s="8" t="str">
        <x:v>RAINBOW TROUT</x:v>
      </x:c>
      <x:c r="F1149" s="13" t="n">
        <x:v>800</x:v>
      </x:c>
      <x:c r="G1149" s="9" t="n">
        <x:v>20.6</x:v>
      </x:c>
      <x:c r="H1149" s="9" t="n">
        <x:v>97.3</x:v>
      </x:c>
      <x:c r="I1149" s="8" t="str">
        <x:f>B1149&amp;" / "&amp;C1149&amp;" / "&amp;E1149</x:f>
        <x:v>26854 / 2021 / RAINBOW TROUT</x:v>
      </x:c>
    </x:row>
    <x:row r="1150" ht="23" customHeight="1">
      <x:c r="A1150" s="8" t="str">
        <x:v>Fort Lions Park Pond</x:v>
      </x:c>
      <x:c r="B1150" s="8" t="str">
        <x:v>26854</x:v>
      </x:c>
      <x:c r="C1150" s="17" t="n">
        <x:v>2021</x:v>
      </x:c>
      <x:c r="D1150" s="18" t="n">
        <x:v>44313</x:v>
      </x:c>
      <x:c r="E1150" s="8" t="str">
        <x:v>TIGER TROUT</x:v>
      </x:c>
      <x:c r="F1150" s="13" t="n">
        <x:v>450</x:v>
      </x:c>
      <x:c r="G1150" s="9" t="n">
        <x:v>17.7</x:v>
      </x:c>
      <x:c r="H1150" s="9" t="n">
        <x:v>60.9</x:v>
      </x:c>
      <x:c r="I1150" s="8" t="str">
        <x:f>B1150&amp;" / "&amp;C1150&amp;" / "&amp;E1150</x:f>
        <x:v>26854 / 2021 / TIGER TROUT</x:v>
      </x:c>
    </x:row>
    <x:row r="1151" ht="23" customHeight="1">
      <x:c r="A1151" s="8" t="str">
        <x:v>Fort Saskatchewan Fish &amp; Game Pond</x:v>
      </x:c>
      <x:c r="B1151" s="8" t="str">
        <x:v>23094</x:v>
      </x:c>
      <x:c r="C1151" s="17" t="n">
        <x:v>2025</x:v>
      </x:c>
      <x:c r="D1151" s="18" t="n">
        <x:v>45805</x:v>
      </x:c>
      <x:c r="E1151" s="8" t="str">
        <x:v>RAINBOW TROUT</x:v>
      </x:c>
      <x:c r="F1151" s="13" t="n">
        <x:v>2000</x:v>
      </x:c>
      <x:c r="G1151" s="9" t="n">
        <x:v>20.6</x:v>
      </x:c>
      <x:c r="H1151" s="9" t="n">
        <x:v>89.1</x:v>
      </x:c>
      <x:c r="I1151" s="8" t="str">
        <x:f>B1151&amp;" / "&amp;C1151&amp;" / "&amp;E1151</x:f>
        <x:v>23094 / 2025 / RAINBOW TROUT</x:v>
      </x:c>
    </x:row>
    <x:row r="1152" ht="23" customHeight="1">
      <x:c r="A1152" s="8" t="str">
        <x:v>Fortress Lake</x:v>
      </x:c>
      <x:c r="B1152" s="8" t="str">
        <x:v>4614</x:v>
      </x:c>
      <x:c r="C1152" s="17" t="n">
        <x:v>2021</x:v>
      </x:c>
      <x:c r="D1152" s="18" t="n">
        <x:v>44447</x:v>
      </x:c>
      <x:c r="E1152" s="8" t="str">
        <x:v>CUTTHROAT TROUT</x:v>
      </x:c>
      <x:c r="F1152" s="13" t="n">
        <x:v>600</x:v>
      </x:c>
      <x:c r="G1152" s="9" t="n">
        <x:v>4.9</x:v>
      </x:c>
      <x:c r="H1152" s="9" t="n">
        <x:v>1.3</x:v>
      </x:c>
      <x:c r="I1152" s="8" t="str">
        <x:f>B1152&amp;" / "&amp;C1152&amp;" / "&amp;E1152</x:f>
        <x:v>4614 / 2021 / CUTTHROAT TROUT</x:v>
      </x:c>
    </x:row>
    <x:row r="1153" ht="23" customHeight="1">
      <x:c r="A1153" s="8" t="str">
        <x:v>Forty Mile Coulee Reservoir</x:v>
      </x:c>
      <x:c r="B1153" s="8" t="str">
        <x:v>6813</x:v>
      </x:c>
      <x:c r="C1153" s="17" t="n">
        <x:v>2025</x:v>
      </x:c>
      <x:c r="D1153" s="18" t="n">
        <x:v>45866</x:v>
      </x:c>
      <x:c r="E1153" s="8" t="str">
        <x:v>WALLEYE</x:v>
      </x:c>
      <x:c r="F1153" s="13" t="n">
        <x:v>976</x:v>
      </x:c>
      <x:c r="G1153" s="9" t="n">
        <x:v>10.2</x:v>
      </x:c>
      <x:c r="H1153" s="9" t="n">
        <x:v>3.2</x:v>
      </x:c>
      <x:c r="I1153" s="8" t="str">
        <x:f>B1153&amp;" / "&amp;C1153&amp;" / "&amp;E1153</x:f>
        <x:v>6813 / 2025 / WALLEYE</x:v>
      </x:c>
    </x:row>
    <x:row r="1154" ht="23" customHeight="1">
      <x:c r="A1154" s="8" t="str">
        <x:v>Forty Mile Coulee Reservoir</x:v>
      </x:c>
      <x:c r="B1154" s="8" t="str">
        <x:v>6813</x:v>
      </x:c>
      <x:c r="C1154" s="17" t="n">
        <x:v>2024</x:v>
      </x:c>
      <x:c r="D1154" s="18" t="n">
        <x:v>45441</x:v>
      </x:c>
      <x:c r="E1154" s="8" t="str">
        <x:v>WALLEYE</x:v>
      </x:c>
      <x:c r="F1154" s="13" t="n">
        <x:v>750000</x:v>
      </x:c>
      <x:c r="G1154" s="9" t="n">
        <x:v>0</x:v>
      </x:c>
      <x:c r="H1154" s="9" t="str">
        <x:v>Unknown</x:v>
      </x:c>
      <x:c r="I1154" s="8" t="str">
        <x:f>B1154&amp;" / "&amp;C1154&amp;" / "&amp;E1154</x:f>
        <x:v>6813 / 2024 / WALLEYE</x:v>
      </x:c>
    </x:row>
    <x:row r="1155" ht="23" customHeight="1">
      <x:c r="A1155" s="8" t="str">
        <x:v>Forty Mile Coulee Reservoir</x:v>
      </x:c>
      <x:c r="B1155" s="8" t="str">
        <x:v>6813</x:v>
      </x:c>
      <x:c r="C1155" s="17" t="n">
        <x:v>2023</x:v>
      </x:c>
      <x:c r="D1155" s="18" t="n">
        <x:v>45077</x:v>
      </x:c>
      <x:c r="E1155" s="8" t="str">
        <x:v>WALLEYE</x:v>
      </x:c>
      <x:c r="F1155" s="13" t="n">
        <x:v>90000</x:v>
      </x:c>
      <x:c r="G1155" s="9" t="n">
        <x:v>0.4</x:v>
      </x:c>
      <x:c r="H1155" s="9" t="n">
        <x:v>0</x:v>
      </x:c>
      <x:c r="I1155" s="8" t="str">
        <x:f>B1155&amp;" / "&amp;C1155&amp;" / "&amp;E1155</x:f>
        <x:v>6813 / 2023 / WALLEYE</x:v>
      </x:c>
    </x:row>
    <x:row r="1156" ht="23" customHeight="1">
      <x:c r="A1156" s="8" t="str">
        <x:v>Forty Mile Coulee Reservoir</x:v>
      </x:c>
      <x:c r="B1156" s="8" t="str">
        <x:v>6813</x:v>
      </x:c>
      <x:c r="C1156" s="17" t="n">
        <x:v>2023</x:v>
      </x:c>
      <x:c r="D1156" s="18" t="n">
        <x:v>45073</x:v>
      </x:c>
      <x:c r="E1156" s="8" t="str">
        <x:v>WALLEYE</x:v>
      </x:c>
      <x:c r="F1156" s="13" t="n">
        <x:v>257500</x:v>
      </x:c>
      <x:c r="G1156" s="9" t="n">
        <x:v>0.4</x:v>
      </x:c>
      <x:c r="H1156" s="9" t="n">
        <x:v>0</x:v>
      </x:c>
      <x:c r="I1156" s="8" t="str">
        <x:f>B1156&amp;" / "&amp;C1156&amp;" / "&amp;E1156</x:f>
        <x:v>6813 / 2023 / WALLEYE</x:v>
      </x:c>
    </x:row>
    <x:row r="1157" ht="23" customHeight="1">
      <x:c r="A1157" s="8" t="str">
        <x:v>Forty Mile Coulee Reservoir</x:v>
      </x:c>
      <x:c r="B1157" s="8" t="str">
        <x:v>6813</x:v>
      </x:c>
      <x:c r="C1157" s="17" t="n">
        <x:v>2022</x:v>
      </x:c>
      <x:c r="D1157" s="18" t="n">
        <x:v>44711</x:v>
      </x:c>
      <x:c r="E1157" s="8" t="str">
        <x:v>WALLEYE</x:v>
      </x:c>
      <x:c r="F1157" s="13" t="n">
        <x:v>104053</x:v>
      </x:c>
      <x:c r="G1157" s="9" t="n">
        <x:v>0.4</x:v>
      </x:c>
      <x:c r="H1157" s="9" t="n">
        <x:v>0</x:v>
      </x:c>
      <x:c r="I1157" s="8" t="str">
        <x:f>B1157&amp;" / "&amp;C1157&amp;" / "&amp;E1157</x:f>
        <x:v>6813 / 2022 / WALLEYE</x:v>
      </x:c>
    </x:row>
    <x:row r="1158" ht="23" customHeight="1">
      <x:c r="A1158" s="8" t="str">
        <x:v>Forty Mile Coulee Reservoir</x:v>
      </x:c>
      <x:c r="B1158" s="8" t="str">
        <x:v>6813</x:v>
      </x:c>
      <x:c r="C1158" s="17" t="n">
        <x:v>2021</x:v>
      </x:c>
      <x:c r="D1158" s="18" t="n">
        <x:v>44343</x:v>
      </x:c>
      <x:c r="E1158" s="8" t="str">
        <x:v>WALLEYE</x:v>
      </x:c>
      <x:c r="F1158" s="13" t="n">
        <x:v>81000</x:v>
      </x:c>
      <x:c r="G1158" s="9" t="n">
        <x:v>0.4</x:v>
      </x:c>
      <x:c r="H1158" s="9" t="str">
        <x:v>Unknown</x:v>
      </x:c>
      <x:c r="I1158" s="8" t="str">
        <x:f>B1158&amp;" / "&amp;C1158&amp;" / "&amp;E1158</x:f>
        <x:v>6813 / 2021 / WALLEYE</x:v>
      </x:c>
    </x:row>
    <x:row r="1159" ht="23" customHeight="1">
      <x:c r="A1159" s="8" t="str">
        <x:v>Fox Creek Trout Pond</x:v>
      </x:c>
      <x:c r="B1159" s="8" t="str">
        <x:v>6815</x:v>
      </x:c>
      <x:c r="C1159" s="17" t="n">
        <x:v>2026</x:v>
      </x:c>
      <x:c r="D1159" s="18" t="n">
        <x:v>46161</x:v>
      </x:c>
      <x:c r="E1159" s="8" t="str">
        <x:v>RAINBOW TROUT</x:v>
      </x:c>
      <x:c r="F1159" s="13" t="n">
        <x:v>500</x:v>
      </x:c>
      <x:c r="G1159" s="9" t="n">
        <x:v>23.7</x:v>
      </x:c>
      <x:c r="H1159" s="9" t="n">
        <x:v>147.2</x:v>
      </x:c>
      <x:c r="I1159" s="8" t="str">
        <x:f>B1159&amp;" / "&amp;C1159&amp;" / "&amp;E1159</x:f>
        <x:v>6815 / 2026 / RAINBOW TROUT</x:v>
      </x:c>
    </x:row>
    <x:row r="1160" ht="23" customHeight="1">
      <x:c r="A1160" s="8" t="str">
        <x:v>Fox Creek Trout Pond</x:v>
      </x:c>
      <x:c r="B1160" s="8" t="str">
        <x:v>6815</x:v>
      </x:c>
      <x:c r="C1160" s="17" t="n">
        <x:v>2025</x:v>
      </x:c>
      <x:c r="D1160" s="18" t="n">
        <x:v>45788</x:v>
      </x:c>
      <x:c r="E1160" s="8" t="str">
        <x:v>RAINBOW TROUT</x:v>
      </x:c>
      <x:c r="F1160" s="13" t="n">
        <x:v>500</x:v>
      </x:c>
      <x:c r="G1160" s="9" t="n">
        <x:v>23.6</x:v>
      </x:c>
      <x:c r="H1160" s="9" t="n">
        <x:v>144.6</x:v>
      </x:c>
      <x:c r="I1160" s="8" t="str">
        <x:f>B1160&amp;" / "&amp;C1160&amp;" / "&amp;E1160</x:f>
        <x:v>6815 / 2025 / RAINBOW TROUT</x:v>
      </x:c>
    </x:row>
    <x:row r="1161" ht="23" customHeight="1">
      <x:c r="A1161" s="8" t="str">
        <x:v>Fox Creek Trout Pond</x:v>
      </x:c>
      <x:c r="B1161" s="8" t="str">
        <x:v>6815</x:v>
      </x:c>
      <x:c r="C1161" s="17" t="n">
        <x:v>2024</x:v>
      </x:c>
      <x:c r="D1161" s="18" t="n">
        <x:v>45439</x:v>
      </x:c>
      <x:c r="E1161" s="8" t="str">
        <x:v>RAINBOW TROUT</x:v>
      </x:c>
      <x:c r="F1161" s="13" t="n">
        <x:v>251</x:v>
      </x:c>
      <x:c r="G1161" s="9" t="n">
        <x:v>23.2</x:v>
      </x:c>
      <x:c r="H1161" s="9" t="n">
        <x:v>135</x:v>
      </x:c>
      <x:c r="I1161" s="8" t="str">
        <x:f>B1161&amp;" / "&amp;C1161&amp;" / "&amp;E1161</x:f>
        <x:v>6815 / 2024 / RAINBOW TROUT</x:v>
      </x:c>
    </x:row>
    <x:row r="1162" ht="23" customHeight="1">
      <x:c r="A1162" s="8" t="str">
        <x:v>Fox Creek Trout Pond</x:v>
      </x:c>
      <x:c r="B1162" s="8" t="str">
        <x:v>6815</x:v>
      </x:c>
      <x:c r="C1162" s="17" t="n">
        <x:v>2023</x:v>
      </x:c>
      <x:c r="D1162" s="18" t="n">
        <x:v>45068</x:v>
      </x:c>
      <x:c r="E1162" s="8" t="str">
        <x:v>RAINBOW TROUT</x:v>
      </x:c>
      <x:c r="F1162" s="13" t="n">
        <x:v>251</x:v>
      </x:c>
      <x:c r="G1162" s="9" t="n">
        <x:v>21.5</x:v>
      </x:c>
      <x:c r="H1162" s="9" t="n">
        <x:v>108</x:v>
      </x:c>
      <x:c r="I1162" s="8" t="str">
        <x:f>B1162&amp;" / "&amp;C1162&amp;" / "&amp;E1162</x:f>
        <x:v>6815 / 2023 / RAINBOW TROUT</x:v>
      </x:c>
    </x:row>
    <x:row r="1163" ht="23" customHeight="1">
      <x:c r="A1163" s="8" t="str">
        <x:v>Fox Creek Trout Pond</x:v>
      </x:c>
      <x:c r="B1163" s="8" t="str">
        <x:v>6815</x:v>
      </x:c>
      <x:c r="C1163" s="17" t="n">
        <x:v>2022</x:v>
      </x:c>
      <x:c r="D1163" s="18" t="n">
        <x:v>44696</x:v>
      </x:c>
      <x:c r="E1163" s="8" t="str">
        <x:v>RAINBOW TROUT</x:v>
      </x:c>
      <x:c r="F1163" s="13" t="n">
        <x:v>500</x:v>
      </x:c>
      <x:c r="G1163" s="9" t="n">
        <x:v>21.9</x:v>
      </x:c>
      <x:c r="H1163" s="9" t="n">
        <x:v>116.9</x:v>
      </x:c>
      <x:c r="I1163" s="8" t="str">
        <x:f>B1163&amp;" / "&amp;C1163&amp;" / "&amp;E1163</x:f>
        <x:v>6815 / 2022 / RAINBOW TROUT</x:v>
      </x:c>
    </x:row>
    <x:row r="1164" ht="23" customHeight="1">
      <x:c r="A1164" s="8" t="str">
        <x:v>Fox Creek Trout Pond</x:v>
      </x:c>
      <x:c r="B1164" s="8" t="str">
        <x:v>6815</x:v>
      </x:c>
      <x:c r="C1164" s="17" t="n">
        <x:v>2021</x:v>
      </x:c>
      <x:c r="D1164" s="18" t="n">
        <x:v>44332</x:v>
      </x:c>
      <x:c r="E1164" s="8" t="str">
        <x:v>RAINBOW TROUT</x:v>
      </x:c>
      <x:c r="F1164" s="13" t="n">
        <x:v>500</x:v>
      </x:c>
      <x:c r="G1164" s="9" t="n">
        <x:v>19.1</x:v>
      </x:c>
      <x:c r="H1164" s="9" t="n">
        <x:v>77.4</x:v>
      </x:c>
      <x:c r="I1164" s="8" t="str">
        <x:f>B1164&amp;" / "&amp;C1164&amp;" / "&amp;E1164</x:f>
        <x:v>6815 / 2021 / RAINBOW TROUT</x:v>
      </x:c>
    </x:row>
    <x:row r="1165" ht="23" customHeight="1">
      <x:c r="A1165" s="8" t="str">
        <x:v>Frog Lake</x:v>
      </x:c>
      <x:c r="B1165" s="8" t="str">
        <x:v>4635</x:v>
      </x:c>
      <x:c r="C1165" s="17" t="n">
        <x:v>2026</x:v>
      </x:c>
      <x:c r="D1165" s="18" t="n">
        <x:v>46181</x:v>
      </x:c>
      <x:c r="E1165" s="8" t="str">
        <x:v>WALLEYE</x:v>
      </x:c>
      <x:c r="F1165" s="13" t="n">
        <x:v>1648809</x:v>
      </x:c>
      <x:c r="G1165" s="9" t="n">
        <x:v>0.4</x:v>
      </x:c>
      <x:c r="H1165" s="9" t="str">
        <x:v>Unknown</x:v>
      </x:c>
      <x:c r="I1165" s="8" t="str">
        <x:f>B1165&amp;" / "&amp;C1165&amp;" / "&amp;E1165</x:f>
        <x:v>4635 / 2026 / WALLEYE</x:v>
      </x:c>
    </x:row>
    <x:row r="1166" ht="23" customHeight="1">
      <x:c r="A1166" s="8" t="str">
        <x:v>Frog Lake</x:v>
      </x:c>
      <x:c r="B1166" s="8" t="str">
        <x:v>4635</x:v>
      </x:c>
      <x:c r="C1166" s="17" t="n">
        <x:v>2026</x:v>
      </x:c>
      <x:c r="D1166" s="18" t="n">
        <x:v>46176</x:v>
      </x:c>
      <x:c r="E1166" s="8" t="str">
        <x:v>WALLEYE</x:v>
      </x:c>
      <x:c r="F1166" s="13" t="n">
        <x:v>1247877</x:v>
      </x:c>
      <x:c r="G1166" s="9" t="n">
        <x:v>0.4</x:v>
      </x:c>
      <x:c r="H1166" s="9" t="str">
        <x:v>Unknown</x:v>
      </x:c>
      <x:c r="I1166" s="8" t="str">
        <x:f>B1166&amp;" / "&amp;C1166&amp;" / "&amp;E1166</x:f>
        <x:v>4635 / 2026 / WALLEYE</x:v>
      </x:c>
    </x:row>
    <x:row r="1167" ht="23" customHeight="1">
      <x:c r="A1167" s="8" t="str">
        <x:v>Frog Lake</x:v>
      </x:c>
      <x:c r="B1167" s="8" t="str">
        <x:v>4635</x:v>
      </x:c>
      <x:c r="C1167" s="17" t="n">
        <x:v>2025</x:v>
      </x:c>
      <x:c r="D1167" s="18" t="n">
        <x:v>45807</x:v>
      </x:c>
      <x:c r="E1167" s="8" t="str">
        <x:v>WALLEYE</x:v>
      </x:c>
      <x:c r="F1167" s="13" t="n">
        <x:v>725182</x:v>
      </x:c>
      <x:c r="G1167" s="9" t="n">
        <x:v>0.4</x:v>
      </x:c>
      <x:c r="H1167" s="9" t="str">
        <x:v>Unknown</x:v>
      </x:c>
      <x:c r="I1167" s="8" t="str">
        <x:f>B1167&amp;" / "&amp;C1167&amp;" / "&amp;E1167</x:f>
        <x:v>4635 / 2025 / WALLEYE</x:v>
      </x:c>
    </x:row>
    <x:row r="1168" ht="23" customHeight="1">
      <x:c r="A1168" s="8" t="str">
        <x:v>Frog Lake</x:v>
      </x:c>
      <x:c r="B1168" s="8" t="str">
        <x:v>4635</x:v>
      </x:c>
      <x:c r="C1168" s="17" t="n">
        <x:v>2025</x:v>
      </x:c>
      <x:c r="D1168" s="18" t="n">
        <x:v>45804</x:v>
      </x:c>
      <x:c r="E1168" s="8" t="str">
        <x:v>WALLEYE</x:v>
      </x:c>
      <x:c r="F1168" s="13" t="n">
        <x:v>3005431</x:v>
      </x:c>
      <x:c r="G1168" s="9" t="n">
        <x:v>0.4</x:v>
      </x:c>
      <x:c r="H1168" s="9" t="str">
        <x:v>Unknown</x:v>
      </x:c>
      <x:c r="I1168" s="8" t="str">
        <x:f>B1168&amp;" / "&amp;C1168&amp;" / "&amp;E1168</x:f>
        <x:v>4635 / 2025 / WALLEYE</x:v>
      </x:c>
    </x:row>
    <x:row r="1169" ht="23" customHeight="1">
      <x:c r="A1169" s="8" t="str">
        <x:v>Frog Lake</x:v>
      </x:c>
      <x:c r="B1169" s="8" t="str">
        <x:v>4635</x:v>
      </x:c>
      <x:c r="C1169" s="17" t="n">
        <x:v>2025</x:v>
      </x:c>
      <x:c r="D1169" s="18" t="n">
        <x:v>45803</x:v>
      </x:c>
      <x:c r="E1169" s="8" t="str">
        <x:v>WALLEYE</x:v>
      </x:c>
      <x:c r="F1169" s="13" t="n">
        <x:v>1678203</x:v>
      </x:c>
      <x:c r="G1169" s="9" t="n">
        <x:v>0.4</x:v>
      </x:c>
      <x:c r="H1169" s="9" t="str">
        <x:v>Unknown</x:v>
      </x:c>
      <x:c r="I1169" s="8" t="str">
        <x:f>B1169&amp;" / "&amp;C1169&amp;" / "&amp;E1169</x:f>
        <x:v>4635 / 2025 / WALLEYE</x:v>
      </x:c>
    </x:row>
    <x:row r="1170" ht="23" customHeight="1">
      <x:c r="A1170" s="8" t="str">
        <x:v>Gap Lake</x:v>
      </x:c>
      <x:c r="B1170" s="8" t="str">
        <x:v>4647</x:v>
      </x:c>
      <x:c r="C1170" s="17" t="n">
        <x:v>2025</x:v>
      </x:c>
      <x:c r="D1170" s="18" t="n">
        <x:v>45924</x:v>
      </x:c>
      <x:c r="E1170" s="8" t="str">
        <x:v>CUTTHROAT TROUT</x:v>
      </x:c>
      <x:c r="F1170" s="13" t="n">
        <x:v>1335</x:v>
      </x:c>
      <x:c r="G1170" s="9" t="n">
        <x:v>4.7</x:v>
      </x:c>
      <x:c r="H1170" s="9" t="n">
        <x:v>1.1</x:v>
      </x:c>
      <x:c r="I1170" s="8" t="str">
        <x:f>B1170&amp;" / "&amp;C1170&amp;" / "&amp;E1170</x:f>
        <x:v>4647 / 2025 / CUTTHROAT TROUT</x:v>
      </x:c>
    </x:row>
    <x:row r="1171" ht="23" customHeight="1">
      <x:c r="A1171" s="8" t="str">
        <x:v>Gap Lake</x:v>
      </x:c>
      <x:c r="B1171" s="8" t="str">
        <x:v>4647</x:v>
      </x:c>
      <x:c r="C1171" s="17" t="n">
        <x:v>2022</x:v>
      </x:c>
      <x:c r="D1171" s="18" t="n">
        <x:v>44824</x:v>
      </x:c>
      <x:c r="E1171" s="8" t="str">
        <x:v>CUTTHROAT TROUT</x:v>
      </x:c>
      <x:c r="F1171" s="13" t="n">
        <x:v>2000</x:v>
      </x:c>
      <x:c r="G1171" s="9" t="n">
        <x:v>18.4</x:v>
      </x:c>
      <x:c r="H1171" s="9" t="n">
        <x:v>67.4</x:v>
      </x:c>
      <x:c r="I1171" s="8" t="str">
        <x:f>B1171&amp;" / "&amp;C1171&amp;" / "&amp;E1171</x:f>
        <x:v>4647 / 2022 / CUTTHROAT TROUT</x:v>
      </x:c>
    </x:row>
    <x:row r="1172" ht="23" customHeight="1">
      <x:c r="A1172" s="8" t="str">
        <x:v>Genesee Trout Pond</x:v>
      </x:c>
      <x:c r="B1172" s="8" t="str">
        <x:v>23292</x:v>
      </x:c>
      <x:c r="C1172" s="17" t="n">
        <x:v>2025</x:v>
      </x:c>
      <x:c r="D1172" s="18" t="n">
        <x:v>45781</x:v>
      </x:c>
      <x:c r="E1172" s="8" t="str">
        <x:v>RAINBOW TROUT</x:v>
      </x:c>
      <x:c r="F1172" s="13" t="n">
        <x:v>500</x:v>
      </x:c>
      <x:c r="G1172" s="9" t="n">
        <x:v>23.7</x:v>
      </x:c>
      <x:c r="H1172" s="9" t="n">
        <x:v>143.4</x:v>
      </x:c>
      <x:c r="I1172" s="8" t="str">
        <x:f>B1172&amp;" / "&amp;C1172&amp;" / "&amp;E1172</x:f>
        <x:v>23292 / 2025 / RAINBOW TROUT</x:v>
      </x:c>
    </x:row>
    <x:row r="1173" ht="23" customHeight="1">
      <x:c r="A1173" s="8" t="str">
        <x:v>Genesee Trout Pond</x:v>
      </x:c>
      <x:c r="B1173" s="8" t="str">
        <x:v>23292</x:v>
      </x:c>
      <x:c r="C1173" s="17" t="n">
        <x:v>2024</x:v>
      </x:c>
      <x:c r="D1173" s="18" t="n">
        <x:v>45436</x:v>
      </x:c>
      <x:c r="E1173" s="8" t="str">
        <x:v>RAINBOW TROUT</x:v>
      </x:c>
      <x:c r="F1173" s="13" t="n">
        <x:v>250</x:v>
      </x:c>
      <x:c r="G1173" s="9" t="n">
        <x:v>20.1</x:v>
      </x:c>
      <x:c r="H1173" s="9" t="n">
        <x:v>88</x:v>
      </x:c>
      <x:c r="I1173" s="8" t="str">
        <x:f>B1173&amp;" / "&amp;C1173&amp;" / "&amp;E1173</x:f>
        <x:v>23292 / 2024 / RAINBOW TROUT</x:v>
      </x:c>
    </x:row>
    <x:row r="1174" ht="23" customHeight="1">
      <x:c r="A1174" s="8" t="str">
        <x:v>Genesee Trout Pond</x:v>
      </x:c>
      <x:c r="B1174" s="8" t="str">
        <x:v>23292</x:v>
      </x:c>
      <x:c r="C1174" s="17" t="n">
        <x:v>2023</x:v>
      </x:c>
      <x:c r="D1174" s="18" t="n">
        <x:v>45049</x:v>
      </x:c>
      <x:c r="E1174" s="8" t="str">
        <x:v>RAINBOW TROUT</x:v>
      </x:c>
      <x:c r="F1174" s="13" t="n">
        <x:v>251</x:v>
      </x:c>
      <x:c r="G1174" s="9" t="n">
        <x:v>19.8</x:v>
      </x:c>
      <x:c r="H1174" s="9" t="n">
        <x:v>85.9</x:v>
      </x:c>
      <x:c r="I1174" s="8" t="str">
        <x:f>B1174&amp;" / "&amp;C1174&amp;" / "&amp;E1174</x:f>
        <x:v>23292 / 2023 / RAINBOW TROUT</x:v>
      </x:c>
    </x:row>
    <x:row r="1175" ht="23" customHeight="1">
      <x:c r="A1175" s="8" t="str">
        <x:v>Genesee Trout Pond</x:v>
      </x:c>
      <x:c r="B1175" s="8" t="str">
        <x:v>23292</x:v>
      </x:c>
      <x:c r="C1175" s="17" t="n">
        <x:v>2022</x:v>
      </x:c>
      <x:c r="D1175" s="18" t="n">
        <x:v>44838</x:v>
      </x:c>
      <x:c r="E1175" s="8" t="str">
        <x:v>RAINBOW TROUT</x:v>
      </x:c>
      <x:c r="F1175" s="13" t="n">
        <x:v>500</x:v>
      </x:c>
      <x:c r="G1175" s="9" t="n">
        <x:v>27.1</x:v>
      </x:c>
      <x:c r="H1175" s="9" t="n">
        <x:v>219.2</x:v>
      </x:c>
      <x:c r="I1175" s="8" t="str">
        <x:f>B1175&amp;" / "&amp;C1175&amp;" / "&amp;E1175</x:f>
        <x:v>23292 / 2022 / RAINBOW TROUT</x:v>
      </x:c>
    </x:row>
    <x:row r="1176" ht="23" customHeight="1">
      <x:c r="A1176" s="8" t="str">
        <x:v>Genesee Trout Pond</x:v>
      </x:c>
      <x:c r="B1176" s="8" t="str">
        <x:v>23292</x:v>
      </x:c>
      <x:c r="C1176" s="17" t="n">
        <x:v>2022</x:v>
      </x:c>
      <x:c r="D1176" s="18" t="n">
        <x:v>44699</x:v>
      </x:c>
      <x:c r="E1176" s="8" t="str">
        <x:v>RAINBOW TROUT</x:v>
      </x:c>
      <x:c r="F1176" s="13" t="n">
        <x:v>500</x:v>
      </x:c>
      <x:c r="G1176" s="9" t="n">
        <x:v>23</x:v>
      </x:c>
      <x:c r="H1176" s="9" t="n">
        <x:v>103.2</x:v>
      </x:c>
      <x:c r="I1176" s="8" t="str">
        <x:f>B1176&amp;" / "&amp;C1176&amp;" / "&amp;E1176</x:f>
        <x:v>23292 / 2022 / RAINBOW TROUT</x:v>
      </x:c>
    </x:row>
    <x:row r="1177" ht="23" customHeight="1">
      <x:c r="A1177" s="8" t="str">
        <x:v>Genesee Trout Pond</x:v>
      </x:c>
      <x:c r="B1177" s="8" t="str">
        <x:v>23292</x:v>
      </x:c>
      <x:c r="C1177" s="17" t="n">
        <x:v>2021</x:v>
      </x:c>
      <x:c r="D1177" s="18" t="n">
        <x:v>44315</x:v>
      </x:c>
      <x:c r="E1177" s="8" t="str">
        <x:v>RAINBOW TROUT</x:v>
      </x:c>
      <x:c r="F1177" s="13" t="n">
        <x:v>500</x:v>
      </x:c>
      <x:c r="G1177" s="9" t="n">
        <x:v>16.3</x:v>
      </x:c>
      <x:c r="H1177" s="9" t="n">
        <x:v>48.8</x:v>
      </x:c>
      <x:c r="I1177" s="8" t="str">
        <x:f>B1177&amp;" / "&amp;C1177&amp;" / "&amp;E1177</x:f>
        <x:v>23292 / 2021 / RAINBOW TROUT</x:v>
      </x:c>
    </x:row>
    <x:row r="1178" ht="23" customHeight="1">
      <x:c r="A1178" s="8" t="str">
        <x:v>Gibbons Pond</x:v>
      </x:c>
      <x:c r="B1178" s="8" t="str">
        <x:v>6816</x:v>
      </x:c>
      <x:c r="C1178" s="17" t="n">
        <x:v>2026</x:v>
      </x:c>
      <x:c r="D1178" s="18" t="n">
        <x:v>46156</x:v>
      </x:c>
      <x:c r="E1178" s="8" t="str">
        <x:v>RAINBOW TROUT</x:v>
      </x:c>
      <x:c r="F1178" s="13" t="n">
        <x:v>300</x:v>
      </x:c>
      <x:c r="G1178" s="9" t="n">
        <x:v>20.7</x:v>
      </x:c>
      <x:c r="H1178" s="9" t="n">
        <x:v>93.1</x:v>
      </x:c>
      <x:c r="I1178" s="8" t="str">
        <x:f>B1178&amp;" / "&amp;C1178&amp;" / "&amp;E1178</x:f>
        <x:v>6816 / 2026 / RAINBOW TROUT</x:v>
      </x:c>
    </x:row>
    <x:row r="1179" ht="23" customHeight="1">
      <x:c r="A1179" s="8" t="str">
        <x:v>Gibbons Pond</x:v>
      </x:c>
      <x:c r="B1179" s="8" t="str">
        <x:v>6816</x:v>
      </x:c>
      <x:c r="C1179" s="17" t="n">
        <x:v>2025</x:v>
      </x:c>
      <x:c r="D1179" s="18" t="n">
        <x:v>45805</x:v>
      </x:c>
      <x:c r="E1179" s="8" t="str">
        <x:v>RAINBOW TROUT</x:v>
      </x:c>
      <x:c r="F1179" s="13" t="n">
        <x:v>25</x:v>
      </x:c>
      <x:c r="G1179" s="9" t="n">
        <x:v>32</x:v>
      </x:c>
      <x:c r="H1179" s="9" t="n">
        <x:v>350</x:v>
      </x:c>
      <x:c r="I1179" s="8" t="str">
        <x:f>B1179&amp;" / "&amp;C1179&amp;" / "&amp;E1179</x:f>
        <x:v>6816 / 2025 / RAINBOW TROUT</x:v>
      </x:c>
    </x:row>
    <x:row r="1180" ht="23" customHeight="1">
      <x:c r="A1180" s="8" t="str">
        <x:v>Gibbons Pond</x:v>
      </x:c>
      <x:c r="B1180" s="8" t="str">
        <x:v>6816</x:v>
      </x:c>
      <x:c r="C1180" s="17" t="n">
        <x:v>2025</x:v>
      </x:c>
      <x:c r="D1180" s="18" t="n">
        <x:v>45805</x:v>
      </x:c>
      <x:c r="E1180" s="8" t="str">
        <x:v>RAINBOW TROUT</x:v>
      </x:c>
      <x:c r="F1180" s="13" t="n">
        <x:v>300</x:v>
      </x:c>
      <x:c r="G1180" s="9" t="n">
        <x:v>20.6</x:v>
      </x:c>
      <x:c r="H1180" s="9" t="n">
        <x:v>89.1</x:v>
      </x:c>
      <x:c r="I1180" s="8" t="str">
        <x:f>B1180&amp;" / "&amp;C1180&amp;" / "&amp;E1180</x:f>
        <x:v>6816 / 2025 / RAINBOW TROUT</x:v>
      </x:c>
    </x:row>
    <x:row r="1181" ht="23" customHeight="1">
      <x:c r="A1181" s="8" t="str">
        <x:v>Gibbons Pond</x:v>
      </x:c>
      <x:c r="B1181" s="8" t="str">
        <x:v>6816</x:v>
      </x:c>
      <x:c r="C1181" s="17" t="n">
        <x:v>2024</x:v>
      </x:c>
      <x:c r="D1181" s="18" t="n">
        <x:v>45421</x:v>
      </x:c>
      <x:c r="E1181" s="8" t="str">
        <x:v>RAINBOW TROUT</x:v>
      </x:c>
      <x:c r="F1181" s="13" t="n">
        <x:v>325</x:v>
      </x:c>
      <x:c r="G1181" s="9" t="n">
        <x:v>20.9</x:v>
      </x:c>
      <x:c r="H1181" s="9" t="n">
        <x:v>91.8</x:v>
      </x:c>
      <x:c r="I1181" s="8" t="str">
        <x:f>B1181&amp;" / "&amp;C1181&amp;" / "&amp;E1181</x:f>
        <x:v>6816 / 2024 / RAINBOW TROUT</x:v>
      </x:c>
    </x:row>
    <x:row r="1182" ht="23" customHeight="1">
      <x:c r="A1182" s="8" t="str">
        <x:v>Gibbons Pond</x:v>
      </x:c>
      <x:c r="B1182" s="8" t="str">
        <x:v>6816</x:v>
      </x:c>
      <x:c r="C1182" s="17" t="n">
        <x:v>2023</x:v>
      </x:c>
      <x:c r="D1182" s="18" t="n">
        <x:v>45060</x:v>
      </x:c>
      <x:c r="E1182" s="8" t="str">
        <x:v>RAINBOW TROUT</x:v>
      </x:c>
      <x:c r="F1182" s="13" t="n">
        <x:v>300</x:v>
      </x:c>
      <x:c r="G1182" s="9" t="n">
        <x:v>20.5</x:v>
      </x:c>
      <x:c r="H1182" s="9" t="n">
        <x:v>89.9</x:v>
      </x:c>
      <x:c r="I1182" s="8" t="str">
        <x:f>B1182&amp;" / "&amp;C1182&amp;" / "&amp;E1182</x:f>
        <x:v>6816 / 2023 / RAINBOW TROUT</x:v>
      </x:c>
    </x:row>
    <x:row r="1183" ht="23" customHeight="1">
      <x:c r="A1183" s="8" t="str">
        <x:v>Gibbons Pond</x:v>
      </x:c>
      <x:c r="B1183" s="8" t="str">
        <x:v>6816</x:v>
      </x:c>
      <x:c r="C1183" s="17" t="n">
        <x:v>2022</x:v>
      </x:c>
      <x:c r="D1183" s="18" t="n">
        <x:v>44699</x:v>
      </x:c>
      <x:c r="E1183" s="8" t="str">
        <x:v>RAINBOW TROUT</x:v>
      </x:c>
      <x:c r="F1183" s="13" t="n">
        <x:v>300</x:v>
      </x:c>
      <x:c r="G1183" s="9" t="n">
        <x:v>20.9</x:v>
      </x:c>
      <x:c r="H1183" s="9" t="n">
        <x:v>97.9</x:v>
      </x:c>
      <x:c r="I1183" s="8" t="str">
        <x:f>B1183&amp;" / "&amp;C1183&amp;" / "&amp;E1183</x:f>
        <x:v>6816 / 2022 / RAINBOW TROUT</x:v>
      </x:c>
    </x:row>
    <x:row r="1184" ht="23" customHeight="1">
      <x:c r="A1184" s="8" t="str">
        <x:v>Gibbons Pond</x:v>
      </x:c>
      <x:c r="B1184" s="8" t="str">
        <x:v>6816</x:v>
      </x:c>
      <x:c r="C1184" s="17" t="n">
        <x:v>2021</x:v>
      </x:c>
      <x:c r="D1184" s="18" t="n">
        <x:v>44371</x:v>
      </x:c>
      <x:c r="E1184" s="8" t="str">
        <x:v>RAINBOW TROUT</x:v>
      </x:c>
      <x:c r="F1184" s="13" t="n">
        <x:v>300</x:v>
      </x:c>
      <x:c r="G1184" s="9" t="n">
        <x:v>20.3</x:v>
      </x:c>
      <x:c r="H1184" s="9" t="n">
        <x:v>90.3</x:v>
      </x:c>
      <x:c r="I1184" s="8" t="str">
        <x:f>B1184&amp;" / "&amp;C1184&amp;" / "&amp;E1184</x:f>
        <x:v>6816 / 2021 / RAINBOW TROUT</x:v>
      </x:c>
    </x:row>
    <x:row r="1185" ht="23" customHeight="1">
      <x:c r="A1185" s="8" t="str">
        <x:v>Goldeye Lake</x:v>
      </x:c>
      <x:c r="B1185" s="8" t="str">
        <x:v>4697</x:v>
      </x:c>
      <x:c r="C1185" s="17" t="n">
        <x:v>2026</x:v>
      </x:c>
      <x:c r="D1185" s="18" t="n">
        <x:v>46161</x:v>
      </x:c>
      <x:c r="E1185" s="8" t="str">
        <x:v>RAINBOW TROUT</x:v>
      </x:c>
      <x:c r="F1185" s="13" t="n">
        <x:v>6667</x:v>
      </x:c>
      <x:c r="G1185" s="9" t="n">
        <x:v>16</x:v>
      </x:c>
      <x:c r="H1185" s="9" t="n">
        <x:v>43</x:v>
      </x:c>
      <x:c r="I1185" s="8" t="str">
        <x:f>B1185&amp;" / "&amp;C1185&amp;" / "&amp;E1185</x:f>
        <x:v>4697 / 2026 / RAINBOW TROUT</x:v>
      </x:c>
    </x:row>
    <x:row r="1186" ht="23" customHeight="1">
      <x:c r="A1186" s="8" t="str">
        <x:v>Goldeye Lake</x:v>
      </x:c>
      <x:c r="B1186" s="8" t="str">
        <x:v>4697</x:v>
      </x:c>
      <x:c r="C1186" s="17" t="n">
        <x:v>2026</x:v>
      </x:c>
      <x:c r="D1186" s="18" t="n">
        <x:v>46149</x:v>
      </x:c>
      <x:c r="E1186" s="8" t="str">
        <x:v>RAINBOW TROUT</x:v>
      </x:c>
      <x:c r="F1186" s="13" t="n">
        <x:v>3333</x:v>
      </x:c>
      <x:c r="G1186" s="9" t="n">
        <x:v>15.1</x:v>
      </x:c>
      <x:c r="H1186" s="9" t="n">
        <x:v>34.6</x:v>
      </x:c>
      <x:c r="I1186" s="8" t="str">
        <x:f>B1186&amp;" / "&amp;C1186&amp;" / "&amp;E1186</x:f>
        <x:v>4697 / 2026 / RAINBOW TROUT</x:v>
      </x:c>
    </x:row>
    <x:row r="1187" ht="23" customHeight="1">
      <x:c r="A1187" s="8" t="str">
        <x:v>Goldeye Lake</x:v>
      </x:c>
      <x:c r="B1187" s="8" t="str">
        <x:v>4697</x:v>
      </x:c>
      <x:c r="C1187" s="17" t="n">
        <x:v>2025</x:v>
      </x:c>
      <x:c r="D1187" s="18" t="n">
        <x:v>45809</x:v>
      </x:c>
      <x:c r="E1187" s="8" t="str">
        <x:v>RAINBOW TROUT</x:v>
      </x:c>
      <x:c r="F1187" s="13" t="n">
        <x:v>10000</x:v>
      </x:c>
      <x:c r="G1187" s="9" t="n">
        <x:v>18.4</x:v>
      </x:c>
      <x:c r="H1187" s="9" t="n">
        <x:v>68.5</x:v>
      </x:c>
      <x:c r="I1187" s="8" t="str">
        <x:f>B1187&amp;" / "&amp;C1187&amp;" / "&amp;E1187</x:f>
        <x:v>4697 / 2025 / RAINBOW TROUT</x:v>
      </x:c>
    </x:row>
    <x:row r="1188" ht="23" customHeight="1">
      <x:c r="A1188" s="8" t="str">
        <x:v>Goldeye Lake</x:v>
      </x:c>
      <x:c r="B1188" s="8" t="str">
        <x:v>4697</x:v>
      </x:c>
      <x:c r="C1188" s="17" t="n">
        <x:v>2025</x:v>
      </x:c>
      <x:c r="D1188" s="18" t="n">
        <x:v>45799</x:v>
      </x:c>
      <x:c r="E1188" s="8" t="str">
        <x:v>RAINBOW TROUT</x:v>
      </x:c>
      <x:c r="F1188" s="13" t="n">
        <x:v>2250</x:v>
      </x:c>
      <x:c r="G1188" s="9" t="n">
        <x:v>18.2</x:v>
      </x:c>
      <x:c r="H1188" s="9" t="n">
        <x:v>66.9</x:v>
      </x:c>
      <x:c r="I1188" s="8" t="str">
        <x:f>B1188&amp;" / "&amp;C1188&amp;" / "&amp;E1188</x:f>
        <x:v>4697 / 2025 / RAINBOW TROUT</x:v>
      </x:c>
    </x:row>
    <x:row r="1189" ht="23" customHeight="1">
      <x:c r="A1189" s="8" t="str">
        <x:v>Goldeye Lake</x:v>
      </x:c>
      <x:c r="B1189" s="8" t="str">
        <x:v>4697</x:v>
      </x:c>
      <x:c r="C1189" s="17" t="n">
        <x:v>2024</x:v>
      </x:c>
      <x:c r="D1189" s="18" t="n">
        <x:v>45554</x:v>
      </x:c>
      <x:c r="E1189" s="8" t="str">
        <x:v>RAINBOW TROUT</x:v>
      </x:c>
      <x:c r="F1189" s="13" t="n">
        <x:v>5000</x:v>
      </x:c>
      <x:c r="G1189" s="9" t="n">
        <x:v>23.1</x:v>
      </x:c>
      <x:c r="H1189" s="9" t="n">
        <x:v>136.9</x:v>
      </x:c>
      <x:c r="I1189" s="8" t="str">
        <x:f>B1189&amp;" / "&amp;C1189&amp;" / "&amp;E1189</x:f>
        <x:v>4697 / 2024 / RAINBOW TROUT</x:v>
      </x:c>
    </x:row>
    <x:row r="1190" ht="23" customHeight="1">
      <x:c r="A1190" s="8" t="str">
        <x:v>Goldeye Lake</x:v>
      </x:c>
      <x:c r="B1190" s="8" t="str">
        <x:v>4697</x:v>
      </x:c>
      <x:c r="C1190" s="17" t="n">
        <x:v>2024</x:v>
      </x:c>
      <x:c r="D1190" s="18" t="n">
        <x:v>45419</x:v>
      </x:c>
      <x:c r="E1190" s="8" t="str">
        <x:v>RAINBOW TROUT</x:v>
      </x:c>
      <x:c r="F1190" s="13" t="n">
        <x:v>5000</x:v>
      </x:c>
      <x:c r="G1190" s="9" t="n">
        <x:v>20.8</x:v>
      </x:c>
      <x:c r="H1190" s="9" t="n">
        <x:v>96.7</x:v>
      </x:c>
      <x:c r="I1190" s="8" t="str">
        <x:f>B1190&amp;" / "&amp;C1190&amp;" / "&amp;E1190</x:f>
        <x:v>4697 / 2024 / RAINBOW TROUT</x:v>
      </x:c>
    </x:row>
    <x:row r="1191" ht="23" customHeight="1">
      <x:c r="A1191" s="8" t="str">
        <x:v>Goldeye Lake</x:v>
      </x:c>
      <x:c r="B1191" s="8" t="str">
        <x:v>4697</x:v>
      </x:c>
      <x:c r="C1191" s="17" t="n">
        <x:v>2023</x:v>
      </x:c>
      <x:c r="D1191" s="18" t="n">
        <x:v>45181</x:v>
      </x:c>
      <x:c r="E1191" s="8" t="str">
        <x:v>RAINBOW TROUT</x:v>
      </x:c>
      <x:c r="F1191" s="13" t="n">
        <x:v>5000</x:v>
      </x:c>
      <x:c r="G1191" s="9" t="n">
        <x:v>13.4</x:v>
      </x:c>
      <x:c r="H1191" s="9" t="n">
        <x:v>26.2</x:v>
      </x:c>
      <x:c r="I1191" s="8" t="str">
        <x:f>B1191&amp;" / "&amp;C1191&amp;" / "&amp;E1191</x:f>
        <x:v>4697 / 2023 / RAINBOW TROUT</x:v>
      </x:c>
    </x:row>
    <x:row r="1192" ht="23" customHeight="1">
      <x:c r="A1192" s="8" t="str">
        <x:v>Goldeye Lake</x:v>
      </x:c>
      <x:c r="B1192" s="8" t="str">
        <x:v>4697</x:v>
      </x:c>
      <x:c r="C1192" s="17" t="n">
        <x:v>2023</x:v>
      </x:c>
      <x:c r="D1192" s="18" t="n">
        <x:v>45061</x:v>
      </x:c>
      <x:c r="E1192" s="8" t="str">
        <x:v>RAINBOW TROUT</x:v>
      </x:c>
      <x:c r="F1192" s="13" t="n">
        <x:v>4740</x:v>
      </x:c>
      <x:c r="G1192" s="9" t="n">
        <x:v>17.8</x:v>
      </x:c>
      <x:c r="H1192" s="9" t="n">
        <x:v>61.3</x:v>
      </x:c>
      <x:c r="I1192" s="8" t="str">
        <x:f>B1192&amp;" / "&amp;C1192&amp;" / "&amp;E1192</x:f>
        <x:v>4697 / 2023 / RAINBOW TROUT</x:v>
      </x:c>
    </x:row>
    <x:row r="1193" ht="23" customHeight="1">
      <x:c r="A1193" s="8" t="str">
        <x:v>Goldeye Lake</x:v>
      </x:c>
      <x:c r="B1193" s="8" t="str">
        <x:v>4697</x:v>
      </x:c>
      <x:c r="C1193" s="17" t="n">
        <x:v>2023</x:v>
      </x:c>
      <x:c r="D1193" s="18" t="n">
        <x:v>45060</x:v>
      </x:c>
      <x:c r="E1193" s="8" t="str">
        <x:v>RAINBOW TROUT</x:v>
      </x:c>
      <x:c r="F1193" s="13" t="n">
        <x:v>5000</x:v>
      </x:c>
      <x:c r="G1193" s="9" t="n">
        <x:v>8.9</x:v>
      </x:c>
      <x:c r="H1193" s="9" t="n">
        <x:v>7.9</x:v>
      </x:c>
      <x:c r="I1193" s="8" t="str">
        <x:f>B1193&amp;" / "&amp;C1193&amp;" / "&amp;E1193</x:f>
        <x:v>4697 / 2023 / RAINBOW TROUT</x:v>
      </x:c>
    </x:row>
    <x:row r="1194" ht="23" customHeight="1">
      <x:c r="A1194" s="8" t="str">
        <x:v>Goldeye Lake</x:v>
      </x:c>
      <x:c r="B1194" s="8" t="str">
        <x:v>4697</x:v>
      </x:c>
      <x:c r="C1194" s="17" t="n">
        <x:v>2022</x:v>
      </x:c>
      <x:c r="D1194" s="18" t="n">
        <x:v>44699</x:v>
      </x:c>
      <x:c r="E1194" s="8" t="str">
        <x:v>RAINBOW TROUT</x:v>
      </x:c>
      <x:c r="F1194" s="13" t="n">
        <x:v>10000</x:v>
      </x:c>
      <x:c r="G1194" s="9" t="n">
        <x:v>18.7</x:v>
      </x:c>
      <x:c r="H1194" s="9" t="n">
        <x:v>71.5</x:v>
      </x:c>
      <x:c r="I1194" s="8" t="str">
        <x:f>B1194&amp;" / "&amp;C1194&amp;" / "&amp;E1194</x:f>
        <x:v>4697 / 2022 / RAINBOW TROUT</x:v>
      </x:c>
    </x:row>
    <x:row r="1195" ht="23" customHeight="1">
      <x:c r="A1195" s="8" t="str">
        <x:v>Goldeye Lake</x:v>
      </x:c>
      <x:c r="B1195" s="8" t="str">
        <x:v>4697</x:v>
      </x:c>
      <x:c r="C1195" s="17" t="n">
        <x:v>2021</x:v>
      </x:c>
      <x:c r="D1195" s="18" t="n">
        <x:v>44327</x:v>
      </x:c>
      <x:c r="E1195" s="8" t="str">
        <x:v>RAINBOW TROUT</x:v>
      </x:c>
      <x:c r="F1195" s="13" t="n">
        <x:v>8554</x:v>
      </x:c>
      <x:c r="G1195" s="9" t="n">
        <x:v>21.1</x:v>
      </x:c>
      <x:c r="H1195" s="9" t="n">
        <x:v>104.3</x:v>
      </x:c>
      <x:c r="I1195" s="8" t="str">
        <x:f>B1195&amp;" / "&amp;C1195&amp;" / "&amp;E1195</x:f>
        <x:v>4697 / 2021 / RAINBOW TROUT</x:v>
      </x:c>
    </x:row>
    <x:row r="1196" ht="23" customHeight="1">
      <x:c r="A1196" s="8" t="str">
        <x:v>Goldeye Lake</x:v>
      </x:c>
      <x:c r="B1196" s="8" t="str">
        <x:v>4697</x:v>
      </x:c>
      <x:c r="C1196" s="17" t="n">
        <x:v>2021</x:v>
      </x:c>
      <x:c r="D1196" s="18" t="n">
        <x:v>44326</x:v>
      </x:c>
      <x:c r="E1196" s="8" t="str">
        <x:v>RAINBOW TROUT</x:v>
      </x:c>
      <x:c r="F1196" s="13" t="n">
        <x:v>1446</x:v>
      </x:c>
      <x:c r="G1196" s="9" t="n">
        <x:v>22.2</x:v>
      </x:c>
      <x:c r="H1196" s="9" t="n">
        <x:v>121</x:v>
      </x:c>
      <x:c r="I1196" s="8" t="str">
        <x:f>B1196&amp;" / "&amp;C1196&amp;" / "&amp;E1196</x:f>
        <x:v>4697 / 2021 / RAINBOW TROUT</x:v>
      </x:c>
    </x:row>
    <x:row r="1197" ht="23" customHeight="1">
      <x:c r="A1197" s="8" t="str">
        <x:v>Goldspring Park Pond</x:v>
      </x:c>
      <x:c r="B1197" s="8" t="str">
        <x:v>6818</x:v>
      </x:c>
      <x:c r="C1197" s="17" t="n">
        <x:v>2026</x:v>
      </x:c>
      <x:c r="D1197" s="18" t="n">
        <x:v>46127</x:v>
      </x:c>
      <x:c r="E1197" s="8" t="str">
        <x:v>RAINBOW TROUT</x:v>
      </x:c>
      <x:c r="F1197" s="13" t="n">
        <x:v>2363</x:v>
      </x:c>
      <x:c r="G1197" s="9" t="n">
        <x:v>20.3</x:v>
      </x:c>
      <x:c r="H1197" s="9" t="n">
        <x:v>89.4</x:v>
      </x:c>
      <x:c r="I1197" s="8" t="str">
        <x:f>B1197&amp;" / "&amp;C1197&amp;" / "&amp;E1197</x:f>
        <x:v>6818 / 2026 / RAINBOW TROUT</x:v>
      </x:c>
    </x:row>
    <x:row r="1198" ht="23" customHeight="1">
      <x:c r="A1198" s="8" t="str">
        <x:v>Goldspring Park Pond</x:v>
      </x:c>
      <x:c r="B1198" s="8" t="str">
        <x:v>6818</x:v>
      </x:c>
      <x:c r="C1198" s="17" t="n">
        <x:v>2024</x:v>
      </x:c>
      <x:c r="D1198" s="18" t="n">
        <x:v>45453</x:v>
      </x:c>
      <x:c r="E1198" s="8" t="str">
        <x:v>RAINBOW TROUT</x:v>
      </x:c>
      <x:c r="F1198" s="13" t="n">
        <x:v>50</x:v>
      </x:c>
      <x:c r="G1198" s="9" t="n">
        <x:v>30</x:v>
      </x:c>
      <x:c r="H1198" s="9" t="n">
        <x:v>335</x:v>
      </x:c>
      <x:c r="I1198" s="8" t="str">
        <x:f>B1198&amp;" / "&amp;C1198&amp;" / "&amp;E1198</x:f>
        <x:v>6818 / 2024 / RAINBOW TROUT</x:v>
      </x:c>
    </x:row>
    <x:row r="1199" ht="23" customHeight="1">
      <x:c r="A1199" s="8" t="str">
        <x:v>Goldspring Park Pond</x:v>
      </x:c>
      <x:c r="B1199" s="8" t="str">
        <x:v>6818</x:v>
      </x:c>
      <x:c r="C1199" s="17" t="n">
        <x:v>2024</x:v>
      </x:c>
      <x:c r="D1199" s="18" t="n">
        <x:v>45453</x:v>
      </x:c>
      <x:c r="E1199" s="8" t="str">
        <x:v>RAINBOW TROUT</x:v>
      </x:c>
      <x:c r="F1199" s="13" t="n">
        <x:v>2362</x:v>
      </x:c>
      <x:c r="G1199" s="9" t="n">
        <x:v>21.6</x:v>
      </x:c>
      <x:c r="H1199" s="9" t="n">
        <x:v>88.5</x:v>
      </x:c>
      <x:c r="I1199" s="8" t="str">
        <x:f>B1199&amp;" / "&amp;C1199&amp;" / "&amp;E1199</x:f>
        <x:v>6818 / 2024 / RAINBOW TROUT</x:v>
      </x:c>
    </x:row>
    <x:row r="1200" ht="23" customHeight="1">
      <x:c r="A1200" s="8" t="str">
        <x:v>Goldspring Park Pond</x:v>
      </x:c>
      <x:c r="B1200" s="8" t="str">
        <x:v>6818</x:v>
      </x:c>
      <x:c r="C1200" s="17" t="n">
        <x:v>2024</x:v>
      </x:c>
      <x:c r="D1200" s="18" t="n">
        <x:v>45400</x:v>
      </x:c>
      <x:c r="E1200" s="8" t="str">
        <x:v>RAINBOW TROUT</x:v>
      </x:c>
      <x:c r="F1200" s="13" t="n">
        <x:v>2363</x:v>
      </x:c>
      <x:c r="G1200" s="9" t="n">
        <x:v>20.5</x:v>
      </x:c>
      <x:c r="H1200" s="9" t="n">
        <x:v>93.1</x:v>
      </x:c>
      <x:c r="I1200" s="8" t="str">
        <x:f>B1200&amp;" / "&amp;C1200&amp;" / "&amp;E1200</x:f>
        <x:v>6818 / 2024 / RAINBOW TROUT</x:v>
      </x:c>
    </x:row>
    <x:row r="1201" ht="23" customHeight="1">
      <x:c r="A1201" s="8" t="str">
        <x:v>Goldspring Park Pond</x:v>
      </x:c>
      <x:c r="B1201" s="8" t="str">
        <x:v>6818</x:v>
      </x:c>
      <x:c r="C1201" s="17" t="n">
        <x:v>2023</x:v>
      </x:c>
      <x:c r="D1201" s="18" t="n">
        <x:v>45076</x:v>
      </x:c>
      <x:c r="E1201" s="8" t="str">
        <x:v>RAINBOW TROUT</x:v>
      </x:c>
      <x:c r="F1201" s="13" t="n">
        <x:v>2362</x:v>
      </x:c>
      <x:c r="G1201" s="9" t="n">
        <x:v>20.2</x:v>
      </x:c>
      <x:c r="H1201" s="9" t="n">
        <x:v>90.9</x:v>
      </x:c>
      <x:c r="I1201" s="8" t="str">
        <x:f>B1201&amp;" / "&amp;C1201&amp;" / "&amp;E1201</x:f>
        <x:v>6818 / 2023 / RAINBOW TROUT</x:v>
      </x:c>
    </x:row>
    <x:row r="1202" ht="23" customHeight="1">
      <x:c r="A1202" s="8" t="str">
        <x:v>Goldspring Park Pond</x:v>
      </x:c>
      <x:c r="B1202" s="8" t="str">
        <x:v>6818</x:v>
      </x:c>
      <x:c r="C1202" s="17" t="n">
        <x:v>2023</x:v>
      </x:c>
      <x:c r="D1202" s="18" t="n">
        <x:v>45040</x:v>
      </x:c>
      <x:c r="E1202" s="8" t="str">
        <x:v>RAINBOW TROUT</x:v>
      </x:c>
      <x:c r="F1202" s="13" t="n">
        <x:v>165</x:v>
      </x:c>
      <x:c r="G1202" s="9" t="n">
        <x:v>30</x:v>
      </x:c>
      <x:c r="H1202" s="9" t="n">
        <x:v>239</x:v>
      </x:c>
      <x:c r="I1202" s="8" t="str">
        <x:f>B1202&amp;" / "&amp;C1202&amp;" / "&amp;E1202</x:f>
        <x:v>6818 / 2023 / RAINBOW TROUT</x:v>
      </x:c>
    </x:row>
    <x:row r="1203" ht="23" customHeight="1">
      <x:c r="A1203" s="8" t="str">
        <x:v>Goldspring Park Pond</x:v>
      </x:c>
      <x:c r="B1203" s="8" t="str">
        <x:v>6818</x:v>
      </x:c>
      <x:c r="C1203" s="17" t="n">
        <x:v>2023</x:v>
      </x:c>
      <x:c r="D1203" s="18" t="n">
        <x:v>45040</x:v>
      </x:c>
      <x:c r="E1203" s="8" t="str">
        <x:v>RAINBOW TROUT</x:v>
      </x:c>
      <x:c r="F1203" s="13" t="n">
        <x:v>2363</x:v>
      </x:c>
      <x:c r="G1203" s="9" t="n">
        <x:v>21.7</x:v>
      </x:c>
      <x:c r="H1203" s="9" t="n">
        <x:v>95.5</x:v>
      </x:c>
      <x:c r="I1203" s="8" t="str">
        <x:f>B1203&amp;" / "&amp;C1203&amp;" / "&amp;E1203</x:f>
        <x:v>6818 / 2023 / RAINBOW TROUT</x:v>
      </x:c>
    </x:row>
    <x:row r="1204" ht="23" customHeight="1">
      <x:c r="A1204" s="8" t="str">
        <x:v>Goldspring Park Pond</x:v>
      </x:c>
      <x:c r="B1204" s="8" t="str">
        <x:v>6818</x:v>
      </x:c>
      <x:c r="C1204" s="17" t="n">
        <x:v>2022</x:v>
      </x:c>
      <x:c r="D1204" s="18" t="n">
        <x:v>44726</x:v>
      </x:c>
      <x:c r="E1204" s="8" t="str">
        <x:v>RAINBOW TROUT</x:v>
      </x:c>
      <x:c r="F1204" s="13" t="n">
        <x:v>2362</x:v>
      </x:c>
      <x:c r="G1204" s="9" t="n">
        <x:v>20.6</x:v>
      </x:c>
      <x:c r="H1204" s="9" t="n">
        <x:v>91.3</x:v>
      </x:c>
      <x:c r="I1204" s="8" t="str">
        <x:f>B1204&amp;" / "&amp;C1204&amp;" / "&amp;E1204</x:f>
        <x:v>6818 / 2022 / RAINBOW TROUT</x:v>
      </x:c>
    </x:row>
    <x:row r="1205" ht="23" customHeight="1">
      <x:c r="A1205" s="8" t="str">
        <x:v>Goldspring Park Pond</x:v>
      </x:c>
      <x:c r="B1205" s="8" t="str">
        <x:v>6818</x:v>
      </x:c>
      <x:c r="C1205" s="17" t="n">
        <x:v>2022</x:v>
      </x:c>
      <x:c r="D1205" s="18" t="n">
        <x:v>44675</x:v>
      </x:c>
      <x:c r="E1205" s="8" t="str">
        <x:v>RAINBOW TROUT</x:v>
      </x:c>
      <x:c r="F1205" s="13" t="n">
        <x:v>2363</x:v>
      </x:c>
      <x:c r="G1205" s="9" t="n">
        <x:v>21.1</x:v>
      </x:c>
      <x:c r="H1205" s="9" t="n">
        <x:v>95.6</x:v>
      </x:c>
      <x:c r="I1205" s="8" t="str">
        <x:f>B1205&amp;" / "&amp;C1205&amp;" / "&amp;E1205</x:f>
        <x:v>6818 / 2022 / RAINBOW TROUT</x:v>
      </x:c>
    </x:row>
    <x:row r="1206" ht="23" customHeight="1">
      <x:c r="A1206" s="8" t="str">
        <x:v>Goldspring Park Pond</x:v>
      </x:c>
      <x:c r="B1206" s="8" t="str">
        <x:v>6818</x:v>
      </x:c>
      <x:c r="C1206" s="17" t="n">
        <x:v>2021</x:v>
      </x:c>
      <x:c r="D1206" s="18" t="n">
        <x:v>44363</x:v>
      </x:c>
      <x:c r="E1206" s="8" t="str">
        <x:v>RAINBOW TROUT</x:v>
      </x:c>
      <x:c r="F1206" s="13" t="n">
        <x:v>2362</x:v>
      </x:c>
      <x:c r="G1206" s="9" t="n">
        <x:v>20.3</x:v>
      </x:c>
      <x:c r="H1206" s="9" t="n">
        <x:v>88.6</x:v>
      </x:c>
      <x:c r="I1206" s="8" t="str">
        <x:f>B1206&amp;" / "&amp;C1206&amp;" / "&amp;E1206</x:f>
        <x:v>6818 / 2021 / RAINBOW TROUT</x:v>
      </x:c>
    </x:row>
    <x:row r="1207" ht="23" customHeight="1">
      <x:c r="A1207" s="8" t="str">
        <x:v>Goldspring Park Pond</x:v>
      </x:c>
      <x:c r="B1207" s="8" t="str">
        <x:v>6818</x:v>
      </x:c>
      <x:c r="C1207" s="17" t="n">
        <x:v>2021</x:v>
      </x:c>
      <x:c r="D1207" s="18" t="n">
        <x:v>44299</x:v>
      </x:c>
      <x:c r="E1207" s="8" t="str">
        <x:v>RAINBOW TROUT</x:v>
      </x:c>
      <x:c r="F1207" s="13" t="n">
        <x:v>2363</x:v>
      </x:c>
      <x:c r="G1207" s="9" t="n">
        <x:v>21.4</x:v>
      </x:c>
      <x:c r="H1207" s="9" t="n">
        <x:v>97.3</x:v>
      </x:c>
      <x:c r="I1207" s="8" t="str">
        <x:f>B1207&amp;" / "&amp;C1207&amp;" / "&amp;E1207</x:f>
        <x:v>6818 / 2021 / RAINBOW TROUT</x:v>
      </x:c>
    </x:row>
    <x:row r="1208" ht="23" customHeight="1">
      <x:c r="A1208" s="8" t="str">
        <x:v>Goodwin Reservoir</x:v>
      </x:c>
      <x:c r="B1208" s="8" t="str">
        <x:v>317177</x:v>
      </x:c>
      <x:c r="C1208" s="17" t="n">
        <x:v>2024</x:v>
      </x:c>
      <x:c r="D1208" s="18" t="n">
        <x:v>45457</x:v>
      </x:c>
      <x:c r="E1208" s="8" t="str">
        <x:v>RAINBOW TROUT</x:v>
      </x:c>
      <x:c r="F1208" s="13" t="n">
        <x:v>350</x:v>
      </x:c>
      <x:c r="G1208" s="9" t="n">
        <x:v>21.5</x:v>
      </x:c>
      <x:c r="H1208" s="9" t="n">
        <x:v>108</x:v>
      </x:c>
      <x:c r="I1208" s="8" t="str">
        <x:f>B1208&amp;" / "&amp;C1208&amp;" / "&amp;E1208</x:f>
        <x:v>317177 / 2024 / RAINBOW TROUT</x:v>
      </x:c>
    </x:row>
    <x:row r="1209" ht="23" customHeight="1">
      <x:c r="A1209" s="8" t="str">
        <x:v>Goodwin Reservoir</x:v>
      </x:c>
      <x:c r="B1209" s="8" t="str">
        <x:v>317177</x:v>
      </x:c>
      <x:c r="C1209" s="17" t="n">
        <x:v>2023</x:v>
      </x:c>
      <x:c r="D1209" s="18" t="n">
        <x:v>45092</x:v>
      </x:c>
      <x:c r="E1209" s="8" t="str">
        <x:v>RAINBOW TROUT</x:v>
      </x:c>
      <x:c r="F1209" s="13" t="n">
        <x:v>325</x:v>
      </x:c>
      <x:c r="G1209" s="9" t="n">
        <x:v>21</x:v>
      </x:c>
      <x:c r="H1209" s="9" t="n">
        <x:v>102.2</x:v>
      </x:c>
      <x:c r="I1209" s="8" t="str">
        <x:f>B1209&amp;" / "&amp;C1209&amp;" / "&amp;E1209</x:f>
        <x:v>317177 / 2023 / RAINBOW TROUT</x:v>
      </x:c>
    </x:row>
    <x:row r="1210" ht="23" customHeight="1">
      <x:c r="A1210" s="8" t="str">
        <x:v>Goose Lake</x:v>
      </x:c>
      <x:c r="B1210" s="8" t="str">
        <x:v>4708</x:v>
      </x:c>
      <x:c r="C1210" s="17" t="n">
        <x:v>2025</x:v>
      </x:c>
      <x:c r="D1210" s="18" t="n">
        <x:v>45808</x:v>
      </x:c>
      <x:c r="E1210" s="8" t="str">
        <x:v>WALLEYE</x:v>
      </x:c>
      <x:c r="F1210" s="13" t="n">
        <x:v>272700</x:v>
      </x:c>
      <x:c r="G1210" s="9" t="n">
        <x:v>0.4</x:v>
      </x:c>
      <x:c r="H1210" s="9" t="str">
        <x:v>Unknown</x:v>
      </x:c>
      <x:c r="I1210" s="8" t="str">
        <x:f>B1210&amp;" / "&amp;C1210&amp;" / "&amp;E1210</x:f>
        <x:v>4708 / 2025 / WALLEYE</x:v>
      </x:c>
    </x:row>
    <x:row r="1211" ht="23" customHeight="1">
      <x:c r="A1211" s="8" t="str">
        <x:v>Goose Lake</x:v>
      </x:c>
      <x:c r="B1211" s="8" t="str">
        <x:v>4708</x:v>
      </x:c>
      <x:c r="C1211" s="17" t="n">
        <x:v>2024</x:v>
      </x:c>
      <x:c r="D1211" s="18" t="n">
        <x:v>45447</x:v>
      </x:c>
      <x:c r="E1211" s="8" t="str">
        <x:v>WALLEYE</x:v>
      </x:c>
      <x:c r="F1211" s="13" t="n">
        <x:v>354097</x:v>
      </x:c>
      <x:c r="G1211" s="9" t="n">
        <x:v>0</x:v>
      </x:c>
      <x:c r="H1211" s="9" t="str">
        <x:v>Unknown</x:v>
      </x:c>
      <x:c r="I1211" s="8" t="str">
        <x:f>B1211&amp;" / "&amp;C1211&amp;" / "&amp;E1211</x:f>
        <x:v>4708 / 2024 / WALLEYE</x:v>
      </x:c>
    </x:row>
    <x:row r="1212" ht="23" customHeight="1">
      <x:c r="A1212" s="8" t="str">
        <x:v>Goose Lake</x:v>
      </x:c>
      <x:c r="B1212" s="8" t="str">
        <x:v>4708</x:v>
      </x:c>
      <x:c r="C1212" s="17" t="n">
        <x:v>2023</x:v>
      </x:c>
      <x:c r="D1212" s="18" t="n">
        <x:v>45081</x:v>
      </x:c>
      <x:c r="E1212" s="8" t="str">
        <x:v>WALLEYE</x:v>
      </x:c>
      <x:c r="F1212" s="13" t="n">
        <x:v>117099</x:v>
      </x:c>
      <x:c r="G1212" s="9" t="n">
        <x:v>0.4</x:v>
      </x:c>
      <x:c r="H1212" s="9" t="n">
        <x:v>0</x:v>
      </x:c>
      <x:c r="I1212" s="8" t="str">
        <x:f>B1212&amp;" / "&amp;C1212&amp;" / "&amp;E1212</x:f>
        <x:v>4708 / 2023 / WALLEYE</x:v>
      </x:c>
    </x:row>
    <x:row r="1213" ht="23" customHeight="1">
      <x:c r="A1213" s="8" t="str">
        <x:v>Gooseberry Park Pond</x:v>
      </x:c>
      <x:c r="B1213" s="8" t="str">
        <x:v>6809</x:v>
      </x:c>
      <x:c r="C1213" s="17" t="n">
        <x:v>2026</x:v>
      </x:c>
      <x:c r="D1213" s="18" t="n">
        <x:v>46142</x:v>
      </x:c>
      <x:c r="E1213" s="8" t="str">
        <x:v>RAINBOW TROUT</x:v>
      </x:c>
      <x:c r="F1213" s="13" t="n">
        <x:v>2800</x:v>
      </x:c>
      <x:c r="G1213" s="9" t="n">
        <x:v>20.1</x:v>
      </x:c>
      <x:c r="H1213" s="9" t="n">
        <x:v>92.6</x:v>
      </x:c>
      <x:c r="I1213" s="8" t="str">
        <x:f>B1213&amp;" / "&amp;C1213&amp;" / "&amp;E1213</x:f>
        <x:v>6809 / 2026 / RAINBOW TROUT</x:v>
      </x:c>
    </x:row>
    <x:row r="1214" ht="23" customHeight="1">
      <x:c r="A1214" s="8" t="str">
        <x:v>Gooseberry Park Pond</x:v>
      </x:c>
      <x:c r="B1214" s="8" t="str">
        <x:v>6809</x:v>
      </x:c>
      <x:c r="C1214" s="17" t="n">
        <x:v>2025</x:v>
      </x:c>
      <x:c r="D1214" s="18" t="n">
        <x:v>45782</x:v>
      </x:c>
      <x:c r="E1214" s="8" t="str">
        <x:v>RAINBOW TROUT</x:v>
      </x:c>
      <x:c r="F1214" s="13" t="n">
        <x:v>3000</x:v>
      </x:c>
      <x:c r="G1214" s="9" t="n">
        <x:v>20.4</x:v>
      </x:c>
      <x:c r="H1214" s="9" t="n">
        <x:v>93.3</x:v>
      </x:c>
      <x:c r="I1214" s="8" t="str">
        <x:f>B1214&amp;" / "&amp;C1214&amp;" / "&amp;E1214</x:f>
        <x:v>6809 / 2025 / RAINBOW TROUT</x:v>
      </x:c>
    </x:row>
    <x:row r="1215" ht="23" customHeight="1">
      <x:c r="A1215" s="8" t="str">
        <x:v>Gooseberry Park Pond</x:v>
      </x:c>
      <x:c r="B1215" s="8" t="str">
        <x:v>6809</x:v>
      </x:c>
      <x:c r="C1215" s="17" t="n">
        <x:v>2024</x:v>
      </x:c>
      <x:c r="D1215" s="18" t="n">
        <x:v>45405</x:v>
      </x:c>
      <x:c r="E1215" s="8" t="str">
        <x:v>RAINBOW TROUT</x:v>
      </x:c>
      <x:c r="F1215" s="13" t="n">
        <x:v>3500</x:v>
      </x:c>
      <x:c r="G1215" s="9" t="n">
        <x:v>20.5</x:v>
      </x:c>
      <x:c r="H1215" s="9" t="n">
        <x:v>92.3</x:v>
      </x:c>
      <x:c r="I1215" s="8" t="str">
        <x:f>B1215&amp;" / "&amp;C1215&amp;" / "&amp;E1215</x:f>
        <x:v>6809 / 2024 / RAINBOW TROUT</x:v>
      </x:c>
    </x:row>
    <x:row r="1216" ht="23" customHeight="1">
      <x:c r="A1216" s="8" t="str">
        <x:v>Gooseberry Park Pond</x:v>
      </x:c>
      <x:c r="B1216" s="8" t="str">
        <x:v>6809</x:v>
      </x:c>
      <x:c r="C1216" s="17" t="n">
        <x:v>2023</x:v>
      </x:c>
      <x:c r="D1216" s="18" t="n">
        <x:v>45047</x:v>
      </x:c>
      <x:c r="E1216" s="8" t="str">
        <x:v>RAINBOW TROUT</x:v>
      </x:c>
      <x:c r="F1216" s="13" t="n">
        <x:v>3500</x:v>
      </x:c>
      <x:c r="G1216" s="9" t="n">
        <x:v>20.5</x:v>
      </x:c>
      <x:c r="H1216" s="9" t="n">
        <x:v>89.9</x:v>
      </x:c>
      <x:c r="I1216" s="8" t="str">
        <x:f>B1216&amp;" / "&amp;C1216&amp;" / "&amp;E1216</x:f>
        <x:v>6809 / 2023 / RAINBOW TROUT</x:v>
      </x:c>
    </x:row>
    <x:row r="1217" ht="23" customHeight="1">
      <x:c r="A1217" s="8" t="str">
        <x:v>Gooseberry Park Pond</x:v>
      </x:c>
      <x:c r="B1217" s="8" t="str">
        <x:v>6809</x:v>
      </x:c>
      <x:c r="C1217" s="17" t="n">
        <x:v>2022</x:v>
      </x:c>
      <x:c r="D1217" s="18" t="n">
        <x:v>44693</x:v>
      </x:c>
      <x:c r="E1217" s="8" t="str">
        <x:v>RAINBOW TROUT</x:v>
      </x:c>
      <x:c r="F1217" s="13" t="n">
        <x:v>3400</x:v>
      </x:c>
      <x:c r="G1217" s="9" t="n">
        <x:v>20.7</x:v>
      </x:c>
      <x:c r="H1217" s="9" t="n">
        <x:v>97.3</x:v>
      </x:c>
      <x:c r="I1217" s="8" t="str">
        <x:f>B1217&amp;" / "&amp;C1217&amp;" / "&amp;E1217</x:f>
        <x:v>6809 / 2022 / RAINBOW TROUT</x:v>
      </x:c>
    </x:row>
    <x:row r="1218" ht="23" customHeight="1">
      <x:c r="A1218" s="8" t="str">
        <x:v>Gooseberry Park Pond</x:v>
      </x:c>
      <x:c r="B1218" s="8" t="str">
        <x:v>6809</x:v>
      </x:c>
      <x:c r="C1218" s="17" t="n">
        <x:v>2021</x:v>
      </x:c>
      <x:c r="D1218" s="18" t="n">
        <x:v>44362</x:v>
      </x:c>
      <x:c r="E1218" s="8" t="str">
        <x:v>RAINBOW TROUT</x:v>
      </x:c>
      <x:c r="F1218" s="13" t="n">
        <x:v>1400</x:v>
      </x:c>
      <x:c r="G1218" s="9" t="n">
        <x:v>20.5</x:v>
      </x:c>
      <x:c r="H1218" s="9" t="n">
        <x:v>89.8</x:v>
      </x:c>
      <x:c r="I1218" s="8" t="str">
        <x:f>B1218&amp;" / "&amp;C1218&amp;" / "&amp;E1218</x:f>
        <x:v>6809 / 2021 / RAINBOW TROUT</x:v>
      </x:c>
    </x:row>
    <x:row r="1219" ht="23" customHeight="1">
      <x:c r="A1219" s="8" t="str">
        <x:v>Gooseberry Park Pond</x:v>
      </x:c>
      <x:c r="B1219" s="8" t="str">
        <x:v>6809</x:v>
      </x:c>
      <x:c r="C1219" s="17" t="n">
        <x:v>2021</x:v>
      </x:c>
      <x:c r="D1219" s="18" t="n">
        <x:v>44318</x:v>
      </x:c>
      <x:c r="E1219" s="8" t="str">
        <x:v>RAINBOW TROUT</x:v>
      </x:c>
      <x:c r="F1219" s="13" t="n">
        <x:v>2000</x:v>
      </x:c>
      <x:c r="G1219" s="9" t="n">
        <x:v>20.4</x:v>
      </x:c>
      <x:c r="H1219" s="9" t="n">
        <x:v>95.6</x:v>
      </x:c>
      <x:c r="I1219" s="8" t="str">
        <x:f>B1219&amp;" / "&amp;C1219&amp;" / "&amp;E1219</x:f>
        <x:v>6809 / 2021 / RAINBOW TROUT</x:v>
      </x:c>
    </x:row>
    <x:row r="1220" ht="23" customHeight="1">
      <x:c r="A1220" s="8" t="str">
        <x:v>Grande Cache Lake</x:v>
      </x:c>
      <x:c r="B1220" s="8" t="str">
        <x:v>4725</x:v>
      </x:c>
      <x:c r="C1220" s="17" t="n">
        <x:v>2026</x:v>
      </x:c>
      <x:c r="D1220" s="18" t="n">
        <x:v>46176</x:v>
      </x:c>
      <x:c r="E1220" s="8" t="str">
        <x:v>RAINBOW TROUT</x:v>
      </x:c>
      <x:c r="F1220" s="13" t="n">
        <x:v>15000</x:v>
      </x:c>
      <x:c r="G1220" s="9" t="n">
        <x:v>20.4</x:v>
      </x:c>
      <x:c r="H1220" s="9" t="n">
        <x:v>94.3</x:v>
      </x:c>
      <x:c r="I1220" s="8" t="str">
        <x:f>B1220&amp;" / "&amp;C1220&amp;" / "&amp;E1220</x:f>
        <x:v>4725 / 2026 / RAINBOW TROUT</x:v>
      </x:c>
    </x:row>
    <x:row r="1221" ht="23" customHeight="1">
      <x:c r="A1221" s="8" t="str">
        <x:v>Grande Cache Lake</x:v>
      </x:c>
      <x:c r="B1221" s="8" t="str">
        <x:v>4725</x:v>
      </x:c>
      <x:c r="C1221" s="17" t="n">
        <x:v>2026</x:v>
      </x:c>
      <x:c r="D1221" s="18" t="n">
        <x:v>46170</x:v>
      </x:c>
      <x:c r="E1221" s="8" t="str">
        <x:v>RAINBOW TROUT</x:v>
      </x:c>
      <x:c r="F1221" s="13" t="n">
        <x:v>10045</x:v>
      </x:c>
      <x:c r="G1221" s="9" t="n">
        <x:v>20.7</x:v>
      </x:c>
      <x:c r="H1221" s="9" t="n">
        <x:v>95.3</x:v>
      </x:c>
      <x:c r="I1221" s="8" t="str">
        <x:f>B1221&amp;" / "&amp;C1221&amp;" / "&amp;E1221</x:f>
        <x:v>4725 / 2026 / RAINBOW TROUT</x:v>
      </x:c>
    </x:row>
    <x:row r="1222" ht="23" customHeight="1">
      <x:c r="A1222" s="8" t="str">
        <x:v>Grande Cache Lake</x:v>
      </x:c>
      <x:c r="B1222" s="8" t="str">
        <x:v>4725</x:v>
      </x:c>
      <x:c r="C1222" s="17" t="n">
        <x:v>2025</x:v>
      </x:c>
      <x:c r="D1222" s="18" t="n">
        <x:v>45916</x:v>
      </x:c>
      <x:c r="E1222" s="8" t="str">
        <x:v>RAINBOW TROUT</x:v>
      </x:c>
      <x:c r="F1222" s="13" t="n">
        <x:v>15000</x:v>
      </x:c>
      <x:c r="G1222" s="9" t="n">
        <x:v>20.4</x:v>
      </x:c>
      <x:c r="H1222" s="9" t="n">
        <x:v>94.4</x:v>
      </x:c>
      <x:c r="I1222" s="8" t="str">
        <x:f>B1222&amp;" / "&amp;C1222&amp;" / "&amp;E1222</x:f>
        <x:v>4725 / 2025 / RAINBOW TROUT</x:v>
      </x:c>
    </x:row>
    <x:row r="1223" ht="23" customHeight="1">
      <x:c r="A1223" s="8" t="str">
        <x:v>Grande Cache Lake</x:v>
      </x:c>
      <x:c r="B1223" s="8" t="str">
        <x:v>4725</x:v>
      </x:c>
      <x:c r="C1223" s="17" t="n">
        <x:v>2025</x:v>
      </x:c>
      <x:c r="D1223" s="18" t="n">
        <x:v>45826</x:v>
      </x:c>
      <x:c r="E1223" s="8" t="str">
        <x:v>RAINBOW TROUT</x:v>
      </x:c>
      <x:c r="F1223" s="13" t="n">
        <x:v>10037</x:v>
      </x:c>
      <x:c r="G1223" s="9" t="n">
        <x:v>20.5</x:v>
      </x:c>
      <x:c r="H1223" s="9" t="n">
        <x:v>88.1</x:v>
      </x:c>
      <x:c r="I1223" s="8" t="str">
        <x:f>B1223&amp;" / "&amp;C1223&amp;" / "&amp;E1223</x:f>
        <x:v>4725 / 2025 / RAINBOW TROUT</x:v>
      </x:c>
    </x:row>
    <x:row r="1224" ht="23" customHeight="1">
      <x:c r="A1224" s="8" t="str">
        <x:v>Grande Cache Lake</x:v>
      </x:c>
      <x:c r="B1224" s="8" t="str">
        <x:v>4725</x:v>
      </x:c>
      <x:c r="C1224" s="17" t="n">
        <x:v>2025</x:v>
      </x:c>
      <x:c r="D1224" s="18" t="n">
        <x:v>45790</x:v>
      </x:c>
      <x:c r="E1224" s="8" t="str">
        <x:v>RAINBOW TROUT</x:v>
      </x:c>
      <x:c r="F1224" s="13" t="n">
        <x:v>15000</x:v>
      </x:c>
      <x:c r="G1224" s="9" t="n">
        <x:v>12</x:v>
      </x:c>
      <x:c r="H1224" s="9" t="n">
        <x:v>18.4</x:v>
      </x:c>
      <x:c r="I1224" s="8" t="str">
        <x:f>B1224&amp;" / "&amp;C1224&amp;" / "&amp;E1224</x:f>
        <x:v>4725 / 2025 / RAINBOW TROUT</x:v>
      </x:c>
    </x:row>
    <x:row r="1225" ht="23" customHeight="1">
      <x:c r="A1225" s="8" t="str">
        <x:v>Grande Cache Lake</x:v>
      </x:c>
      <x:c r="B1225" s="8" t="str">
        <x:v>4725</x:v>
      </x:c>
      <x:c r="C1225" s="17" t="n">
        <x:v>2024</x:v>
      </x:c>
      <x:c r="D1225" s="18" t="n">
        <x:v>45553</x:v>
      </x:c>
      <x:c r="E1225" s="8" t="str">
        <x:v>RAINBOW TROUT</x:v>
      </x:c>
      <x:c r="F1225" s="13" t="n">
        <x:v>10000</x:v>
      </x:c>
      <x:c r="G1225" s="9" t="n">
        <x:v>7.1</x:v>
      </x:c>
      <x:c r="H1225" s="9" t="n">
        <x:v>3.9</x:v>
      </x:c>
      <x:c r="I1225" s="8" t="str">
        <x:f>B1225&amp;" / "&amp;C1225&amp;" / "&amp;E1225</x:f>
        <x:v>4725 / 2024 / RAINBOW TROUT</x:v>
      </x:c>
    </x:row>
    <x:row r="1226" ht="23" customHeight="1">
      <x:c r="A1226" s="8" t="str">
        <x:v>Grande Cache Lake</x:v>
      </x:c>
      <x:c r="B1226" s="8" t="str">
        <x:v>4725</x:v>
      </x:c>
      <x:c r="C1226" s="17" t="n">
        <x:v>2024</x:v>
      </x:c>
      <x:c r="D1226" s="18" t="n">
        <x:v>45551</x:v>
      </x:c>
      <x:c r="E1226" s="8" t="str">
        <x:v>RAINBOW TROUT</x:v>
      </x:c>
      <x:c r="F1226" s="13" t="n">
        <x:v>15000</x:v>
      </x:c>
      <x:c r="G1226" s="9" t="n">
        <x:v>21.2</x:v>
      </x:c>
      <x:c r="H1226" s="9" t="n">
        <x:v>105.3</x:v>
      </x:c>
      <x:c r="I1226" s="8" t="str">
        <x:f>B1226&amp;" / "&amp;C1226&amp;" / "&amp;E1226</x:f>
        <x:v>4725 / 2024 / RAINBOW TROUT</x:v>
      </x:c>
    </x:row>
    <x:row r="1227" ht="23" customHeight="1">
      <x:c r="A1227" s="8" t="str">
        <x:v>Grande Cache Lake</x:v>
      </x:c>
      <x:c r="B1227" s="8" t="str">
        <x:v>4725</x:v>
      </x:c>
      <x:c r="C1227" s="17" t="n">
        <x:v>2024</x:v>
      </x:c>
      <x:c r="D1227" s="18" t="n">
        <x:v>45422</x:v>
      </x:c>
      <x:c r="E1227" s="8" t="str">
        <x:v>RAINBOW TROUT</x:v>
      </x:c>
      <x:c r="F1227" s="13" t="n">
        <x:v>8000</x:v>
      </x:c>
      <x:c r="G1227" s="9" t="n">
        <x:v>19.9</x:v>
      </x:c>
      <x:c r="H1227" s="9" t="n">
        <x:v>85.5</x:v>
      </x:c>
      <x:c r="I1227" s="8" t="str">
        <x:f>B1227&amp;" / "&amp;C1227&amp;" / "&amp;E1227</x:f>
        <x:v>4725 / 2024 / RAINBOW TROUT</x:v>
      </x:c>
    </x:row>
    <x:row r="1228" ht="23" customHeight="1">
      <x:c r="A1228" s="8" t="str">
        <x:v>Grande Cache Lake</x:v>
      </x:c>
      <x:c r="B1228" s="8" t="str">
        <x:v>4725</x:v>
      </x:c>
      <x:c r="C1228" s="17" t="n">
        <x:v>2024</x:v>
      </x:c>
      <x:c r="D1228" s="18" t="n">
        <x:v>45421</x:v>
      </x:c>
      <x:c r="E1228" s="8" t="str">
        <x:v>RAINBOW TROUT</x:v>
      </x:c>
      <x:c r="F1228" s="13" t="n">
        <x:v>1500</x:v>
      </x:c>
      <x:c r="G1228" s="9" t="n">
        <x:v>9.2</x:v>
      </x:c>
      <x:c r="H1228" s="9" t="n">
        <x:v>8.5</x:v>
      </x:c>
      <x:c r="I1228" s="8" t="str">
        <x:f>B1228&amp;" / "&amp;C1228&amp;" / "&amp;E1228</x:f>
        <x:v>4725 / 2024 / RAINBOW TROUT</x:v>
      </x:c>
    </x:row>
    <x:row r="1229" ht="23" customHeight="1">
      <x:c r="A1229" s="8" t="str">
        <x:v>Grande Cache Lake</x:v>
      </x:c>
      <x:c r="B1229" s="8" t="str">
        <x:v>4725</x:v>
      </x:c>
      <x:c r="C1229" s="17" t="n">
        <x:v>2024</x:v>
      </x:c>
      <x:c r="D1229" s="18" t="n">
        <x:v>45421</x:v>
      </x:c>
      <x:c r="E1229" s="8" t="str">
        <x:v>RAINBOW TROUT</x:v>
      </x:c>
      <x:c r="F1229" s="13" t="n">
        <x:v>13500</x:v>
      </x:c>
      <x:c r="G1229" s="9" t="n">
        <x:v>9.2</x:v>
      </x:c>
      <x:c r="H1229" s="9" t="n">
        <x:v>8.5</x:v>
      </x:c>
      <x:c r="I1229" s="8" t="str">
        <x:f>B1229&amp;" / "&amp;C1229&amp;" / "&amp;E1229</x:f>
        <x:v>4725 / 2024 / RAINBOW TROUT</x:v>
      </x:c>
    </x:row>
    <x:row r="1230" ht="23" customHeight="1">
      <x:c r="A1230" s="8" t="str">
        <x:v>Grande Cache Lake</x:v>
      </x:c>
      <x:c r="B1230" s="8" t="str">
        <x:v>4725</x:v>
      </x:c>
      <x:c r="C1230" s="17" t="n">
        <x:v>2023</x:v>
      </x:c>
      <x:c r="D1230" s="18" t="n">
        <x:v>45181</x:v>
      </x:c>
      <x:c r="E1230" s="8" t="str">
        <x:v>RAINBOW TROUT</x:v>
      </x:c>
      <x:c r="F1230" s="13" t="n">
        <x:v>5001</x:v>
      </x:c>
      <x:c r="G1230" s="9" t="n">
        <x:v>14.8</x:v>
      </x:c>
      <x:c r="H1230" s="9" t="n">
        <x:v>33.1</x:v>
      </x:c>
      <x:c r="I1230" s="8" t="str">
        <x:f>B1230&amp;" / "&amp;C1230&amp;" / "&amp;E1230</x:f>
        <x:v>4725 / 2023 / RAINBOW TROUT</x:v>
      </x:c>
    </x:row>
    <x:row r="1231" ht="23" customHeight="1">
      <x:c r="A1231" s="8" t="str">
        <x:v>Grande Cache Lake</x:v>
      </x:c>
      <x:c r="B1231" s="8" t="str">
        <x:v>4725</x:v>
      </x:c>
      <x:c r="C1231" s="17" t="n">
        <x:v>2023</x:v>
      </x:c>
      <x:c r="D1231" s="18" t="n">
        <x:v>45075</x:v>
      </x:c>
      <x:c r="E1231" s="8" t="str">
        <x:v>RAINBOW TROUT</x:v>
      </x:c>
      <x:c r="F1231" s="13" t="n">
        <x:v>8332</x:v>
      </x:c>
      <x:c r="G1231" s="9" t="n">
        <x:v>17.6</x:v>
      </x:c>
      <x:c r="H1231" s="9" t="n">
        <x:v>58.7</x:v>
      </x:c>
      <x:c r="I1231" s="8" t="str">
        <x:f>B1231&amp;" / "&amp;C1231&amp;" / "&amp;E1231</x:f>
        <x:v>4725 / 2023 / RAINBOW TROUT</x:v>
      </x:c>
    </x:row>
    <x:row r="1232" ht="23" customHeight="1">
      <x:c r="A1232" s="8" t="str">
        <x:v>Grande Cache Lake</x:v>
      </x:c>
      <x:c r="B1232" s="8" t="str">
        <x:v>4725</x:v>
      </x:c>
      <x:c r="C1232" s="17" t="n">
        <x:v>2023</x:v>
      </x:c>
      <x:c r="D1232" s="18" t="n">
        <x:v>45060</x:v>
      </x:c>
      <x:c r="E1232" s="8" t="str">
        <x:v>RAINBOW TROUT</x:v>
      </x:c>
      <x:c r="F1232" s="13" t="n">
        <x:v>20000</x:v>
      </x:c>
      <x:c r="G1232" s="9" t="n">
        <x:v>9.6</x:v>
      </x:c>
      <x:c r="H1232" s="9" t="n">
        <x:v>9.8</x:v>
      </x:c>
      <x:c r="I1232" s="8" t="str">
        <x:f>B1232&amp;" / "&amp;C1232&amp;" / "&amp;E1232</x:f>
        <x:v>4725 / 2023 / RAINBOW TROUT</x:v>
      </x:c>
    </x:row>
    <x:row r="1233" ht="23" customHeight="1">
      <x:c r="A1233" s="8" t="str">
        <x:v>Grande Cache Lake</x:v>
      </x:c>
      <x:c r="B1233" s="8" t="str">
        <x:v>4725</x:v>
      </x:c>
      <x:c r="C1233" s="17" t="n">
        <x:v>2022</x:v>
      </x:c>
      <x:c r="D1233" s="18" t="n">
        <x:v>44829</x:v>
      </x:c>
      <x:c r="E1233" s="8" t="str">
        <x:v>RAINBOW TROUT</x:v>
      </x:c>
      <x:c r="F1233" s="13" t="n">
        <x:v>15000</x:v>
      </x:c>
      <x:c r="G1233" s="9" t="n">
        <x:v>17.9</x:v>
      </x:c>
      <x:c r="H1233" s="9" t="n">
        <x:v>62.9</x:v>
      </x:c>
      <x:c r="I1233" s="8" t="str">
        <x:f>B1233&amp;" / "&amp;C1233&amp;" / "&amp;E1233</x:f>
        <x:v>4725 / 2022 / RAINBOW TROUT</x:v>
      </x:c>
    </x:row>
    <x:row r="1234" ht="23" customHeight="1">
      <x:c r="A1234" s="8" t="str">
        <x:v>Grande Cache Lake</x:v>
      </x:c>
      <x:c r="B1234" s="8" t="str">
        <x:v>4725</x:v>
      </x:c>
      <x:c r="C1234" s="17" t="n">
        <x:v>2022</x:v>
      </x:c>
      <x:c r="D1234" s="18" t="n">
        <x:v>44704</x:v>
      </x:c>
      <x:c r="E1234" s="8" t="str">
        <x:v>RAINBOW TROUT</x:v>
      </x:c>
      <x:c r="F1234" s="13" t="n">
        <x:v>6210</x:v>
      </x:c>
      <x:c r="G1234" s="9" t="n">
        <x:v>20.7</x:v>
      </x:c>
      <x:c r="H1234" s="9" t="n">
        <x:v>97.1</x:v>
      </x:c>
      <x:c r="I1234" s="8" t="str">
        <x:f>B1234&amp;" / "&amp;C1234&amp;" / "&amp;E1234</x:f>
        <x:v>4725 / 2022 / RAINBOW TROUT</x:v>
      </x:c>
    </x:row>
    <x:row r="1235" ht="23" customHeight="1">
      <x:c r="A1235" s="8" t="str">
        <x:v>Grande Cache Lake</x:v>
      </x:c>
      <x:c r="B1235" s="8" t="str">
        <x:v>4725</x:v>
      </x:c>
      <x:c r="C1235" s="17" t="n">
        <x:v>2022</x:v>
      </x:c>
      <x:c r="D1235" s="18" t="n">
        <x:v>44700</x:v>
      </x:c>
      <x:c r="E1235" s="8" t="str">
        <x:v>RAINBOW TROUT</x:v>
      </x:c>
      <x:c r="F1235" s="13" t="n">
        <x:v>2790</x:v>
      </x:c>
      <x:c r="G1235" s="9" t="n">
        <x:v>21.4</x:v>
      </x:c>
      <x:c r="H1235" s="9" t="n">
        <x:v>106.8</x:v>
      </x:c>
      <x:c r="I1235" s="8" t="str">
        <x:f>B1235&amp;" / "&amp;C1235&amp;" / "&amp;E1235</x:f>
        <x:v>4725 / 2022 / RAINBOW TROUT</x:v>
      </x:c>
    </x:row>
    <x:row r="1236" ht="23" customHeight="1">
      <x:c r="A1236" s="8" t="str">
        <x:v>Grande Cache Lake</x:v>
      </x:c>
      <x:c r="B1236" s="8" t="str">
        <x:v>4725</x:v>
      </x:c>
      <x:c r="C1236" s="17" t="n">
        <x:v>2022</x:v>
      </x:c>
      <x:c r="D1236" s="18" t="n">
        <x:v>44700</x:v>
      </x:c>
      <x:c r="E1236" s="8" t="str">
        <x:v>RAINBOW TROUT</x:v>
      </x:c>
      <x:c r="F1236" s="13" t="n">
        <x:v>16000</x:v>
      </x:c>
      <x:c r="G1236" s="9" t="n">
        <x:v>18.9</x:v>
      </x:c>
      <x:c r="H1236" s="9" t="n">
        <x:v>73.9</x:v>
      </x:c>
      <x:c r="I1236" s="8" t="str">
        <x:f>B1236&amp;" / "&amp;C1236&amp;" / "&amp;E1236</x:f>
        <x:v>4725 / 2022 / RAINBOW TROUT</x:v>
      </x:c>
    </x:row>
    <x:row r="1237" ht="23" customHeight="1">
      <x:c r="A1237" s="8" t="str">
        <x:v>Grande Cache Lake</x:v>
      </x:c>
      <x:c r="B1237" s="8" t="str">
        <x:v>4725</x:v>
      </x:c>
      <x:c r="C1237" s="17" t="n">
        <x:v>2021</x:v>
      </x:c>
      <x:c r="D1237" s="18" t="n">
        <x:v>44472</x:v>
      </x:c>
      <x:c r="E1237" s="8" t="str">
        <x:v>RAINBOW TROUT</x:v>
      </x:c>
      <x:c r="F1237" s="13" t="n">
        <x:v>3900</x:v>
      </x:c>
      <x:c r="G1237" s="9" t="n">
        <x:v>17</x:v>
      </x:c>
      <x:c r="H1237" s="9" t="n">
        <x:v>54.4</x:v>
      </x:c>
      <x:c r="I1237" s="8" t="str">
        <x:f>B1237&amp;" / "&amp;C1237&amp;" / "&amp;E1237</x:f>
        <x:v>4725 / 2021 / RAINBOW TROUT</x:v>
      </x:c>
    </x:row>
    <x:row r="1238" ht="23" customHeight="1">
      <x:c r="A1238" s="8" t="str">
        <x:v>Grande Cache Lake</x:v>
      </x:c>
      <x:c r="B1238" s="8" t="str">
        <x:v>4725</x:v>
      </x:c>
      <x:c r="C1238" s="17" t="n">
        <x:v>2021</x:v>
      </x:c>
      <x:c r="D1238" s="18" t="n">
        <x:v>44466</x:v>
      </x:c>
      <x:c r="E1238" s="8" t="str">
        <x:v>RAINBOW TROUT</x:v>
      </x:c>
      <x:c r="F1238" s="13" t="n">
        <x:v>11739</x:v>
      </x:c>
      <x:c r="G1238" s="9" t="n">
        <x:v>17</x:v>
      </x:c>
      <x:c r="H1238" s="9" t="n">
        <x:v>54</x:v>
      </x:c>
      <x:c r="I1238" s="8" t="str">
        <x:f>B1238&amp;" / "&amp;C1238&amp;" / "&amp;E1238</x:f>
        <x:v>4725 / 2021 / RAINBOW TROUT</x:v>
      </x:c>
    </x:row>
    <x:row r="1239" ht="23" customHeight="1">
      <x:c r="A1239" s="8" t="str">
        <x:v>Grande Cache Lake</x:v>
      </x:c>
      <x:c r="B1239" s="8" t="str">
        <x:v>4725</x:v>
      </x:c>
      <x:c r="C1239" s="17" t="n">
        <x:v>2021</x:v>
      </x:c>
      <x:c r="D1239" s="18" t="n">
        <x:v>44348</x:v>
      </x:c>
      <x:c r="E1239" s="8" t="str">
        <x:v>RAINBOW TROUT</x:v>
      </x:c>
      <x:c r="F1239" s="13" t="n">
        <x:v>17500</x:v>
      </x:c>
      <x:c r="G1239" s="9" t="n">
        <x:v>14.6</x:v>
      </x:c>
      <x:c r="H1239" s="9" t="n">
        <x:v>34.6</x:v>
      </x:c>
      <x:c r="I1239" s="8" t="str">
        <x:f>B1239&amp;" / "&amp;C1239&amp;" / "&amp;E1239</x:f>
        <x:v>4725 / 2021 / RAINBOW TROUT</x:v>
      </x:c>
    </x:row>
    <x:row r="1240" ht="23" customHeight="1">
      <x:c r="A1240" s="8" t="str">
        <x:v>Grande Cache Lake</x:v>
      </x:c>
      <x:c r="B1240" s="8" t="str">
        <x:v>4725</x:v>
      </x:c>
      <x:c r="C1240" s="17" t="n">
        <x:v>2021</x:v>
      </x:c>
      <x:c r="D1240" s="18" t="n">
        <x:v>44348</x:v>
      </x:c>
      <x:c r="E1240" s="8" t="str">
        <x:v>RAINBOW TROUT</x:v>
      </x:c>
      <x:c r="F1240" s="13" t="n">
        <x:v>7500</x:v>
      </x:c>
      <x:c r="G1240" s="9" t="n">
        <x:v>20.3</x:v>
      </x:c>
      <x:c r="H1240" s="9" t="n">
        <x:v>92.9</x:v>
      </x:c>
      <x:c r="I1240" s="8" t="str">
        <x:f>B1240&amp;" / "&amp;C1240&amp;" / "&amp;E1240</x:f>
        <x:v>4725 / 2021 / RAINBOW TROUT</x:v>
      </x:c>
    </x:row>
    <x:row r="1241" ht="23" customHeight="1">
      <x:c r="A1241" s="8" t="str">
        <x:v>Granum Pond</x:v>
      </x:c>
      <x:c r="B1241" s="8" t="str">
        <x:v>6810</x:v>
      </x:c>
      <x:c r="C1241" s="17" t="n">
        <x:v>2026</x:v>
      </x:c>
      <x:c r="D1241" s="18" t="n">
        <x:v>46127</x:v>
      </x:c>
      <x:c r="E1241" s="8" t="str">
        <x:v>RAINBOW TROUT</x:v>
      </x:c>
      <x:c r="F1241" s="13" t="n">
        <x:v>600</x:v>
      </x:c>
      <x:c r="G1241" s="9" t="n">
        <x:v>20.3</x:v>
      </x:c>
      <x:c r="H1241" s="9" t="n">
        <x:v>89.4</x:v>
      </x:c>
      <x:c r="I1241" s="8" t="str">
        <x:f>B1241&amp;" / "&amp;C1241&amp;" / "&amp;E1241</x:f>
        <x:v>6810 / 2026 / RAINBOW TROUT</x:v>
      </x:c>
    </x:row>
    <x:row r="1242" ht="23" customHeight="1">
      <x:c r="A1242" s="8" t="str">
        <x:v>Granum Pond</x:v>
      </x:c>
      <x:c r="B1242" s="8" t="str">
        <x:v>6810</x:v>
      </x:c>
      <x:c r="C1242" s="17" t="n">
        <x:v>2025</x:v>
      </x:c>
      <x:c r="D1242" s="18" t="n">
        <x:v>45777</x:v>
      </x:c>
      <x:c r="E1242" s="8" t="str">
        <x:v>RAINBOW TROUT</x:v>
      </x:c>
      <x:c r="F1242" s="13" t="n">
        <x:v>600</x:v>
      </x:c>
      <x:c r="G1242" s="9" t="n">
        <x:v>20.3</x:v>
      </x:c>
      <x:c r="H1242" s="9" t="n">
        <x:v>94.3</x:v>
      </x:c>
      <x:c r="I1242" s="8" t="str">
        <x:f>B1242&amp;" / "&amp;C1242&amp;" / "&amp;E1242</x:f>
        <x:v>6810 / 2025 / RAINBOW TROUT</x:v>
      </x:c>
    </x:row>
    <x:row r="1243" ht="23" customHeight="1">
      <x:c r="A1243" s="8" t="str">
        <x:v>Granum Pond</x:v>
      </x:c>
      <x:c r="B1243" s="8" t="str">
        <x:v>6810</x:v>
      </x:c>
      <x:c r="C1243" s="17" t="n">
        <x:v>2023</x:v>
      </x:c>
      <x:c r="D1243" s="18" t="n">
        <x:v>45040</x:v>
      </x:c>
      <x:c r="E1243" s="8" t="str">
        <x:v>RAINBOW TROUT</x:v>
      </x:c>
      <x:c r="F1243" s="13" t="n">
        <x:v>600</x:v>
      </x:c>
      <x:c r="G1243" s="9" t="n">
        <x:v>21.7</x:v>
      </x:c>
      <x:c r="H1243" s="9" t="n">
        <x:v>95.5</x:v>
      </x:c>
      <x:c r="I1243" s="8" t="str">
        <x:f>B1243&amp;" / "&amp;C1243&amp;" / "&amp;E1243</x:f>
        <x:v>6810 / 2023 / RAINBOW TROUT</x:v>
      </x:c>
    </x:row>
    <x:row r="1244" ht="23" customHeight="1">
      <x:c r="A1244" s="8" t="str">
        <x:v>Granum Pond</x:v>
      </x:c>
      <x:c r="B1244" s="8" t="str">
        <x:v>6810</x:v>
      </x:c>
      <x:c r="C1244" s="17" t="n">
        <x:v>2022</x:v>
      </x:c>
      <x:c r="D1244" s="18" t="n">
        <x:v>44675</x:v>
      </x:c>
      <x:c r="E1244" s="8" t="str">
        <x:v>RAINBOW TROUT</x:v>
      </x:c>
      <x:c r="F1244" s="13" t="n">
        <x:v>600</x:v>
      </x:c>
      <x:c r="G1244" s="9" t="n">
        <x:v>21.1</x:v>
      </x:c>
      <x:c r="H1244" s="9" t="n">
        <x:v>95.6</x:v>
      </x:c>
      <x:c r="I1244" s="8" t="str">
        <x:f>B1244&amp;" / "&amp;C1244&amp;" / "&amp;E1244</x:f>
        <x:v>6810 / 2022 / RAINBOW TROUT</x:v>
      </x:c>
    </x:row>
    <x:row r="1245" ht="23" customHeight="1">
      <x:c r="A1245" s="8" t="str">
        <x:v>Granum Pond</x:v>
      </x:c>
      <x:c r="B1245" s="8" t="str">
        <x:v>6810</x:v>
      </x:c>
      <x:c r="C1245" s="17" t="n">
        <x:v>2021</x:v>
      </x:c>
      <x:c r="D1245" s="18" t="n">
        <x:v>44454</x:v>
      </x:c>
      <x:c r="E1245" s="8" t="str">
        <x:v>RAINBOW TROUT</x:v>
      </x:c>
      <x:c r="F1245" s="13" t="n">
        <x:v>300</x:v>
      </x:c>
      <x:c r="G1245" s="9" t="n">
        <x:v>20.9</x:v>
      </x:c>
      <x:c r="H1245" s="9" t="n">
        <x:v>92</x:v>
      </x:c>
      <x:c r="I1245" s="8" t="str">
        <x:f>B1245&amp;" / "&amp;C1245&amp;" / "&amp;E1245</x:f>
        <x:v>6810 / 2021 / RAINBOW TROUT</x:v>
      </x:c>
    </x:row>
    <x:row r="1246" ht="23" customHeight="1">
      <x:c r="A1246" s="8" t="str">
        <x:v>Granum Pond</x:v>
      </x:c>
      <x:c r="B1246" s="8" t="str">
        <x:v>6810</x:v>
      </x:c>
      <x:c r="C1246" s="17" t="n">
        <x:v>2021</x:v>
      </x:c>
      <x:c r="D1246" s="18" t="n">
        <x:v>44299</x:v>
      </x:c>
      <x:c r="E1246" s="8" t="str">
        <x:v>RAINBOW TROUT</x:v>
      </x:c>
      <x:c r="F1246" s="13" t="n">
        <x:v>600</x:v>
      </x:c>
      <x:c r="G1246" s="9" t="n">
        <x:v>21.4</x:v>
      </x:c>
      <x:c r="H1246" s="9" t="n">
        <x:v>97.3</x:v>
      </x:c>
      <x:c r="I1246" s="8" t="str">
        <x:f>B1246&amp;" / "&amp;C1246&amp;" / "&amp;E1246</x:f>
        <x:v>6810 / 2021 / RAINBOW TROUT</x:v>
      </x:c>
    </x:row>
    <x:row r="1247" ht="23" customHeight="1">
      <x:c r="A1247" s="8" t="str">
        <x:v>Grotto Mountain Pond</x:v>
      </x:c>
      <x:c r="B1247" s="8" t="str">
        <x:v>3476</x:v>
      </x:c>
      <x:c r="C1247" s="17" t="n">
        <x:v>2026</x:v>
      </x:c>
      <x:c r="D1247" s="18" t="n">
        <x:v>46225</x:v>
      </x:c>
      <x:c r="E1247" s="8" t="str">
        <x:v>WESTSLOPE CUTTHROAT TROUT</x:v>
      </x:c>
      <x:c r="F1247" s="13" t="n">
        <x:v>405</x:v>
      </x:c>
      <x:c r="G1247" s="9" t="n">
        <x:v>14.3</x:v>
      </x:c>
      <x:c r="H1247" s="9" t="n">
        <x:v>31.6</x:v>
      </x:c>
      <x:c r="I1247" s="8" t="str">
        <x:f>B1247&amp;" / "&amp;C1247&amp;" / "&amp;E1247</x:f>
        <x:v>3476 / 2026 / WESTSLOPE CUTTHROAT TROUT</x:v>
      </x:c>
    </x:row>
    <x:row r="1248" ht="23" customHeight="1">
      <x:c r="A1248" s="8" t="str">
        <x:v>Grotto Mountain Pond</x:v>
      </x:c>
      <x:c r="B1248" s="8" t="str">
        <x:v>3476</x:v>
      </x:c>
      <x:c r="C1248" s="17" t="n">
        <x:v>2026</x:v>
      </x:c>
      <x:c r="D1248" s="18" t="n">
        <x:v>46225</x:v>
      </x:c>
      <x:c r="E1248" s="8" t="str">
        <x:v>WESTSLOPE CUTTHROAT TROUT</x:v>
      </x:c>
      <x:c r="F1248" s="13" t="n">
        <x:v>395</x:v>
      </x:c>
      <x:c r="G1248" s="9" t="n">
        <x:v>17.9</x:v>
      </x:c>
      <x:c r="H1248" s="9" t="n">
        <x:v>62.2</x:v>
      </x:c>
      <x:c r="I1248" s="8" t="str">
        <x:f>B1248&amp;" / "&amp;C1248&amp;" / "&amp;E1248</x:f>
        <x:v>3476 / 2026 / WESTSLOPE CUTTHROAT TROUT</x:v>
      </x:c>
    </x:row>
    <x:row r="1249" ht="23" customHeight="1">
      <x:c r="A1249" s="8" t="str">
        <x:v>Grotto Mountain Pond</x:v>
      </x:c>
      <x:c r="B1249" s="8" t="str">
        <x:v>3476</x:v>
      </x:c>
      <x:c r="C1249" s="17" t="n">
        <x:v>2026</x:v>
      </x:c>
      <x:c r="D1249" s="18" t="n">
        <x:v>46156</x:v>
      </x:c>
      <x:c r="E1249" s="8" t="str">
        <x:v>WESTSLOPE CUTTHROAT TROUT</x:v>
      </x:c>
      <x:c r="F1249" s="13" t="n">
        <x:v>800</x:v>
      </x:c>
      <x:c r="G1249" s="9" t="n">
        <x:v>14.2</x:v>
      </x:c>
      <x:c r="H1249" s="9" t="n">
        <x:v>31</x:v>
      </x:c>
      <x:c r="I1249" s="8" t="str">
        <x:f>B1249&amp;" / "&amp;C1249&amp;" / "&amp;E1249</x:f>
        <x:v>3476 / 2026 / WESTSLOPE CUTTHROAT TROUT</x:v>
      </x:c>
    </x:row>
    <x:row r="1250" ht="23" customHeight="1">
      <x:c r="A1250" s="8" t="str">
        <x:v>Grotto Mountain Pond</x:v>
      </x:c>
      <x:c r="B1250" s="8" t="str">
        <x:v>3476</x:v>
      </x:c>
      <x:c r="C1250" s="17" t="n">
        <x:v>2025</x:v>
      </x:c>
      <x:c r="D1250" s="18" t="n">
        <x:v>45868</x:v>
      </x:c>
      <x:c r="E1250" s="8" t="str">
        <x:v>CUTTHROAT TROUT</x:v>
      </x:c>
      <x:c r="F1250" s="13" t="n">
        <x:v>800</x:v>
      </x:c>
      <x:c r="G1250" s="9" t="n">
        <x:v>17</x:v>
      </x:c>
      <x:c r="H1250" s="9" t="n">
        <x:v>52.7</x:v>
      </x:c>
      <x:c r="I1250" s="8" t="str">
        <x:f>B1250&amp;" / "&amp;C1250&amp;" / "&amp;E1250</x:f>
        <x:v>3476 / 2025 / CUTTHROAT TROUT</x:v>
      </x:c>
    </x:row>
    <x:row r="1251" ht="23" customHeight="1">
      <x:c r="A1251" s="8" t="str">
        <x:v>Grotto Mountain Pond</x:v>
      </x:c>
      <x:c r="B1251" s="8" t="str">
        <x:v>3476</x:v>
      </x:c>
      <x:c r="C1251" s="17" t="n">
        <x:v>2025</x:v>
      </x:c>
      <x:c r="D1251" s="18" t="n">
        <x:v>45832</x:v>
      </x:c>
      <x:c r="E1251" s="8" t="str">
        <x:v>CUTTHROAT TROUT</x:v>
      </x:c>
      <x:c r="F1251" s="13" t="n">
        <x:v>100</x:v>
      </x:c>
      <x:c r="G1251" s="9" t="n">
        <x:v>37.8</x:v>
      </x:c>
      <x:c r="H1251" s="9" t="n">
        <x:v>583</x:v>
      </x:c>
      <x:c r="I1251" s="8" t="str">
        <x:f>B1251&amp;" / "&amp;C1251&amp;" / "&amp;E1251</x:f>
        <x:v>3476 / 2025 / CUTTHROAT TROUT</x:v>
      </x:c>
    </x:row>
    <x:row r="1252" ht="23" customHeight="1">
      <x:c r="A1252" s="8" t="str">
        <x:v>Grotto Mountain Pond</x:v>
      </x:c>
      <x:c r="B1252" s="8" t="str">
        <x:v>3476</x:v>
      </x:c>
      <x:c r="C1252" s="17" t="n">
        <x:v>2025</x:v>
      </x:c>
      <x:c r="D1252" s="18" t="n">
        <x:v>45792</x:v>
      </x:c>
      <x:c r="E1252" s="8" t="str">
        <x:v>CUTTHROAT TROUT</x:v>
      </x:c>
      <x:c r="F1252" s="13" t="n">
        <x:v>800</x:v>
      </x:c>
      <x:c r="G1252" s="9" t="n">
        <x:v>13.2</x:v>
      </x:c>
      <x:c r="H1252" s="9" t="n">
        <x:v>24.7</x:v>
      </x:c>
      <x:c r="I1252" s="8" t="str">
        <x:f>B1252&amp;" / "&amp;C1252&amp;" / "&amp;E1252</x:f>
        <x:v>3476 / 2025 / CUTTHROAT TROUT</x:v>
      </x:c>
    </x:row>
    <x:row r="1253" ht="23" customHeight="1">
      <x:c r="A1253" s="8" t="str">
        <x:v>Grotto Mountain Pond</x:v>
      </x:c>
      <x:c r="B1253" s="8" t="str">
        <x:v>3476</x:v>
      </x:c>
      <x:c r="C1253" s="17" t="n">
        <x:v>2024</x:v>
      </x:c>
      <x:c r="D1253" s="18" t="n">
        <x:v>45496</x:v>
      </x:c>
      <x:c r="E1253" s="8" t="str">
        <x:v>RAINBOW TROUT</x:v>
      </x:c>
      <x:c r="F1253" s="13" t="n">
        <x:v>400</x:v>
      </x:c>
      <x:c r="G1253" s="9" t="n">
        <x:v>24.9</x:v>
      </x:c>
      <x:c r="H1253" s="9" t="n">
        <x:v>166.1</x:v>
      </x:c>
      <x:c r="I1253" s="8" t="str">
        <x:f>B1253&amp;" / "&amp;C1253&amp;" / "&amp;E1253</x:f>
        <x:v>3476 / 2024 / RAINBOW TROUT</x:v>
      </x:c>
    </x:row>
    <x:row r="1254" ht="23" customHeight="1">
      <x:c r="A1254" s="8" t="str">
        <x:v>Grotto Mountain Pond</x:v>
      </x:c>
      <x:c r="B1254" s="8" t="str">
        <x:v>3476</x:v>
      </x:c>
      <x:c r="C1254" s="17" t="n">
        <x:v>2024</x:v>
      </x:c>
      <x:c r="D1254" s="18" t="n">
        <x:v>45491</x:v>
      </x:c>
      <x:c r="E1254" s="8" t="str">
        <x:v>RAINBOW TROUT</x:v>
      </x:c>
      <x:c r="F1254" s="13" t="n">
        <x:v>400</x:v>
      </x:c>
      <x:c r="G1254" s="9" t="n">
        <x:v>24.6</x:v>
      </x:c>
      <x:c r="H1254" s="9" t="n">
        <x:v>161</x:v>
      </x:c>
      <x:c r="I1254" s="8" t="str">
        <x:f>B1254&amp;" / "&amp;C1254&amp;" / "&amp;E1254</x:f>
        <x:v>3476 / 2024 / RAINBOW TROUT</x:v>
      </x:c>
    </x:row>
    <x:row r="1255" ht="23" customHeight="1">
      <x:c r="A1255" s="8" t="str">
        <x:v>Grotto Mountain Pond</x:v>
      </x:c>
      <x:c r="B1255" s="8" t="str">
        <x:v>3476</x:v>
      </x:c>
      <x:c r="C1255" s="17" t="n">
        <x:v>2024</x:v>
      </x:c>
      <x:c r="D1255" s="18" t="n">
        <x:v>45448</x:v>
      </x:c>
      <x:c r="E1255" s="8" t="str">
        <x:v>RAINBOW TROUT</x:v>
      </x:c>
      <x:c r="F1255" s="13" t="n">
        <x:v>1235</x:v>
      </x:c>
      <x:c r="G1255" s="9" t="n">
        <x:v>23.1</x:v>
      </x:c>
      <x:c r="H1255" s="9" t="n">
        <x:v>132.5</x:v>
      </x:c>
      <x:c r="I1255" s="8" t="str">
        <x:f>B1255&amp;" / "&amp;C1255&amp;" / "&amp;E1255</x:f>
        <x:v>3476 / 2024 / RAINBOW TROUT</x:v>
      </x:c>
    </x:row>
    <x:row r="1256" ht="23" customHeight="1">
      <x:c r="A1256" s="8" t="str">
        <x:v>Grotto Mountain Pond</x:v>
      </x:c>
      <x:c r="B1256" s="8" t="str">
        <x:v>3476</x:v>
      </x:c>
      <x:c r="C1256" s="17" t="n">
        <x:v>2024</x:v>
      </x:c>
      <x:c r="D1256" s="18" t="n">
        <x:v>45425</x:v>
      </x:c>
      <x:c r="E1256" s="8" t="str">
        <x:v>RAINBOW TROUT</x:v>
      </x:c>
      <x:c r="F1256" s="13" t="n">
        <x:v>803</x:v>
      </x:c>
      <x:c r="G1256" s="9" t="n">
        <x:v>22.8</x:v>
      </x:c>
      <x:c r="H1256" s="9" t="n">
        <x:v>128.4</x:v>
      </x:c>
      <x:c r="I1256" s="8" t="str">
        <x:f>B1256&amp;" / "&amp;C1256&amp;" / "&amp;E1256</x:f>
        <x:v>3476 / 2024 / RAINBOW TROUT</x:v>
      </x:c>
    </x:row>
    <x:row r="1257" ht="23" customHeight="1">
      <x:c r="A1257" s="8" t="str">
        <x:v>Grotto Mountain Pond</x:v>
      </x:c>
      <x:c r="B1257" s="8" t="str">
        <x:v>3476</x:v>
      </x:c>
      <x:c r="C1257" s="17" t="n">
        <x:v>2023</x:v>
      </x:c>
      <x:c r="D1257" s="18" t="n">
        <x:v>45118</x:v>
      </x:c>
      <x:c r="E1257" s="8" t="str">
        <x:v>RAINBOW TROUT</x:v>
      </x:c>
      <x:c r="F1257" s="13" t="n">
        <x:v>800</x:v>
      </x:c>
      <x:c r="G1257" s="9" t="n">
        <x:v>22.3</x:v>
      </x:c>
      <x:c r="H1257" s="9" t="n">
        <x:v>199.1</x:v>
      </x:c>
      <x:c r="I1257" s="8" t="str">
        <x:f>B1257&amp;" / "&amp;C1257&amp;" / "&amp;E1257</x:f>
        <x:v>3476 / 2023 / RAINBOW TROUT</x:v>
      </x:c>
    </x:row>
    <x:row r="1258" ht="23" customHeight="1">
      <x:c r="A1258" s="8" t="str">
        <x:v>Grotto Mountain Pond</x:v>
      </x:c>
      <x:c r="B1258" s="8" t="str">
        <x:v>3476</x:v>
      </x:c>
      <x:c r="C1258" s="17" t="n">
        <x:v>2023</x:v>
      </x:c>
      <x:c r="D1258" s="18" t="n">
        <x:v>45088</x:v>
      </x:c>
      <x:c r="E1258" s="8" t="str">
        <x:v>RAINBOW TROUT</x:v>
      </x:c>
      <x:c r="F1258" s="13" t="n">
        <x:v>800</x:v>
      </x:c>
      <x:c r="G1258" s="9" t="n">
        <x:v>21.3</x:v>
      </x:c>
      <x:c r="H1258" s="9" t="n">
        <x:v>105</x:v>
      </x:c>
      <x:c r="I1258" s="8" t="str">
        <x:f>B1258&amp;" / "&amp;C1258&amp;" / "&amp;E1258</x:f>
        <x:v>3476 / 2023 / RAINBOW TROUT</x:v>
      </x:c>
    </x:row>
    <x:row r="1259" ht="23" customHeight="1">
      <x:c r="A1259" s="8" t="str">
        <x:v>Grotto Mountain Pond</x:v>
      </x:c>
      <x:c r="B1259" s="8" t="str">
        <x:v>3476</x:v>
      </x:c>
      <x:c r="C1259" s="17" t="n">
        <x:v>2023</x:v>
      </x:c>
      <x:c r="D1259" s="18" t="n">
        <x:v>45064</x:v>
      </x:c>
      <x:c r="E1259" s="8" t="str">
        <x:v>RAINBOW TROUT</x:v>
      </x:c>
      <x:c r="F1259" s="13" t="n">
        <x:v>803</x:v>
      </x:c>
      <x:c r="G1259" s="9" t="n">
        <x:v>21.8</x:v>
      </x:c>
      <x:c r="H1259" s="9" t="n">
        <x:v>112</x:v>
      </x:c>
      <x:c r="I1259" s="8" t="str">
        <x:f>B1259&amp;" / "&amp;C1259&amp;" / "&amp;E1259</x:f>
        <x:v>3476 / 2023 / RAINBOW TROUT</x:v>
      </x:c>
    </x:row>
    <x:row r="1260" ht="23" customHeight="1">
      <x:c r="A1260" s="8" t="str">
        <x:v>Grotto Mountain Pond</x:v>
      </x:c>
      <x:c r="B1260" s="8" t="str">
        <x:v>3476</x:v>
      </x:c>
      <x:c r="C1260" s="17" t="n">
        <x:v>2022</x:v>
      </x:c>
      <x:c r="D1260" s="18" t="n">
        <x:v>44732</x:v>
      </x:c>
      <x:c r="E1260" s="8" t="str">
        <x:v>RAINBOW TROUT</x:v>
      </x:c>
      <x:c r="F1260" s="13" t="n">
        <x:v>800</x:v>
      </x:c>
      <x:c r="G1260" s="9" t="n">
        <x:v>23</x:v>
      </x:c>
      <x:c r="H1260" s="9" t="n">
        <x:v>133</x:v>
      </x:c>
      <x:c r="I1260" s="8" t="str">
        <x:f>B1260&amp;" / "&amp;C1260&amp;" / "&amp;E1260</x:f>
        <x:v>3476 / 2022 / RAINBOW TROUT</x:v>
      </x:c>
    </x:row>
    <x:row r="1261" ht="23" customHeight="1">
      <x:c r="A1261" s="8" t="str">
        <x:v>Grotto Mountain Pond</x:v>
      </x:c>
      <x:c r="B1261" s="8" t="str">
        <x:v>3476</x:v>
      </x:c>
      <x:c r="C1261" s="17" t="n">
        <x:v>2022</x:v>
      </x:c>
      <x:c r="D1261" s="18" t="n">
        <x:v>44693</x:v>
      </x:c>
      <x:c r="E1261" s="8" t="str">
        <x:v>RAINBOW TROUT</x:v>
      </x:c>
      <x:c r="F1261" s="13" t="n">
        <x:v>1600</x:v>
      </x:c>
      <x:c r="G1261" s="9" t="n">
        <x:v>21.3</x:v>
      </x:c>
      <x:c r="H1261" s="9" t="n">
        <x:v>105.3</x:v>
      </x:c>
      <x:c r="I1261" s="8" t="str">
        <x:f>B1261&amp;" / "&amp;C1261&amp;" / "&amp;E1261</x:f>
        <x:v>3476 / 2022 / RAINBOW TROUT</x:v>
      </x:c>
    </x:row>
    <x:row r="1262" ht="23" customHeight="1">
      <x:c r="A1262" s="8" t="str">
        <x:v>Grotto Mountain Pond</x:v>
      </x:c>
      <x:c r="B1262" s="8" t="str">
        <x:v>3476</x:v>
      </x:c>
      <x:c r="C1262" s="17" t="n">
        <x:v>2021</x:v>
      </x:c>
      <x:c r="D1262" s="18" t="n">
        <x:v>44368</x:v>
      </x:c>
      <x:c r="E1262" s="8" t="str">
        <x:v>RAINBOW TROUT</x:v>
      </x:c>
      <x:c r="F1262" s="13" t="n">
        <x:v>800</x:v>
      </x:c>
      <x:c r="G1262" s="9" t="n">
        <x:v>23.3</x:v>
      </x:c>
      <x:c r="H1262" s="9" t="n">
        <x:v>140</x:v>
      </x:c>
      <x:c r="I1262" s="8" t="str">
        <x:f>B1262&amp;" / "&amp;C1262&amp;" / "&amp;E1262</x:f>
        <x:v>3476 / 2021 / RAINBOW TROUT</x:v>
      </x:c>
    </x:row>
    <x:row r="1263" ht="23" customHeight="1">
      <x:c r="A1263" s="8" t="str">
        <x:v>Grotto Mountain Pond</x:v>
      </x:c>
      <x:c r="B1263" s="8" t="str">
        <x:v>3476</x:v>
      </x:c>
      <x:c r="C1263" s="17" t="n">
        <x:v>2021</x:v>
      </x:c>
      <x:c r="D1263" s="18" t="n">
        <x:v>44328</x:v>
      </x:c>
      <x:c r="E1263" s="8" t="str">
        <x:v>RAINBOW TROUT</x:v>
      </x:c>
      <x:c r="F1263" s="13" t="n">
        <x:v>1600</x:v>
      </x:c>
      <x:c r="G1263" s="9" t="n">
        <x:v>22.6</x:v>
      </x:c>
      <x:c r="H1263" s="9" t="n">
        <x:v>127.5</x:v>
      </x:c>
      <x:c r="I1263" s="8" t="str">
        <x:f>B1263&amp;" / "&amp;C1263&amp;" / "&amp;E1263</x:f>
        <x:v>3476 / 2021 / RAINBOW TROUT</x:v>
      </x:c>
    </x:row>
    <x:row r="1264" ht="23" customHeight="1">
      <x:c r="A1264" s="8" t="str">
        <x:v>Hansen's Reservoir</x:v>
      </x:c>
      <x:c r="B1264" s="8" t="str">
        <x:v>6806</x:v>
      </x:c>
      <x:c r="C1264" s="17" t="n">
        <x:v>2026</x:v>
      </x:c>
      <x:c r="D1264" s="18" t="n">
        <x:v>46148</x:v>
      </x:c>
      <x:c r="E1264" s="8" t="str">
        <x:v>RAINBOW TROUT</x:v>
      </x:c>
      <x:c r="F1264" s="13" t="n">
        <x:v>1000</x:v>
      </x:c>
      <x:c r="G1264" s="9" t="n">
        <x:v>21</x:v>
      </x:c>
      <x:c r="H1264" s="9" t="n">
        <x:v>95.4</x:v>
      </x:c>
      <x:c r="I1264" s="8" t="str">
        <x:f>B1264&amp;" / "&amp;C1264&amp;" / "&amp;E1264</x:f>
        <x:v>6806 / 2026 / RAINBOW TROUT</x:v>
      </x:c>
    </x:row>
    <x:row r="1265" ht="23" customHeight="1">
      <x:c r="A1265" s="8" t="str">
        <x:v>Hansen's Reservoir</x:v>
      </x:c>
      <x:c r="B1265" s="8" t="str">
        <x:v>6806</x:v>
      </x:c>
      <x:c r="C1265" s="17" t="n">
        <x:v>2025</x:v>
      </x:c>
      <x:c r="D1265" s="18" t="n">
        <x:v>45943</x:v>
      </x:c>
      <x:c r="E1265" s="8" t="str">
        <x:v>RAINBOW TROUT</x:v>
      </x:c>
      <x:c r="F1265" s="13" t="n">
        <x:v>500</x:v>
      </x:c>
      <x:c r="G1265" s="9" t="n">
        <x:v>24</x:v>
      </x:c>
      <x:c r="H1265" s="9" t="n">
        <x:v>148</x:v>
      </x:c>
      <x:c r="I1265" s="8" t="str">
        <x:f>B1265&amp;" / "&amp;C1265&amp;" / "&amp;E1265</x:f>
        <x:v>6806 / 2025 / RAINBOW TROUT</x:v>
      </x:c>
    </x:row>
    <x:row r="1266" ht="23" customHeight="1">
      <x:c r="A1266" s="8" t="str">
        <x:v>Hansen's Reservoir</x:v>
      </x:c>
      <x:c r="B1266" s="8" t="str">
        <x:v>6806</x:v>
      </x:c>
      <x:c r="C1266" s="17" t="n">
        <x:v>2024</x:v>
      </x:c>
      <x:c r="D1266" s="18" t="n">
        <x:v>45580</x:v>
      </x:c>
      <x:c r="E1266" s="8" t="str">
        <x:v>RAINBOW TROUT</x:v>
      </x:c>
      <x:c r="F1266" s="13" t="n">
        <x:v>500</x:v>
      </x:c>
      <x:c r="G1266" s="9" t="n">
        <x:v>23.1</x:v>
      </x:c>
      <x:c r="H1266" s="9" t="n">
        <x:v>119.5</x:v>
      </x:c>
      <x:c r="I1266" s="8" t="str">
        <x:f>B1266&amp;" / "&amp;C1266&amp;" / "&amp;E1266</x:f>
        <x:v>6806 / 2024 / RAINBOW TROUT</x:v>
      </x:c>
    </x:row>
    <x:row r="1267" ht="23" customHeight="1">
      <x:c r="A1267" s="8" t="str">
        <x:v>Hansen's Reservoir</x:v>
      </x:c>
      <x:c r="B1267" s="8" t="str">
        <x:v>6806</x:v>
      </x:c>
      <x:c r="C1267" s="17" t="n">
        <x:v>2024</x:v>
      </x:c>
      <x:c r="D1267" s="18" t="n">
        <x:v>45406</x:v>
      </x:c>
      <x:c r="E1267" s="8" t="str">
        <x:v>RAINBOW TROUT</x:v>
      </x:c>
      <x:c r="F1267" s="13" t="n">
        <x:v>1000</x:v>
      </x:c>
      <x:c r="G1267" s="9" t="n">
        <x:v>20.5</x:v>
      </x:c>
      <x:c r="H1267" s="9" t="n">
        <x:v>90.4</x:v>
      </x:c>
      <x:c r="I1267" s="8" t="str">
        <x:f>B1267&amp;" / "&amp;C1267&amp;" / "&amp;E1267</x:f>
        <x:v>6806 / 2024 / RAINBOW TROUT</x:v>
      </x:c>
    </x:row>
    <x:row r="1268" ht="23" customHeight="1">
      <x:c r="A1268" s="8" t="str">
        <x:v>Hansen's Reservoir</x:v>
      </x:c>
      <x:c r="B1268" s="8" t="str">
        <x:v>6806</x:v>
      </x:c>
      <x:c r="C1268" s="17" t="n">
        <x:v>2023</x:v>
      </x:c>
      <x:c r="D1268" s="18" t="n">
        <x:v>45202</x:v>
      </x:c>
      <x:c r="E1268" s="8" t="str">
        <x:v>RAINBOW TROUT</x:v>
      </x:c>
      <x:c r="F1268" s="13" t="n">
        <x:v>505</x:v>
      </x:c>
      <x:c r="G1268" s="9" t="n">
        <x:v>23.4</x:v>
      </x:c>
      <x:c r="H1268" s="9" t="n">
        <x:v>137.7</x:v>
      </x:c>
      <x:c r="I1268" s="8" t="str">
        <x:f>B1268&amp;" / "&amp;C1268&amp;" / "&amp;E1268</x:f>
        <x:v>6806 / 2023 / RAINBOW TROUT</x:v>
      </x:c>
    </x:row>
    <x:row r="1269" ht="23" customHeight="1">
      <x:c r="A1269" s="8" t="str">
        <x:v>Hansen's Reservoir</x:v>
      </x:c>
      <x:c r="B1269" s="8" t="str">
        <x:v>6806</x:v>
      </x:c>
      <x:c r="C1269" s="17" t="n">
        <x:v>2023</x:v>
      </x:c>
      <x:c r="D1269" s="18" t="n">
        <x:v>45048</x:v>
      </x:c>
      <x:c r="E1269" s="8" t="str">
        <x:v>RAINBOW TROUT</x:v>
      </x:c>
      <x:c r="F1269" s="13" t="n">
        <x:v>1000</x:v>
      </x:c>
      <x:c r="G1269" s="9" t="n">
        <x:v>20.5</x:v>
      </x:c>
      <x:c r="H1269" s="9" t="n">
        <x:v>89.9</x:v>
      </x:c>
      <x:c r="I1269" s="8" t="str">
        <x:f>B1269&amp;" / "&amp;C1269&amp;" / "&amp;E1269</x:f>
        <x:v>6806 / 2023 / RAINBOW TROUT</x:v>
      </x:c>
    </x:row>
    <x:row r="1270" ht="23" customHeight="1">
      <x:c r="A1270" s="8" t="str">
        <x:v>Hansen's Reservoir</x:v>
      </x:c>
      <x:c r="B1270" s="8" t="str">
        <x:v>6806</x:v>
      </x:c>
      <x:c r="C1270" s="17" t="n">
        <x:v>2022</x:v>
      </x:c>
      <x:c r="D1270" s="18" t="n">
        <x:v>44847</x:v>
      </x:c>
      <x:c r="E1270" s="8" t="str">
        <x:v>RAINBOW TROUT</x:v>
      </x:c>
      <x:c r="F1270" s="13" t="n">
        <x:v>1036</x:v>
      </x:c>
      <x:c r="G1270" s="9" t="n">
        <x:v>23.5</x:v>
      </x:c>
      <x:c r="H1270" s="9" t="n">
        <x:v>118.6</x:v>
      </x:c>
      <x:c r="I1270" s="8" t="str">
        <x:f>B1270&amp;" / "&amp;C1270&amp;" / "&amp;E1270</x:f>
        <x:v>6806 / 2022 / RAINBOW TROUT</x:v>
      </x:c>
    </x:row>
    <x:row r="1271" ht="23" customHeight="1">
      <x:c r="A1271" s="8" t="str">
        <x:v>Hansen's Reservoir</x:v>
      </x:c>
      <x:c r="B1271" s="8" t="str">
        <x:v>6806</x:v>
      </x:c>
      <x:c r="C1271" s="17" t="n">
        <x:v>2021</x:v>
      </x:c>
      <x:c r="D1271" s="18" t="n">
        <x:v>44465</x:v>
      </x:c>
      <x:c r="E1271" s="8" t="str">
        <x:v>RAINBOW TROUT</x:v>
      </x:c>
      <x:c r="F1271" s="13" t="n">
        <x:v>1041</x:v>
      </x:c>
      <x:c r="G1271" s="9" t="n">
        <x:v>21.5</x:v>
      </x:c>
      <x:c r="H1271" s="9" t="n">
        <x:v>99.3</x:v>
      </x:c>
      <x:c r="I1271" s="8" t="str">
        <x:f>B1271&amp;" / "&amp;C1271&amp;" / "&amp;E1271</x:f>
        <x:v>6806 / 2021 / RAINBOW TROUT</x:v>
      </x:c>
    </x:row>
    <x:row r="1272" ht="23" customHeight="1">
      <x:c r="A1272" s="8" t="str">
        <x:v>Hansen's Reservoir</x:v>
      </x:c>
      <x:c r="B1272" s="8" t="str">
        <x:v>6806</x:v>
      </x:c>
      <x:c r="C1272" s="17" t="n">
        <x:v>2021</x:v>
      </x:c>
      <x:c r="D1272" s="18" t="n">
        <x:v>44370</x:v>
      </x:c>
      <x:c r="E1272" s="8" t="str">
        <x:v>RAINBOW TROUT</x:v>
      </x:c>
      <x:c r="F1272" s="13" t="n">
        <x:v>2000</x:v>
      </x:c>
      <x:c r="G1272" s="9" t="n">
        <x:v>21.1</x:v>
      </x:c>
      <x:c r="H1272" s="9" t="n">
        <x:v>91.2</x:v>
      </x:c>
      <x:c r="I1272" s="8" t="str">
        <x:f>B1272&amp;" / "&amp;C1272&amp;" / "&amp;E1272</x:f>
        <x:v>6806 / 2021 / RAINBOW TROUT</x:v>
      </x:c>
    </x:row>
    <x:row r="1273" ht="23" customHeight="1">
      <x:c r="A1273" s="8" t="str">
        <x:v>Hansen's Reservoir</x:v>
      </x:c>
      <x:c r="B1273" s="8" t="str">
        <x:v>6806</x:v>
      </x:c>
      <x:c r="C1273" s="17" t="n">
        <x:v>2021</x:v>
      </x:c>
      <x:c r="D1273" s="18" t="n">
        <x:v>44301</x:v>
      </x:c>
      <x:c r="E1273" s="8" t="str">
        <x:v>RAINBOW TROUT</x:v>
      </x:c>
      <x:c r="F1273" s="13" t="n">
        <x:v>2000</x:v>
      </x:c>
      <x:c r="G1273" s="9" t="n">
        <x:v>21.1</x:v>
      </x:c>
      <x:c r="H1273" s="9" t="n">
        <x:v>93.1</x:v>
      </x:c>
      <x:c r="I1273" s="8" t="str">
        <x:f>B1273&amp;" / "&amp;C1273&amp;" / "&amp;E1273</x:f>
        <x:v>6806 / 2021 / RAINBOW TROUT</x:v>
      </x:c>
    </x:row>
    <x:row r="1274" ht="23" customHeight="1">
      <x:c r="A1274" s="8" t="str">
        <x:v>Harleck Pond</x:v>
      </x:c>
      <x:c r="B1274" s="8" t="str">
        <x:v>6808</x:v>
      </x:c>
      <x:c r="C1274" s="17" t="n">
        <x:v>2026</x:v>
      </x:c>
      <x:c r="D1274" s="18" t="n">
        <x:v>46162</x:v>
      </x:c>
      <x:c r="E1274" s="8" t="str">
        <x:v>RAINBOW TROUT</x:v>
      </x:c>
      <x:c r="F1274" s="13" t="n">
        <x:v>500</x:v>
      </x:c>
      <x:c r="G1274" s="9" t="n">
        <x:v>20.3</x:v>
      </x:c>
      <x:c r="H1274" s="9" t="n">
        <x:v>90.8</x:v>
      </x:c>
      <x:c r="I1274" s="8" t="str">
        <x:f>B1274&amp;" / "&amp;C1274&amp;" / "&amp;E1274</x:f>
        <x:v>6808 / 2026 / RAINBOW TROUT</x:v>
      </x:c>
    </x:row>
    <x:row r="1275" ht="23" customHeight="1">
      <x:c r="A1275" s="8" t="str">
        <x:v>Harleck Pond</x:v>
      </x:c>
      <x:c r="B1275" s="8" t="str">
        <x:v>6808</x:v>
      </x:c>
      <x:c r="C1275" s="17" t="n">
        <x:v>2025</x:v>
      </x:c>
      <x:c r="D1275" s="18" t="n">
        <x:v>45804</x:v>
      </x:c>
      <x:c r="E1275" s="8" t="str">
        <x:v>RAINBOW TROUT</x:v>
      </x:c>
      <x:c r="F1275" s="13" t="n">
        <x:v>400</x:v>
      </x:c>
      <x:c r="G1275" s="9" t="n">
        <x:v>20</x:v>
      </x:c>
      <x:c r="H1275" s="9" t="n">
        <x:v>87</x:v>
      </x:c>
      <x:c r="I1275" s="8" t="str">
        <x:f>B1275&amp;" / "&amp;C1275&amp;" / "&amp;E1275</x:f>
        <x:v>6808 / 2025 / RAINBOW TROUT</x:v>
      </x:c>
    </x:row>
    <x:row r="1276" ht="23" customHeight="1">
      <x:c r="A1276" s="8" t="str">
        <x:v>Harleck Pond</x:v>
      </x:c>
      <x:c r="B1276" s="8" t="str">
        <x:v>6808</x:v>
      </x:c>
      <x:c r="C1276" s="17" t="n">
        <x:v>2024</x:v>
      </x:c>
      <x:c r="D1276" s="18" t="n">
        <x:v>45419</x:v>
      </x:c>
      <x:c r="E1276" s="8" t="str">
        <x:v>RAINBOW TROUT</x:v>
      </x:c>
      <x:c r="F1276" s="13" t="n">
        <x:v>400</x:v>
      </x:c>
      <x:c r="G1276" s="9" t="n">
        <x:v>20.6</x:v>
      </x:c>
      <x:c r="H1276" s="9" t="n">
        <x:v>94.3</x:v>
      </x:c>
      <x:c r="I1276" s="8" t="str">
        <x:f>B1276&amp;" / "&amp;C1276&amp;" / "&amp;E1276</x:f>
        <x:v>6808 / 2024 / RAINBOW TROUT</x:v>
      </x:c>
    </x:row>
    <x:row r="1277" ht="23" customHeight="1">
      <x:c r="A1277" s="8" t="str">
        <x:v>Harleck Pond</x:v>
      </x:c>
      <x:c r="B1277" s="8" t="str">
        <x:v>6808</x:v>
      </x:c>
      <x:c r="C1277" s="17" t="n">
        <x:v>2023</x:v>
      </x:c>
      <x:c r="D1277" s="18" t="n">
        <x:v>45061</x:v>
      </x:c>
      <x:c r="E1277" s="8" t="str">
        <x:v>RAINBOW TROUT</x:v>
      </x:c>
      <x:c r="F1277" s="13" t="n">
        <x:v>400</x:v>
      </x:c>
      <x:c r="G1277" s="9" t="n">
        <x:v>21.3</x:v>
      </x:c>
      <x:c r="H1277" s="9" t="n">
        <x:v>104.4</x:v>
      </x:c>
      <x:c r="I1277" s="8" t="str">
        <x:f>B1277&amp;" / "&amp;C1277&amp;" / "&amp;E1277</x:f>
        <x:v>6808 / 2023 / RAINBOW TROUT</x:v>
      </x:c>
    </x:row>
    <x:row r="1278" ht="23" customHeight="1">
      <x:c r="A1278" s="8" t="str">
        <x:v>Harleck Pond</x:v>
      </x:c>
      <x:c r="B1278" s="8" t="str">
        <x:v>6808</x:v>
      </x:c>
      <x:c r="C1278" s="17" t="n">
        <x:v>2022</x:v>
      </x:c>
      <x:c r="D1278" s="18" t="n">
        <x:v>44704</x:v>
      </x:c>
      <x:c r="E1278" s="8" t="str">
        <x:v>RAINBOW TROUT</x:v>
      </x:c>
      <x:c r="F1278" s="13" t="n">
        <x:v>400</x:v>
      </x:c>
      <x:c r="G1278" s="9" t="n">
        <x:v>24.7</x:v>
      </x:c>
      <x:c r="H1278" s="9" t="n">
        <x:v>105</x:v>
      </x:c>
      <x:c r="I1278" s="8" t="str">
        <x:f>B1278&amp;" / "&amp;C1278&amp;" / "&amp;E1278</x:f>
        <x:v>6808 / 2022 / RAINBOW TROUT</x:v>
      </x:c>
    </x:row>
    <x:row r="1279" ht="23" customHeight="1">
      <x:c r="A1279" s="8" t="str">
        <x:v>Harleck Pond</x:v>
      </x:c>
      <x:c r="B1279" s="8" t="str">
        <x:v>6808</x:v>
      </x:c>
      <x:c r="C1279" s="17" t="n">
        <x:v>2021</x:v>
      </x:c>
      <x:c r="D1279" s="18" t="n">
        <x:v>44332</x:v>
      </x:c>
      <x:c r="E1279" s="8" t="str">
        <x:v>RAINBOW TROUT</x:v>
      </x:c>
      <x:c r="F1279" s="13" t="n">
        <x:v>400</x:v>
      </x:c>
      <x:c r="G1279" s="9" t="n">
        <x:v>16.3</x:v>
      </x:c>
      <x:c r="H1279" s="9" t="n">
        <x:v>47.7</x:v>
      </x:c>
      <x:c r="I1279" s="8" t="str">
        <x:f>B1279&amp;" / "&amp;C1279&amp;" / "&amp;E1279</x:f>
        <x:v>6808 / 2021 / RAINBOW TROUT</x:v>
      </x:c>
    </x:row>
    <x:row r="1280" ht="23" customHeight="1">
      <x:c r="A1280" s="8" t="str">
        <x:v>Hasse Lake</x:v>
      </x:c>
      <x:c r="B1280" s="8" t="str">
        <x:v>4794</x:v>
      </x:c>
      <x:c r="C1280" s="17" t="n">
        <x:v>2026</x:v>
      </x:c>
      <x:c r="D1280" s="18" t="n">
        <x:v>46148</x:v>
      </x:c>
      <x:c r="E1280" s="8" t="str">
        <x:v>RAINBOW TROUT</x:v>
      </x:c>
      <x:c r="F1280" s="13" t="n">
        <x:v>10000</x:v>
      </x:c>
      <x:c r="G1280" s="9" t="n">
        <x:v>20.6</x:v>
      </x:c>
      <x:c r="H1280" s="9" t="n">
        <x:v>94.5</x:v>
      </x:c>
      <x:c r="I1280" s="8" t="str">
        <x:f>B1280&amp;" / "&amp;C1280&amp;" / "&amp;E1280</x:f>
        <x:v>4794 / 2026 / RAINBOW TROUT</x:v>
      </x:c>
    </x:row>
    <x:row r="1281" ht="23" customHeight="1">
      <x:c r="A1281" s="8" t="str">
        <x:v>Hasse Lake</x:v>
      </x:c>
      <x:c r="B1281" s="8" t="str">
        <x:v>4794</x:v>
      </x:c>
      <x:c r="C1281" s="17" t="n">
        <x:v>2026</x:v>
      </x:c>
      <x:c r="D1281" s="18" t="n">
        <x:v>46149</x:v>
      </x:c>
      <x:c r="E1281" s="8" t="str">
        <x:v>TIGER TROUT</x:v>
      </x:c>
      <x:c r="F1281" s="13" t="n">
        <x:v>1500</x:v>
      </x:c>
      <x:c r="G1281" s="9" t="n">
        <x:v>20.8</x:v>
      </x:c>
      <x:c r="H1281" s="9" t="n">
        <x:v>100.6</x:v>
      </x:c>
      <x:c r="I1281" s="8" t="str">
        <x:f>B1281&amp;" / "&amp;C1281&amp;" / "&amp;E1281</x:f>
        <x:v>4794 / 2026 / TIGER TROUT</x:v>
      </x:c>
    </x:row>
    <x:row r="1282" ht="23" customHeight="1">
      <x:c r="A1282" s="8" t="str">
        <x:v>Hasse Lake</x:v>
      </x:c>
      <x:c r="B1282" s="8" t="str">
        <x:v>4794</x:v>
      </x:c>
      <x:c r="C1282" s="17" t="n">
        <x:v>2025</x:v>
      </x:c>
      <x:c r="D1282" s="18" t="n">
        <x:v>45932</x:v>
      </x:c>
      <x:c r="E1282" s="8" t="str">
        <x:v>RAINBOW TROUT</x:v>
      </x:c>
      <x:c r="F1282" s="13" t="n">
        <x:v>200</x:v>
      </x:c>
      <x:c r="G1282" s="9" t="n">
        <x:v>25.7</x:v>
      </x:c>
      <x:c r="H1282" s="9" t="n">
        <x:v>187.7</x:v>
      </x:c>
      <x:c r="I1282" s="8" t="str">
        <x:f>B1282&amp;" / "&amp;C1282&amp;" / "&amp;E1282</x:f>
        <x:v>4794 / 2025 / RAINBOW TROUT</x:v>
      </x:c>
    </x:row>
    <x:row r="1283" ht="23" customHeight="1">
      <x:c r="A1283" s="8" t="str">
        <x:v>Hasse Lake</x:v>
      </x:c>
      <x:c r="B1283" s="8" t="str">
        <x:v>4794</x:v>
      </x:c>
      <x:c r="C1283" s="17" t="n">
        <x:v>2025</x:v>
      </x:c>
      <x:c r="D1283" s="18" t="n">
        <x:v>45932</x:v>
      </x:c>
      <x:c r="E1283" s="8" t="str">
        <x:v>RAINBOW TROUT</x:v>
      </x:c>
      <x:c r="F1283" s="13" t="n">
        <x:v>5580</x:v>
      </x:c>
      <x:c r="G1283" s="9" t="n">
        <x:v>20.1</x:v>
      </x:c>
      <x:c r="H1283" s="9" t="n">
        <x:v>90.4</x:v>
      </x:c>
      <x:c r="I1283" s="8" t="str">
        <x:f>B1283&amp;" / "&amp;C1283&amp;" / "&amp;E1283</x:f>
        <x:v>4794 / 2025 / RAINBOW TROUT</x:v>
      </x:c>
    </x:row>
    <x:row r="1284" ht="23" customHeight="1">
      <x:c r="A1284" s="8" t="str">
        <x:v>Hasse Lake</x:v>
      </x:c>
      <x:c r="B1284" s="8" t="str">
        <x:v>4794</x:v>
      </x:c>
      <x:c r="C1284" s="17" t="n">
        <x:v>2025</x:v>
      </x:c>
      <x:c r="D1284" s="18" t="n">
        <x:v>45775</x:v>
      </x:c>
      <x:c r="E1284" s="8" t="str">
        <x:v>RAINBOW TROUT</x:v>
      </x:c>
      <x:c r="F1284" s="13" t="n">
        <x:v>10000</x:v>
      </x:c>
      <x:c r="G1284" s="9" t="n">
        <x:v>20</x:v>
      </x:c>
      <x:c r="H1284" s="9" t="n">
        <x:v>86.1</x:v>
      </x:c>
      <x:c r="I1284" s="8" t="str">
        <x:f>B1284&amp;" / "&amp;C1284&amp;" / "&amp;E1284</x:f>
        <x:v>4794 / 2025 / RAINBOW TROUT</x:v>
      </x:c>
    </x:row>
    <x:row r="1285" ht="23" customHeight="1">
      <x:c r="A1285" s="8" t="str">
        <x:v>Hasse Lake</x:v>
      </x:c>
      <x:c r="B1285" s="8" t="str">
        <x:v>4794</x:v>
      </x:c>
      <x:c r="C1285" s="17" t="n">
        <x:v>2025</x:v>
      </x:c>
      <x:c r="D1285" s="18" t="n">
        <x:v>45932</x:v>
      </x:c>
      <x:c r="E1285" s="8" t="str">
        <x:v>TIGER TROUT</x:v>
      </x:c>
      <x:c r="F1285" s="13" t="n">
        <x:v>500</x:v>
      </x:c>
      <x:c r="G1285" s="9" t="n">
        <x:v>26.8</x:v>
      </x:c>
      <x:c r="H1285" s="9" t="n">
        <x:v>213.2</x:v>
      </x:c>
      <x:c r="I1285" s="8" t="str">
        <x:f>B1285&amp;" / "&amp;C1285&amp;" / "&amp;E1285</x:f>
        <x:v>4794 / 2025 / TIGER TROUT</x:v>
      </x:c>
    </x:row>
    <x:row r="1286" ht="23" customHeight="1">
      <x:c r="A1286" s="8" t="str">
        <x:v>Hasse Lake</x:v>
      </x:c>
      <x:c r="B1286" s="8" t="str">
        <x:v>4794</x:v>
      </x:c>
      <x:c r="C1286" s="17" t="n">
        <x:v>2025</x:v>
      </x:c>
      <x:c r="D1286" s="18" t="n">
        <x:v>45775</x:v>
      </x:c>
      <x:c r="E1286" s="8" t="str">
        <x:v>TIGER TROUT</x:v>
      </x:c>
      <x:c r="F1286" s="13" t="n">
        <x:v>1500</x:v>
      </x:c>
      <x:c r="G1286" s="9" t="n">
        <x:v>20.3</x:v>
      </x:c>
      <x:c r="H1286" s="9" t="n">
        <x:v>90</x:v>
      </x:c>
      <x:c r="I1286" s="8" t="str">
        <x:f>B1286&amp;" / "&amp;C1286&amp;" / "&amp;E1286</x:f>
        <x:v>4794 / 2025 / TIGER TROUT</x:v>
      </x:c>
    </x:row>
    <x:row r="1287" ht="23" customHeight="1">
      <x:c r="A1287" s="8" t="str">
        <x:v>Hasse Lake</x:v>
      </x:c>
      <x:c r="B1287" s="8" t="str">
        <x:v>4794</x:v>
      </x:c>
      <x:c r="C1287" s="17" t="n">
        <x:v>2024</x:v>
      </x:c>
      <x:c r="D1287" s="18" t="n">
        <x:v>45581</x:v>
      </x:c>
      <x:c r="E1287" s="8" t="str">
        <x:v>RAINBOW TROUT</x:v>
      </x:c>
      <x:c r="F1287" s="13" t="n">
        <x:v>130</x:v>
      </x:c>
      <x:c r="G1287" s="9" t="n">
        <x:v>55</x:v>
      </x:c>
      <x:c r="H1287" s="9" t="n">
        <x:v>6000</x:v>
      </x:c>
      <x:c r="I1287" s="8" t="str">
        <x:f>B1287&amp;" / "&amp;C1287&amp;" / "&amp;E1287</x:f>
        <x:v>4794 / 2024 / RAINBOW TROUT</x:v>
      </x:c>
    </x:row>
    <x:row r="1288" ht="23" customHeight="1">
      <x:c r="A1288" s="8" t="str">
        <x:v>Hasse Lake</x:v>
      </x:c>
      <x:c r="B1288" s="8" t="str">
        <x:v>4794</x:v>
      </x:c>
      <x:c r="C1288" s="17" t="n">
        <x:v>2024</x:v>
      </x:c>
      <x:c r="D1288" s="18" t="n">
        <x:v>45574</x:v>
      </x:c>
      <x:c r="E1288" s="8" t="str">
        <x:v>RAINBOW TROUT</x:v>
      </x:c>
      <x:c r="F1288" s="13" t="n">
        <x:v>1900</x:v>
      </x:c>
      <x:c r="G1288" s="9" t="n">
        <x:v>20.9</x:v>
      </x:c>
      <x:c r="H1288" s="9" t="n">
        <x:v>101.7</x:v>
      </x:c>
      <x:c r="I1288" s="8" t="str">
        <x:f>B1288&amp;" / "&amp;C1288&amp;" / "&amp;E1288</x:f>
        <x:v>4794 / 2024 / RAINBOW TROUT</x:v>
      </x:c>
    </x:row>
    <x:row r="1289" ht="23" customHeight="1">
      <x:c r="A1289" s="8" t="str">
        <x:v>Hasse Lake</x:v>
      </x:c>
      <x:c r="B1289" s="8" t="str">
        <x:v>4794</x:v>
      </x:c>
      <x:c r="C1289" s="17" t="n">
        <x:v>2024</x:v>
      </x:c>
      <x:c r="D1289" s="18" t="n">
        <x:v>45574</x:v>
      </x:c>
      <x:c r="E1289" s="8" t="str">
        <x:v>RAINBOW TROUT</x:v>
      </x:c>
      <x:c r="F1289" s="13" t="n">
        <x:v>8100</x:v>
      </x:c>
      <x:c r="G1289" s="9" t="n">
        <x:v>19</x:v>
      </x:c>
      <x:c r="H1289" s="9" t="n">
        <x:v>76.2</x:v>
      </x:c>
      <x:c r="I1289" s="8" t="str">
        <x:f>B1289&amp;" / "&amp;C1289&amp;" / "&amp;E1289</x:f>
        <x:v>4794 / 2024 / RAINBOW TROUT</x:v>
      </x:c>
    </x:row>
    <x:row r="1290" ht="23" customHeight="1">
      <x:c r="A1290" s="8" t="str">
        <x:v>Hasse Lake</x:v>
      </x:c>
      <x:c r="B1290" s="8" t="str">
        <x:v>4794</x:v>
      </x:c>
      <x:c r="C1290" s="17" t="n">
        <x:v>2024</x:v>
      </x:c>
      <x:c r="D1290" s="18" t="n">
        <x:v>45428</x:v>
      </x:c>
      <x:c r="E1290" s="8" t="str">
        <x:v>RAINBOW TROUT</x:v>
      </x:c>
      <x:c r="F1290" s="13" t="n">
        <x:v>10000</x:v>
      </x:c>
      <x:c r="G1290" s="9" t="n">
        <x:v>9.9</x:v>
      </x:c>
      <x:c r="H1290" s="9" t="n">
        <x:v>10.7</x:v>
      </x:c>
      <x:c r="I1290" s="8" t="str">
        <x:f>B1290&amp;" / "&amp;C1290&amp;" / "&amp;E1290</x:f>
        <x:v>4794 / 2024 / RAINBOW TROUT</x:v>
      </x:c>
    </x:row>
    <x:row r="1291" ht="23" customHeight="1">
      <x:c r="A1291" s="8" t="str">
        <x:v>Hasse Lake</x:v>
      </x:c>
      <x:c r="B1291" s="8" t="str">
        <x:v>4794</x:v>
      </x:c>
      <x:c r="C1291" s="17" t="n">
        <x:v>2024</x:v>
      </x:c>
      <x:c r="D1291" s="18" t="n">
        <x:v>45412</x:v>
      </x:c>
      <x:c r="E1291" s="8" t="str">
        <x:v>RAINBOW TROUT</x:v>
      </x:c>
      <x:c r="F1291" s="13" t="n">
        <x:v>4000</x:v>
      </x:c>
      <x:c r="G1291" s="9" t="n">
        <x:v>20.4</x:v>
      </x:c>
      <x:c r="H1291" s="9" t="n">
        <x:v>92.3</x:v>
      </x:c>
      <x:c r="I1291" s="8" t="str">
        <x:f>B1291&amp;" / "&amp;C1291&amp;" / "&amp;E1291</x:f>
        <x:v>4794 / 2024 / RAINBOW TROUT</x:v>
      </x:c>
    </x:row>
    <x:row r="1292" ht="23" customHeight="1">
      <x:c r="A1292" s="8" t="str">
        <x:v>Hasse Lake</x:v>
      </x:c>
      <x:c r="B1292" s="8" t="str">
        <x:v>4794</x:v>
      </x:c>
      <x:c r="C1292" s="17" t="n">
        <x:v>2024</x:v>
      </x:c>
      <x:c r="D1292" s="18" t="n">
        <x:v>45572</x:v>
      </x:c>
      <x:c r="E1292" s="8" t="str">
        <x:v>TIGER TROUT</x:v>
      </x:c>
      <x:c r="F1292" s="13" t="n">
        <x:v>1500</x:v>
      </x:c>
      <x:c r="G1292" s="9" t="n">
        <x:v>21.7</x:v>
      </x:c>
      <x:c r="H1292" s="9" t="n">
        <x:v>109.8</x:v>
      </x:c>
      <x:c r="I1292" s="8" t="str">
        <x:f>B1292&amp;" / "&amp;C1292&amp;" / "&amp;E1292</x:f>
        <x:v>4794 / 2024 / TIGER TROUT</x:v>
      </x:c>
    </x:row>
    <x:row r="1293" ht="23" customHeight="1">
      <x:c r="A1293" s="8" t="str">
        <x:v>Hasse Lake</x:v>
      </x:c>
      <x:c r="B1293" s="8" t="str">
        <x:v>4794</x:v>
      </x:c>
      <x:c r="C1293" s="17" t="n">
        <x:v>2024</x:v>
      </x:c>
      <x:c r="D1293" s="18" t="n">
        <x:v>45412</x:v>
      </x:c>
      <x:c r="E1293" s="8" t="str">
        <x:v>TIGER TROUT</x:v>
      </x:c>
      <x:c r="F1293" s="13" t="n">
        <x:v>500</x:v>
      </x:c>
      <x:c r="G1293" s="9" t="n">
        <x:v>19.6</x:v>
      </x:c>
      <x:c r="H1293" s="9" t="n">
        <x:v>81.9</x:v>
      </x:c>
      <x:c r="I1293" s="8" t="str">
        <x:f>B1293&amp;" / "&amp;C1293&amp;" / "&amp;E1293</x:f>
        <x:v>4794 / 2024 / TIGER TROUT</x:v>
      </x:c>
    </x:row>
    <x:row r="1294" ht="23" customHeight="1">
      <x:c r="A1294" s="8" t="str">
        <x:v>Hasse Lake</x:v>
      </x:c>
      <x:c r="B1294" s="8" t="str">
        <x:v>4794</x:v>
      </x:c>
      <x:c r="C1294" s="17" t="n">
        <x:v>2023</x:v>
      </x:c>
      <x:c r="D1294" s="18" t="n">
        <x:v>45054</x:v>
      </x:c>
      <x:c r="E1294" s="8" t="str">
        <x:v>RAINBOW TROUT</x:v>
      </x:c>
      <x:c r="F1294" s="13" t="n">
        <x:v>2083</x:v>
      </x:c>
      <x:c r="G1294" s="9" t="n">
        <x:v>17.4</x:v>
      </x:c>
      <x:c r="H1294" s="9" t="n">
        <x:v>58.7</x:v>
      </x:c>
      <x:c r="I1294" s="8" t="str">
        <x:f>B1294&amp;" / "&amp;C1294&amp;" / "&amp;E1294</x:f>
        <x:v>4794 / 2023 / RAINBOW TROUT</x:v>
      </x:c>
    </x:row>
    <x:row r="1295" ht="23" customHeight="1">
      <x:c r="A1295" s="8" t="str">
        <x:v>Hasse Lake</x:v>
      </x:c>
      <x:c r="B1295" s="8" t="str">
        <x:v>4794</x:v>
      </x:c>
      <x:c r="C1295" s="17" t="n">
        <x:v>2023</x:v>
      </x:c>
      <x:c r="D1295" s="18" t="n">
        <x:v>45054</x:v>
      </x:c>
      <x:c r="E1295" s="8" t="str">
        <x:v>RAINBOW TROUT</x:v>
      </x:c>
      <x:c r="F1295" s="13" t="n">
        <x:v>1995</x:v>
      </x:c>
      <x:c r="G1295" s="9" t="n">
        <x:v>19.9</x:v>
      </x:c>
      <x:c r="H1295" s="9" t="n">
        <x:v>87.2</x:v>
      </x:c>
      <x:c r="I1295" s="8" t="str">
        <x:f>B1295&amp;" / "&amp;C1295&amp;" / "&amp;E1295</x:f>
        <x:v>4794 / 2023 / RAINBOW TROUT</x:v>
      </x:c>
    </x:row>
    <x:row r="1296" ht="23" customHeight="1">
      <x:c r="A1296" s="8" t="str">
        <x:v>Hasse Lake</x:v>
      </x:c>
      <x:c r="B1296" s="8" t="str">
        <x:v>4794</x:v>
      </x:c>
      <x:c r="C1296" s="17" t="n">
        <x:v>2023</x:v>
      </x:c>
      <x:c r="D1296" s="18" t="n">
        <x:v>45053</x:v>
      </x:c>
      <x:c r="E1296" s="8" t="str">
        <x:v>RAINBOW TROUT</x:v>
      </x:c>
      <x:c r="F1296" s="13" t="n">
        <x:v>6000</x:v>
      </x:c>
      <x:c r="G1296" s="9" t="n">
        <x:v>8.9</x:v>
      </x:c>
      <x:c r="H1296" s="9" t="n">
        <x:v>7.7</x:v>
      </x:c>
      <x:c r="I1296" s="8" t="str">
        <x:f>B1296&amp;" / "&amp;C1296&amp;" / "&amp;E1296</x:f>
        <x:v>4794 / 2023 / RAINBOW TROUT</x:v>
      </x:c>
    </x:row>
    <x:row r="1297" ht="23" customHeight="1">
      <x:c r="A1297" s="8" t="str">
        <x:v>Hasse Lake</x:v>
      </x:c>
      <x:c r="B1297" s="8" t="str">
        <x:v>4794</x:v>
      </x:c>
      <x:c r="C1297" s="17" t="n">
        <x:v>2023</x:v>
      </x:c>
      <x:c r="D1297" s="18" t="n">
        <x:v>45054</x:v>
      </x:c>
      <x:c r="E1297" s="8" t="str">
        <x:v>TIGER TROUT</x:v>
      </x:c>
      <x:c r="F1297" s="13" t="n">
        <x:v>500</x:v>
      </x:c>
      <x:c r="G1297" s="9" t="n">
        <x:v>19.6</x:v>
      </x:c>
      <x:c r="H1297" s="9" t="n">
        <x:v>84</x:v>
      </x:c>
      <x:c r="I1297" s="8" t="str">
        <x:f>B1297&amp;" / "&amp;C1297&amp;" / "&amp;E1297</x:f>
        <x:v>4794 / 2023 / TIGER TROUT</x:v>
      </x:c>
    </x:row>
    <x:row r="1298" ht="23" customHeight="1">
      <x:c r="A1298" s="8" t="str">
        <x:v>Hasse Lake</x:v>
      </x:c>
      <x:c r="B1298" s="8" t="str">
        <x:v>4794</x:v>
      </x:c>
      <x:c r="C1298" s="17" t="n">
        <x:v>2022</x:v>
      </x:c>
      <x:c r="D1298" s="18" t="n">
        <x:v>44833</x:v>
      </x:c>
      <x:c r="E1298" s="8" t="str">
        <x:v>RAINBOW TROUT</x:v>
      </x:c>
      <x:c r="F1298" s="13" t="n">
        <x:v>1873</x:v>
      </x:c>
      <x:c r="G1298" s="9" t="n">
        <x:v>25.3</x:v>
      </x:c>
      <x:c r="H1298" s="9" t="n">
        <x:v>179.8</x:v>
      </x:c>
      <x:c r="I1298" s="8" t="str">
        <x:f>B1298&amp;" / "&amp;C1298&amp;" / "&amp;E1298</x:f>
        <x:v>4794 / 2022 / RAINBOW TROUT</x:v>
      </x:c>
    </x:row>
    <x:row r="1299" ht="23" customHeight="1">
      <x:c r="A1299" s="8" t="str">
        <x:v>Hasse Lake</x:v>
      </x:c>
      <x:c r="B1299" s="8" t="str">
        <x:v>4794</x:v>
      </x:c>
      <x:c r="C1299" s="17" t="n">
        <x:v>2022</x:v>
      </x:c>
      <x:c r="D1299" s="18" t="n">
        <x:v>44833</x:v>
      </x:c>
      <x:c r="E1299" s="8" t="str">
        <x:v>RAINBOW TROUT</x:v>
      </x:c>
      <x:c r="F1299" s="13" t="n">
        <x:v>3127</x:v>
      </x:c>
      <x:c r="G1299" s="9" t="n">
        <x:v>25.7</x:v>
      </x:c>
      <x:c r="H1299" s="9" t="n">
        <x:v>186.8</x:v>
      </x:c>
      <x:c r="I1299" s="8" t="str">
        <x:f>B1299&amp;" / "&amp;C1299&amp;" / "&amp;E1299</x:f>
        <x:v>4794 / 2022 / RAINBOW TROUT</x:v>
      </x:c>
    </x:row>
    <x:row r="1300" ht="23" customHeight="1">
      <x:c r="A1300" s="8" t="str">
        <x:v>Hasse Lake</x:v>
      </x:c>
      <x:c r="B1300" s="8" t="str">
        <x:v>4794</x:v>
      </x:c>
      <x:c r="C1300" s="17" t="n">
        <x:v>2022</x:v>
      </x:c>
      <x:c r="D1300" s="18" t="n">
        <x:v>44819</x:v>
      </x:c>
      <x:c r="E1300" s="8" t="str">
        <x:v>RAINBOW TROUT</x:v>
      </x:c>
      <x:c r="F1300" s="13" t="n">
        <x:v>5149</x:v>
      </x:c>
      <x:c r="G1300" s="9" t="n">
        <x:v>6.8</x:v>
      </x:c>
      <x:c r="H1300" s="9" t="n">
        <x:v>3.5</x:v>
      </x:c>
      <x:c r="I1300" s="8" t="str">
        <x:f>B1300&amp;" / "&amp;C1300&amp;" / "&amp;E1300</x:f>
        <x:v>4794 / 2022 / RAINBOW TROUT</x:v>
      </x:c>
    </x:row>
    <x:row r="1301" ht="23" customHeight="1">
      <x:c r="A1301" s="8" t="str">
        <x:v>Hasse Lake</x:v>
      </x:c>
      <x:c r="B1301" s="8" t="str">
        <x:v>4794</x:v>
      </x:c>
      <x:c r="C1301" s="17" t="n">
        <x:v>2022</x:v>
      </x:c>
      <x:c r="D1301" s="18" t="n">
        <x:v>44686</x:v>
      </x:c>
      <x:c r="E1301" s="8" t="str">
        <x:v>RAINBOW TROUT</x:v>
      </x:c>
      <x:c r="F1301" s="13" t="n">
        <x:v>10000</x:v>
      </x:c>
      <x:c r="G1301" s="9" t="n">
        <x:v>20</x:v>
      </x:c>
      <x:c r="H1301" s="9" t="n">
        <x:v>87.5</x:v>
      </x:c>
      <x:c r="I1301" s="8" t="str">
        <x:f>B1301&amp;" / "&amp;C1301&amp;" / "&amp;E1301</x:f>
        <x:v>4794 / 2022 / RAINBOW TROUT</x:v>
      </x:c>
    </x:row>
    <x:row r="1302" ht="23" customHeight="1">
      <x:c r="A1302" s="8" t="str">
        <x:v>Hasse Lake</x:v>
      </x:c>
      <x:c r="B1302" s="8" t="str">
        <x:v>4794</x:v>
      </x:c>
      <x:c r="C1302" s="17" t="n">
        <x:v>2022</x:v>
      </x:c>
      <x:c r="D1302" s="18" t="n">
        <x:v>44833</x:v>
      </x:c>
      <x:c r="E1302" s="8" t="str">
        <x:v>TIGER TROUT</x:v>
      </x:c>
      <x:c r="F1302" s="13" t="n">
        <x:v>500</x:v>
      </x:c>
      <x:c r="G1302" s="9" t="n">
        <x:v>22.9</x:v>
      </x:c>
      <x:c r="H1302" s="9" t="n">
        <x:v>133.8</x:v>
      </x:c>
      <x:c r="I1302" s="8" t="str">
        <x:f>B1302&amp;" / "&amp;C1302&amp;" / "&amp;E1302</x:f>
        <x:v>4794 / 2022 / TIGER TROUT</x:v>
      </x:c>
    </x:row>
    <x:row r="1303" ht="23" customHeight="1">
      <x:c r="A1303" s="8" t="str">
        <x:v>Hasse Lake</x:v>
      </x:c>
      <x:c r="B1303" s="8" t="str">
        <x:v>4794</x:v>
      </x:c>
      <x:c r="C1303" s="17" t="n">
        <x:v>2022</x:v>
      </x:c>
      <x:c r="D1303" s="18" t="n">
        <x:v>44833</x:v>
      </x:c>
      <x:c r="E1303" s="8" t="str">
        <x:v>TIGER TROUT</x:v>
      </x:c>
      <x:c r="F1303" s="13" t="n">
        <x:v>3000</x:v>
      </x:c>
      <x:c r="G1303" s="9" t="n">
        <x:v>9.5</x:v>
      </x:c>
      <x:c r="H1303" s="9" t="n">
        <x:v>9.4</x:v>
      </x:c>
      <x:c r="I1303" s="8" t="str">
        <x:f>B1303&amp;" / "&amp;C1303&amp;" / "&amp;E1303</x:f>
        <x:v>4794 / 2022 / TIGER TROUT</x:v>
      </x:c>
    </x:row>
    <x:row r="1304" ht="23" customHeight="1">
      <x:c r="A1304" s="8" t="str">
        <x:v>Hasse Lake</x:v>
      </x:c>
      <x:c r="B1304" s="8" t="str">
        <x:v>4794</x:v>
      </x:c>
      <x:c r="C1304" s="17" t="n">
        <x:v>2022</x:v>
      </x:c>
      <x:c r="D1304" s="18" t="n">
        <x:v>44687</x:v>
      </x:c>
      <x:c r="E1304" s="8" t="str">
        <x:v>TIGER TROUT</x:v>
      </x:c>
      <x:c r="F1304" s="13" t="n">
        <x:v>1500</x:v>
      </x:c>
      <x:c r="G1304" s="9" t="n">
        <x:v>17.1</x:v>
      </x:c>
      <x:c r="H1304" s="9" t="n">
        <x:v>55.5</x:v>
      </x:c>
      <x:c r="I1304" s="8" t="str">
        <x:f>B1304&amp;" / "&amp;C1304&amp;" / "&amp;E1304</x:f>
        <x:v>4794 / 2022 / TIGER TROUT</x:v>
      </x:c>
    </x:row>
    <x:row r="1305" ht="23" customHeight="1">
      <x:c r="A1305" s="8" t="str">
        <x:v>Hasse Lake</x:v>
      </x:c>
      <x:c r="B1305" s="8" t="str">
        <x:v>4794</x:v>
      </x:c>
      <x:c r="C1305" s="17" t="n">
        <x:v>2021</x:v>
      </x:c>
      <x:c r="D1305" s="18" t="n">
        <x:v>44473</x:v>
      </x:c>
      <x:c r="E1305" s="8" t="str">
        <x:v>RAINBOW TROUT</x:v>
      </x:c>
      <x:c r="F1305" s="13" t="n">
        <x:v>228</x:v>
      </x:c>
      <x:c r="G1305" s="9" t="n">
        <x:v>35</x:v>
      </x:c>
      <x:c r="H1305" s="9" t="n">
        <x:v>1050</x:v>
      </x:c>
      <x:c r="I1305" s="8" t="str">
        <x:f>B1305&amp;" / "&amp;C1305&amp;" / "&amp;E1305</x:f>
        <x:v>4794 / 2021 / RAINBOW TROUT</x:v>
      </x:c>
    </x:row>
    <x:row r="1306" ht="23" customHeight="1">
      <x:c r="A1306" s="8" t="str">
        <x:v>Hasse Lake</x:v>
      </x:c>
      <x:c r="B1306" s="8" t="str">
        <x:v>4794</x:v>
      </x:c>
      <x:c r="C1306" s="17" t="n">
        <x:v>2021</x:v>
      </x:c>
      <x:c r="D1306" s="18" t="n">
        <x:v>44459</x:v>
      </x:c>
      <x:c r="E1306" s="8" t="str">
        <x:v>RAINBOW TROUT</x:v>
      </x:c>
      <x:c r="F1306" s="13" t="n">
        <x:v>5000</x:v>
      </x:c>
      <x:c r="G1306" s="9" t="n">
        <x:v>20</x:v>
      </x:c>
      <x:c r="H1306" s="9" t="n">
        <x:v>89</x:v>
      </x:c>
      <x:c r="I1306" s="8" t="str">
        <x:f>B1306&amp;" / "&amp;C1306&amp;" / "&amp;E1306</x:f>
        <x:v>4794 / 2021 / RAINBOW TROUT</x:v>
      </x:c>
    </x:row>
    <x:row r="1307" ht="23" customHeight="1">
      <x:c r="A1307" s="8" t="str">
        <x:v>Hasse Lake</x:v>
      </x:c>
      <x:c r="B1307" s="8" t="str">
        <x:v>4794</x:v>
      </x:c>
      <x:c r="C1307" s="17" t="n">
        <x:v>2021</x:v>
      </x:c>
      <x:c r="D1307" s="18" t="n">
        <x:v>44320</x:v>
      </x:c>
      <x:c r="E1307" s="8" t="str">
        <x:v>RAINBOW TROUT</x:v>
      </x:c>
      <x:c r="F1307" s="13" t="n">
        <x:v>10000</x:v>
      </x:c>
      <x:c r="G1307" s="9" t="n">
        <x:v>21.5</x:v>
      </x:c>
      <x:c r="H1307" s="9" t="n">
        <x:v>109.3</x:v>
      </x:c>
      <x:c r="I1307" s="8" t="str">
        <x:f>B1307&amp;" / "&amp;C1307&amp;" / "&amp;E1307</x:f>
        <x:v>4794 / 2021 / RAINBOW TROUT</x:v>
      </x:c>
    </x:row>
    <x:row r="1308" ht="23" customHeight="1">
      <x:c r="A1308" s="8" t="str">
        <x:v>Hasse Lake</x:v>
      </x:c>
      <x:c r="B1308" s="8" t="str">
        <x:v>4794</x:v>
      </x:c>
      <x:c r="C1308" s="17" t="n">
        <x:v>2021</x:v>
      </x:c>
      <x:c r="D1308" s="18" t="n">
        <x:v>44460</x:v>
      </x:c>
      <x:c r="E1308" s="8" t="str">
        <x:v>TIGER TROUT</x:v>
      </x:c>
      <x:c r="F1308" s="13" t="n">
        <x:v>500</x:v>
      </x:c>
      <x:c r="G1308" s="9" t="n">
        <x:v>21.8</x:v>
      </x:c>
      <x:c r="H1308" s="9" t="n">
        <x:v>114.6</x:v>
      </x:c>
      <x:c r="I1308" s="8" t="str">
        <x:f>B1308&amp;" / "&amp;C1308&amp;" / "&amp;E1308</x:f>
        <x:v>4794 / 2021 / TIGER TROUT</x:v>
      </x:c>
    </x:row>
    <x:row r="1309" ht="23" customHeight="1">
      <x:c r="A1309" s="8" t="str">
        <x:v>Hasse Lake</x:v>
      </x:c>
      <x:c r="B1309" s="8" t="str">
        <x:v>4794</x:v>
      </x:c>
      <x:c r="C1309" s="17" t="n">
        <x:v>2021</x:v>
      </x:c>
      <x:c r="D1309" s="18" t="n">
        <x:v>44320</x:v>
      </x:c>
      <x:c r="E1309" s="8" t="str">
        <x:v>TIGER TROUT</x:v>
      </x:c>
      <x:c r="F1309" s="13" t="n">
        <x:v>1500</x:v>
      </x:c>
      <x:c r="G1309" s="9" t="n">
        <x:v>15.9</x:v>
      </x:c>
      <x:c r="H1309" s="9" t="n">
        <x:v>44.6</x:v>
      </x:c>
      <x:c r="I1309" s="8" t="str">
        <x:f>B1309&amp;" / "&amp;C1309&amp;" / "&amp;E1309</x:f>
        <x:v>4794 / 2021 / TIGER TROUT</x:v>
      </x:c>
    </x:row>
    <x:row r="1310" ht="23" customHeight="1">
      <x:c r="A1310" s="8" t="str">
        <x:v>Helmer Reservoir</x:v>
      </x:c>
      <x:c r="B1310" s="8" t="str">
        <x:v>6803</x:v>
      </x:c>
      <x:c r="C1310" s="17" t="n">
        <x:v>2026</x:v>
      </x:c>
      <x:c r="D1310" s="18" t="n">
        <x:v>46135</x:v>
      </x:c>
      <x:c r="E1310" s="8" t="str">
        <x:v>RAINBOW TROUT</x:v>
      </x:c>
      <x:c r="F1310" s="13" t="n">
        <x:v>5000</x:v>
      </x:c>
      <x:c r="G1310" s="9" t="n">
        <x:v>20</x:v>
      </x:c>
      <x:c r="H1310" s="9" t="n">
        <x:v>86.3</x:v>
      </x:c>
      <x:c r="I1310" s="8" t="str">
        <x:f>B1310&amp;" / "&amp;C1310&amp;" / "&amp;E1310</x:f>
        <x:v>6803 / 2026 / RAINBOW TROUT</x:v>
      </x:c>
    </x:row>
    <x:row r="1311" ht="23" customHeight="1">
      <x:c r="A1311" s="8" t="str">
        <x:v>Helmer Reservoir</x:v>
      </x:c>
      <x:c r="B1311" s="8" t="str">
        <x:v>6803</x:v>
      </x:c>
      <x:c r="C1311" s="17" t="n">
        <x:v>2025</x:v>
      </x:c>
      <x:c r="D1311" s="18" t="n">
        <x:v>45770</x:v>
      </x:c>
      <x:c r="E1311" s="8" t="str">
        <x:v>RAINBOW TROUT</x:v>
      </x:c>
      <x:c r="F1311" s="13" t="n">
        <x:v>5000</x:v>
      </x:c>
      <x:c r="G1311" s="9" t="n">
        <x:v>20.4</x:v>
      </x:c>
      <x:c r="H1311" s="9" t="n">
        <x:v>91.4</x:v>
      </x:c>
      <x:c r="I1311" s="8" t="str">
        <x:f>B1311&amp;" / "&amp;C1311&amp;" / "&amp;E1311</x:f>
        <x:v>6803 / 2025 / RAINBOW TROUT</x:v>
      </x:c>
    </x:row>
    <x:row r="1312" ht="23" customHeight="1">
      <x:c r="A1312" s="8" t="str">
        <x:v>Helmer Reservoir</x:v>
      </x:c>
      <x:c r="B1312" s="8" t="str">
        <x:v>6803</x:v>
      </x:c>
      <x:c r="C1312" s="17" t="n">
        <x:v>2025</x:v>
      </x:c>
      <x:c r="D1312" s="18" t="n">
        <x:v>45769</x:v>
      </x:c>
      <x:c r="E1312" s="8" t="str">
        <x:v>RAINBOW TROUT</x:v>
      </x:c>
      <x:c r="F1312" s="13" t="n">
        <x:v>5000</x:v>
      </x:c>
      <x:c r="G1312" s="9" t="n">
        <x:v>20.4</x:v>
      </x:c>
      <x:c r="H1312" s="9" t="n">
        <x:v>91.4</x:v>
      </x:c>
      <x:c r="I1312" s="8" t="str">
        <x:f>B1312&amp;" / "&amp;C1312&amp;" / "&amp;E1312</x:f>
        <x:v>6803 / 2025 / RAINBOW TROUT</x:v>
      </x:c>
    </x:row>
    <x:row r="1313" ht="23" customHeight="1">
      <x:c r="A1313" s="8" t="str">
        <x:v>Helmer Reservoir</x:v>
      </x:c>
      <x:c r="B1313" s="8" t="str">
        <x:v>6803</x:v>
      </x:c>
      <x:c r="C1313" s="17" t="n">
        <x:v>2023</x:v>
      </x:c>
      <x:c r="D1313" s="18" t="n">
        <x:v>45189</x:v>
      </x:c>
      <x:c r="E1313" s="8" t="str">
        <x:v>RAINBOW TROUT</x:v>
      </x:c>
      <x:c r="F1313" s="13" t="n">
        <x:v>1510</x:v>
      </x:c>
      <x:c r="G1313" s="9" t="n">
        <x:v>19.2</x:v>
      </x:c>
      <x:c r="H1313" s="9" t="n">
        <x:v>80.9</x:v>
      </x:c>
      <x:c r="I1313" s="8" t="str">
        <x:f>B1313&amp;" / "&amp;C1313&amp;" / "&amp;E1313</x:f>
        <x:v>6803 / 2023 / RAINBOW TROUT</x:v>
      </x:c>
    </x:row>
    <x:row r="1314" ht="23" customHeight="1">
      <x:c r="A1314" s="8" t="str">
        <x:v>Helmer Reservoir</x:v>
      </x:c>
      <x:c r="B1314" s="8" t="str">
        <x:v>6803</x:v>
      </x:c>
      <x:c r="C1314" s="17" t="n">
        <x:v>2023</x:v>
      </x:c>
      <x:c r="D1314" s="18" t="n">
        <x:v>45050</x:v>
      </x:c>
      <x:c r="E1314" s="8" t="str">
        <x:v>RAINBOW TROUT</x:v>
      </x:c>
      <x:c r="F1314" s="13" t="n">
        <x:v>2510</x:v>
      </x:c>
      <x:c r="G1314" s="9" t="n">
        <x:v>20.5</x:v>
      </x:c>
      <x:c r="H1314" s="9" t="n">
        <x:v>92.8</x:v>
      </x:c>
      <x:c r="I1314" s="8" t="str">
        <x:f>B1314&amp;" / "&amp;C1314&amp;" / "&amp;E1314</x:f>
        <x:v>6803 / 2023 / RAINBOW TROUT</x:v>
      </x:c>
    </x:row>
    <x:row r="1315" ht="23" customHeight="1">
      <x:c r="A1315" s="8" t="str">
        <x:v>Helmer Reservoir</x:v>
      </x:c>
      <x:c r="B1315" s="8" t="str">
        <x:v>6803</x:v>
      </x:c>
      <x:c r="C1315" s="17" t="n">
        <x:v>2022</x:v>
      </x:c>
      <x:c r="D1315" s="18" t="n">
        <x:v>44833</x:v>
      </x:c>
      <x:c r="E1315" s="8" t="str">
        <x:v>RAINBOW TROUT</x:v>
      </x:c>
      <x:c r="F1315" s="13" t="n">
        <x:v>2500</x:v>
      </x:c>
      <x:c r="G1315" s="9" t="n">
        <x:v>17.9</x:v>
      </x:c>
      <x:c r="H1315" s="9" t="n">
        <x:v>64.6</x:v>
      </x:c>
      <x:c r="I1315" s="8" t="str">
        <x:f>B1315&amp;" / "&amp;C1315&amp;" / "&amp;E1315</x:f>
        <x:v>6803 / 2022 / RAINBOW TROUT</x:v>
      </x:c>
    </x:row>
    <x:row r="1316" ht="23" customHeight="1">
      <x:c r="A1316" s="8" t="str">
        <x:v>Helmer Reservoir</x:v>
      </x:c>
      <x:c r="B1316" s="8" t="str">
        <x:v>6803</x:v>
      </x:c>
      <x:c r="C1316" s="17" t="n">
        <x:v>2022</x:v>
      </x:c>
      <x:c r="D1316" s="18" t="n">
        <x:v>44833</x:v>
      </x:c>
      <x:c r="E1316" s="8" t="str">
        <x:v>RAINBOW TROUT</x:v>
      </x:c>
      <x:c r="F1316" s="13" t="n">
        <x:v>2500</x:v>
      </x:c>
      <x:c r="G1316" s="9" t="n">
        <x:v>17.9</x:v>
      </x:c>
      <x:c r="H1316" s="9" t="n">
        <x:v>64.6</x:v>
      </x:c>
      <x:c r="I1316" s="8" t="str">
        <x:f>B1316&amp;" / "&amp;C1316&amp;" / "&amp;E1316</x:f>
        <x:v>6803 / 2022 / RAINBOW TROUT</x:v>
      </x:c>
    </x:row>
    <x:row r="1317" ht="23" customHeight="1">
      <x:c r="A1317" s="8" t="str">
        <x:v>Helmer Reservoir</x:v>
      </x:c>
      <x:c r="B1317" s="8" t="str">
        <x:v>6803</x:v>
      </x:c>
      <x:c r="C1317" s="17" t="n">
        <x:v>2022</x:v>
      </x:c>
      <x:c r="D1317" s="18" t="n">
        <x:v>44671</x:v>
      </x:c>
      <x:c r="E1317" s="8" t="str">
        <x:v>RAINBOW TROUT</x:v>
      </x:c>
      <x:c r="F1317" s="13" t="n">
        <x:v>5000</x:v>
      </x:c>
      <x:c r="G1317" s="9" t="n">
        <x:v>20</x:v>
      </x:c>
      <x:c r="H1317" s="9" t="n">
        <x:v>87.7</x:v>
      </x:c>
      <x:c r="I1317" s="8" t="str">
        <x:f>B1317&amp;" / "&amp;C1317&amp;" / "&amp;E1317</x:f>
        <x:v>6803 / 2022 / RAINBOW TROUT</x:v>
      </x:c>
    </x:row>
    <x:row r="1318" ht="23" customHeight="1">
      <x:c r="A1318" s="8" t="str">
        <x:v>Helmer Reservoir</x:v>
      </x:c>
      <x:c r="B1318" s="8" t="str">
        <x:v>6803</x:v>
      </x:c>
      <x:c r="C1318" s="17" t="n">
        <x:v>2021</x:v>
      </x:c>
      <x:c r="D1318" s="18" t="n">
        <x:v>44304</x:v>
      </x:c>
      <x:c r="E1318" s="8" t="str">
        <x:v>RAINBOW TROUT</x:v>
      </x:c>
      <x:c r="F1318" s="13" t="n">
        <x:v>5000</x:v>
      </x:c>
      <x:c r="G1318" s="9" t="n">
        <x:v>20.9</x:v>
      </x:c>
      <x:c r="H1318" s="9" t="n">
        <x:v>101.2</x:v>
      </x:c>
      <x:c r="I1318" s="8" t="str">
        <x:f>B1318&amp;" / "&amp;C1318&amp;" / "&amp;E1318</x:f>
        <x:v>6803 / 2021 / RAINBOW TROUT</x:v>
      </x:c>
    </x:row>
    <x:row r="1319" ht="23" customHeight="1">
      <x:c r="A1319" s="8" t="str">
        <x:v>Heritage Lake</x:v>
      </x:c>
      <x:c r="B1319" s="8" t="str">
        <x:v>6790</x:v>
      </x:c>
      <x:c r="C1319" s="17" t="n">
        <x:v>2026</x:v>
      </x:c>
      <x:c r="D1319" s="18" t="n">
        <x:v>46147</x:v>
      </x:c>
      <x:c r="E1319" s="8" t="str">
        <x:v>BROOK TROUT</x:v>
      </x:c>
      <x:c r="F1319" s="13" t="n">
        <x:v>1600</x:v>
      </x:c>
      <x:c r="G1319" s="9" t="n">
        <x:v>18.8</x:v>
      </x:c>
      <x:c r="H1319" s="9" t="n">
        <x:v>72</x:v>
      </x:c>
      <x:c r="I1319" s="8" t="str">
        <x:f>B1319&amp;" / "&amp;C1319&amp;" / "&amp;E1319</x:f>
        <x:v>6790 / 2026 / BROOK TROUT</x:v>
      </x:c>
    </x:row>
    <x:row r="1320" ht="23" customHeight="1">
      <x:c r="A1320" s="8" t="str">
        <x:v>Heritage Lake</x:v>
      </x:c>
      <x:c r="B1320" s="8" t="str">
        <x:v>6790</x:v>
      </x:c>
      <x:c r="C1320" s="17" t="n">
        <x:v>2026</x:v>
      </x:c>
      <x:c r="D1320" s="18" t="n">
        <x:v>46147</x:v>
      </x:c>
      <x:c r="E1320" s="8" t="str">
        <x:v>BROWN TROUT</x:v>
      </x:c>
      <x:c r="F1320" s="13" t="n">
        <x:v>1000</x:v>
      </x:c>
      <x:c r="G1320" s="9" t="n">
        <x:v>17.9</x:v>
      </x:c>
      <x:c r="H1320" s="9" t="n">
        <x:v>62</x:v>
      </x:c>
      <x:c r="I1320" s="8" t="str">
        <x:f>B1320&amp;" / "&amp;C1320&amp;" / "&amp;E1320</x:f>
        <x:v>6790 / 2026 / BROWN TROUT</x:v>
      </x:c>
    </x:row>
    <x:row r="1321" ht="23" customHeight="1">
      <x:c r="A1321" s="8" t="str">
        <x:v>Heritage Lake</x:v>
      </x:c>
      <x:c r="B1321" s="8" t="str">
        <x:v>6790</x:v>
      </x:c>
      <x:c r="C1321" s="17" t="n">
        <x:v>2026</x:v>
      </x:c>
      <x:c r="D1321" s="18" t="n">
        <x:v>46175</x:v>
      </x:c>
      <x:c r="E1321" s="8" t="str">
        <x:v>RAINBOW TROUT</x:v>
      </x:c>
      <x:c r="F1321" s="13" t="n">
        <x:v>1890</x:v>
      </x:c>
      <x:c r="G1321" s="9" t="n">
        <x:v>23.8</x:v>
      </x:c>
      <x:c r="H1321" s="9" t="n">
        <x:v>146.5</x:v>
      </x:c>
      <x:c r="I1321" s="8" t="str">
        <x:f>B1321&amp;" / "&amp;C1321&amp;" / "&amp;E1321</x:f>
        <x:v>6790 / 2026 / RAINBOW TROUT</x:v>
      </x:c>
    </x:row>
    <x:row r="1322" ht="23" customHeight="1">
      <x:c r="A1322" s="8" t="str">
        <x:v>Heritage Lake</x:v>
      </x:c>
      <x:c r="B1322" s="8" t="str">
        <x:v>6790</x:v>
      </x:c>
      <x:c r="C1322" s="17" t="n">
        <x:v>2026</x:v>
      </x:c>
      <x:c r="D1322" s="18" t="n">
        <x:v>46147</x:v>
      </x:c>
      <x:c r="E1322" s="8" t="str">
        <x:v>RAINBOW TROUT</x:v>
      </x:c>
      <x:c r="F1322" s="13" t="n">
        <x:v>2160</x:v>
      </x:c>
      <x:c r="G1322" s="9" t="n">
        <x:v>22.2</x:v>
      </x:c>
      <x:c r="H1322" s="9" t="n">
        <x:v>118.3</x:v>
      </x:c>
      <x:c r="I1322" s="8" t="str">
        <x:f>B1322&amp;" / "&amp;C1322&amp;" / "&amp;E1322</x:f>
        <x:v>6790 / 2026 / RAINBOW TROUT</x:v>
      </x:c>
    </x:row>
    <x:row r="1323" ht="23" customHeight="1">
      <x:c r="A1323" s="8" t="str">
        <x:v>Heritage Lake</x:v>
      </x:c>
      <x:c r="B1323" s="8" t="str">
        <x:v>6790</x:v>
      </x:c>
      <x:c r="C1323" s="17" t="n">
        <x:v>2025</x:v>
      </x:c>
      <x:c r="D1323" s="18" t="n">
        <x:v>45775</x:v>
      </x:c>
      <x:c r="E1323" s="8" t="str">
        <x:v>BROOK TROUT</x:v>
      </x:c>
      <x:c r="F1323" s="13" t="n">
        <x:v>1600</x:v>
      </x:c>
      <x:c r="G1323" s="9" t="n">
        <x:v>19.6</x:v>
      </x:c>
      <x:c r="H1323" s="9" t="n">
        <x:v>81</x:v>
      </x:c>
      <x:c r="I1323" s="8" t="str">
        <x:f>B1323&amp;" / "&amp;C1323&amp;" / "&amp;E1323</x:f>
        <x:v>6790 / 2025 / BROOK TROUT</x:v>
      </x:c>
    </x:row>
    <x:row r="1324" ht="23" customHeight="1">
      <x:c r="A1324" s="8" t="str">
        <x:v>Heritage Lake</x:v>
      </x:c>
      <x:c r="B1324" s="8" t="str">
        <x:v>6790</x:v>
      </x:c>
      <x:c r="C1324" s="17" t="n">
        <x:v>2025</x:v>
      </x:c>
      <x:c r="D1324" s="18" t="n">
        <x:v>45775</x:v>
      </x:c>
      <x:c r="E1324" s="8" t="str">
        <x:v>BROWN TROUT</x:v>
      </x:c>
      <x:c r="F1324" s="13" t="n">
        <x:v>1000</x:v>
      </x:c>
      <x:c r="G1324" s="9" t="n">
        <x:v>19.1</x:v>
      </x:c>
      <x:c r="H1324" s="9" t="n">
        <x:v>75</x:v>
      </x:c>
      <x:c r="I1324" s="8" t="str">
        <x:f>B1324&amp;" / "&amp;C1324&amp;" / "&amp;E1324</x:f>
        <x:v>6790 / 2025 / BROWN TROUT</x:v>
      </x:c>
    </x:row>
    <x:row r="1325" ht="23" customHeight="1">
      <x:c r="A1325" s="8" t="str">
        <x:v>Heritage Lake</x:v>
      </x:c>
      <x:c r="B1325" s="8" t="str">
        <x:v>6790</x:v>
      </x:c>
      <x:c r="C1325" s="17" t="n">
        <x:v>2025</x:v>
      </x:c>
      <x:c r="D1325" s="18" t="n">
        <x:v>45928</x:v>
      </x:c>
      <x:c r="E1325" s="8" t="str">
        <x:v>RAINBOW TROUT</x:v>
      </x:c>
      <x:c r="F1325" s="13" t="n">
        <x:v>2660</x:v>
      </x:c>
      <x:c r="G1325" s="9" t="n">
        <x:v>24.1</x:v>
      </x:c>
      <x:c r="H1325" s="9" t="n">
        <x:v>153.3</x:v>
      </x:c>
      <x:c r="I1325" s="8" t="str">
        <x:f>B1325&amp;" / "&amp;C1325&amp;" / "&amp;E1325</x:f>
        <x:v>6790 / 2025 / RAINBOW TROUT</x:v>
      </x:c>
    </x:row>
    <x:row r="1326" ht="23" customHeight="1">
      <x:c r="A1326" s="8" t="str">
        <x:v>Heritage Lake</x:v>
      </x:c>
      <x:c r="B1326" s="8" t="str">
        <x:v>6790</x:v>
      </x:c>
      <x:c r="C1326" s="17" t="n">
        <x:v>2025</x:v>
      </x:c>
      <x:c r="D1326" s="18" t="n">
        <x:v>45928</x:v>
      </x:c>
      <x:c r="E1326" s="8" t="str">
        <x:v>RAINBOW TROUT</x:v>
      </x:c>
      <x:c r="F1326" s="13" t="n">
        <x:v>340</x:v>
      </x:c>
      <x:c r="G1326" s="9" t="n">
        <x:v>20.3</x:v>
      </x:c>
      <x:c r="H1326" s="9" t="n">
        <x:v>92.4</x:v>
      </x:c>
      <x:c r="I1326" s="8" t="str">
        <x:f>B1326&amp;" / "&amp;C1326&amp;" / "&amp;E1326</x:f>
        <x:v>6790 / 2025 / RAINBOW TROUT</x:v>
      </x:c>
    </x:row>
    <x:row r="1327" ht="23" customHeight="1">
      <x:c r="A1327" s="8" t="str">
        <x:v>Heritage Lake</x:v>
      </x:c>
      <x:c r="B1327" s="8" t="str">
        <x:v>6790</x:v>
      </x:c>
      <x:c r="C1327" s="17" t="n">
        <x:v>2025</x:v>
      </x:c>
      <x:c r="D1327" s="18" t="n">
        <x:v>45817</x:v>
      </x:c>
      <x:c r="E1327" s="8" t="str">
        <x:v>RAINBOW TROUT</x:v>
      </x:c>
      <x:c r="F1327" s="13" t="n">
        <x:v>2000</x:v>
      </x:c>
      <x:c r="G1327" s="9" t="n">
        <x:v>20.3</x:v>
      </x:c>
      <x:c r="H1327" s="9" t="n">
        <x:v>91.7</x:v>
      </x:c>
      <x:c r="I1327" s="8" t="str">
        <x:f>B1327&amp;" / "&amp;C1327&amp;" / "&amp;E1327</x:f>
        <x:v>6790 / 2025 / RAINBOW TROUT</x:v>
      </x:c>
    </x:row>
    <x:row r="1328" ht="23" customHeight="1">
      <x:c r="A1328" s="8" t="str">
        <x:v>Heritage Lake</x:v>
      </x:c>
      <x:c r="B1328" s="8" t="str">
        <x:v>6790</x:v>
      </x:c>
      <x:c r="C1328" s="17" t="n">
        <x:v>2025</x:v>
      </x:c>
      <x:c r="D1328" s="18" t="n">
        <x:v>45775</x:v>
      </x:c>
      <x:c r="E1328" s="8" t="str">
        <x:v>RAINBOW TROUT</x:v>
      </x:c>
      <x:c r="F1328" s="13" t="n">
        <x:v>2050</x:v>
      </x:c>
      <x:c r="G1328" s="9" t="n">
        <x:v>20.2</x:v>
      </x:c>
      <x:c r="H1328" s="9" t="n">
        <x:v>89.5</x:v>
      </x:c>
      <x:c r="I1328" s="8" t="str">
        <x:f>B1328&amp;" / "&amp;C1328&amp;" / "&amp;E1328</x:f>
        <x:v>6790 / 2025 / RAINBOW TROUT</x:v>
      </x:c>
    </x:row>
    <x:row r="1329" ht="23" customHeight="1">
      <x:c r="A1329" s="8" t="str">
        <x:v>Heritage Lake</x:v>
      </x:c>
      <x:c r="B1329" s="8" t="str">
        <x:v>6790</x:v>
      </x:c>
      <x:c r="C1329" s="17" t="n">
        <x:v>2024</x:v>
      </x:c>
      <x:c r="D1329" s="18" t="n">
        <x:v>45411</x:v>
      </x:c>
      <x:c r="E1329" s="8" t="str">
        <x:v>BROOK TROUT</x:v>
      </x:c>
      <x:c r="F1329" s="13" t="n">
        <x:v>1600</x:v>
      </x:c>
      <x:c r="G1329" s="9" t="n">
        <x:v>19</x:v>
      </x:c>
      <x:c r="H1329" s="9" t="n">
        <x:v>74.3</x:v>
      </x:c>
      <x:c r="I1329" s="8" t="str">
        <x:f>B1329&amp;" / "&amp;C1329&amp;" / "&amp;E1329</x:f>
        <x:v>6790 / 2024 / BROOK TROUT</x:v>
      </x:c>
    </x:row>
    <x:row r="1330" ht="23" customHeight="1">
      <x:c r="A1330" s="8" t="str">
        <x:v>Heritage Lake</x:v>
      </x:c>
      <x:c r="B1330" s="8" t="str">
        <x:v>6790</x:v>
      </x:c>
      <x:c r="C1330" s="17" t="n">
        <x:v>2024</x:v>
      </x:c>
      <x:c r="D1330" s="18" t="n">
        <x:v>45411</x:v>
      </x:c>
      <x:c r="E1330" s="8" t="str">
        <x:v>BROWN TROUT</x:v>
      </x:c>
      <x:c r="F1330" s="13" t="n">
        <x:v>500</x:v>
      </x:c>
      <x:c r="G1330" s="9" t="n">
        <x:v>20.8</x:v>
      </x:c>
      <x:c r="H1330" s="9" t="n">
        <x:v>97.1</x:v>
      </x:c>
      <x:c r="I1330" s="8" t="str">
        <x:f>B1330&amp;" / "&amp;C1330&amp;" / "&amp;E1330</x:f>
        <x:v>6790 / 2024 / BROWN TROUT</x:v>
      </x:c>
    </x:row>
    <x:row r="1331" ht="23" customHeight="1">
      <x:c r="A1331" s="8" t="str">
        <x:v>Heritage Lake</x:v>
      </x:c>
      <x:c r="B1331" s="8" t="str">
        <x:v>6790</x:v>
      </x:c>
      <x:c r="C1331" s="17" t="n">
        <x:v>2024</x:v>
      </x:c>
      <x:c r="D1331" s="18" t="n">
        <x:v>45565</x:v>
      </x:c>
      <x:c r="E1331" s="8" t="str">
        <x:v>RAINBOW TROUT</x:v>
      </x:c>
      <x:c r="F1331" s="13" t="n">
        <x:v>3000</x:v>
      </x:c>
      <x:c r="G1331" s="9" t="n">
        <x:v>21.5</x:v>
      </x:c>
      <x:c r="H1331" s="9" t="n">
        <x:v>109.4</x:v>
      </x:c>
      <x:c r="I1331" s="8" t="str">
        <x:f>B1331&amp;" / "&amp;C1331&amp;" / "&amp;E1331</x:f>
        <x:v>6790 / 2024 / RAINBOW TROUT</x:v>
      </x:c>
    </x:row>
    <x:row r="1332" ht="23" customHeight="1">
      <x:c r="A1332" s="8" t="str">
        <x:v>Heritage Lake</x:v>
      </x:c>
      <x:c r="B1332" s="8" t="str">
        <x:v>6790</x:v>
      </x:c>
      <x:c r="C1332" s="17" t="n">
        <x:v>2024</x:v>
      </x:c>
      <x:c r="D1332" s="18" t="n">
        <x:v>45411</x:v>
      </x:c>
      <x:c r="E1332" s="8" t="str">
        <x:v>RAINBOW TROUT</x:v>
      </x:c>
      <x:c r="F1332" s="13" t="n">
        <x:v>4050</x:v>
      </x:c>
      <x:c r="G1332" s="9" t="n">
        <x:v>20.2</x:v>
      </x:c>
      <x:c r="H1332" s="9" t="n">
        <x:v>89.2</x:v>
      </x:c>
      <x:c r="I1332" s="8" t="str">
        <x:f>B1332&amp;" / "&amp;C1332&amp;" / "&amp;E1332</x:f>
        <x:v>6790 / 2024 / RAINBOW TROUT</x:v>
      </x:c>
    </x:row>
    <x:row r="1333" ht="23" customHeight="1">
      <x:c r="A1333" s="8" t="str">
        <x:v>Heritage Lake</x:v>
      </x:c>
      <x:c r="B1333" s="8" t="str">
        <x:v>6790</x:v>
      </x:c>
      <x:c r="C1333" s="17" t="n">
        <x:v>2023</x:v>
      </x:c>
      <x:c r="D1333" s="18" t="n">
        <x:v>45046</x:v>
      </x:c>
      <x:c r="E1333" s="8" t="str">
        <x:v>BROOK TROUT</x:v>
      </x:c>
      <x:c r="F1333" s="13" t="n">
        <x:v>1600</x:v>
      </x:c>
      <x:c r="G1333" s="9" t="n">
        <x:v>20.2</x:v>
      </x:c>
      <x:c r="H1333" s="9" t="n">
        <x:v>89</x:v>
      </x:c>
      <x:c r="I1333" s="8" t="str">
        <x:f>B1333&amp;" / "&amp;C1333&amp;" / "&amp;E1333</x:f>
        <x:v>6790 / 2023 / BROOK TROUT</x:v>
      </x:c>
    </x:row>
    <x:row r="1334" ht="23" customHeight="1">
      <x:c r="A1334" s="8" t="str">
        <x:v>Heritage Lake</x:v>
      </x:c>
      <x:c r="B1334" s="8" t="str">
        <x:v>6790</x:v>
      </x:c>
      <x:c r="C1334" s="17" t="n">
        <x:v>2023</x:v>
      </x:c>
      <x:c r="D1334" s="18" t="n">
        <x:v>45046</x:v>
      </x:c>
      <x:c r="E1334" s="8" t="str">
        <x:v>BROWN TROUT</x:v>
      </x:c>
      <x:c r="F1334" s="13" t="n">
        <x:v>500</x:v>
      </x:c>
      <x:c r="G1334" s="9" t="n">
        <x:v>18.5</x:v>
      </x:c>
      <x:c r="H1334" s="9" t="n">
        <x:v>68</x:v>
      </x:c>
      <x:c r="I1334" s="8" t="str">
        <x:f>B1334&amp;" / "&amp;C1334&amp;" / "&amp;E1334</x:f>
        <x:v>6790 / 2023 / BROWN TROUT</x:v>
      </x:c>
    </x:row>
    <x:row r="1335" ht="23" customHeight="1">
      <x:c r="A1335" s="8" t="str">
        <x:v>Heritage Lake</x:v>
      </x:c>
      <x:c r="B1335" s="8" t="str">
        <x:v>6790</x:v>
      </x:c>
      <x:c r="C1335" s="17" t="n">
        <x:v>2023</x:v>
      </x:c>
      <x:c r="D1335" s="18" t="n">
        <x:v>45188</x:v>
      </x:c>
      <x:c r="E1335" s="8" t="str">
        <x:v>RAINBOW TROUT</x:v>
      </x:c>
      <x:c r="F1335" s="13" t="n">
        <x:v>1011</x:v>
      </x:c>
      <x:c r="G1335" s="9" t="n">
        <x:v>21.1</x:v>
      </x:c>
      <x:c r="H1335" s="9" t="n">
        <x:v>94.5</x:v>
      </x:c>
      <x:c r="I1335" s="8" t="str">
        <x:f>B1335&amp;" / "&amp;C1335&amp;" / "&amp;E1335</x:f>
        <x:v>6790 / 2023 / RAINBOW TROUT</x:v>
      </x:c>
    </x:row>
    <x:row r="1336" ht="23" customHeight="1">
      <x:c r="A1336" s="8" t="str">
        <x:v>Heritage Lake</x:v>
      </x:c>
      <x:c r="B1336" s="8" t="str">
        <x:v>6790</x:v>
      </x:c>
      <x:c r="C1336" s="17" t="n">
        <x:v>2023</x:v>
      </x:c>
      <x:c r="D1336" s="18" t="n">
        <x:v>45075</x:v>
      </x:c>
      <x:c r="E1336" s="8" t="str">
        <x:v>RAINBOW TROUT</x:v>
      </x:c>
      <x:c r="F1336" s="13" t="n">
        <x:v>2000</x:v>
      </x:c>
      <x:c r="G1336" s="9" t="n">
        <x:v>20.7</x:v>
      </x:c>
      <x:c r="H1336" s="9" t="n">
        <x:v>96.2</x:v>
      </x:c>
      <x:c r="I1336" s="8" t="str">
        <x:f>B1336&amp;" / "&amp;C1336&amp;" / "&amp;E1336</x:f>
        <x:v>6790 / 2023 / RAINBOW TROUT</x:v>
      </x:c>
    </x:row>
    <x:row r="1337" ht="23" customHeight="1">
      <x:c r="A1337" s="8" t="str">
        <x:v>Heritage Lake</x:v>
      </x:c>
      <x:c r="B1337" s="8" t="str">
        <x:v>6790</x:v>
      </x:c>
      <x:c r="C1337" s="17" t="n">
        <x:v>2023</x:v>
      </x:c>
      <x:c r="D1337" s="18" t="n">
        <x:v>45046</x:v>
      </x:c>
      <x:c r="E1337" s="8" t="str">
        <x:v>RAINBOW TROUT</x:v>
      </x:c>
      <x:c r="F1337" s="13" t="n">
        <x:v>2050</x:v>
      </x:c>
      <x:c r="G1337" s="9" t="n">
        <x:v>20</x:v>
      </x:c>
      <x:c r="H1337" s="9" t="n">
        <x:v>86.4</x:v>
      </x:c>
      <x:c r="I1337" s="8" t="str">
        <x:f>B1337&amp;" / "&amp;C1337&amp;" / "&amp;E1337</x:f>
        <x:v>6790 / 2023 / RAINBOW TROUT</x:v>
      </x:c>
    </x:row>
    <x:row r="1338" ht="23" customHeight="1">
      <x:c r="A1338" s="8" t="str">
        <x:v>Heritage Lake</x:v>
      </x:c>
      <x:c r="B1338" s="8" t="str">
        <x:v>6790</x:v>
      </x:c>
      <x:c r="C1338" s="17" t="n">
        <x:v>2022</x:v>
      </x:c>
      <x:c r="D1338" s="18" t="n">
        <x:v>44687</x:v>
      </x:c>
      <x:c r="E1338" s="8" t="str">
        <x:v>BROOK TROUT</x:v>
      </x:c>
      <x:c r="F1338" s="13" t="n">
        <x:v>1600</x:v>
      </x:c>
      <x:c r="G1338" s="9" t="n">
        <x:v>19.5</x:v>
      </x:c>
      <x:c r="H1338" s="9" t="n">
        <x:v>82.2</x:v>
      </x:c>
      <x:c r="I1338" s="8" t="str">
        <x:f>B1338&amp;" / "&amp;C1338&amp;" / "&amp;E1338</x:f>
        <x:v>6790 / 2022 / BROOK TROUT</x:v>
      </x:c>
    </x:row>
    <x:row r="1339" ht="23" customHeight="1">
      <x:c r="A1339" s="8" t="str">
        <x:v>Heritage Lake</x:v>
      </x:c>
      <x:c r="B1339" s="8" t="str">
        <x:v>6790</x:v>
      </x:c>
      <x:c r="C1339" s="17" t="n">
        <x:v>2022</x:v>
      </x:c>
      <x:c r="D1339" s="18" t="n">
        <x:v>44687</x:v>
      </x:c>
      <x:c r="E1339" s="8" t="str">
        <x:v>BROWN TROUT</x:v>
      </x:c>
      <x:c r="F1339" s="13" t="n">
        <x:v>1000</x:v>
      </x:c>
      <x:c r="G1339" s="9" t="n">
        <x:v>18.8</x:v>
      </x:c>
      <x:c r="H1339" s="9" t="n">
        <x:v>73</x:v>
      </x:c>
      <x:c r="I1339" s="8" t="str">
        <x:f>B1339&amp;" / "&amp;C1339&amp;" / "&amp;E1339</x:f>
        <x:v>6790 / 2022 / BROWN TROUT</x:v>
      </x:c>
    </x:row>
    <x:row r="1340" ht="23" customHeight="1">
      <x:c r="A1340" s="8" t="str">
        <x:v>Heritage Lake</x:v>
      </x:c>
      <x:c r="B1340" s="8" t="str">
        <x:v>6790</x:v>
      </x:c>
      <x:c r="C1340" s="17" t="n">
        <x:v>2022</x:v>
      </x:c>
      <x:c r="D1340" s="18" t="n">
        <x:v>44830</x:v>
      </x:c>
      <x:c r="E1340" s="8" t="str">
        <x:v>RAINBOW TROUT</x:v>
      </x:c>
      <x:c r="F1340" s="13" t="n">
        <x:v>3000</x:v>
      </x:c>
      <x:c r="G1340" s="9" t="n">
        <x:v>19.9</x:v>
      </x:c>
      <x:c r="H1340" s="9" t="n">
        <x:v>88</x:v>
      </x:c>
      <x:c r="I1340" s="8" t="str">
        <x:f>B1340&amp;" / "&amp;C1340&amp;" / "&amp;E1340</x:f>
        <x:v>6790 / 2022 / RAINBOW TROUT</x:v>
      </x:c>
    </x:row>
    <x:row r="1341" ht="23" customHeight="1">
      <x:c r="A1341" s="8" t="str">
        <x:v>Heritage Lake</x:v>
      </x:c>
      <x:c r="B1341" s="8" t="str">
        <x:v>6790</x:v>
      </x:c>
      <x:c r="C1341" s="17" t="n">
        <x:v>2022</x:v>
      </x:c>
      <x:c r="D1341" s="18" t="n">
        <x:v>44712</x:v>
      </x:c>
      <x:c r="E1341" s="8" t="str">
        <x:v>RAINBOW TROUT</x:v>
      </x:c>
      <x:c r="F1341" s="13" t="n">
        <x:v>2000</x:v>
      </x:c>
      <x:c r="G1341" s="9" t="n">
        <x:v>20.8</x:v>
      </x:c>
      <x:c r="H1341" s="9" t="n">
        <x:v>99.7</x:v>
      </x:c>
      <x:c r="I1341" s="8" t="str">
        <x:f>B1341&amp;" / "&amp;C1341&amp;" / "&amp;E1341</x:f>
        <x:v>6790 / 2022 / RAINBOW TROUT</x:v>
      </x:c>
    </x:row>
    <x:row r="1342" ht="23" customHeight="1">
      <x:c r="A1342" s="8" t="str">
        <x:v>Heritage Lake</x:v>
      </x:c>
      <x:c r="B1342" s="8" t="str">
        <x:v>6790</x:v>
      </x:c>
      <x:c r="C1342" s="17" t="n">
        <x:v>2022</x:v>
      </x:c>
      <x:c r="D1342" s="18" t="n">
        <x:v>44687</x:v>
      </x:c>
      <x:c r="E1342" s="8" t="str">
        <x:v>RAINBOW TROUT</x:v>
      </x:c>
      <x:c r="F1342" s="13" t="n">
        <x:v>2050</x:v>
      </x:c>
      <x:c r="G1342" s="9" t="n">
        <x:v>21</x:v>
      </x:c>
      <x:c r="H1342" s="9" t="n">
        <x:v>102.4</x:v>
      </x:c>
      <x:c r="I1342" s="8" t="str">
        <x:f>B1342&amp;" / "&amp;C1342&amp;" / "&amp;E1342</x:f>
        <x:v>6790 / 2022 / RAINBOW TROUT</x:v>
      </x:c>
    </x:row>
    <x:row r="1343" ht="23" customHeight="1">
      <x:c r="A1343" s="8" t="str">
        <x:v>Heritage Lake</x:v>
      </x:c>
      <x:c r="B1343" s="8" t="str">
        <x:v>6790</x:v>
      </x:c>
      <x:c r="C1343" s="17" t="n">
        <x:v>2021</x:v>
      </x:c>
      <x:c r="D1343" s="18" t="n">
        <x:v>44313</x:v>
      </x:c>
      <x:c r="E1343" s="8" t="str">
        <x:v>BROOK TROUT</x:v>
      </x:c>
      <x:c r="F1343" s="13" t="n">
        <x:v>1600</x:v>
      </x:c>
      <x:c r="G1343" s="9" t="n">
        <x:v>19.7</x:v>
      </x:c>
      <x:c r="H1343" s="9" t="n">
        <x:v>84.6</x:v>
      </x:c>
      <x:c r="I1343" s="8" t="str">
        <x:f>B1343&amp;" / "&amp;C1343&amp;" / "&amp;E1343</x:f>
        <x:v>6790 / 2021 / BROOK TROUT</x:v>
      </x:c>
    </x:row>
    <x:row r="1344" ht="23" customHeight="1">
      <x:c r="A1344" s="8" t="str">
        <x:v>Heritage Lake</x:v>
      </x:c>
      <x:c r="B1344" s="8" t="str">
        <x:v>6790</x:v>
      </x:c>
      <x:c r="C1344" s="17" t="n">
        <x:v>2021</x:v>
      </x:c>
      <x:c r="D1344" s="18" t="n">
        <x:v>44313</x:v>
      </x:c>
      <x:c r="E1344" s="8" t="str">
        <x:v>BROWN TROUT</x:v>
      </x:c>
      <x:c r="F1344" s="13" t="n">
        <x:v>1000</x:v>
      </x:c>
      <x:c r="G1344" s="9" t="n">
        <x:v>17</x:v>
      </x:c>
      <x:c r="H1344" s="9" t="n">
        <x:v>54</x:v>
      </x:c>
      <x:c r="I1344" s="8" t="str">
        <x:f>B1344&amp;" / "&amp;C1344&amp;" / "&amp;E1344</x:f>
        <x:v>6790 / 2021 / BROWN TROUT</x:v>
      </x:c>
    </x:row>
    <x:row r="1345" ht="23" customHeight="1">
      <x:c r="A1345" s="8" t="str">
        <x:v>Heritage Lake</x:v>
      </x:c>
      <x:c r="B1345" s="8" t="str">
        <x:v>6790</x:v>
      </x:c>
      <x:c r="C1345" s="17" t="n">
        <x:v>2021</x:v>
      </x:c>
      <x:c r="D1345" s="18" t="n">
        <x:v>44460</x:v>
      </x:c>
      <x:c r="E1345" s="8" t="str">
        <x:v>RAINBOW TROUT</x:v>
      </x:c>
      <x:c r="F1345" s="13" t="n">
        <x:v>3000</x:v>
      </x:c>
      <x:c r="G1345" s="9" t="n">
        <x:v>19.7</x:v>
      </x:c>
      <x:c r="H1345" s="9" t="n">
        <x:v>84.4</x:v>
      </x:c>
      <x:c r="I1345" s="8" t="str">
        <x:f>B1345&amp;" / "&amp;C1345&amp;" / "&amp;E1345</x:f>
        <x:v>6790 / 2021 / RAINBOW TROUT</x:v>
      </x:c>
    </x:row>
    <x:row r="1346" ht="23" customHeight="1">
      <x:c r="A1346" s="8" t="str">
        <x:v>Heritage Lake</x:v>
      </x:c>
      <x:c r="B1346" s="8" t="str">
        <x:v>6790</x:v>
      </x:c>
      <x:c r="C1346" s="17" t="n">
        <x:v>2021</x:v>
      </x:c>
      <x:c r="D1346" s="18" t="n">
        <x:v>44371</x:v>
      </x:c>
      <x:c r="E1346" s="8" t="str">
        <x:v>RAINBOW TROUT</x:v>
      </x:c>
      <x:c r="F1346" s="13" t="n">
        <x:v>1255</x:v>
      </x:c>
      <x:c r="G1346" s="9" t="n">
        <x:v>20.3</x:v>
      </x:c>
      <x:c r="H1346" s="9" t="n">
        <x:v>90.3</x:v>
      </x:c>
      <x:c r="I1346" s="8" t="str">
        <x:f>B1346&amp;" / "&amp;C1346&amp;" / "&amp;E1346</x:f>
        <x:v>6790 / 2021 / RAINBOW TROUT</x:v>
      </x:c>
    </x:row>
    <x:row r="1347" ht="23" customHeight="1">
      <x:c r="A1347" s="8" t="str">
        <x:v>Heritage Lake</x:v>
      </x:c>
      <x:c r="B1347" s="8" t="str">
        <x:v>6790</x:v>
      </x:c>
      <x:c r="C1347" s="17" t="n">
        <x:v>2021</x:v>
      </x:c>
      <x:c r="D1347" s="18" t="n">
        <x:v>44353</x:v>
      </x:c>
      <x:c r="E1347" s="8" t="str">
        <x:v>RAINBOW TROUT</x:v>
      </x:c>
      <x:c r="F1347" s="13" t="n">
        <x:v>2050</x:v>
      </x:c>
      <x:c r="G1347" s="9" t="n">
        <x:v>21.1</x:v>
      </x:c>
      <x:c r="H1347" s="9" t="n">
        <x:v>104.3</x:v>
      </x:c>
      <x:c r="I1347" s="8" t="str">
        <x:f>B1347&amp;" / "&amp;C1347&amp;" / "&amp;E1347</x:f>
        <x:v>6790 / 2021 / RAINBOW TROUT</x:v>
      </x:c>
    </x:row>
    <x:row r="1348" ht="23" customHeight="1">
      <x:c r="A1348" s="8" t="str">
        <x:v>Heritage Lake</x:v>
      </x:c>
      <x:c r="B1348" s="8" t="str">
        <x:v>6790</x:v>
      </x:c>
      <x:c r="C1348" s="17" t="n">
        <x:v>2021</x:v>
      </x:c>
      <x:c r="D1348" s="18" t="n">
        <x:v>44313</x:v>
      </x:c>
      <x:c r="E1348" s="8" t="str">
        <x:v>RAINBOW TROUT</x:v>
      </x:c>
      <x:c r="F1348" s="13" t="n">
        <x:v>2000</x:v>
      </x:c>
      <x:c r="G1348" s="9" t="n">
        <x:v>20.6</x:v>
      </x:c>
      <x:c r="H1348" s="9" t="n">
        <x:v>97.3</x:v>
      </x:c>
      <x:c r="I1348" s="8" t="str">
        <x:f>B1348&amp;" / "&amp;C1348&amp;" / "&amp;E1348</x:f>
        <x:v>6790 / 2021 / RAINBOW TROUT</x:v>
      </x:c>
    </x:row>
    <x:row r="1349" ht="23" customHeight="1">
      <x:c r="A1349" s="8" t="str">
        <x:v>Hermitage Park Pond</x:v>
      </x:c>
      <x:c r="B1349" s="8" t="str">
        <x:v>6791</x:v>
      </x:c>
      <x:c r="C1349" s="17" t="n">
        <x:v>2026</x:v>
      </x:c>
      <x:c r="D1349" s="18" t="n">
        <x:v>46150</x:v>
      </x:c>
      <x:c r="E1349" s="8" t="str">
        <x:v>BROWN TROUT</x:v>
      </x:c>
      <x:c r="F1349" s="13" t="n">
        <x:v>300</x:v>
      </x:c>
      <x:c r="G1349" s="9" t="n">
        <x:v>18.2</x:v>
      </x:c>
      <x:c r="H1349" s="9" t="n">
        <x:v>65.2</x:v>
      </x:c>
      <x:c r="I1349" s="8" t="str">
        <x:f>B1349&amp;" / "&amp;C1349&amp;" / "&amp;E1349</x:f>
        <x:v>6791 / 2026 / BROWN TROUT</x:v>
      </x:c>
    </x:row>
    <x:row r="1350" ht="23" customHeight="1">
      <x:c r="A1350" s="8" t="str">
        <x:v>Hermitage Park Pond</x:v>
      </x:c>
      <x:c r="B1350" s="8" t="str">
        <x:v>6791</x:v>
      </x:c>
      <x:c r="C1350" s="17" t="n">
        <x:v>2026</x:v>
      </x:c>
      <x:c r="D1350" s="18" t="n">
        <x:v>46181</x:v>
      </x:c>
      <x:c r="E1350" s="8" t="str">
        <x:v>RAINBOW TROUT</x:v>
      </x:c>
      <x:c r="F1350" s="13" t="n">
        <x:v>2900</x:v>
      </x:c>
      <x:c r="G1350" s="9" t="n">
        <x:v>20.4</x:v>
      </x:c>
      <x:c r="H1350" s="9" t="n">
        <x:v>93.4</x:v>
      </x:c>
      <x:c r="I1350" s="8" t="str">
        <x:f>B1350&amp;" / "&amp;C1350&amp;" / "&amp;E1350</x:f>
        <x:v>6791 / 2026 / RAINBOW TROUT</x:v>
      </x:c>
    </x:row>
    <x:row r="1351" ht="23" customHeight="1">
      <x:c r="A1351" s="8" t="str">
        <x:v>Hermitage Park Pond</x:v>
      </x:c>
      <x:c r="B1351" s="8" t="str">
        <x:v>6791</x:v>
      </x:c>
      <x:c r="C1351" s="17" t="n">
        <x:v>2026</x:v>
      </x:c>
      <x:c r="D1351" s="18" t="n">
        <x:v>46177</x:v>
      </x:c>
      <x:c r="E1351" s="8" t="str">
        <x:v>RAINBOW TROUT</x:v>
      </x:c>
      <x:c r="F1351" s="13" t="n">
        <x:v>695</x:v>
      </x:c>
      <x:c r="G1351" s="9" t="n">
        <x:v>23.8</x:v>
      </x:c>
      <x:c r="H1351" s="9" t="n">
        <x:v>146.5</x:v>
      </x:c>
      <x:c r="I1351" s="8" t="str">
        <x:f>B1351&amp;" / "&amp;C1351&amp;" / "&amp;E1351</x:f>
        <x:v>6791 / 2026 / RAINBOW TROUT</x:v>
      </x:c>
    </x:row>
    <x:row r="1352" ht="23" customHeight="1">
      <x:c r="A1352" s="8" t="str">
        <x:v>Hermitage Park Pond</x:v>
      </x:c>
      <x:c r="B1352" s="8" t="str">
        <x:v>6791</x:v>
      </x:c>
      <x:c r="C1352" s="17" t="n">
        <x:v>2026</x:v>
      </x:c>
      <x:c r="D1352" s="18" t="n">
        <x:v>46150</x:v>
      </x:c>
      <x:c r="E1352" s="8" t="str">
        <x:v>RAINBOW TROUT</x:v>
      </x:c>
      <x:c r="F1352" s="13" t="n">
        <x:v>1100</x:v>
      </x:c>
      <x:c r="G1352" s="9" t="n">
        <x:v>24.2</x:v>
      </x:c>
      <x:c r="H1352" s="9" t="n">
        <x:v>152.2</x:v>
      </x:c>
      <x:c r="I1352" s="8" t="str">
        <x:f>B1352&amp;" / "&amp;C1352&amp;" / "&amp;E1352</x:f>
        <x:v>6791 / 2026 / RAINBOW TROUT</x:v>
      </x:c>
    </x:row>
    <x:row r="1353" ht="23" customHeight="1">
      <x:c r="A1353" s="8" t="str">
        <x:v>Hermitage Park Pond</x:v>
      </x:c>
      <x:c r="B1353" s="8" t="str">
        <x:v>6791</x:v>
      </x:c>
      <x:c r="C1353" s="17" t="n">
        <x:v>2025</x:v>
      </x:c>
      <x:c r="D1353" s="18" t="n">
        <x:v>45783</x:v>
      </x:c>
      <x:c r="E1353" s="8" t="str">
        <x:v>BROWN TROUT</x:v>
      </x:c>
      <x:c r="F1353" s="13" t="n">
        <x:v>300</x:v>
      </x:c>
      <x:c r="G1353" s="9" t="n">
        <x:v>19.4</x:v>
      </x:c>
      <x:c r="H1353" s="9" t="n">
        <x:v>78.7</x:v>
      </x:c>
      <x:c r="I1353" s="8" t="str">
        <x:f>B1353&amp;" / "&amp;C1353&amp;" / "&amp;E1353</x:f>
        <x:v>6791 / 2025 / BROWN TROUT</x:v>
      </x:c>
    </x:row>
    <x:row r="1354" ht="23" customHeight="1">
      <x:c r="A1354" s="8" t="str">
        <x:v>Hermitage Park Pond</x:v>
      </x:c>
      <x:c r="B1354" s="8" t="str">
        <x:v>6791</x:v>
      </x:c>
      <x:c r="C1354" s="17" t="n">
        <x:v>2025</x:v>
      </x:c>
      <x:c r="D1354" s="18" t="n">
        <x:v>45817</x:v>
      </x:c>
      <x:c r="E1354" s="8" t="str">
        <x:v>RAINBOW TROUT</x:v>
      </x:c>
      <x:c r="F1354" s="13" t="n">
        <x:v>2300</x:v>
      </x:c>
      <x:c r="G1354" s="9" t="n">
        <x:v>20.3</x:v>
      </x:c>
      <x:c r="H1354" s="9" t="n">
        <x:v>91.7</x:v>
      </x:c>
      <x:c r="I1354" s="8" t="str">
        <x:f>B1354&amp;" / "&amp;C1354&amp;" / "&amp;E1354</x:f>
        <x:v>6791 / 2025 / RAINBOW TROUT</x:v>
      </x:c>
    </x:row>
    <x:row r="1355" ht="23" customHeight="1">
      <x:c r="A1355" s="8" t="str">
        <x:v>Hermitage Park Pond</x:v>
      </x:c>
      <x:c r="B1355" s="8" t="str">
        <x:v>6791</x:v>
      </x:c>
      <x:c r="C1355" s="17" t="n">
        <x:v>2025</x:v>
      </x:c>
      <x:c r="D1355" s="18" t="n">
        <x:v>45812</x:v>
      </x:c>
      <x:c r="E1355" s="8" t="str">
        <x:v>RAINBOW TROUT</x:v>
      </x:c>
      <x:c r="F1355" s="13" t="n">
        <x:v>1000</x:v>
      </x:c>
      <x:c r="G1355" s="9" t="n">
        <x:v>20.6</x:v>
      </x:c>
      <x:c r="H1355" s="9" t="n">
        <x:v>95</x:v>
      </x:c>
      <x:c r="I1355" s="8" t="str">
        <x:f>B1355&amp;" / "&amp;C1355&amp;" / "&amp;E1355</x:f>
        <x:v>6791 / 2025 / RAINBOW TROUT</x:v>
      </x:c>
    </x:row>
    <x:row r="1356" ht="23" customHeight="1">
      <x:c r="A1356" s="8" t="str">
        <x:v>Hermitage Park Pond</x:v>
      </x:c>
      <x:c r="B1356" s="8" t="str">
        <x:v>6791</x:v>
      </x:c>
      <x:c r="C1356" s="17" t="n">
        <x:v>2025</x:v>
      </x:c>
      <x:c r="D1356" s="18" t="n">
        <x:v>45783</x:v>
      </x:c>
      <x:c r="E1356" s="8" t="str">
        <x:v>RAINBOW TROUT</x:v>
      </x:c>
      <x:c r="F1356" s="13" t="n">
        <x:v>1395</x:v>
      </x:c>
      <x:c r="G1356" s="9" t="n">
        <x:v>20.1</x:v>
      </x:c>
      <x:c r="H1356" s="9" t="n">
        <x:v>87.5</x:v>
      </x:c>
      <x:c r="I1356" s="8" t="str">
        <x:f>B1356&amp;" / "&amp;C1356&amp;" / "&amp;E1356</x:f>
        <x:v>6791 / 2025 / RAINBOW TROUT</x:v>
      </x:c>
    </x:row>
    <x:row r="1357" ht="23" customHeight="1">
      <x:c r="A1357" s="8" t="str">
        <x:v>Hermitage Park Pond</x:v>
      </x:c>
      <x:c r="B1357" s="8" t="str">
        <x:v>6791</x:v>
      </x:c>
      <x:c r="C1357" s="17" t="n">
        <x:v>2024</x:v>
      </x:c>
      <x:c r="D1357" s="18" t="n">
        <x:v>45413</x:v>
      </x:c>
      <x:c r="E1357" s="8" t="str">
        <x:v>BROWN TROUT</x:v>
      </x:c>
      <x:c r="F1357" s="13" t="n">
        <x:v>300</x:v>
      </x:c>
      <x:c r="G1357" s="9" t="n">
        <x:v>20.1</x:v>
      </x:c>
      <x:c r="H1357" s="9" t="n">
        <x:v>87.3</x:v>
      </x:c>
      <x:c r="I1357" s="8" t="str">
        <x:f>B1357&amp;" / "&amp;C1357&amp;" / "&amp;E1357</x:f>
        <x:v>6791 / 2024 / BROWN TROUT</x:v>
      </x:c>
    </x:row>
    <x:row r="1358" ht="23" customHeight="1">
      <x:c r="A1358" s="8" t="str">
        <x:v>Hermitage Park Pond</x:v>
      </x:c>
      <x:c r="B1358" s="8" t="str">
        <x:v>6791</x:v>
      </x:c>
      <x:c r="C1358" s="17" t="n">
        <x:v>2024</x:v>
      </x:c>
      <x:c r="D1358" s="18" t="n">
        <x:v>45453</x:v>
      </x:c>
      <x:c r="E1358" s="8" t="str">
        <x:v>RAINBOW TROUT</x:v>
      </x:c>
      <x:c r="F1358" s="13" t="n">
        <x:v>1100</x:v>
      </x:c>
      <x:c r="G1358" s="9" t="n">
        <x:v>21.4</x:v>
      </x:c>
      <x:c r="H1358" s="9" t="n">
        <x:v>106</x:v>
      </x:c>
      <x:c r="I1358" s="8" t="str">
        <x:f>B1358&amp;" / "&amp;C1358&amp;" / "&amp;E1358</x:f>
        <x:v>6791 / 2024 / RAINBOW TROUT</x:v>
      </x:c>
    </x:row>
    <x:row r="1359" ht="23" customHeight="1">
      <x:c r="A1359" s="8" t="str">
        <x:v>Hermitage Park Pond</x:v>
      </x:c>
      <x:c r="B1359" s="8" t="str">
        <x:v>6791</x:v>
      </x:c>
      <x:c r="C1359" s="17" t="n">
        <x:v>2024</x:v>
      </x:c>
      <x:c r="D1359" s="18" t="n">
        <x:v>45421</x:v>
      </x:c>
      <x:c r="E1359" s="8" t="str">
        <x:v>RAINBOW TROUT</x:v>
      </x:c>
      <x:c r="F1359" s="13" t="n">
        <x:v>1100</x:v>
      </x:c>
      <x:c r="G1359" s="9" t="n">
        <x:v>20.9</x:v>
      </x:c>
      <x:c r="H1359" s="9" t="n">
        <x:v>91.8</x:v>
      </x:c>
      <x:c r="I1359" s="8" t="str">
        <x:f>B1359&amp;" / "&amp;C1359&amp;" / "&amp;E1359</x:f>
        <x:v>6791 / 2024 / RAINBOW TROUT</x:v>
      </x:c>
    </x:row>
    <x:row r="1360" ht="23" customHeight="1">
      <x:c r="A1360" s="8" t="str">
        <x:v>Hermitage Park Pond</x:v>
      </x:c>
      <x:c r="B1360" s="8" t="str">
        <x:v>6791</x:v>
      </x:c>
      <x:c r="C1360" s="17" t="n">
        <x:v>2024</x:v>
      </x:c>
      <x:c r="D1360" s="18" t="n">
        <x:v>45413</x:v>
      </x:c>
      <x:c r="E1360" s="8" t="str">
        <x:v>RAINBOW TROUT</x:v>
      </x:c>
      <x:c r="F1360" s="13" t="n">
        <x:v>1295</x:v>
      </x:c>
      <x:c r="G1360" s="9" t="n">
        <x:v>20.3</x:v>
      </x:c>
      <x:c r="H1360" s="9" t="n">
        <x:v>90.5</x:v>
      </x:c>
      <x:c r="I1360" s="8" t="str">
        <x:f>B1360&amp;" / "&amp;C1360&amp;" / "&amp;E1360</x:f>
        <x:v>6791 / 2024 / RAINBOW TROUT</x:v>
      </x:c>
    </x:row>
    <x:row r="1361" ht="23" customHeight="1">
      <x:c r="A1361" s="8" t="str">
        <x:v>Hermitage Park Pond</x:v>
      </x:c>
      <x:c r="B1361" s="8" t="str">
        <x:v>6791</x:v>
      </x:c>
      <x:c r="C1361" s="17" t="n">
        <x:v>2023</x:v>
      </x:c>
      <x:c r="D1361" s="18" t="n">
        <x:v>45055</x:v>
      </x:c>
      <x:c r="E1361" s="8" t="str">
        <x:v>BROWN TROUT</x:v>
      </x:c>
      <x:c r="F1361" s="13" t="n">
        <x:v>300</x:v>
      </x:c>
      <x:c r="G1361" s="9" t="n">
        <x:v>18</x:v>
      </x:c>
      <x:c r="H1361" s="9" t="n">
        <x:v>64.7</x:v>
      </x:c>
      <x:c r="I1361" s="8" t="str">
        <x:f>B1361&amp;" / "&amp;C1361&amp;" / "&amp;E1361</x:f>
        <x:v>6791 / 2023 / BROWN TROUT</x:v>
      </x:c>
    </x:row>
    <x:row r="1362" ht="23" customHeight="1">
      <x:c r="A1362" s="8" t="str">
        <x:v>Hermitage Park Pond</x:v>
      </x:c>
      <x:c r="B1362" s="8" t="str">
        <x:v>6791</x:v>
      </x:c>
      <x:c r="C1362" s="17" t="n">
        <x:v>2023</x:v>
      </x:c>
      <x:c r="D1362" s="18" t="n">
        <x:v>45084</x:v>
      </x:c>
      <x:c r="E1362" s="8" t="str">
        <x:v>RAINBOW TROUT</x:v>
      </x:c>
      <x:c r="F1362" s="13" t="n">
        <x:v>1255</x:v>
      </x:c>
      <x:c r="G1362" s="9" t="n">
        <x:v>21.7</x:v>
      </x:c>
      <x:c r="H1362" s="9" t="n">
        <x:v>93.2</x:v>
      </x:c>
      <x:c r="I1362" s="8" t="str">
        <x:f>B1362&amp;" / "&amp;C1362&amp;" / "&amp;E1362</x:f>
        <x:v>6791 / 2023 / RAINBOW TROUT</x:v>
      </x:c>
    </x:row>
    <x:row r="1363" ht="23" customHeight="1">
      <x:c r="A1363" s="8" t="str">
        <x:v>Hermitage Park Pond</x:v>
      </x:c>
      <x:c r="B1363" s="8" t="str">
        <x:v>6791</x:v>
      </x:c>
      <x:c r="C1363" s="17" t="n">
        <x:v>2023</x:v>
      </x:c>
      <x:c r="D1363" s="18" t="n">
        <x:v>45055</x:v>
      </x:c>
      <x:c r="E1363" s="8" t="str">
        <x:v>RAINBOW TROUT</x:v>
      </x:c>
      <x:c r="F1363" s="13" t="n">
        <x:v>2395</x:v>
      </x:c>
      <x:c r="G1363" s="9" t="n">
        <x:v>21</x:v>
      </x:c>
      <x:c r="H1363" s="9" t="n">
        <x:v>102.2</x:v>
      </x:c>
      <x:c r="I1363" s="8" t="str">
        <x:f>B1363&amp;" / "&amp;C1363&amp;" / "&amp;E1363</x:f>
        <x:v>6791 / 2023 / RAINBOW TROUT</x:v>
      </x:c>
    </x:row>
    <x:row r="1364" ht="23" customHeight="1">
      <x:c r="A1364" s="8" t="str">
        <x:v>Hermitage Park Pond</x:v>
      </x:c>
      <x:c r="B1364" s="8" t="str">
        <x:v>6791</x:v>
      </x:c>
      <x:c r="C1364" s="17" t="n">
        <x:v>2022</x:v>
      </x:c>
      <x:c r="D1364" s="18" t="n">
        <x:v>44682</x:v>
      </x:c>
      <x:c r="E1364" s="8" t="str">
        <x:v>BROWN TROUT</x:v>
      </x:c>
      <x:c r="F1364" s="13" t="n">
        <x:v>300</x:v>
      </x:c>
      <x:c r="G1364" s="9" t="n">
        <x:v>18.7</x:v>
      </x:c>
      <x:c r="H1364" s="9" t="n">
        <x:v>72.7</x:v>
      </x:c>
      <x:c r="I1364" s="8" t="str">
        <x:f>B1364&amp;" / "&amp;C1364&amp;" / "&amp;E1364</x:f>
        <x:v>6791 / 2022 / BROWN TROUT</x:v>
      </x:c>
    </x:row>
    <x:row r="1365" ht="23" customHeight="1">
      <x:c r="A1365" s="8" t="str">
        <x:v>Hermitage Park Pond</x:v>
      </x:c>
      <x:c r="B1365" s="8" t="str">
        <x:v>6791</x:v>
      </x:c>
      <x:c r="C1365" s="17" t="n">
        <x:v>2022</x:v>
      </x:c>
      <x:c r="D1365" s="18" t="n">
        <x:v>44713</x:v>
      </x:c>
      <x:c r="E1365" s="8" t="str">
        <x:v>RAINBOW TROUT</x:v>
      </x:c>
      <x:c r="F1365" s="13" t="n">
        <x:v>1255</x:v>
      </x:c>
      <x:c r="G1365" s="9" t="n">
        <x:v>20.5</x:v>
      </x:c>
      <x:c r="H1365" s="9" t="n">
        <x:v>97.3</x:v>
      </x:c>
      <x:c r="I1365" s="8" t="str">
        <x:f>B1365&amp;" / "&amp;C1365&amp;" / "&amp;E1365</x:f>
        <x:v>6791 / 2022 / RAINBOW TROUT</x:v>
      </x:c>
    </x:row>
    <x:row r="1366" ht="23" customHeight="1">
      <x:c r="A1366" s="8" t="str">
        <x:v>Hermitage Park Pond</x:v>
      </x:c>
      <x:c r="B1366" s="8" t="str">
        <x:v>6791</x:v>
      </x:c>
      <x:c r="C1366" s="17" t="n">
        <x:v>2022</x:v>
      </x:c>
      <x:c r="D1366" s="18" t="n">
        <x:v>44682</x:v>
      </x:c>
      <x:c r="E1366" s="8" t="str">
        <x:v>RAINBOW TROUT</x:v>
      </x:c>
      <x:c r="F1366" s="13" t="n">
        <x:v>2395</x:v>
      </x:c>
      <x:c r="G1366" s="9" t="n">
        <x:v>20.5</x:v>
      </x:c>
      <x:c r="H1366" s="9" t="n">
        <x:v>95.7</x:v>
      </x:c>
      <x:c r="I1366" s="8" t="str">
        <x:f>B1366&amp;" / "&amp;C1366&amp;" / "&amp;E1366</x:f>
        <x:v>6791 / 2022 / RAINBOW TROUT</x:v>
      </x:c>
    </x:row>
    <x:row r="1367" ht="23" customHeight="1">
      <x:c r="A1367" s="8" t="str">
        <x:v>Hermitage Park Pond</x:v>
      </x:c>
      <x:c r="B1367" s="8" t="str">
        <x:v>6791</x:v>
      </x:c>
      <x:c r="C1367" s="17" t="n">
        <x:v>2021</x:v>
      </x:c>
      <x:c r="D1367" s="18" t="n">
        <x:v>44308</x:v>
      </x:c>
      <x:c r="E1367" s="8" t="str">
        <x:v>BROWN TROUT</x:v>
      </x:c>
      <x:c r="F1367" s="13" t="n">
        <x:v>300</x:v>
      </x:c>
      <x:c r="G1367" s="9" t="n">
        <x:v>16.8</x:v>
      </x:c>
      <x:c r="H1367" s="9" t="n">
        <x:v>52.3</x:v>
      </x:c>
      <x:c r="I1367" s="8" t="str">
        <x:f>B1367&amp;" / "&amp;C1367&amp;" / "&amp;E1367</x:f>
        <x:v>6791 / 2021 / BROWN TROUT</x:v>
      </x:c>
    </x:row>
    <x:row r="1368" ht="23" customHeight="1">
      <x:c r="A1368" s="8" t="str">
        <x:v>Hermitage Park Pond</x:v>
      </x:c>
      <x:c r="B1368" s="8" t="str">
        <x:v>6791</x:v>
      </x:c>
      <x:c r="C1368" s="17" t="n">
        <x:v>2021</x:v>
      </x:c>
      <x:c r="D1368" s="18" t="n">
        <x:v>44308</x:v>
      </x:c>
      <x:c r="E1368" s="8" t="str">
        <x:v>RAINBOW TROUT</x:v>
      </x:c>
      <x:c r="F1368" s="13" t="n">
        <x:v>2395</x:v>
      </x:c>
      <x:c r="G1368" s="9" t="n">
        <x:v>20.4</x:v>
      </x:c>
      <x:c r="H1368" s="9" t="n">
        <x:v>93.3</x:v>
      </x:c>
      <x:c r="I1368" s="8" t="str">
        <x:f>B1368&amp;" / "&amp;C1368&amp;" / "&amp;E1368</x:f>
        <x:v>6791 / 2021 / RAINBOW TROUT</x:v>
      </x:c>
    </x:row>
    <x:row r="1369" ht="23" customHeight="1">
      <x:c r="A1369" s="8" t="str">
        <x:v>High Level Town Pond</x:v>
      </x:c>
      <x:c r="B1369" s="8" t="str">
        <x:v>26431</x:v>
      </x:c>
      <x:c r="C1369" s="17" t="n">
        <x:v>2026</x:v>
      </x:c>
      <x:c r="D1369" s="18" t="n">
        <x:v>46162</x:v>
      </x:c>
      <x:c r="E1369" s="8" t="str">
        <x:v>RAINBOW TROUT</x:v>
      </x:c>
      <x:c r="F1369" s="13" t="n">
        <x:v>500</x:v>
      </x:c>
      <x:c r="G1369" s="9" t="n">
        <x:v>23.7</x:v>
      </x:c>
      <x:c r="H1369" s="9" t="n">
        <x:v>147.2</x:v>
      </x:c>
      <x:c r="I1369" s="8" t="str">
        <x:f>B1369&amp;" / "&amp;C1369&amp;" / "&amp;E1369</x:f>
        <x:v>26431 / 2026 / RAINBOW TROUT</x:v>
      </x:c>
    </x:row>
    <x:row r="1370" ht="23" customHeight="1">
      <x:c r="A1370" s="8" t="str">
        <x:v>High Level Town Pond</x:v>
      </x:c>
      <x:c r="B1370" s="8" t="str">
        <x:v>26431</x:v>
      </x:c>
      <x:c r="C1370" s="17" t="n">
        <x:v>2025</x:v>
      </x:c>
      <x:c r="D1370" s="18" t="n">
        <x:v>45789</x:v>
      </x:c>
      <x:c r="E1370" s="8" t="str">
        <x:v>RAINBOW TROUT</x:v>
      </x:c>
      <x:c r="F1370" s="13" t="n">
        <x:v>500</x:v>
      </x:c>
      <x:c r="G1370" s="9" t="n">
        <x:v>23.6</x:v>
      </x:c>
      <x:c r="H1370" s="9" t="n">
        <x:v>144.6</x:v>
      </x:c>
      <x:c r="I1370" s="8" t="str">
        <x:f>B1370&amp;" / "&amp;C1370&amp;" / "&amp;E1370</x:f>
        <x:v>26431 / 2025 / RAINBOW TROUT</x:v>
      </x:c>
    </x:row>
    <x:row r="1371" ht="23" customHeight="1">
      <x:c r="A1371" s="8" t="str">
        <x:v>High Level Town Pond</x:v>
      </x:c>
      <x:c r="B1371" s="8" t="str">
        <x:v>26431</x:v>
      </x:c>
      <x:c r="C1371" s="17" t="n">
        <x:v>2021</x:v>
      </x:c>
      <x:c r="D1371" s="18" t="n">
        <x:v>44342</x:v>
      </x:c>
      <x:c r="E1371" s="8" t="str">
        <x:v>RAINBOW TROUT</x:v>
      </x:c>
      <x:c r="F1371" s="13" t="n">
        <x:v>500</x:v>
      </x:c>
      <x:c r="G1371" s="9" t="n">
        <x:v>19.9</x:v>
      </x:c>
      <x:c r="H1371" s="9" t="n">
        <x:v>86.6</x:v>
      </x:c>
      <x:c r="I1371" s="8" t="str">
        <x:f>B1371&amp;" / "&amp;C1371&amp;" / "&amp;E1371</x:f>
        <x:v>26431 / 2021 / RAINBOW TROUT</x:v>
      </x:c>
    </x:row>
    <x:row r="1372" ht="23" customHeight="1">
      <x:c r="A1372" s="8" t="str">
        <x:v>Highway 40 Pond</x:v>
      </x:c>
      <x:c r="B1372" s="8" t="str">
        <x:v>6794</x:v>
      </x:c>
      <x:c r="C1372" s="17" t="n">
        <x:v>2026</x:v>
      </x:c>
      <x:c r="D1372" s="18" t="n">
        <x:v>46168</x:v>
      </x:c>
      <x:c r="E1372" s="8" t="str">
        <x:v>RAINBOW TROUT</x:v>
      </x:c>
      <x:c r="F1372" s="13" t="n">
        <x:v>1000</x:v>
      </x:c>
      <x:c r="G1372" s="9" t="n">
        <x:v>21</x:v>
      </x:c>
      <x:c r="H1372" s="9" t="n">
        <x:v>102.4</x:v>
      </x:c>
      <x:c r="I1372" s="8" t="str">
        <x:f>B1372&amp;" / "&amp;C1372&amp;" / "&amp;E1372</x:f>
        <x:v>6794 / 2026 / RAINBOW TROUT</x:v>
      </x:c>
    </x:row>
    <x:row r="1373" ht="23" customHeight="1">
      <x:c r="A1373" s="8" t="str">
        <x:v>Highway 40 Pond</x:v>
      </x:c>
      <x:c r="B1373" s="8" t="str">
        <x:v>6794</x:v>
      </x:c>
      <x:c r="C1373" s="17" t="n">
        <x:v>2025</x:v>
      </x:c>
      <x:c r="D1373" s="18" t="n">
        <x:v>45797</x:v>
      </x:c>
      <x:c r="E1373" s="8" t="str">
        <x:v>RAINBOW TROUT</x:v>
      </x:c>
      <x:c r="F1373" s="13" t="n">
        <x:v>1000</x:v>
      </x:c>
      <x:c r="G1373" s="9" t="n">
        <x:v>20.6</x:v>
      </x:c>
      <x:c r="H1373" s="9" t="n">
        <x:v>96.6</x:v>
      </x:c>
      <x:c r="I1373" s="8" t="str">
        <x:f>B1373&amp;" / "&amp;C1373&amp;" / "&amp;E1373</x:f>
        <x:v>6794 / 2025 / RAINBOW TROUT</x:v>
      </x:c>
    </x:row>
    <x:row r="1374" ht="23" customHeight="1">
      <x:c r="A1374" s="8" t="str">
        <x:v>Highway 40 Pond</x:v>
      </x:c>
      <x:c r="B1374" s="8" t="str">
        <x:v>6794</x:v>
      </x:c>
      <x:c r="C1374" s="17" t="n">
        <x:v>2024</x:v>
      </x:c>
      <x:c r="D1374" s="18" t="n">
        <x:v>45420</x:v>
      </x:c>
      <x:c r="E1374" s="8" t="str">
        <x:v>RAINBOW TROUT</x:v>
      </x:c>
      <x:c r="F1374" s="13" t="n">
        <x:v>500</x:v>
      </x:c>
      <x:c r="G1374" s="9" t="n">
        <x:v>20.1</x:v>
      </x:c>
      <x:c r="H1374" s="9" t="n">
        <x:v>87.5</x:v>
      </x:c>
      <x:c r="I1374" s="8" t="str">
        <x:f>B1374&amp;" / "&amp;C1374&amp;" / "&amp;E1374</x:f>
        <x:v>6794 / 2024 / RAINBOW TROUT</x:v>
      </x:c>
    </x:row>
    <x:row r="1375" ht="23" customHeight="1">
      <x:c r="A1375" s="8" t="str">
        <x:v>Highway 40 Pond</x:v>
      </x:c>
      <x:c r="B1375" s="8" t="str">
        <x:v>6794</x:v>
      </x:c>
      <x:c r="C1375" s="17" t="n">
        <x:v>2023</x:v>
      </x:c>
      <x:c r="D1375" s="18" t="n">
        <x:v>45055</x:v>
      </x:c>
      <x:c r="E1375" s="8" t="str">
        <x:v>RAINBOW TROUT</x:v>
      </x:c>
      <x:c r="F1375" s="13" t="n">
        <x:v>502</x:v>
      </x:c>
      <x:c r="G1375" s="9" t="n">
        <x:v>19.9</x:v>
      </x:c>
      <x:c r="H1375" s="9" t="n">
        <x:v>87.4</x:v>
      </x:c>
      <x:c r="I1375" s="8" t="str">
        <x:f>B1375&amp;" / "&amp;C1375&amp;" / "&amp;E1375</x:f>
        <x:v>6794 / 2023 / RAINBOW TROUT</x:v>
      </x:c>
    </x:row>
    <x:row r="1376" ht="23" customHeight="1">
      <x:c r="A1376" s="8" t="str">
        <x:v>Highway 40 Pond</x:v>
      </x:c>
      <x:c r="B1376" s="8" t="str">
        <x:v>6794</x:v>
      </x:c>
      <x:c r="C1376" s="17" t="n">
        <x:v>2022</x:v>
      </x:c>
      <x:c r="D1376" s="18" t="n">
        <x:v>44705</x:v>
      </x:c>
      <x:c r="E1376" s="8" t="str">
        <x:v>RAINBOW TROUT</x:v>
      </x:c>
      <x:c r="F1376" s="13" t="n">
        <x:v>1000</x:v>
      </x:c>
      <x:c r="G1376" s="9" t="n">
        <x:v>20.4</x:v>
      </x:c>
      <x:c r="H1376" s="9" t="n">
        <x:v>93.4</x:v>
      </x:c>
      <x:c r="I1376" s="8" t="str">
        <x:f>B1376&amp;" / "&amp;C1376&amp;" / "&amp;E1376</x:f>
        <x:v>6794 / 2022 / RAINBOW TROUT</x:v>
      </x:c>
    </x:row>
    <x:row r="1377" ht="23" customHeight="1">
      <x:c r="A1377" s="8" t="str">
        <x:v>Highway 40 Pond</x:v>
      </x:c>
      <x:c r="B1377" s="8" t="str">
        <x:v>6794</x:v>
      </x:c>
      <x:c r="C1377" s="17" t="n">
        <x:v>2021</x:v>
      </x:c>
      <x:c r="D1377" s="18" t="n">
        <x:v>44335</x:v>
      </x:c>
      <x:c r="E1377" s="8" t="str">
        <x:v>RAINBOW TROUT</x:v>
      </x:c>
      <x:c r="F1377" s="13" t="n">
        <x:v>500</x:v>
      </x:c>
      <x:c r="G1377" s="9" t="n">
        <x:v>16.3</x:v>
      </x:c>
      <x:c r="H1377" s="9" t="n">
        <x:v>47.7</x:v>
      </x:c>
      <x:c r="I1377" s="8" t="str">
        <x:f>B1377&amp;" / "&amp;C1377&amp;" / "&amp;E1377</x:f>
        <x:v>6794 / 2021 / RAINBOW TROUT</x:v>
      </x:c>
    </x:row>
    <x:row r="1378" ht="23" customHeight="1">
      <x:c r="A1378" s="8" t="str">
        <x:v>Highway 63 Pond</x:v>
      </x:c>
      <x:c r="B1378" s="8" t="str">
        <x:v>6668</x:v>
      </x:c>
      <x:c r="C1378" s="17" t="n">
        <x:v>2026</x:v>
      </x:c>
      <x:c r="D1378" s="18" t="n">
        <x:v>46164</x:v>
      </x:c>
      <x:c r="E1378" s="8" t="str">
        <x:v>RAINBOW TROUT</x:v>
      </x:c>
      <x:c r="F1378" s="13" t="n">
        <x:v>1000</x:v>
      </x:c>
      <x:c r="G1378" s="9" t="n">
        <x:v>21.4</x:v>
      </x:c>
      <x:c r="H1378" s="9" t="n">
        <x:v>108.9</x:v>
      </x:c>
      <x:c r="I1378" s="8" t="str">
        <x:f>B1378&amp;" / "&amp;C1378&amp;" / "&amp;E1378</x:f>
        <x:v>6668 / 2026 / RAINBOW TROUT</x:v>
      </x:c>
    </x:row>
    <x:row r="1379" ht="23" customHeight="1">
      <x:c r="A1379" s="8" t="str">
        <x:v>Highway 63 Pond</x:v>
      </x:c>
      <x:c r="B1379" s="8" t="str">
        <x:v>6668</x:v>
      </x:c>
      <x:c r="C1379" s="17" t="n">
        <x:v>2025</x:v>
      </x:c>
      <x:c r="D1379" s="18" t="n">
        <x:v>45784</x:v>
      </x:c>
      <x:c r="E1379" s="8" t="str">
        <x:v>RAINBOW TROUT</x:v>
      </x:c>
      <x:c r="F1379" s="13" t="n">
        <x:v>1000</x:v>
      </x:c>
      <x:c r="G1379" s="9" t="n">
        <x:v>21</x:v>
      </x:c>
      <x:c r="H1379" s="9" t="n">
        <x:v>102</x:v>
      </x:c>
      <x:c r="I1379" s="8" t="str">
        <x:f>B1379&amp;" / "&amp;C1379&amp;" / "&amp;E1379</x:f>
        <x:v>6668 / 2025 / RAINBOW TROUT</x:v>
      </x:c>
    </x:row>
    <x:row r="1380" ht="23" customHeight="1">
      <x:c r="A1380" s="8" t="str">
        <x:v>Highway 63 Pond</x:v>
      </x:c>
      <x:c r="B1380" s="8" t="str">
        <x:v>6668</x:v>
      </x:c>
      <x:c r="C1380" s="17" t="n">
        <x:v>2024</x:v>
      </x:c>
      <x:c r="D1380" s="18" t="n">
        <x:v>45422</x:v>
      </x:c>
      <x:c r="E1380" s="8" t="str">
        <x:v>RAINBOW TROUT</x:v>
      </x:c>
      <x:c r="F1380" s="13" t="n">
        <x:v>400</x:v>
      </x:c>
      <x:c r="G1380" s="9" t="n">
        <x:v>20.1</x:v>
      </x:c>
      <x:c r="H1380" s="9" t="n">
        <x:v>88.3</x:v>
      </x:c>
      <x:c r="I1380" s="8" t="str">
        <x:f>B1380&amp;" / "&amp;C1380&amp;" / "&amp;E1380</x:f>
        <x:v>6668 / 2024 / RAINBOW TROUT</x:v>
      </x:c>
    </x:row>
    <x:row r="1381" ht="23" customHeight="1">
      <x:c r="A1381" s="8" t="str">
        <x:v>Highway 63 Pond</x:v>
      </x:c>
      <x:c r="B1381" s="8" t="str">
        <x:v>6668</x:v>
      </x:c>
      <x:c r="C1381" s="17" t="n">
        <x:v>2023</x:v>
      </x:c>
      <x:c r="D1381" s="18" t="n">
        <x:v>45054</x:v>
      </x:c>
      <x:c r="E1381" s="8" t="str">
        <x:v>RAINBOW TROUT</x:v>
      </x:c>
      <x:c r="F1381" s="13" t="n">
        <x:v>399</x:v>
      </x:c>
      <x:c r="G1381" s="9" t="n">
        <x:v>19.7</x:v>
      </x:c>
      <x:c r="H1381" s="9" t="n">
        <x:v>84.5</x:v>
      </x:c>
      <x:c r="I1381" s="8" t="str">
        <x:f>B1381&amp;" / "&amp;C1381&amp;" / "&amp;E1381</x:f>
        <x:v>6668 / 2023 / RAINBOW TROUT</x:v>
      </x:c>
    </x:row>
    <x:row r="1382" ht="23" customHeight="1">
      <x:c r="A1382" s="8" t="str">
        <x:v>Highway 63 Pond</x:v>
      </x:c>
      <x:c r="B1382" s="8" t="str">
        <x:v>6668</x:v>
      </x:c>
      <x:c r="C1382" s="17" t="n">
        <x:v>2022</x:v>
      </x:c>
      <x:c r="D1382" s="18" t="n">
        <x:v>44693</x:v>
      </x:c>
      <x:c r="E1382" s="8" t="str">
        <x:v>RAINBOW TROUT</x:v>
      </x:c>
      <x:c r="F1382" s="13" t="n">
        <x:v>1000</x:v>
      </x:c>
      <x:c r="G1382" s="9" t="n">
        <x:v>21.5</x:v>
      </x:c>
      <x:c r="H1382" s="9" t="n">
        <x:v>110.3</x:v>
      </x:c>
      <x:c r="I1382" s="8" t="str">
        <x:f>B1382&amp;" / "&amp;C1382&amp;" / "&amp;E1382</x:f>
        <x:v>6668 / 2022 / RAINBOW TROUT</x:v>
      </x:c>
    </x:row>
    <x:row r="1383" ht="23" customHeight="1">
      <x:c r="A1383" s="8" t="str">
        <x:v>Highway 63 Pond</x:v>
      </x:c>
      <x:c r="B1383" s="8" t="str">
        <x:v>6668</x:v>
      </x:c>
      <x:c r="C1383" s="17" t="n">
        <x:v>2021</x:v>
      </x:c>
      <x:c r="D1383" s="18" t="n">
        <x:v>44325</x:v>
      </x:c>
      <x:c r="E1383" s="8" t="str">
        <x:v>RAINBOW TROUT</x:v>
      </x:c>
      <x:c r="F1383" s="13" t="n">
        <x:v>1000</x:v>
      </x:c>
      <x:c r="G1383" s="9" t="n">
        <x:v>18.4</x:v>
      </x:c>
      <x:c r="H1383" s="9" t="n">
        <x:v>68.6</x:v>
      </x:c>
      <x:c r="I1383" s="8" t="str">
        <x:f>B1383&amp;" / "&amp;C1383&amp;" / "&amp;E1383</x:f>
        <x:v>6668 / 2021 / RAINBOW TROUT</x:v>
      </x:c>
    </x:row>
    <x:row r="1384" ht="23" customHeight="1">
      <x:c r="A1384" s="8" t="str">
        <x:v>Highway 686 Pond</x:v>
      </x:c>
      <x:c r="B1384" s="8" t="str">
        <x:v>6795</x:v>
      </x:c>
      <x:c r="C1384" s="17" t="n">
        <x:v>2026</x:v>
      </x:c>
      <x:c r="D1384" s="18" t="n">
        <x:v>46162</x:v>
      </x:c>
      <x:c r="E1384" s="8" t="str">
        <x:v>RAINBOW TROUT</x:v>
      </x:c>
      <x:c r="F1384" s="13" t="n">
        <x:v>500</x:v>
      </x:c>
      <x:c r="G1384" s="9" t="n">
        <x:v>21.5</x:v>
      </x:c>
      <x:c r="H1384" s="9" t="n">
        <x:v>109</x:v>
      </x:c>
      <x:c r="I1384" s="8" t="str">
        <x:f>B1384&amp;" / "&amp;C1384&amp;" / "&amp;E1384</x:f>
        <x:v>6795 / 2026 / RAINBOW TROUT</x:v>
      </x:c>
    </x:row>
    <x:row r="1385" ht="23" customHeight="1">
      <x:c r="A1385" s="8" t="str">
        <x:v>Highway 686 Pond</x:v>
      </x:c>
      <x:c r="B1385" s="8" t="str">
        <x:v>6795</x:v>
      </x:c>
      <x:c r="C1385" s="17" t="n">
        <x:v>2025</x:v>
      </x:c>
      <x:c r="D1385" s="18" t="n">
        <x:v>45789</x:v>
      </x:c>
      <x:c r="E1385" s="8" t="str">
        <x:v>RAINBOW TROUT</x:v>
      </x:c>
      <x:c r="F1385" s="13" t="n">
        <x:v>500</x:v>
      </x:c>
      <x:c r="G1385" s="9" t="n">
        <x:v>20.8</x:v>
      </x:c>
      <x:c r="H1385" s="9" t="n">
        <x:v>95.5</x:v>
      </x:c>
      <x:c r="I1385" s="8" t="str">
        <x:f>B1385&amp;" / "&amp;C1385&amp;" / "&amp;E1385</x:f>
        <x:v>6795 / 2025 / RAINBOW TROUT</x:v>
      </x:c>
    </x:row>
    <x:row r="1386" ht="23" customHeight="1">
      <x:c r="A1386" s="8" t="str">
        <x:v>Highway 686 Pond</x:v>
      </x:c>
      <x:c r="B1386" s="8" t="str">
        <x:v>6795</x:v>
      </x:c>
      <x:c r="C1386" s="17" t="n">
        <x:v>2024</x:v>
      </x:c>
      <x:c r="D1386" s="18" t="n">
        <x:v>45426</x:v>
      </x:c>
      <x:c r="E1386" s="8" t="str">
        <x:v>RAINBOW TROUT</x:v>
      </x:c>
      <x:c r="F1386" s="13" t="n">
        <x:v>250</x:v>
      </x:c>
      <x:c r="G1386" s="9" t="n">
        <x:v>20.7</x:v>
      </x:c>
      <x:c r="H1386" s="9" t="n">
        <x:v>95.1</x:v>
      </x:c>
      <x:c r="I1386" s="8" t="str">
        <x:f>B1386&amp;" / "&amp;C1386&amp;" / "&amp;E1386</x:f>
        <x:v>6795 / 2024 / RAINBOW TROUT</x:v>
      </x:c>
    </x:row>
    <x:row r="1387" ht="23" customHeight="1">
      <x:c r="A1387" s="8" t="str">
        <x:v>Highway 686 Pond</x:v>
      </x:c>
      <x:c r="B1387" s="8" t="str">
        <x:v>6795</x:v>
      </x:c>
      <x:c r="C1387" s="17" t="n">
        <x:v>2023</x:v>
      </x:c>
      <x:c r="D1387" s="18" t="n">
        <x:v>45069</x:v>
      </x:c>
      <x:c r="E1387" s="8" t="str">
        <x:v>RAINBOW TROUT</x:v>
      </x:c>
      <x:c r="F1387" s="13" t="n">
        <x:v>251</x:v>
      </x:c>
      <x:c r="G1387" s="9" t="n">
        <x:v>21.2</x:v>
      </x:c>
      <x:c r="H1387" s="9" t="n">
        <x:v>101.5</x:v>
      </x:c>
      <x:c r="I1387" s="8" t="str">
        <x:f>B1387&amp;" / "&amp;C1387&amp;" / "&amp;E1387</x:f>
        <x:v>6795 / 2023 / RAINBOW TROUT</x:v>
      </x:c>
    </x:row>
    <x:row r="1388" ht="23" customHeight="1">
      <x:c r="A1388" s="8" t="str">
        <x:v>Highway 686 Pond</x:v>
      </x:c>
      <x:c r="B1388" s="8" t="str">
        <x:v>6795</x:v>
      </x:c>
      <x:c r="C1388" s="17" t="n">
        <x:v>2022</x:v>
      </x:c>
      <x:c r="D1388" s="18" t="n">
        <x:v>44697</x:v>
      </x:c>
      <x:c r="E1388" s="8" t="str">
        <x:v>RAINBOW TROUT</x:v>
      </x:c>
      <x:c r="F1388" s="13" t="n">
        <x:v>500</x:v>
      </x:c>
      <x:c r="G1388" s="9" t="n">
        <x:v>21.9</x:v>
      </x:c>
      <x:c r="H1388" s="9" t="n">
        <x:v>116.9</x:v>
      </x:c>
      <x:c r="I1388" s="8" t="str">
        <x:f>B1388&amp;" / "&amp;C1388&amp;" / "&amp;E1388</x:f>
        <x:v>6795 / 2022 / RAINBOW TROUT</x:v>
      </x:c>
    </x:row>
    <x:row r="1389" ht="23" customHeight="1">
      <x:c r="A1389" s="8" t="str">
        <x:v>Highway 686 Pond</x:v>
      </x:c>
      <x:c r="B1389" s="8" t="str">
        <x:v>6795</x:v>
      </x:c>
      <x:c r="C1389" s="17" t="n">
        <x:v>2021</x:v>
      </x:c>
      <x:c r="D1389" s="18" t="n">
        <x:v>44328</x:v>
      </x:c>
      <x:c r="E1389" s="8" t="str">
        <x:v>RAINBOW TROUT</x:v>
      </x:c>
      <x:c r="F1389" s="13" t="n">
        <x:v>500</x:v>
      </x:c>
      <x:c r="G1389" s="9" t="n">
        <x:v>19.1</x:v>
      </x:c>
      <x:c r="H1389" s="9" t="n">
        <x:v>77.4</x:v>
      </x:c>
      <x:c r="I1389" s="8" t="str">
        <x:f>B1389&amp;" / "&amp;C1389&amp;" / "&amp;E1389</x:f>
        <x:v>6795 / 2021 / RAINBOW TROUT</x:v>
      </x:c>
    </x:row>
    <x:row r="1390" ht="23" customHeight="1">
      <x:c r="A1390" s="8" t="str">
        <x:v>Hiller's Reservoir</x:v>
      </x:c>
      <x:c r="B1390" s="8" t="str">
        <x:v>6796</x:v>
      </x:c>
      <x:c r="C1390" s="17" t="n">
        <x:v>2026</x:v>
      </x:c>
      <x:c r="D1390" s="18" t="n">
        <x:v>46142</x:v>
      </x:c>
      <x:c r="E1390" s="8" t="str">
        <x:v>RAINBOW TROUT</x:v>
      </x:c>
      <x:c r="F1390" s="13" t="n">
        <x:v>7500</x:v>
      </x:c>
      <x:c r="G1390" s="9" t="n">
        <x:v>20.3</x:v>
      </x:c>
      <x:c r="H1390" s="9" t="n">
        <x:v>90.1</x:v>
      </x:c>
      <x:c r="I1390" s="8" t="str">
        <x:f>B1390&amp;" / "&amp;C1390&amp;" / "&amp;E1390</x:f>
        <x:v>6796 / 2026 / RAINBOW TROUT</x:v>
      </x:c>
    </x:row>
    <x:row r="1391" ht="23" customHeight="1">
      <x:c r="A1391" s="8" t="str">
        <x:v>Hiller's Reservoir</x:v>
      </x:c>
      <x:c r="B1391" s="8" t="str">
        <x:v>6796</x:v>
      </x:c>
      <x:c r="C1391" s="17" t="n">
        <x:v>2025</x:v>
      </x:c>
      <x:c r="D1391" s="18" t="n">
        <x:v>45763</x:v>
      </x:c>
      <x:c r="E1391" s="8" t="str">
        <x:v>RAINBOW TROUT</x:v>
      </x:c>
      <x:c r="F1391" s="13" t="n">
        <x:v>7500</x:v>
      </x:c>
      <x:c r="G1391" s="9" t="n">
        <x:v>20</x:v>
      </x:c>
      <x:c r="H1391" s="9" t="n">
        <x:v>86.6</x:v>
      </x:c>
      <x:c r="I1391" s="8" t="str">
        <x:f>B1391&amp;" / "&amp;C1391&amp;" / "&amp;E1391</x:f>
        <x:v>6796 / 2025 / RAINBOW TROUT</x:v>
      </x:c>
    </x:row>
    <x:row r="1392" ht="23" customHeight="1">
      <x:c r="A1392" s="8" t="str">
        <x:v>Hiller's Reservoir</x:v>
      </x:c>
      <x:c r="B1392" s="8" t="str">
        <x:v>6796</x:v>
      </x:c>
      <x:c r="C1392" s="17" t="n">
        <x:v>2024</x:v>
      </x:c>
      <x:c r="D1392" s="18" t="n">
        <x:v>45401</x:v>
      </x:c>
      <x:c r="E1392" s="8" t="str">
        <x:v>RAINBOW TROUT</x:v>
      </x:c>
      <x:c r="F1392" s="13" t="n">
        <x:v>3000</x:v>
      </x:c>
      <x:c r="G1392" s="9" t="n">
        <x:v>20</x:v>
      </x:c>
      <x:c r="H1392" s="9" t="n">
        <x:v>87</x:v>
      </x:c>
      <x:c r="I1392" s="8" t="str">
        <x:f>B1392&amp;" / "&amp;C1392&amp;" / "&amp;E1392</x:f>
        <x:v>6796 / 2024 / RAINBOW TROUT</x:v>
      </x:c>
    </x:row>
    <x:row r="1393" ht="23" customHeight="1">
      <x:c r="A1393" s="8" t="str">
        <x:v>Hiller's Reservoir</x:v>
      </x:c>
      <x:c r="B1393" s="8" t="str">
        <x:v>6796</x:v>
      </x:c>
      <x:c r="C1393" s="17" t="n">
        <x:v>2023</x:v>
      </x:c>
      <x:c r="D1393" s="18" t="n">
        <x:v>45046</x:v>
      </x:c>
      <x:c r="E1393" s="8" t="str">
        <x:v>RAINBOW TROUT</x:v>
      </x:c>
      <x:c r="F1393" s="13" t="n">
        <x:v>2993</x:v>
      </x:c>
      <x:c r="G1393" s="9" t="n">
        <x:v>20</x:v>
      </x:c>
      <x:c r="H1393" s="9" t="n">
        <x:v>86.2</x:v>
      </x:c>
      <x:c r="I1393" s="8" t="str">
        <x:f>B1393&amp;" / "&amp;C1393&amp;" / "&amp;E1393</x:f>
        <x:v>6796 / 2023 / RAINBOW TROUT</x:v>
      </x:c>
    </x:row>
    <x:row r="1394" ht="23" customHeight="1">
      <x:c r="A1394" s="8" t="str">
        <x:v>Hiller's Reservoir</x:v>
      </x:c>
      <x:c r="B1394" s="8" t="str">
        <x:v>6796</x:v>
      </x:c>
      <x:c r="C1394" s="17" t="n">
        <x:v>2022</x:v>
      </x:c>
      <x:c r="D1394" s="18" t="n">
        <x:v>44679</x:v>
      </x:c>
      <x:c r="E1394" s="8" t="str">
        <x:v>RAINBOW TROUT</x:v>
      </x:c>
      <x:c r="F1394" s="13" t="n">
        <x:v>7500</x:v>
      </x:c>
      <x:c r="G1394" s="9" t="n">
        <x:v>20.9</x:v>
      </x:c>
      <x:c r="H1394" s="9" t="n">
        <x:v>100.1</x:v>
      </x:c>
      <x:c r="I1394" s="8" t="str">
        <x:f>B1394&amp;" / "&amp;C1394&amp;" / "&amp;E1394</x:f>
        <x:v>6796 / 2022 / RAINBOW TROUT</x:v>
      </x:c>
    </x:row>
    <x:row r="1395" ht="23" customHeight="1">
      <x:c r="A1395" s="8" t="str">
        <x:v>Hiller's Reservoir</x:v>
      </x:c>
      <x:c r="B1395" s="8" t="str">
        <x:v>6796</x:v>
      </x:c>
      <x:c r="C1395" s="17" t="n">
        <x:v>2021</x:v>
      </x:c>
      <x:c r="D1395" s="18" t="n">
        <x:v>44301</x:v>
      </x:c>
      <x:c r="E1395" s="8" t="str">
        <x:v>RAINBOW TROUT</x:v>
      </x:c>
      <x:c r="F1395" s="13" t="n">
        <x:v>7500</x:v>
      </x:c>
      <x:c r="G1395" s="9" t="n">
        <x:v>20.5</x:v>
      </x:c>
      <x:c r="H1395" s="9" t="n">
        <x:v>95.3</x:v>
      </x:c>
      <x:c r="I1395" s="8" t="str">
        <x:f>B1395&amp;" / "&amp;C1395&amp;" / "&amp;E1395</x:f>
        <x:v>6796 / 2021 / RAINBOW TROUT</x:v>
      </x:c>
    </x:row>
    <x:row r="1396" ht="23" customHeight="1">
      <x:c r="A1396" s="8" t="str">
        <x:v>Hinton Borrow Pit</x:v>
      </x:c>
      <x:c r="B1396" s="8" t="str">
        <x:v>6917</x:v>
      </x:c>
      <x:c r="C1396" s="17" t="n">
        <x:v>2026</x:v>
      </x:c>
      <x:c r="D1396" s="18" t="n">
        <x:v>46169</x:v>
      </x:c>
      <x:c r="E1396" s="8" t="str">
        <x:v>RAINBOW TROUT</x:v>
      </x:c>
      <x:c r="F1396" s="13" t="n">
        <x:v>300</x:v>
      </x:c>
      <x:c r="G1396" s="9" t="n">
        <x:v>23.4</x:v>
      </x:c>
      <x:c r="H1396" s="9" t="n">
        <x:v>138</x:v>
      </x:c>
      <x:c r="I1396" s="8" t="str">
        <x:f>B1396&amp;" / "&amp;C1396&amp;" / "&amp;E1396</x:f>
        <x:v>6917 / 2026 / RAINBOW TROUT</x:v>
      </x:c>
    </x:row>
    <x:row r="1397" ht="23" customHeight="1">
      <x:c r="A1397" s="8" t="str">
        <x:v>Hinton Borrow Pit</x:v>
      </x:c>
      <x:c r="B1397" s="8" t="str">
        <x:v>6917</x:v>
      </x:c>
      <x:c r="C1397" s="17" t="n">
        <x:v>2025</x:v>
      </x:c>
      <x:c r="D1397" s="18" t="n">
        <x:v>45796</x:v>
      </x:c>
      <x:c r="E1397" s="8" t="str">
        <x:v>RAINBOW TROUT</x:v>
      </x:c>
      <x:c r="F1397" s="13" t="n">
        <x:v>300</x:v>
      </x:c>
      <x:c r="G1397" s="9" t="n">
        <x:v>23.7</x:v>
      </x:c>
      <x:c r="H1397" s="9" t="n">
        <x:v>143.9</x:v>
      </x:c>
      <x:c r="I1397" s="8" t="str">
        <x:f>B1397&amp;" / "&amp;C1397&amp;" / "&amp;E1397</x:f>
        <x:v>6917 / 2025 / RAINBOW TROUT</x:v>
      </x:c>
    </x:row>
    <x:row r="1398" ht="23" customHeight="1">
      <x:c r="A1398" s="8" t="str">
        <x:v>Hinton Borrow Pit</x:v>
      </x:c>
      <x:c r="B1398" s="8" t="str">
        <x:v>6917</x:v>
      </x:c>
      <x:c r="C1398" s="17" t="n">
        <x:v>2024</x:v>
      </x:c>
      <x:c r="D1398" s="18" t="n">
        <x:v>45421</x:v>
      </x:c>
      <x:c r="E1398" s="8" t="str">
        <x:v>RAINBOW TROUT</x:v>
      </x:c>
      <x:c r="F1398" s="13" t="n">
        <x:v>150</x:v>
      </x:c>
      <x:c r="G1398" s="9" t="n">
        <x:v>20.4</x:v>
      </x:c>
      <x:c r="H1398" s="9" t="n">
        <x:v>91.3</x:v>
      </x:c>
      <x:c r="I1398" s="8" t="str">
        <x:f>B1398&amp;" / "&amp;C1398&amp;" / "&amp;E1398</x:f>
        <x:v>6917 / 2024 / RAINBOW TROUT</x:v>
      </x:c>
    </x:row>
    <x:row r="1399" ht="23" customHeight="1">
      <x:c r="A1399" s="8" t="str">
        <x:v>Hinton Borrow Pit</x:v>
      </x:c>
      <x:c r="B1399" s="8" t="str">
        <x:v>6917</x:v>
      </x:c>
      <x:c r="C1399" s="17" t="n">
        <x:v>2023</x:v>
      </x:c>
      <x:c r="D1399" s="18" t="n">
        <x:v>45075</x:v>
      </x:c>
      <x:c r="E1399" s="8" t="str">
        <x:v>RAINBOW TROUT</x:v>
      </x:c>
      <x:c r="F1399" s="13" t="n">
        <x:v>151</x:v>
      </x:c>
      <x:c r="G1399" s="9" t="n">
        <x:v>20.7</x:v>
      </x:c>
      <x:c r="H1399" s="9" t="n">
        <x:v>96.2</x:v>
      </x:c>
      <x:c r="I1399" s="8" t="str">
        <x:f>B1399&amp;" / "&amp;C1399&amp;" / "&amp;E1399</x:f>
        <x:v>6917 / 2023 / RAINBOW TROUT</x:v>
      </x:c>
    </x:row>
    <x:row r="1400" ht="23" customHeight="1">
      <x:c r="A1400" s="8" t="str">
        <x:v>Hinton Borrow Pit</x:v>
      </x:c>
      <x:c r="B1400" s="8" t="str">
        <x:v>6917</x:v>
      </x:c>
      <x:c r="C1400" s="17" t="n">
        <x:v>2022</x:v>
      </x:c>
      <x:c r="D1400" s="18" t="n">
        <x:v>44706</x:v>
      </x:c>
      <x:c r="E1400" s="8" t="str">
        <x:v>RAINBOW TROUT</x:v>
      </x:c>
      <x:c r="F1400" s="13" t="n">
        <x:v>300</x:v>
      </x:c>
      <x:c r="G1400" s="9" t="n">
        <x:v>21.3</x:v>
      </x:c>
      <x:c r="H1400" s="9" t="n">
        <x:v>106</x:v>
      </x:c>
      <x:c r="I1400" s="8" t="str">
        <x:f>B1400&amp;" / "&amp;C1400&amp;" / "&amp;E1400</x:f>
        <x:v>6917 / 2022 / RAINBOW TROUT</x:v>
      </x:c>
    </x:row>
    <x:row r="1401" ht="23" customHeight="1">
      <x:c r="A1401" s="8" t="str">
        <x:v>Hinton Borrow Pit</x:v>
      </x:c>
      <x:c r="B1401" s="8" t="str">
        <x:v>6917</x:v>
      </x:c>
      <x:c r="C1401" s="17" t="n">
        <x:v>2021</x:v>
      </x:c>
      <x:c r="D1401" s="18" t="n">
        <x:v>44335</x:v>
      </x:c>
      <x:c r="E1401" s="8" t="str">
        <x:v>RAINBOW TROUT</x:v>
      </x:c>
      <x:c r="F1401" s="13" t="n">
        <x:v>300</x:v>
      </x:c>
      <x:c r="G1401" s="9" t="n">
        <x:v>20.4</x:v>
      </x:c>
      <x:c r="H1401" s="9" t="n">
        <x:v>93.4</x:v>
      </x:c>
      <x:c r="I1401" s="8" t="str">
        <x:f>B1401&amp;" / "&amp;C1401&amp;" / "&amp;E1401</x:f>
        <x:v>6917 / 2021 / RAINBOW TROUT</x:v>
      </x:c>
    </x:row>
    <x:row r="1402" ht="23" customHeight="1">
      <x:c r="A1402" s="8" t="str">
        <x:v>Horseshoe Lake</x:v>
      </x:c>
      <x:c r="B1402" s="8" t="str">
        <x:v>6669</x:v>
      </x:c>
      <x:c r="C1402" s="17" t="n">
        <x:v>2026</x:v>
      </x:c>
      <x:c r="D1402" s="18" t="n">
        <x:v>46162</x:v>
      </x:c>
      <x:c r="E1402" s="8" t="str">
        <x:v>BROOK TROUT</x:v>
      </x:c>
      <x:c r="F1402" s="13" t="n">
        <x:v>1500</x:v>
      </x:c>
      <x:c r="G1402" s="9" t="n">
        <x:v>4.9</x:v>
      </x:c>
      <x:c r="H1402" s="9" t="n">
        <x:v>1.3</x:v>
      </x:c>
      <x:c r="I1402" s="8" t="str">
        <x:f>B1402&amp;" / "&amp;C1402&amp;" / "&amp;E1402</x:f>
        <x:v>6669 / 2026 / BROOK TROUT</x:v>
      </x:c>
    </x:row>
    <x:row r="1403" ht="23" customHeight="1">
      <x:c r="A1403" s="8" t="str">
        <x:v>Horseshoe Lake</x:v>
      </x:c>
      <x:c r="B1403" s="8" t="str">
        <x:v>6669</x:v>
      </x:c>
      <x:c r="C1403" s="17" t="n">
        <x:v>2024</x:v>
      </x:c>
      <x:c r="D1403" s="18" t="n">
        <x:v>45448</x:v>
      </x:c>
      <x:c r="E1403" s="8" t="str">
        <x:v>BROOK TROUT</x:v>
      </x:c>
      <x:c r="F1403" s="13" t="n">
        <x:v>12500</x:v>
      </x:c>
      <x:c r="G1403" s="9" t="n">
        <x:v>7.6</x:v>
      </x:c>
      <x:c r="H1403" s="9" t="n">
        <x:v>4.8</x:v>
      </x:c>
      <x:c r="I1403" s="8" t="str">
        <x:f>B1403&amp;" / "&amp;C1403&amp;" / "&amp;E1403</x:f>
        <x:v>6669 / 2024 / BROOK TROUT</x:v>
      </x:c>
    </x:row>
    <x:row r="1404" ht="23" customHeight="1">
      <x:c r="A1404" s="8" t="str">
        <x:v>Horseshoe Lake</x:v>
      </x:c>
      <x:c r="B1404" s="8" t="str">
        <x:v>6669</x:v>
      </x:c>
      <x:c r="C1404" s="17" t="n">
        <x:v>2022</x:v>
      </x:c>
      <x:c r="D1404" s="18" t="n">
        <x:v>44720</x:v>
      </x:c>
      <x:c r="E1404" s="8" t="str">
        <x:v>BROOK TROUT</x:v>
      </x:c>
      <x:c r="F1404" s="13" t="n">
        <x:v>15000</x:v>
      </x:c>
      <x:c r="G1404" s="9" t="n">
        <x:v>7.6</x:v>
      </x:c>
      <x:c r="H1404" s="9" t="n">
        <x:v>4.8</x:v>
      </x:c>
      <x:c r="I1404" s="8" t="str">
        <x:f>B1404&amp;" / "&amp;C1404&amp;" / "&amp;E1404</x:f>
        <x:v>6669 / 2022 / BROOK TROUT</x:v>
      </x:c>
    </x:row>
    <x:row r="1405" ht="23" customHeight="1">
      <x:c r="A1405" s="8" t="str">
        <x:v>Huber Reservoir</x:v>
      </x:c>
      <x:c r="B1405" s="8" t="str">
        <x:v>6780</x:v>
      </x:c>
      <x:c r="C1405" s="17" t="n">
        <x:v>2026</x:v>
      </x:c>
      <x:c r="D1405" s="18" t="n">
        <x:v>46139</x:v>
      </x:c>
      <x:c r="E1405" s="8" t="str">
        <x:v>RAINBOW TROUT</x:v>
      </x:c>
      <x:c r="F1405" s="13" t="n">
        <x:v>6000</x:v>
      </x:c>
      <x:c r="G1405" s="9" t="n">
        <x:v>20.6</x:v>
      </x:c>
      <x:c r="H1405" s="9" t="n">
        <x:v>94.7</x:v>
      </x:c>
      <x:c r="I1405" s="8" t="str">
        <x:f>B1405&amp;" / "&amp;C1405&amp;" / "&amp;E1405</x:f>
        <x:v>6780 / 2026 / RAINBOW TROUT</x:v>
      </x:c>
    </x:row>
    <x:row r="1406" ht="23" customHeight="1">
      <x:c r="A1406" s="8" t="str">
        <x:v>Huber Reservoir</x:v>
      </x:c>
      <x:c r="B1406" s="8" t="str">
        <x:v>6780</x:v>
      </x:c>
      <x:c r="C1406" s="17" t="n">
        <x:v>2026</x:v>
      </x:c>
      <x:c r="D1406" s="18" t="n">
        <x:v>46139</x:v>
      </x:c>
      <x:c r="E1406" s="8" t="str">
        <x:v>TIGER TROUT</x:v>
      </x:c>
      <x:c r="F1406" s="13" t="n">
        <x:v>1250</x:v>
      </x:c>
      <x:c r="G1406" s="9" t="n">
        <x:v>16.7</x:v>
      </x:c>
      <x:c r="H1406" s="9" t="n">
        <x:v>50.2</x:v>
      </x:c>
      <x:c r="I1406" s="8" t="str">
        <x:f>B1406&amp;" / "&amp;C1406&amp;" / "&amp;E1406</x:f>
        <x:v>6780 / 2026 / TIGER TROUT</x:v>
      </x:c>
    </x:row>
    <x:row r="1407" ht="23" customHeight="1">
      <x:c r="A1407" s="8" t="str">
        <x:v>Huber Reservoir</x:v>
      </x:c>
      <x:c r="B1407" s="8" t="str">
        <x:v>6780</x:v>
      </x:c>
      <x:c r="C1407" s="17" t="n">
        <x:v>2025</x:v>
      </x:c>
      <x:c r="D1407" s="18" t="n">
        <x:v>45768</x:v>
      </x:c>
      <x:c r="E1407" s="8" t="str">
        <x:v>RAINBOW TROUT</x:v>
      </x:c>
      <x:c r="F1407" s="13" t="n">
        <x:v>6000</x:v>
      </x:c>
      <x:c r="G1407" s="9" t="n">
        <x:v>20.3</x:v>
      </x:c>
      <x:c r="H1407" s="9" t="n">
        <x:v>90</x:v>
      </x:c>
      <x:c r="I1407" s="8" t="str">
        <x:f>B1407&amp;" / "&amp;C1407&amp;" / "&amp;E1407</x:f>
        <x:v>6780 / 2025 / RAINBOW TROUT</x:v>
      </x:c>
    </x:row>
    <x:row r="1408" ht="23" customHeight="1">
      <x:c r="A1408" s="8" t="str">
        <x:v>Huber Reservoir</x:v>
      </x:c>
      <x:c r="B1408" s="8" t="str">
        <x:v>6780</x:v>
      </x:c>
      <x:c r="C1408" s="17" t="n">
        <x:v>2025</x:v>
      </x:c>
      <x:c r="D1408" s="18" t="n">
        <x:v>45768</x:v>
      </x:c>
      <x:c r="E1408" s="8" t="str">
        <x:v>TIGER TROUT</x:v>
      </x:c>
      <x:c r="F1408" s="13" t="n">
        <x:v>1250</x:v>
      </x:c>
      <x:c r="G1408" s="9" t="n">
        <x:v>20.1</x:v>
      </x:c>
      <x:c r="H1408" s="9" t="n">
        <x:v>88</x:v>
      </x:c>
      <x:c r="I1408" s="8" t="str">
        <x:f>B1408&amp;" / "&amp;C1408&amp;" / "&amp;E1408</x:f>
        <x:v>6780 / 2025 / TIGER TROUT</x:v>
      </x:c>
    </x:row>
    <x:row r="1409" ht="23" customHeight="1">
      <x:c r="A1409" s="8" t="str">
        <x:v>Huber Reservoir</x:v>
      </x:c>
      <x:c r="B1409" s="8" t="str">
        <x:v>6780</x:v>
      </x:c>
      <x:c r="C1409" s="17" t="n">
        <x:v>2024</x:v>
      </x:c>
      <x:c r="D1409" s="18" t="n">
        <x:v>45399</x:v>
      </x:c>
      <x:c r="E1409" s="8" t="str">
        <x:v>RAINBOW TROUT</x:v>
      </x:c>
      <x:c r="F1409" s="13" t="n">
        <x:v>2400</x:v>
      </x:c>
      <x:c r="G1409" s="9" t="n">
        <x:v>20</x:v>
      </x:c>
      <x:c r="H1409" s="9" t="n">
        <x:v>86</x:v>
      </x:c>
      <x:c r="I1409" s="8" t="str">
        <x:f>B1409&amp;" / "&amp;C1409&amp;" / "&amp;E1409</x:f>
        <x:v>6780 / 2024 / RAINBOW TROUT</x:v>
      </x:c>
    </x:row>
    <x:row r="1410" ht="23" customHeight="1">
      <x:c r="A1410" s="8" t="str">
        <x:v>Huber Reservoir</x:v>
      </x:c>
      <x:c r="B1410" s="8" t="str">
        <x:v>6780</x:v>
      </x:c>
      <x:c r="C1410" s="17" t="n">
        <x:v>2024</x:v>
      </x:c>
      <x:c r="D1410" s="18" t="n">
        <x:v>45399</x:v>
      </x:c>
      <x:c r="E1410" s="8" t="str">
        <x:v>RAINBOW TROUT</x:v>
      </x:c>
      <x:c r="F1410" s="13" t="n">
        <x:v>5000</x:v>
      </x:c>
      <x:c r="G1410" s="9" t="n">
        <x:v>7.6</x:v>
      </x:c>
      <x:c r="H1410" s="9" t="n">
        <x:v>4.8</x:v>
      </x:c>
      <x:c r="I1410" s="8" t="str">
        <x:f>B1410&amp;" / "&amp;C1410&amp;" / "&amp;E1410</x:f>
        <x:v>6780 / 2024 / RAINBOW TROUT</x:v>
      </x:c>
    </x:row>
    <x:row r="1411" ht="23" customHeight="1">
      <x:c r="A1411" s="8" t="str">
        <x:v>Huber Reservoir</x:v>
      </x:c>
      <x:c r="B1411" s="8" t="str">
        <x:v>6780</x:v>
      </x:c>
      <x:c r="C1411" s="17" t="n">
        <x:v>2024</x:v>
      </x:c>
      <x:c r="D1411" s="18" t="n">
        <x:v>45399</x:v>
      </x:c>
      <x:c r="E1411" s="8" t="str">
        <x:v>TIGER TROUT</x:v>
      </x:c>
      <x:c r="F1411" s="13" t="n">
        <x:v>1250</x:v>
      </x:c>
      <x:c r="G1411" s="9" t="n">
        <x:v>19</x:v>
      </x:c>
      <x:c r="H1411" s="9" t="n">
        <x:v>74.1</x:v>
      </x:c>
      <x:c r="I1411" s="8" t="str">
        <x:f>B1411&amp;" / "&amp;C1411&amp;" / "&amp;E1411</x:f>
        <x:v>6780 / 2024 / TIGER TROUT</x:v>
      </x:c>
    </x:row>
    <x:row r="1412" ht="23" customHeight="1">
      <x:c r="A1412" s="8" t="str">
        <x:v>Huber Reservoir</x:v>
      </x:c>
      <x:c r="B1412" s="8" t="str">
        <x:v>6780</x:v>
      </x:c>
      <x:c r="C1412" s="17" t="n">
        <x:v>2023</x:v>
      </x:c>
      <x:c r="D1412" s="18" t="n">
        <x:v>45047</x:v>
      </x:c>
      <x:c r="E1412" s="8" t="str">
        <x:v>RAINBOW TROUT</x:v>
      </x:c>
      <x:c r="F1412" s="13" t="n">
        <x:v>2394</x:v>
      </x:c>
      <x:c r="G1412" s="9" t="n">
        <x:v>20.1</x:v>
      </x:c>
      <x:c r="H1412" s="9" t="n">
        <x:v>87.6</x:v>
      </x:c>
      <x:c r="I1412" s="8" t="str">
        <x:f>B1412&amp;" / "&amp;C1412&amp;" / "&amp;E1412</x:f>
        <x:v>6780 / 2023 / RAINBOW TROUT</x:v>
      </x:c>
    </x:row>
    <x:row r="1413" ht="23" customHeight="1">
      <x:c r="A1413" s="8" t="str">
        <x:v>Huber Reservoir</x:v>
      </x:c>
      <x:c r="B1413" s="8" t="str">
        <x:v>6780</x:v>
      </x:c>
      <x:c r="C1413" s="17" t="n">
        <x:v>2023</x:v>
      </x:c>
      <x:c r="D1413" s="18" t="n">
        <x:v>45046</x:v>
      </x:c>
      <x:c r="E1413" s="8" t="str">
        <x:v>RAINBOW TROUT</x:v>
      </x:c>
      <x:c r="F1413" s="13" t="n">
        <x:v>4000</x:v>
      </x:c>
      <x:c r="G1413" s="9" t="n">
        <x:v>7.7</x:v>
      </x:c>
      <x:c r="H1413" s="9" t="n">
        <x:v>5.1</x:v>
      </x:c>
      <x:c r="I1413" s="8" t="str">
        <x:f>B1413&amp;" / "&amp;C1413&amp;" / "&amp;E1413</x:f>
        <x:v>6780 / 2023 / RAINBOW TROUT</x:v>
      </x:c>
    </x:row>
    <x:row r="1414" ht="23" customHeight="1">
      <x:c r="A1414" s="8" t="str">
        <x:v>Huber Reservoir</x:v>
      </x:c>
      <x:c r="B1414" s="8" t="str">
        <x:v>6780</x:v>
      </x:c>
      <x:c r="C1414" s="17" t="n">
        <x:v>2023</x:v>
      </x:c>
      <x:c r="D1414" s="18" t="n">
        <x:v>45047</x:v>
      </x:c>
      <x:c r="E1414" s="8" t="str">
        <x:v>TIGER TROUT</x:v>
      </x:c>
      <x:c r="F1414" s="13" t="n">
        <x:v>1250</x:v>
      </x:c>
      <x:c r="G1414" s="9" t="n">
        <x:v>19.9</x:v>
      </x:c>
      <x:c r="H1414" s="9" t="n">
        <x:v>84.8</x:v>
      </x:c>
      <x:c r="I1414" s="8" t="str">
        <x:f>B1414&amp;" / "&amp;C1414&amp;" / "&amp;E1414</x:f>
        <x:v>6780 / 2023 / TIGER TROUT</x:v>
      </x:c>
    </x:row>
    <x:row r="1415" ht="23" customHeight="1">
      <x:c r="A1415" s="8" t="str">
        <x:v>Huber Reservoir</x:v>
      </x:c>
      <x:c r="B1415" s="8" t="str">
        <x:v>6780</x:v>
      </x:c>
      <x:c r="C1415" s="17" t="n">
        <x:v>2022</x:v>
      </x:c>
      <x:c r="D1415" s="18" t="n">
        <x:v>44671</x:v>
      </x:c>
      <x:c r="E1415" s="8" t="str">
        <x:v>RAINBOW TROUT</x:v>
      </x:c>
      <x:c r="F1415" s="13" t="n">
        <x:v>6000</x:v>
      </x:c>
      <x:c r="G1415" s="9" t="n">
        <x:v>20.8</x:v>
      </x:c>
      <x:c r="H1415" s="9" t="n">
        <x:v>98.2</x:v>
      </x:c>
      <x:c r="I1415" s="8" t="str">
        <x:f>B1415&amp;" / "&amp;C1415&amp;" / "&amp;E1415</x:f>
        <x:v>6780 / 2022 / RAINBOW TROUT</x:v>
      </x:c>
    </x:row>
    <x:row r="1416" ht="23" customHeight="1">
      <x:c r="A1416" s="8" t="str">
        <x:v>Huber Reservoir</x:v>
      </x:c>
      <x:c r="B1416" s="8" t="str">
        <x:v>6780</x:v>
      </x:c>
      <x:c r="C1416" s="17" t="n">
        <x:v>2022</x:v>
      </x:c>
      <x:c r="D1416" s="18" t="n">
        <x:v>44678</x:v>
      </x:c>
      <x:c r="E1416" s="8" t="str">
        <x:v>TIGER TROUT</x:v>
      </x:c>
      <x:c r="F1416" s="13" t="n">
        <x:v>1250</x:v>
      </x:c>
      <x:c r="G1416" s="9" t="n">
        <x:v>17.1</x:v>
      </x:c>
      <x:c r="H1416" s="9" t="n">
        <x:v>55.2</x:v>
      </x:c>
      <x:c r="I1416" s="8" t="str">
        <x:f>B1416&amp;" / "&amp;C1416&amp;" / "&amp;E1416</x:f>
        <x:v>6780 / 2022 / TIGER TROUT</x:v>
      </x:c>
    </x:row>
    <x:row r="1417" ht="23" customHeight="1">
      <x:c r="A1417" s="8" t="str">
        <x:v>Huber Reservoir</x:v>
      </x:c>
      <x:c r="B1417" s="8" t="str">
        <x:v>6780</x:v>
      </x:c>
      <x:c r="C1417" s="17" t="n">
        <x:v>2021</x:v>
      </x:c>
      <x:c r="D1417" s="18" t="n">
        <x:v>44305</x:v>
      </x:c>
      <x:c r="E1417" s="8" t="str">
        <x:v>RAINBOW TROUT</x:v>
      </x:c>
      <x:c r="F1417" s="13" t="n">
        <x:v>6000</x:v>
      </x:c>
      <x:c r="G1417" s="9" t="n">
        <x:v>19.9</x:v>
      </x:c>
      <x:c r="H1417" s="9" t="n">
        <x:v>86.8</x:v>
      </x:c>
      <x:c r="I1417" s="8" t="str">
        <x:f>B1417&amp;" / "&amp;C1417&amp;" / "&amp;E1417</x:f>
        <x:v>6780 / 2021 / RAINBOW TROUT</x:v>
      </x:c>
    </x:row>
    <x:row r="1418" ht="23" customHeight="1">
      <x:c r="A1418" s="8" t="str">
        <x:v>Huber Reservoir</x:v>
      </x:c>
      <x:c r="B1418" s="8" t="str">
        <x:v>6780</x:v>
      </x:c>
      <x:c r="C1418" s="17" t="n">
        <x:v>2021</x:v>
      </x:c>
      <x:c r="D1418" s="18" t="n">
        <x:v>44306</x:v>
      </x:c>
      <x:c r="E1418" s="8" t="str">
        <x:v>TIGER TROUT</x:v>
      </x:c>
      <x:c r="F1418" s="13" t="n">
        <x:v>1250</x:v>
      </x:c>
      <x:c r="G1418" s="9" t="n">
        <x:v>17.7</x:v>
      </x:c>
      <x:c r="H1418" s="9" t="n">
        <x:v>60.9</x:v>
      </x:c>
      <x:c r="I1418" s="8" t="str">
        <x:f>B1418&amp;" / "&amp;C1418&amp;" / "&amp;E1418</x:f>
        <x:v>6780 / 2021 / TIGER TROUT</x:v>
      </x:c>
    </x:row>
    <x:row r="1419" ht="23" customHeight="1">
      <x:c r="A1419" s="8" t="str">
        <x:v>Ice Lake</x:v>
      </x:c>
      <x:c r="B1419" s="8" t="str">
        <x:v>4888</x:v>
      </x:c>
      <x:c r="C1419" s="17" t="n">
        <x:v>2021</x:v>
      </x:c>
      <x:c r="D1419" s="18" t="n">
        <x:v>44446</x:v>
      </x:c>
      <x:c r="E1419" s="8" t="str">
        <x:v>CUTTHROAT TROUT</x:v>
      </x:c>
      <x:c r="F1419" s="13" t="n">
        <x:v>500</x:v>
      </x:c>
      <x:c r="G1419" s="9" t="n">
        <x:v>5.5</x:v>
      </x:c>
      <x:c r="H1419" s="9" t="n">
        <x:v>1.9</x:v>
      </x:c>
      <x:c r="I1419" s="8" t="str">
        <x:f>B1419&amp;" / "&amp;C1419&amp;" / "&amp;E1419</x:f>
        <x:v>4888 / 2021 / CUTTHROAT TROUT</x:v>
      </x:c>
    </x:row>
    <x:row r="1420" ht="23" customHeight="1">
      <x:c r="A1420" s="8" t="str">
        <x:v>Innisfree Trout Pond</x:v>
      </x:c>
      <x:c r="B1420" s="8" t="str">
        <x:v>6784</x:v>
      </x:c>
      <x:c r="C1420" s="17" t="n">
        <x:v>2026</x:v>
      </x:c>
      <x:c r="D1420" s="18" t="n">
        <x:v>46151</x:v>
      </x:c>
      <x:c r="E1420" s="8" t="str">
        <x:v>BROOK TROUT</x:v>
      </x:c>
      <x:c r="F1420" s="13" t="n">
        <x:v>600</x:v>
      </x:c>
      <x:c r="G1420" s="9" t="n">
        <x:v>20.2</x:v>
      </x:c>
      <x:c r="H1420" s="9" t="n">
        <x:v>91.5</x:v>
      </x:c>
      <x:c r="I1420" s="8" t="str">
        <x:f>B1420&amp;" / "&amp;C1420&amp;" / "&amp;E1420</x:f>
        <x:v>6784 / 2026 / BROOK TROUT</x:v>
      </x:c>
    </x:row>
    <x:row r="1421" ht="23" customHeight="1">
      <x:c r="A1421" s="8" t="str">
        <x:v>Innisfree Trout Pond</x:v>
      </x:c>
      <x:c r="B1421" s="8" t="str">
        <x:v>6784</x:v>
      </x:c>
      <x:c r="C1421" s="17" t="n">
        <x:v>2026</x:v>
      </x:c>
      <x:c r="D1421" s="18" t="n">
        <x:v>46151</x:v>
      </x:c>
      <x:c r="E1421" s="8" t="str">
        <x:v>RAINBOW TROUT</x:v>
      </x:c>
      <x:c r="F1421" s="13" t="n">
        <x:v>400</x:v>
      </x:c>
      <x:c r="G1421" s="9" t="n">
        <x:v>23.1</x:v>
      </x:c>
      <x:c r="H1421" s="9" t="n">
        <x:v>136.6</x:v>
      </x:c>
      <x:c r="I1421" s="8" t="str">
        <x:f>B1421&amp;" / "&amp;C1421&amp;" / "&amp;E1421</x:f>
        <x:v>6784 / 2026 / RAINBOW TROUT</x:v>
      </x:c>
    </x:row>
    <x:row r="1422" ht="23" customHeight="1">
      <x:c r="A1422" s="8" t="str">
        <x:v>Innisfree Trout Pond</x:v>
      </x:c>
      <x:c r="B1422" s="8" t="str">
        <x:v>6784</x:v>
      </x:c>
      <x:c r="C1422" s="17" t="n">
        <x:v>2025</x:v>
      </x:c>
      <x:c r="D1422" s="18" t="n">
        <x:v>45771</x:v>
      </x:c>
      <x:c r="E1422" s="8" t="str">
        <x:v>BROOK TROUT</x:v>
      </x:c>
      <x:c r="F1422" s="13" t="n">
        <x:v>600</x:v>
      </x:c>
      <x:c r="G1422" s="9" t="n">
        <x:v>20.2</x:v>
      </x:c>
      <x:c r="H1422" s="9" t="n">
        <x:v>89.2</x:v>
      </x:c>
      <x:c r="I1422" s="8" t="str">
        <x:f>B1422&amp;" / "&amp;C1422&amp;" / "&amp;E1422</x:f>
        <x:v>6784 / 2025 / BROOK TROUT</x:v>
      </x:c>
    </x:row>
    <x:row r="1423" ht="23" customHeight="1">
      <x:c r="A1423" s="8" t="str">
        <x:v>Innisfree Trout Pond</x:v>
      </x:c>
      <x:c r="B1423" s="8" t="str">
        <x:v>6784</x:v>
      </x:c>
      <x:c r="C1423" s="17" t="n">
        <x:v>2025</x:v>
      </x:c>
      <x:c r="D1423" s="18" t="n">
        <x:v>45771</x:v>
      </x:c>
      <x:c r="E1423" s="8" t="str">
        <x:v>RAINBOW TROUT</x:v>
      </x:c>
      <x:c r="F1423" s="13" t="n">
        <x:v>400</x:v>
      </x:c>
      <x:c r="G1423" s="9" t="n">
        <x:v>20.3</x:v>
      </x:c>
      <x:c r="H1423" s="9" t="n">
        <x:v>90.9</x:v>
      </x:c>
      <x:c r="I1423" s="8" t="str">
        <x:f>B1423&amp;" / "&amp;C1423&amp;" / "&amp;E1423</x:f>
        <x:v>6784 / 2025 / RAINBOW TROUT</x:v>
      </x:c>
    </x:row>
    <x:row r="1424" ht="23" customHeight="1">
      <x:c r="A1424" s="8" t="str">
        <x:v>Innisfree Trout Pond</x:v>
      </x:c>
      <x:c r="B1424" s="8" t="str">
        <x:v>6784</x:v>
      </x:c>
      <x:c r="C1424" s="17" t="n">
        <x:v>2024</x:v>
      </x:c>
      <x:c r="D1424" s="18" t="n">
        <x:v>45414</x:v>
      </x:c>
      <x:c r="E1424" s="8" t="str">
        <x:v>BROOK TROUT</x:v>
      </x:c>
      <x:c r="F1424" s="13" t="n">
        <x:v>600</x:v>
      </x:c>
      <x:c r="G1424" s="9" t="n">
        <x:v>19.2</x:v>
      </x:c>
      <x:c r="H1424" s="9" t="n">
        <x:v>76</x:v>
      </x:c>
      <x:c r="I1424" s="8" t="str">
        <x:f>B1424&amp;" / "&amp;C1424&amp;" / "&amp;E1424</x:f>
        <x:v>6784 / 2024 / BROOK TROUT</x:v>
      </x:c>
    </x:row>
    <x:row r="1425" ht="23" customHeight="1">
      <x:c r="A1425" s="8" t="str">
        <x:v>Innisfree Trout Pond</x:v>
      </x:c>
      <x:c r="B1425" s="8" t="str">
        <x:v>6784</x:v>
      </x:c>
      <x:c r="C1425" s="17" t="n">
        <x:v>2024</x:v>
      </x:c>
      <x:c r="D1425" s="18" t="n">
        <x:v>45414</x:v>
      </x:c>
      <x:c r="E1425" s="8" t="str">
        <x:v>RAINBOW TROUT</x:v>
      </x:c>
      <x:c r="F1425" s="13" t="n">
        <x:v>400</x:v>
      </x:c>
      <x:c r="G1425" s="9" t="n">
        <x:v>20.9</x:v>
      </x:c>
      <x:c r="H1425" s="9" t="n">
        <x:v>99</x:v>
      </x:c>
      <x:c r="I1425" s="8" t="str">
        <x:f>B1425&amp;" / "&amp;C1425&amp;" / "&amp;E1425</x:f>
        <x:v>6784 / 2024 / RAINBOW TROUT</x:v>
      </x:c>
    </x:row>
    <x:row r="1426" ht="23" customHeight="1">
      <x:c r="A1426" s="8" t="str">
        <x:v>Innisfree Trout Pond</x:v>
      </x:c>
      <x:c r="B1426" s="8" t="str">
        <x:v>6784</x:v>
      </x:c>
      <x:c r="C1426" s="17" t="n">
        <x:v>2023</x:v>
      </x:c>
      <x:c r="D1426" s="18" t="n">
        <x:v>45048</x:v>
      </x:c>
      <x:c r="E1426" s="8" t="str">
        <x:v>BROOK TROUT</x:v>
      </x:c>
      <x:c r="F1426" s="13" t="n">
        <x:v>600</x:v>
      </x:c>
      <x:c r="G1426" s="9" t="n">
        <x:v>20.3</x:v>
      </x:c>
      <x:c r="H1426" s="9" t="n">
        <x:v>91</x:v>
      </x:c>
      <x:c r="I1426" s="8" t="str">
        <x:f>B1426&amp;" / "&amp;C1426&amp;" / "&amp;E1426</x:f>
        <x:v>6784 / 2023 / BROOK TROUT</x:v>
      </x:c>
    </x:row>
    <x:row r="1427" ht="23" customHeight="1">
      <x:c r="A1427" s="8" t="str">
        <x:v>Innisfree Trout Pond</x:v>
      </x:c>
      <x:c r="B1427" s="8" t="str">
        <x:v>6784</x:v>
      </x:c>
      <x:c r="C1427" s="17" t="n">
        <x:v>2023</x:v>
      </x:c>
      <x:c r="D1427" s="18" t="n">
        <x:v>45048</x:v>
      </x:c>
      <x:c r="E1427" s="8" t="str">
        <x:v>RAINBOW TROUT</x:v>
      </x:c>
      <x:c r="F1427" s="13" t="n">
        <x:v>400</x:v>
      </x:c>
      <x:c r="G1427" s="9" t="n">
        <x:v>20.6</x:v>
      </x:c>
      <x:c r="H1427" s="9" t="n">
        <x:v>94</x:v>
      </x:c>
      <x:c r="I1427" s="8" t="str">
        <x:f>B1427&amp;" / "&amp;C1427&amp;" / "&amp;E1427</x:f>
        <x:v>6784 / 2023 / RAINBOW TROUT</x:v>
      </x:c>
    </x:row>
    <x:row r="1428" ht="23" customHeight="1">
      <x:c r="A1428" s="8" t="str">
        <x:v>Innisfree Trout Pond</x:v>
      </x:c>
      <x:c r="B1428" s="8" t="str">
        <x:v>6784</x:v>
      </x:c>
      <x:c r="C1428" s="17" t="n">
        <x:v>2022</x:v>
      </x:c>
      <x:c r="D1428" s="18" t="n">
        <x:v>44683</x:v>
      </x:c>
      <x:c r="E1428" s="8" t="str">
        <x:v>BROOK TROUT</x:v>
      </x:c>
      <x:c r="F1428" s="13" t="n">
        <x:v>600</x:v>
      </x:c>
      <x:c r="G1428" s="9" t="n">
        <x:v>20.2</x:v>
      </x:c>
      <x:c r="H1428" s="9" t="n">
        <x:v>91.2</x:v>
      </x:c>
      <x:c r="I1428" s="8" t="str">
        <x:f>B1428&amp;" / "&amp;C1428&amp;" / "&amp;E1428</x:f>
        <x:v>6784 / 2022 / BROOK TROUT</x:v>
      </x:c>
    </x:row>
    <x:row r="1429" ht="23" customHeight="1">
      <x:c r="A1429" s="8" t="str">
        <x:v>Innisfree Trout Pond</x:v>
      </x:c>
      <x:c r="B1429" s="8" t="str">
        <x:v>6784</x:v>
      </x:c>
      <x:c r="C1429" s="17" t="n">
        <x:v>2022</x:v>
      </x:c>
      <x:c r="D1429" s="18" t="n">
        <x:v>44683</x:v>
      </x:c>
      <x:c r="E1429" s="8" t="str">
        <x:v>RAINBOW TROUT</x:v>
      </x:c>
      <x:c r="F1429" s="13" t="n">
        <x:v>400</x:v>
      </x:c>
      <x:c r="G1429" s="9" t="n">
        <x:v>21.9</x:v>
      </x:c>
      <x:c r="H1429" s="9" t="n">
        <x:v>115.6</x:v>
      </x:c>
      <x:c r="I1429" s="8" t="str">
        <x:f>B1429&amp;" / "&amp;C1429&amp;" / "&amp;E1429</x:f>
        <x:v>6784 / 2022 / RAINBOW TROUT</x:v>
      </x:c>
    </x:row>
    <x:row r="1430" ht="23" customHeight="1">
      <x:c r="A1430" s="8" t="str">
        <x:v>Innisfree Trout Pond</x:v>
      </x:c>
      <x:c r="B1430" s="8" t="str">
        <x:v>6784</x:v>
      </x:c>
      <x:c r="C1430" s="17" t="n">
        <x:v>2021</x:v>
      </x:c>
      <x:c r="D1430" s="18" t="n">
        <x:v>44313</x:v>
      </x:c>
      <x:c r="E1430" s="8" t="str">
        <x:v>BROOK TROUT</x:v>
      </x:c>
      <x:c r="F1430" s="13" t="n">
        <x:v>600</x:v>
      </x:c>
      <x:c r="G1430" s="9" t="n">
        <x:v>19.7</x:v>
      </x:c>
      <x:c r="H1430" s="9" t="n">
        <x:v>84.6</x:v>
      </x:c>
      <x:c r="I1430" s="8" t="str">
        <x:f>B1430&amp;" / "&amp;C1430&amp;" / "&amp;E1430</x:f>
        <x:v>6784 / 2021 / BROOK TROUT</x:v>
      </x:c>
    </x:row>
    <x:row r="1431" ht="23" customHeight="1">
      <x:c r="A1431" s="8" t="str">
        <x:v>Innisfree Trout Pond</x:v>
      </x:c>
      <x:c r="B1431" s="8" t="str">
        <x:v>6784</x:v>
      </x:c>
      <x:c r="C1431" s="17" t="n">
        <x:v>2021</x:v>
      </x:c>
      <x:c r="D1431" s="18" t="n">
        <x:v>44313</x:v>
      </x:c>
      <x:c r="E1431" s="8" t="str">
        <x:v>RAINBOW TROUT</x:v>
      </x:c>
      <x:c r="F1431" s="13" t="n">
        <x:v>400</x:v>
      </x:c>
      <x:c r="G1431" s="9" t="n">
        <x:v>20.6</x:v>
      </x:c>
      <x:c r="H1431" s="9" t="n">
        <x:v>97.3</x:v>
      </x:c>
      <x:c r="I1431" s="8" t="str">
        <x:f>B1431&amp;" / "&amp;C1431&amp;" / "&amp;E1431</x:f>
        <x:v>6784 / 2021 / RAINBOW TROUT</x:v>
      </x:c>
    </x:row>
    <x:row r="1432" ht="23" customHeight="1">
      <x:c r="A1432" s="8" t="str">
        <x:v>Invincible Lake</x:v>
      </x:c>
      <x:c r="B1432" s="8" t="str">
        <x:v>4897</x:v>
      </x:c>
      <x:c r="C1432" s="17" t="n">
        <x:v>2025</x:v>
      </x:c>
      <x:c r="D1432" s="18" t="n">
        <x:v>45908</x:v>
      </x:c>
      <x:c r="E1432" s="8" t="str">
        <x:v>CUTTHROAT TROUT</x:v>
      </x:c>
      <x:c r="F1432" s="13" t="n">
        <x:v>450</x:v>
      </x:c>
      <x:c r="G1432" s="9" t="n">
        <x:v>4.2</x:v>
      </x:c>
      <x:c r="H1432" s="9" t="n">
        <x:v>0.8</x:v>
      </x:c>
      <x:c r="I1432" s="8" t="str">
        <x:f>B1432&amp;" / "&amp;C1432&amp;" / "&amp;E1432</x:f>
        <x:v>4897 / 2025 / CUTTHROAT TROUT</x:v>
      </x:c>
    </x:row>
    <x:row r="1433" ht="23" customHeight="1">
      <x:c r="A1433" s="8" t="str">
        <x:v>Invincible Lake</x:v>
      </x:c>
      <x:c r="B1433" s="8" t="str">
        <x:v>4897</x:v>
      </x:c>
      <x:c r="C1433" s="17" t="n">
        <x:v>2021</x:v>
      </x:c>
      <x:c r="D1433" s="18" t="n">
        <x:v>44447</x:v>
      </x:c>
      <x:c r="E1433" s="8" t="str">
        <x:v>CUTTHROAT TROUT</x:v>
      </x:c>
      <x:c r="F1433" s="13" t="n">
        <x:v>300</x:v>
      </x:c>
      <x:c r="G1433" s="9" t="n">
        <x:v>4.9</x:v>
      </x:c>
      <x:c r="H1433" s="9" t="n">
        <x:v>1.3</x:v>
      </x:c>
      <x:c r="I1433" s="8" t="str">
        <x:f>B1433&amp;" / "&amp;C1433&amp;" / "&amp;E1433</x:f>
        <x:v>4897 / 2021 / CUTTHROAT TROUT</x:v>
      </x:c>
    </x:row>
    <x:row r="1434" ht="23" customHeight="1">
      <x:c r="A1434" s="8" t="str">
        <x:v>Irma Fish and Game Pond</x:v>
      </x:c>
      <x:c r="B1434" s="8" t="str">
        <x:v>6785</x:v>
      </x:c>
      <x:c r="C1434" s="17" t="n">
        <x:v>2026</x:v>
      </x:c>
      <x:c r="D1434" s="18" t="n">
        <x:v>46143</x:v>
      </x:c>
      <x:c r="E1434" s="8" t="str">
        <x:v>BROOK TROUT</x:v>
      </x:c>
      <x:c r="F1434" s="13" t="n">
        <x:v>300</x:v>
      </x:c>
      <x:c r="G1434" s="9" t="n">
        <x:v>20.6</x:v>
      </x:c>
      <x:c r="H1434" s="9" t="n">
        <x:v>96.6</x:v>
      </x:c>
      <x:c r="I1434" s="8" t="str">
        <x:f>B1434&amp;" / "&amp;C1434&amp;" / "&amp;E1434</x:f>
        <x:v>6785 / 2026 / BROOK TROUT</x:v>
      </x:c>
    </x:row>
    <x:row r="1435" ht="23" customHeight="1">
      <x:c r="A1435" s="8" t="str">
        <x:v>Irma Fish and Game Pond</x:v>
      </x:c>
      <x:c r="B1435" s="8" t="str">
        <x:v>6785</x:v>
      </x:c>
      <x:c r="C1435" s="17" t="n">
        <x:v>2026</x:v>
      </x:c>
      <x:c r="D1435" s="18" t="n">
        <x:v>46143</x:v>
      </x:c>
      <x:c r="E1435" s="8" t="str">
        <x:v>RAINBOW TROUT</x:v>
      </x:c>
      <x:c r="F1435" s="13" t="n">
        <x:v>200</x:v>
      </x:c>
      <x:c r="G1435" s="9" t="n">
        <x:v>24.5</x:v>
      </x:c>
      <x:c r="H1435" s="9" t="n">
        <x:v>163.2</x:v>
      </x:c>
      <x:c r="I1435" s="8" t="str">
        <x:f>B1435&amp;" / "&amp;C1435&amp;" / "&amp;E1435</x:f>
        <x:v>6785 / 2026 / RAINBOW TROUT</x:v>
      </x:c>
    </x:row>
    <x:row r="1436" ht="23" customHeight="1">
      <x:c r="A1436" s="8" t="str">
        <x:v>Irma Fish and Game Pond</x:v>
      </x:c>
      <x:c r="B1436" s="8" t="str">
        <x:v>6785</x:v>
      </x:c>
      <x:c r="C1436" s="17" t="n">
        <x:v>2025</x:v>
      </x:c>
      <x:c r="D1436" s="18" t="n">
        <x:v>45771</x:v>
      </x:c>
      <x:c r="E1436" s="8" t="str">
        <x:v>BROOK TROUT</x:v>
      </x:c>
      <x:c r="F1436" s="13" t="n">
        <x:v>300</x:v>
      </x:c>
      <x:c r="G1436" s="9" t="n">
        <x:v>20.2</x:v>
      </x:c>
      <x:c r="H1436" s="9" t="n">
        <x:v>89.2</x:v>
      </x:c>
      <x:c r="I1436" s="8" t="str">
        <x:f>B1436&amp;" / "&amp;C1436&amp;" / "&amp;E1436</x:f>
        <x:v>6785 / 2025 / BROOK TROUT</x:v>
      </x:c>
    </x:row>
    <x:row r="1437" ht="23" customHeight="1">
      <x:c r="A1437" s="8" t="str">
        <x:v>Irma Fish and Game Pond</x:v>
      </x:c>
      <x:c r="B1437" s="8" t="str">
        <x:v>6785</x:v>
      </x:c>
      <x:c r="C1437" s="17" t="n">
        <x:v>2025</x:v>
      </x:c>
      <x:c r="D1437" s="18" t="n">
        <x:v>45771</x:v>
      </x:c>
      <x:c r="E1437" s="8" t="str">
        <x:v>RAINBOW TROUT</x:v>
      </x:c>
      <x:c r="F1437" s="13" t="n">
        <x:v>200</x:v>
      </x:c>
      <x:c r="G1437" s="9" t="n">
        <x:v>20.3</x:v>
      </x:c>
      <x:c r="H1437" s="9" t="n">
        <x:v>90.9</x:v>
      </x:c>
      <x:c r="I1437" s="8" t="str">
        <x:f>B1437&amp;" / "&amp;C1437&amp;" / "&amp;E1437</x:f>
        <x:v>6785 / 2025 / RAINBOW TROUT</x:v>
      </x:c>
    </x:row>
    <x:row r="1438" ht="23" customHeight="1">
      <x:c r="A1438" s="8" t="str">
        <x:v>Irma Fish and Game Pond</x:v>
      </x:c>
      <x:c r="B1438" s="8" t="str">
        <x:v>6785</x:v>
      </x:c>
      <x:c r="C1438" s="17" t="n">
        <x:v>2024</x:v>
      </x:c>
      <x:c r="D1438" s="18" t="n">
        <x:v>45414</x:v>
      </x:c>
      <x:c r="E1438" s="8" t="str">
        <x:v>BROOK TROUT</x:v>
      </x:c>
      <x:c r="F1438" s="13" t="n">
        <x:v>300</x:v>
      </x:c>
      <x:c r="G1438" s="9" t="n">
        <x:v>19.2</x:v>
      </x:c>
      <x:c r="H1438" s="9" t="n">
        <x:v>76</x:v>
      </x:c>
      <x:c r="I1438" s="8" t="str">
        <x:f>B1438&amp;" / "&amp;C1438&amp;" / "&amp;E1438</x:f>
        <x:v>6785 / 2024 / BROOK TROUT</x:v>
      </x:c>
    </x:row>
    <x:row r="1439" ht="23" customHeight="1">
      <x:c r="A1439" s="8" t="str">
        <x:v>Irma Fish and Game Pond</x:v>
      </x:c>
      <x:c r="B1439" s="8" t="str">
        <x:v>6785</x:v>
      </x:c>
      <x:c r="C1439" s="17" t="n">
        <x:v>2024</x:v>
      </x:c>
      <x:c r="D1439" s="18" t="n">
        <x:v>45414</x:v>
      </x:c>
      <x:c r="E1439" s="8" t="str">
        <x:v>RAINBOW TROUT</x:v>
      </x:c>
      <x:c r="F1439" s="13" t="n">
        <x:v>200</x:v>
      </x:c>
      <x:c r="G1439" s="9" t="n">
        <x:v>20.9</x:v>
      </x:c>
      <x:c r="H1439" s="9" t="n">
        <x:v>99</x:v>
      </x:c>
      <x:c r="I1439" s="8" t="str">
        <x:f>B1439&amp;" / "&amp;C1439&amp;" / "&amp;E1439</x:f>
        <x:v>6785 / 2024 / RAINBOW TROUT</x:v>
      </x:c>
    </x:row>
    <x:row r="1440" ht="23" customHeight="1">
      <x:c r="A1440" s="8" t="str">
        <x:v>Irma Fish and Game Pond</x:v>
      </x:c>
      <x:c r="B1440" s="8" t="str">
        <x:v>6785</x:v>
      </x:c>
      <x:c r="C1440" s="17" t="n">
        <x:v>2023</x:v>
      </x:c>
      <x:c r="D1440" s="18" t="n">
        <x:v>45050</x:v>
      </x:c>
      <x:c r="E1440" s="8" t="str">
        <x:v>BROOK TROUT</x:v>
      </x:c>
      <x:c r="F1440" s="13" t="n">
        <x:v>300</x:v>
      </x:c>
      <x:c r="G1440" s="9" t="n">
        <x:v>20</x:v>
      </x:c>
      <x:c r="H1440" s="9" t="n">
        <x:v>86.1</x:v>
      </x:c>
      <x:c r="I1440" s="8" t="str">
        <x:f>B1440&amp;" / "&amp;C1440&amp;" / "&amp;E1440</x:f>
        <x:v>6785 / 2023 / BROOK TROUT</x:v>
      </x:c>
    </x:row>
    <x:row r="1441" ht="23" customHeight="1">
      <x:c r="A1441" s="8" t="str">
        <x:v>Irma Fish and Game Pond</x:v>
      </x:c>
      <x:c r="B1441" s="8" t="str">
        <x:v>6785</x:v>
      </x:c>
      <x:c r="C1441" s="17" t="n">
        <x:v>2023</x:v>
      </x:c>
      <x:c r="D1441" s="18" t="n">
        <x:v>45050</x:v>
      </x:c>
      <x:c r="E1441" s="8" t="str">
        <x:v>RAINBOW TROUT</x:v>
      </x:c>
      <x:c r="F1441" s="13" t="n">
        <x:v>200</x:v>
      </x:c>
      <x:c r="G1441" s="9" t="n">
        <x:v>20.5</x:v>
      </x:c>
      <x:c r="H1441" s="9" t="n">
        <x:v>92.9</x:v>
      </x:c>
      <x:c r="I1441" s="8" t="str">
        <x:f>B1441&amp;" / "&amp;C1441&amp;" / "&amp;E1441</x:f>
        <x:v>6785 / 2023 / RAINBOW TROUT</x:v>
      </x:c>
    </x:row>
    <x:row r="1442" ht="23" customHeight="1">
      <x:c r="A1442" s="8" t="str">
        <x:v>Irma Fish and Game Pond</x:v>
      </x:c>
      <x:c r="B1442" s="8" t="str">
        <x:v>6785</x:v>
      </x:c>
      <x:c r="C1442" s="17" t="n">
        <x:v>2022</x:v>
      </x:c>
      <x:c r="D1442" s="18" t="n">
        <x:v>44679</x:v>
      </x:c>
      <x:c r="E1442" s="8" t="str">
        <x:v>BROOK TROUT</x:v>
      </x:c>
      <x:c r="F1442" s="13" t="n">
        <x:v>300</x:v>
      </x:c>
      <x:c r="G1442" s="9" t="n">
        <x:v>19.2</x:v>
      </x:c>
      <x:c r="H1442" s="9" t="n">
        <x:v>78.2</x:v>
      </x:c>
      <x:c r="I1442" s="8" t="str">
        <x:f>B1442&amp;" / "&amp;C1442&amp;" / "&amp;E1442</x:f>
        <x:v>6785 / 2022 / BROOK TROUT</x:v>
      </x:c>
    </x:row>
    <x:row r="1443" ht="23" customHeight="1">
      <x:c r="A1443" s="8" t="str">
        <x:v>Irma Fish and Game Pond</x:v>
      </x:c>
      <x:c r="B1443" s="8" t="str">
        <x:v>6785</x:v>
      </x:c>
      <x:c r="C1443" s="17" t="n">
        <x:v>2022</x:v>
      </x:c>
      <x:c r="D1443" s="18" t="n">
        <x:v>44679</x:v>
      </x:c>
      <x:c r="E1443" s="8" t="str">
        <x:v>RAINBOW TROUT</x:v>
      </x:c>
      <x:c r="F1443" s="13" t="n">
        <x:v>200</x:v>
      </x:c>
      <x:c r="G1443" s="9" t="n">
        <x:v>21.2</x:v>
      </x:c>
      <x:c r="H1443" s="9" t="n">
        <x:v>105</x:v>
      </x:c>
      <x:c r="I1443" s="8" t="str">
        <x:f>B1443&amp;" / "&amp;C1443&amp;" / "&amp;E1443</x:f>
        <x:v>6785 / 2022 / RAINBOW TROUT</x:v>
      </x:c>
    </x:row>
    <x:row r="1444" ht="23" customHeight="1">
      <x:c r="A1444" s="8" t="str">
        <x:v>Irma Fish and Game Pond</x:v>
      </x:c>
      <x:c r="B1444" s="8" t="str">
        <x:v>6785</x:v>
      </x:c>
      <x:c r="C1444" s="17" t="n">
        <x:v>2021</x:v>
      </x:c>
      <x:c r="D1444" s="18" t="n">
        <x:v>44309</x:v>
      </x:c>
      <x:c r="E1444" s="8" t="str">
        <x:v>BROOK TROUT</x:v>
      </x:c>
      <x:c r="F1444" s="13" t="n">
        <x:v>300</x:v>
      </x:c>
      <x:c r="G1444" s="9" t="n">
        <x:v>18.4</x:v>
      </x:c>
      <x:c r="H1444" s="9" t="n">
        <x:v>68.8</x:v>
      </x:c>
      <x:c r="I1444" s="8" t="str">
        <x:f>B1444&amp;" / "&amp;C1444&amp;" / "&amp;E1444</x:f>
        <x:v>6785 / 2021 / BROOK TROUT</x:v>
      </x:c>
    </x:row>
    <x:row r="1445" ht="23" customHeight="1">
      <x:c r="A1445" s="8" t="str">
        <x:v>Irma Fish and Game Pond</x:v>
      </x:c>
      <x:c r="B1445" s="8" t="str">
        <x:v>6785</x:v>
      </x:c>
      <x:c r="C1445" s="17" t="n">
        <x:v>2021</x:v>
      </x:c>
      <x:c r="D1445" s="18" t="n">
        <x:v>44309</x:v>
      </x:c>
      <x:c r="E1445" s="8" t="str">
        <x:v>RAINBOW TROUT</x:v>
      </x:c>
      <x:c r="F1445" s="13" t="n">
        <x:v>200</x:v>
      </x:c>
      <x:c r="G1445" s="9" t="n">
        <x:v>20.6</x:v>
      </x:c>
      <x:c r="H1445" s="9" t="n">
        <x:v>97.3</x:v>
      </x:c>
      <x:c r="I1445" s="8" t="str">
        <x:f>B1445&amp;" / "&amp;C1445&amp;" / "&amp;E1445</x:f>
        <x:v>6785 / 2021 / RAINBOW TROUT</x:v>
      </x:c>
    </x:row>
    <x:row r="1446" ht="23" customHeight="1">
      <x:c r="A1446" s="8" t="str">
        <x:v>Ironside Pond</x:v>
      </x:c>
      <x:c r="B1446" s="8" t="str">
        <x:v>6786</x:v>
      </x:c>
      <x:c r="C1446" s="17" t="n">
        <x:v>2026</x:v>
      </x:c>
      <x:c r="D1446" s="18" t="n">
        <x:v>46157</x:v>
      </x:c>
      <x:c r="E1446" s="8" t="str">
        <x:v>RAINBOW TROUT</x:v>
      </x:c>
      <x:c r="F1446" s="13" t="n">
        <x:v>500</x:v>
      </x:c>
      <x:c r="G1446" s="9" t="n">
        <x:v>20.3</x:v>
      </x:c>
      <x:c r="H1446" s="9" t="n">
        <x:v>90.7</x:v>
      </x:c>
      <x:c r="I1446" s="8" t="str">
        <x:f>B1446&amp;" / "&amp;C1446&amp;" / "&amp;E1446</x:f>
        <x:v>6786 / 2026 / RAINBOW TROUT</x:v>
      </x:c>
    </x:row>
    <x:row r="1447" ht="23" customHeight="1">
      <x:c r="A1447" s="8" t="str">
        <x:v>Ironside Pond</x:v>
      </x:c>
      <x:c r="B1447" s="8" t="str">
        <x:v>6786</x:v>
      </x:c>
      <x:c r="C1447" s="17" t="n">
        <x:v>2025</x:v>
      </x:c>
      <x:c r="D1447" s="18" t="n">
        <x:v>45796</x:v>
      </x:c>
      <x:c r="E1447" s="8" t="str">
        <x:v>RAINBOW TROUT</x:v>
      </x:c>
      <x:c r="F1447" s="13" t="n">
        <x:v>500</x:v>
      </x:c>
      <x:c r="G1447" s="9" t="n">
        <x:v>20</x:v>
      </x:c>
      <x:c r="H1447" s="9" t="n">
        <x:v>83.3</x:v>
      </x:c>
      <x:c r="I1447" s="8" t="str">
        <x:f>B1447&amp;" / "&amp;C1447&amp;" / "&amp;E1447</x:f>
        <x:v>6786 / 2025 / RAINBOW TROUT</x:v>
      </x:c>
    </x:row>
    <x:row r="1448" ht="23" customHeight="1">
      <x:c r="A1448" s="8" t="str">
        <x:v>Ironside Pond</x:v>
      </x:c>
      <x:c r="B1448" s="8" t="str">
        <x:v>6786</x:v>
      </x:c>
      <x:c r="C1448" s="17" t="n">
        <x:v>2025</x:v>
      </x:c>
      <x:c r="D1448" s="18" t="n">
        <x:v>45915</x:v>
      </x:c>
      <x:c r="E1448" s="8" t="str">
        <x:v>TIGER TROUT</x:v>
      </x:c>
      <x:c r="F1448" s="13" t="n">
        <x:v>400</x:v>
      </x:c>
      <x:c r="G1448" s="9" t="n">
        <x:v>30.6</x:v>
      </x:c>
      <x:c r="H1448" s="9" t="n">
        <x:v>318.1</x:v>
      </x:c>
      <x:c r="I1448" s="8" t="str">
        <x:f>B1448&amp;" / "&amp;C1448&amp;" / "&amp;E1448</x:f>
        <x:v>6786 / 2025 / TIGER TROUT</x:v>
      </x:c>
    </x:row>
    <x:row r="1449" ht="23" customHeight="1">
      <x:c r="A1449" s="8" t="str">
        <x:v>Ironside Pond</x:v>
      </x:c>
      <x:c r="B1449" s="8" t="str">
        <x:v>6786</x:v>
      </x:c>
      <x:c r="C1449" s="17" t="n">
        <x:v>2024</x:v>
      </x:c>
      <x:c r="D1449" s="18" t="n">
        <x:v>45415</x:v>
      </x:c>
      <x:c r="E1449" s="8" t="str">
        <x:v>RAINBOW TROUT</x:v>
      </x:c>
      <x:c r="F1449" s="13" t="n">
        <x:v>250</x:v>
      </x:c>
      <x:c r="G1449" s="9" t="n">
        <x:v>20.3</x:v>
      </x:c>
      <x:c r="H1449" s="9" t="n">
        <x:v>90.1</x:v>
      </x:c>
      <x:c r="I1449" s="8" t="str">
        <x:f>B1449&amp;" / "&amp;C1449&amp;" / "&amp;E1449</x:f>
        <x:v>6786 / 2024 / RAINBOW TROUT</x:v>
      </x:c>
    </x:row>
    <x:row r="1450" ht="23" customHeight="1">
      <x:c r="A1450" s="8" t="str">
        <x:v>Ironside Pond</x:v>
      </x:c>
      <x:c r="B1450" s="8" t="str">
        <x:v>6786</x:v>
      </x:c>
      <x:c r="C1450" s="17" t="n">
        <x:v>2024</x:v>
      </x:c>
      <x:c r="D1450" s="18" t="n">
        <x:v>45551</x:v>
      </x:c>
      <x:c r="E1450" s="8" t="str">
        <x:v>TIGER TROUT</x:v>
      </x:c>
      <x:c r="F1450" s="13" t="n">
        <x:v>400</x:v>
      </x:c>
      <x:c r="G1450" s="9" t="n">
        <x:v>23</x:v>
      </x:c>
      <x:c r="H1450" s="9" t="n">
        <x:v>132.1</x:v>
      </x:c>
      <x:c r="I1450" s="8" t="str">
        <x:f>B1450&amp;" / "&amp;C1450&amp;" / "&amp;E1450</x:f>
        <x:v>6786 / 2024 / TIGER TROUT</x:v>
      </x:c>
    </x:row>
    <x:row r="1451" ht="23" customHeight="1">
      <x:c r="A1451" s="8" t="str">
        <x:v>Ironside Pond</x:v>
      </x:c>
      <x:c r="B1451" s="8" t="str">
        <x:v>6786</x:v>
      </x:c>
      <x:c r="C1451" s="17" t="n">
        <x:v>2024</x:v>
      </x:c>
      <x:c r="D1451" s="18" t="n">
        <x:v>45415</x:v>
      </x:c>
      <x:c r="E1451" s="8" t="str">
        <x:v>TIGER TROUT</x:v>
      </x:c>
      <x:c r="F1451" s="13" t="n">
        <x:v>400</x:v>
      </x:c>
      <x:c r="G1451" s="9" t="n">
        <x:v>20.1</x:v>
      </x:c>
      <x:c r="H1451" s="9" t="n">
        <x:v>87.3</x:v>
      </x:c>
      <x:c r="I1451" s="8" t="str">
        <x:f>B1451&amp;" / "&amp;C1451&amp;" / "&amp;E1451</x:f>
        <x:v>6786 / 2024 / TIGER TROUT</x:v>
      </x:c>
    </x:row>
    <x:row r="1452" ht="23" customHeight="1">
      <x:c r="A1452" s="8" t="str">
        <x:v>Ironside Pond</x:v>
      </x:c>
      <x:c r="B1452" s="8" t="str">
        <x:v>6786</x:v>
      </x:c>
      <x:c r="C1452" s="17" t="n">
        <x:v>2023</x:v>
      </x:c>
      <x:c r="D1452" s="18" t="n">
        <x:v>45060</x:v>
      </x:c>
      <x:c r="E1452" s="8" t="str">
        <x:v>RAINBOW TROUT</x:v>
      </x:c>
      <x:c r="F1452" s="13" t="n">
        <x:v>251</x:v>
      </x:c>
      <x:c r="G1452" s="9" t="n">
        <x:v>21.5</x:v>
      </x:c>
      <x:c r="H1452" s="9" t="n">
        <x:v>106.8</x:v>
      </x:c>
      <x:c r="I1452" s="8" t="str">
        <x:f>B1452&amp;" / "&amp;C1452&amp;" / "&amp;E1452</x:f>
        <x:v>6786 / 2023 / RAINBOW TROUT</x:v>
      </x:c>
    </x:row>
    <x:row r="1453" ht="23" customHeight="1">
      <x:c r="A1453" s="8" t="str">
        <x:v>Ironside Pond</x:v>
      </x:c>
      <x:c r="B1453" s="8" t="str">
        <x:v>6786</x:v>
      </x:c>
      <x:c r="C1453" s="17" t="n">
        <x:v>2023</x:v>
      </x:c>
      <x:c r="D1453" s="18" t="n">
        <x:v>45187</x:v>
      </x:c>
      <x:c r="E1453" s="8" t="str">
        <x:v>TIGER TROUT</x:v>
      </x:c>
      <x:c r="F1453" s="13" t="n">
        <x:v>400</x:v>
      </x:c>
      <x:c r="G1453" s="9" t="n">
        <x:v>23.1</x:v>
      </x:c>
      <x:c r="H1453" s="9" t="n">
        <x:v>133.1</x:v>
      </x:c>
      <x:c r="I1453" s="8" t="str">
        <x:f>B1453&amp;" / "&amp;C1453&amp;" / "&amp;E1453</x:f>
        <x:v>6786 / 2023 / TIGER TROUT</x:v>
      </x:c>
    </x:row>
    <x:row r="1454" ht="23" customHeight="1">
      <x:c r="A1454" s="8" t="str">
        <x:v>Ironside Pond</x:v>
      </x:c>
      <x:c r="B1454" s="8" t="str">
        <x:v>6786</x:v>
      </x:c>
      <x:c r="C1454" s="17" t="n">
        <x:v>2022</x:v>
      </x:c>
      <x:c r="D1454" s="18" t="n">
        <x:v>44704</x:v>
      </x:c>
      <x:c r="E1454" s="8" t="str">
        <x:v>RAINBOW TROUT</x:v>
      </x:c>
      <x:c r="F1454" s="13" t="n">
        <x:v>500</x:v>
      </x:c>
      <x:c r="G1454" s="9" t="n">
        <x:v>24.7</x:v>
      </x:c>
      <x:c r="H1454" s="9" t="n">
        <x:v>105.1</x:v>
      </x:c>
      <x:c r="I1454" s="8" t="str">
        <x:f>B1454&amp;" / "&amp;C1454&amp;" / "&amp;E1454</x:f>
        <x:v>6786 / 2022 / RAINBOW TROUT</x:v>
      </x:c>
    </x:row>
    <x:row r="1455" ht="23" customHeight="1">
      <x:c r="A1455" s="8" t="str">
        <x:v>Ironside Pond</x:v>
      </x:c>
      <x:c r="B1455" s="8" t="str">
        <x:v>6786</x:v>
      </x:c>
      <x:c r="C1455" s="17" t="n">
        <x:v>2022</x:v>
      </x:c>
      <x:c r="D1455" s="18" t="n">
        <x:v>44823</x:v>
      </x:c>
      <x:c r="E1455" s="8" t="str">
        <x:v>TIGER TROUT</x:v>
      </x:c>
      <x:c r="F1455" s="13" t="n">
        <x:v>400</x:v>
      </x:c>
      <x:c r="G1455" s="9" t="n">
        <x:v>23.5</x:v>
      </x:c>
      <x:c r="H1455" s="9" t="n">
        <x:v>143.4</x:v>
      </x:c>
      <x:c r="I1455" s="8" t="str">
        <x:f>B1455&amp;" / "&amp;C1455&amp;" / "&amp;E1455</x:f>
        <x:v>6786 / 2022 / TIGER TROUT</x:v>
      </x:c>
    </x:row>
    <x:row r="1456" ht="23" customHeight="1">
      <x:c r="A1456" s="8" t="str">
        <x:v>Ironside Pond</x:v>
      </x:c>
      <x:c r="B1456" s="8" t="str">
        <x:v>6786</x:v>
      </x:c>
      <x:c r="C1456" s="17" t="n">
        <x:v>2021</x:v>
      </x:c>
      <x:c r="D1456" s="18" t="n">
        <x:v>44326</x:v>
      </x:c>
      <x:c r="E1456" s="8" t="str">
        <x:v>RAINBOW TROUT</x:v>
      </x:c>
      <x:c r="F1456" s="13" t="n">
        <x:v>500</x:v>
      </x:c>
      <x:c r="G1456" s="9" t="n">
        <x:v>17.5</x:v>
      </x:c>
      <x:c r="H1456" s="9" t="n">
        <x:v>58</x:v>
      </x:c>
      <x:c r="I1456" s="8" t="str">
        <x:f>B1456&amp;" / "&amp;C1456&amp;" / "&amp;E1456</x:f>
        <x:v>6786 / 2021 / RAINBOW TROUT</x:v>
      </x:c>
    </x:row>
    <x:row r="1457" ht="23" customHeight="1">
      <x:c r="A1457" s="8" t="str">
        <x:v>Ironside Pond</x:v>
      </x:c>
      <x:c r="B1457" s="8" t="str">
        <x:v>6786</x:v>
      </x:c>
      <x:c r="C1457" s="17" t="n">
        <x:v>2021</x:v>
      </x:c>
      <x:c r="D1457" s="18" t="n">
        <x:v>44467</x:v>
      </x:c>
      <x:c r="E1457" s="8" t="str">
        <x:v>TIGER TROUT</x:v>
      </x:c>
      <x:c r="F1457" s="13" t="n">
        <x:v>400</x:v>
      </x:c>
      <x:c r="G1457" s="9" t="n">
        <x:v>19.6</x:v>
      </x:c>
      <x:c r="H1457" s="9" t="n">
        <x:v>83.8</x:v>
      </x:c>
      <x:c r="I1457" s="8" t="str">
        <x:f>B1457&amp;" / "&amp;C1457&amp;" / "&amp;E1457</x:f>
        <x:v>6786 / 2021 / TIGER TROUT</x:v>
      </x:c>
    </x:row>
    <x:row r="1458" ht="23" customHeight="1">
      <x:c r="A1458" s="8" t="str">
        <x:v>Island Lake</x:v>
      </x:c>
      <x:c r="B1458" s="8" t="str">
        <x:v>4909</x:v>
      </x:c>
      <x:c r="C1458" s="17" t="n">
        <x:v>2026</x:v>
      </x:c>
      <x:c r="D1458" s="18" t="n">
        <x:v>46134</x:v>
      </x:c>
      <x:c r="E1458" s="8" t="str">
        <x:v>WESTSLOPE CUTTHROAT TROUT</x:v>
      </x:c>
      <x:c r="F1458" s="13" t="n">
        <x:v>3500</x:v>
      </x:c>
      <x:c r="G1458" s="9" t="n">
        <x:v>12.5</x:v>
      </x:c>
      <x:c r="H1458" s="9" t="n">
        <x:v>21.2</x:v>
      </x:c>
      <x:c r="I1458" s="8" t="str">
        <x:f>B1458&amp;" / "&amp;C1458&amp;" / "&amp;E1458</x:f>
        <x:v>4909 / 2026 / WESTSLOPE CUTTHROAT TROUT</x:v>
      </x:c>
    </x:row>
    <x:row r="1459" ht="23" customHeight="1">
      <x:c r="A1459" s="8" t="str">
        <x:v>Island Lake</x:v>
      </x:c>
      <x:c r="B1459" s="8" t="str">
        <x:v>4909</x:v>
      </x:c>
      <x:c r="C1459" s="17" t="n">
        <x:v>2025</x:v>
      </x:c>
      <x:c r="D1459" s="18" t="n">
        <x:v>45776</x:v>
      </x:c>
      <x:c r="E1459" s="8" t="str">
        <x:v>CUTTHROAT TROUT</x:v>
      </x:c>
      <x:c r="F1459" s="13" t="n">
        <x:v>3500</x:v>
      </x:c>
      <x:c r="G1459" s="9" t="n">
        <x:v>12.5</x:v>
      </x:c>
      <x:c r="H1459" s="9" t="n">
        <x:v>21</x:v>
      </x:c>
      <x:c r="I1459" s="8" t="str">
        <x:f>B1459&amp;" / "&amp;C1459&amp;" / "&amp;E1459</x:f>
        <x:v>4909 / 2025 / CUTTHROAT TROUT</x:v>
      </x:c>
    </x:row>
    <x:row r="1460" ht="23" customHeight="1">
      <x:c r="A1460" s="8" t="str">
        <x:v>Island Lake</x:v>
      </x:c>
      <x:c r="B1460" s="8" t="str">
        <x:v>4909</x:v>
      </x:c>
      <x:c r="C1460" s="17" t="n">
        <x:v>2024</x:v>
      </x:c>
      <x:c r="D1460" s="18" t="n">
        <x:v>45428</x:v>
      </x:c>
      <x:c r="E1460" s="8" t="str">
        <x:v>RAINBOW TROUT</x:v>
      </x:c>
      <x:c r="F1460" s="13" t="n">
        <x:v>1900</x:v>
      </x:c>
      <x:c r="G1460" s="9" t="n">
        <x:v>19.1</x:v>
      </x:c>
      <x:c r="H1460" s="9" t="n">
        <x:v>75.1</x:v>
      </x:c>
      <x:c r="I1460" s="8" t="str">
        <x:f>B1460&amp;" / "&amp;C1460&amp;" / "&amp;E1460</x:f>
        <x:v>4909 / 2024 / RAINBOW TROUT</x:v>
      </x:c>
    </x:row>
    <x:row r="1461" ht="23" customHeight="1">
      <x:c r="A1461" s="8" t="str">
        <x:v>Island Lake</x:v>
      </x:c>
      <x:c r="B1461" s="8" t="str">
        <x:v>4909</x:v>
      </x:c>
      <x:c r="C1461" s="17" t="n">
        <x:v>2023</x:v>
      </x:c>
      <x:c r="D1461" s="18" t="n">
        <x:v>45047</x:v>
      </x:c>
      <x:c r="E1461" s="8" t="str">
        <x:v>CUTTHROAT TROUT</x:v>
      </x:c>
      <x:c r="F1461" s="13" t="n">
        <x:v>1900</x:v>
      </x:c>
      <x:c r="G1461" s="9" t="n">
        <x:v>15.5</x:v>
      </x:c>
      <x:c r="H1461" s="9" t="n">
        <x:v>45</x:v>
      </x:c>
      <x:c r="I1461" s="8" t="str">
        <x:f>B1461&amp;" / "&amp;C1461&amp;" / "&amp;E1461</x:f>
        <x:v>4909 / 2023 / CUTTHROAT TROUT</x:v>
      </x:c>
    </x:row>
    <x:row r="1462" ht="23" customHeight="1">
      <x:c r="A1462" s="8" t="str">
        <x:v>Island Lake</x:v>
      </x:c>
      <x:c r="B1462" s="8" t="str">
        <x:v>4909</x:v>
      </x:c>
      <x:c r="C1462" s="17" t="n">
        <x:v>2022</x:v>
      </x:c>
      <x:c r="D1462" s="18" t="n">
        <x:v>44684</x:v>
      </x:c>
      <x:c r="E1462" s="8" t="str">
        <x:v>CUTTHROAT TROUT</x:v>
      </x:c>
      <x:c r="F1462" s="13" t="n">
        <x:v>1900</x:v>
      </x:c>
      <x:c r="G1462" s="9" t="n">
        <x:v>15.1</x:v>
      </x:c>
      <x:c r="H1462" s="9" t="n">
        <x:v>37.1</x:v>
      </x:c>
      <x:c r="I1462" s="8" t="str">
        <x:f>B1462&amp;" / "&amp;C1462&amp;" / "&amp;E1462</x:f>
        <x:v>4909 / 2022 / CUTTHROAT TROUT</x:v>
      </x:c>
    </x:row>
    <x:row r="1463" ht="23" customHeight="1">
      <x:c r="A1463" s="8" t="str">
        <x:v>Island Lake</x:v>
      </x:c>
      <x:c r="B1463" s="8" t="str">
        <x:v>4909</x:v>
      </x:c>
      <x:c r="C1463" s="17" t="n">
        <x:v>2021</x:v>
      </x:c>
      <x:c r="D1463" s="18" t="n">
        <x:v>44332</x:v>
      </x:c>
      <x:c r="E1463" s="8" t="str">
        <x:v>RAINBOW TROUT</x:v>
      </x:c>
      <x:c r="F1463" s="13" t="n">
        <x:v>1900</x:v>
      </x:c>
      <x:c r="G1463" s="9" t="n">
        <x:v>21.6</x:v>
      </x:c>
      <x:c r="H1463" s="9" t="n">
        <x:v>111.2</x:v>
      </x:c>
      <x:c r="I1463" s="8" t="str">
        <x:f>B1463&amp;" / "&amp;C1463&amp;" / "&amp;E1463</x:f>
        <x:v>4909 / 2021 / RAINBOW TROUT</x:v>
      </x:c>
    </x:row>
    <x:row r="1464" ht="23" customHeight="1">
      <x:c r="A1464" s="8" t="str">
        <x:v>Jackfish Lake</x:v>
      </x:c>
      <x:c r="B1464" s="8" t="str">
        <x:v>4920</x:v>
      </x:c>
      <x:c r="C1464" s="17" t="n">
        <x:v>2026</x:v>
      </x:c>
      <x:c r="D1464" s="18" t="n">
        <x:v>46155</x:v>
      </x:c>
      <x:c r="E1464" s="8" t="str">
        <x:v>RAINBOW TROUT</x:v>
      </x:c>
      <x:c r="F1464" s="13" t="n">
        <x:v>3000</x:v>
      </x:c>
      <x:c r="G1464" s="9" t="n">
        <x:v>22.1</x:v>
      </x:c>
      <x:c r="H1464" s="9" t="n">
        <x:v>120.2</x:v>
      </x:c>
      <x:c r="I1464" s="8" t="str">
        <x:f>B1464&amp;" / "&amp;C1464&amp;" / "&amp;E1464</x:f>
        <x:v>4920 / 2026 / RAINBOW TROUT</x:v>
      </x:c>
    </x:row>
    <x:row r="1465" ht="23" customHeight="1">
      <x:c r="A1465" s="8" t="str">
        <x:v>Jackfish Lake</x:v>
      </x:c>
      <x:c r="B1465" s="8" t="str">
        <x:v>4920</x:v>
      </x:c>
      <x:c r="C1465" s="17" t="n">
        <x:v>2026</x:v>
      </x:c>
      <x:c r="D1465" s="18" t="n">
        <x:v>46155</x:v>
      </x:c>
      <x:c r="E1465" s="8" t="str">
        <x:v>RAINBOW TROUT</x:v>
      </x:c>
      <x:c r="F1465" s="13" t="n">
        <x:v>3105</x:v>
      </x:c>
      <x:c r="G1465" s="9" t="n">
        <x:v>20.1</x:v>
      </x:c>
      <x:c r="H1465" s="9" t="n">
        <x:v>90.3</x:v>
      </x:c>
      <x:c r="I1465" s="8" t="str">
        <x:f>B1465&amp;" / "&amp;C1465&amp;" / "&amp;E1465</x:f>
        <x:v>4920 / 2026 / RAINBOW TROUT</x:v>
      </x:c>
    </x:row>
    <x:row r="1466" ht="23" customHeight="1">
      <x:c r="A1466" s="8" t="str">
        <x:v>Jackfish Lake</x:v>
      </x:c>
      <x:c r="B1466" s="8" t="str">
        <x:v>4920</x:v>
      </x:c>
      <x:c r="C1466" s="17" t="n">
        <x:v>2026</x:v>
      </x:c>
      <x:c r="D1466" s="18" t="n">
        <x:v>46155</x:v>
      </x:c>
      <x:c r="E1466" s="8" t="str">
        <x:v>RAINBOW TROUT</x:v>
      </x:c>
      <x:c r="F1466" s="13" t="n">
        <x:v>1895</x:v>
      </x:c>
      <x:c r="G1466" s="9" t="n">
        <x:v>21.5</x:v>
      </x:c>
      <x:c r="H1466" s="9" t="n">
        <x:v>110</x:v>
      </x:c>
      <x:c r="I1466" s="8" t="str">
        <x:f>B1466&amp;" / "&amp;C1466&amp;" / "&amp;E1466</x:f>
        <x:v>4920 / 2026 / RAINBOW TROUT</x:v>
      </x:c>
    </x:row>
    <x:row r="1467" ht="23" customHeight="1">
      <x:c r="A1467" s="8" t="str">
        <x:v>Jackfish Lake</x:v>
      </x:c>
      <x:c r="B1467" s="8" t="str">
        <x:v>4920</x:v>
      </x:c>
      <x:c r="C1467" s="17" t="n">
        <x:v>2026</x:v>
      </x:c>
      <x:c r="D1467" s="18" t="n">
        <x:v>46155</x:v>
      </x:c>
      <x:c r="E1467" s="8" t="str">
        <x:v>TIGER TROUT</x:v>
      </x:c>
      <x:c r="F1467" s="13" t="n">
        <x:v>2000</x:v>
      </x:c>
      <x:c r="G1467" s="9" t="n">
        <x:v>23.1</x:v>
      </x:c>
      <x:c r="H1467" s="9" t="n">
        <x:v>136.2</x:v>
      </x:c>
      <x:c r="I1467" s="8" t="str">
        <x:f>B1467&amp;" / "&amp;C1467&amp;" / "&amp;E1467</x:f>
        <x:v>4920 / 2026 / TIGER TROUT</x:v>
      </x:c>
    </x:row>
    <x:row r="1468" ht="23" customHeight="1">
      <x:c r="A1468" s="8" t="str">
        <x:v>Jackfish Lake</x:v>
      </x:c>
      <x:c r="B1468" s="8" t="str">
        <x:v>4920</x:v>
      </x:c>
      <x:c r="C1468" s="17" t="n">
        <x:v>2025</x:v>
      </x:c>
      <x:c r="D1468" s="18" t="n">
        <x:v>45779</x:v>
      </x:c>
      <x:c r="E1468" s="8" t="str">
        <x:v>RAINBOW TROUT</x:v>
      </x:c>
      <x:c r="F1468" s="13" t="n">
        <x:v>5000</x:v>
      </x:c>
      <x:c r="G1468" s="9" t="n">
        <x:v>20.4</x:v>
      </x:c>
      <x:c r="H1468" s="9" t="n">
        <x:v>94.4</x:v>
      </x:c>
      <x:c r="I1468" s="8" t="str">
        <x:f>B1468&amp;" / "&amp;C1468&amp;" / "&amp;E1468</x:f>
        <x:v>4920 / 2025 / RAINBOW TROUT</x:v>
      </x:c>
    </x:row>
    <x:row r="1469" ht="23" customHeight="1">
      <x:c r="A1469" s="8" t="str">
        <x:v>Jackfish Lake</x:v>
      </x:c>
      <x:c r="B1469" s="8" t="str">
        <x:v>4920</x:v>
      </x:c>
      <x:c r="C1469" s="17" t="n">
        <x:v>2025</x:v>
      </x:c>
      <x:c r="D1469" s="18" t="n">
        <x:v>45779</x:v>
      </x:c>
      <x:c r="E1469" s="8" t="str">
        <x:v>TIGER TROUT</x:v>
      </x:c>
      <x:c r="F1469" s="13" t="n">
        <x:v>1000</x:v>
      </x:c>
      <x:c r="G1469" s="9" t="n">
        <x:v>22.5</x:v>
      </x:c>
      <x:c r="H1469" s="9" t="n">
        <x:v>126.7</x:v>
      </x:c>
      <x:c r="I1469" s="8" t="str">
        <x:f>B1469&amp;" / "&amp;C1469&amp;" / "&amp;E1469</x:f>
        <x:v>4920 / 2025 / TIGER TROUT</x:v>
      </x:c>
    </x:row>
    <x:row r="1470" ht="23" customHeight="1">
      <x:c r="A1470" s="8" t="str">
        <x:v>Jackfish Lake</x:v>
      </x:c>
      <x:c r="B1470" s="8" t="str">
        <x:v>4920</x:v>
      </x:c>
      <x:c r="C1470" s="17" t="n">
        <x:v>2024</x:v>
      </x:c>
      <x:c r="D1470" s="18" t="n">
        <x:v>45566</x:v>
      </x:c>
      <x:c r="E1470" s="8" t="str">
        <x:v>RAINBOW TROUT</x:v>
      </x:c>
      <x:c r="F1470" s="13" t="n">
        <x:v>3000</x:v>
      </x:c>
      <x:c r="G1470" s="9" t="n">
        <x:v>20.7</x:v>
      </x:c>
      <x:c r="H1470" s="9" t="n">
        <x:v>98.3</x:v>
      </x:c>
      <x:c r="I1470" s="8" t="str">
        <x:f>B1470&amp;" / "&amp;C1470&amp;" / "&amp;E1470</x:f>
        <x:v>4920 / 2024 / RAINBOW TROUT</x:v>
      </x:c>
    </x:row>
    <x:row r="1471" ht="23" customHeight="1">
      <x:c r="A1471" s="8" t="str">
        <x:v>Jackfish Lake</x:v>
      </x:c>
      <x:c r="B1471" s="8" t="str">
        <x:v>4920</x:v>
      </x:c>
      <x:c r="C1471" s="17" t="n">
        <x:v>2024</x:v>
      </x:c>
      <x:c r="D1471" s="18" t="n">
        <x:v>45415</x:v>
      </x:c>
      <x:c r="E1471" s="8" t="str">
        <x:v>RAINBOW TROUT</x:v>
      </x:c>
      <x:c r="F1471" s="13" t="n">
        <x:v>5000</x:v>
      </x:c>
      <x:c r="G1471" s="9" t="n">
        <x:v>8.5</x:v>
      </x:c>
      <x:c r="H1471" s="9" t="n">
        <x:v>6.6</x:v>
      </x:c>
      <x:c r="I1471" s="8" t="str">
        <x:f>B1471&amp;" / "&amp;C1471&amp;" / "&amp;E1471</x:f>
        <x:v>4920 / 2024 / RAINBOW TROUT</x:v>
      </x:c>
    </x:row>
    <x:row r="1472" ht="23" customHeight="1">
      <x:c r="A1472" s="8" t="str">
        <x:v>Jackfish Lake</x:v>
      </x:c>
      <x:c r="B1472" s="8" t="str">
        <x:v>4920</x:v>
      </x:c>
      <x:c r="C1472" s="17" t="n">
        <x:v>2024</x:v>
      </x:c>
      <x:c r="D1472" s="18" t="n">
        <x:v>45415</x:v>
      </x:c>
      <x:c r="E1472" s="8" t="str">
        <x:v>RAINBOW TROUT</x:v>
      </x:c>
      <x:c r="F1472" s="13" t="n">
        <x:v>2000</x:v>
      </x:c>
      <x:c r="G1472" s="9" t="n">
        <x:v>20</x:v>
      </x:c>
      <x:c r="H1472" s="9" t="n">
        <x:v>86.2</x:v>
      </x:c>
      <x:c r="I1472" s="8" t="str">
        <x:f>B1472&amp;" / "&amp;C1472&amp;" / "&amp;E1472</x:f>
        <x:v>4920 / 2024 / RAINBOW TROUT</x:v>
      </x:c>
    </x:row>
    <x:row r="1473" ht="23" customHeight="1">
      <x:c r="A1473" s="8" t="str">
        <x:v>Jackfish Lake</x:v>
      </x:c>
      <x:c r="B1473" s="8" t="str">
        <x:v>4920</x:v>
      </x:c>
      <x:c r="C1473" s="17" t="n">
        <x:v>2024</x:v>
      </x:c>
      <x:c r="D1473" s="18" t="n">
        <x:v>45415</x:v>
      </x:c>
      <x:c r="E1473" s="8" t="str">
        <x:v>TIGER TROUT</x:v>
      </x:c>
      <x:c r="F1473" s="13" t="n">
        <x:v>1000</x:v>
      </x:c>
      <x:c r="G1473" s="9" t="n">
        <x:v>20.1</x:v>
      </x:c>
      <x:c r="H1473" s="9" t="n">
        <x:v>87.3</x:v>
      </x:c>
      <x:c r="I1473" s="8" t="str">
        <x:f>B1473&amp;" / "&amp;C1473&amp;" / "&amp;E1473</x:f>
        <x:v>4920 / 2024 / TIGER TROUT</x:v>
      </x:c>
    </x:row>
    <x:row r="1474" ht="23" customHeight="1">
      <x:c r="A1474" s="8" t="str">
        <x:v>Jackfish Lake</x:v>
      </x:c>
      <x:c r="B1474" s="8" t="str">
        <x:v>4920</x:v>
      </x:c>
      <x:c r="C1474" s="17" t="n">
        <x:v>2023</x:v>
      </x:c>
      <x:c r="D1474" s="18" t="n">
        <x:v>45049</x:v>
      </x:c>
      <x:c r="E1474" s="8" t="str">
        <x:v>RAINBOW TROUT</x:v>
      </x:c>
      <x:c r="F1474" s="13" t="n">
        <x:v>8000</x:v>
      </x:c>
      <x:c r="G1474" s="9" t="n">
        <x:v>8.9</x:v>
      </x:c>
      <x:c r="H1474" s="9" t="n">
        <x:v>7.8</x:v>
      </x:c>
      <x:c r="I1474" s="8" t="str">
        <x:f>B1474&amp;" / "&amp;C1474&amp;" / "&amp;E1474</x:f>
        <x:v>4920 / 2023 / RAINBOW TROUT</x:v>
      </x:c>
    </x:row>
    <x:row r="1475" ht="23" customHeight="1">
      <x:c r="A1475" s="8" t="str">
        <x:v>Jackfish Lake</x:v>
      </x:c>
      <x:c r="B1475" s="8" t="str">
        <x:v>4920</x:v>
      </x:c>
      <x:c r="C1475" s="17" t="n">
        <x:v>2023</x:v>
      </x:c>
      <x:c r="D1475" s="18" t="n">
        <x:v>45048</x:v>
      </x:c>
      <x:c r="E1475" s="8" t="str">
        <x:v>RAINBOW TROUT</x:v>
      </x:c>
      <x:c r="F1475" s="13" t="n">
        <x:v>1995</x:v>
      </x:c>
      <x:c r="G1475" s="9" t="n">
        <x:v>20.1</x:v>
      </x:c>
      <x:c r="H1475" s="9" t="n">
        <x:v>88.2</x:v>
      </x:c>
      <x:c r="I1475" s="8" t="str">
        <x:f>B1475&amp;" / "&amp;C1475&amp;" / "&amp;E1475</x:f>
        <x:v>4920 / 2023 / RAINBOW TROUT</x:v>
      </x:c>
    </x:row>
    <x:row r="1476" ht="23" customHeight="1">
      <x:c r="A1476" s="8" t="str">
        <x:v>Jackfish Lake</x:v>
      </x:c>
      <x:c r="B1476" s="8" t="str">
        <x:v>4920</x:v>
      </x:c>
      <x:c r="C1476" s="17" t="n">
        <x:v>2023</x:v>
      </x:c>
      <x:c r="D1476" s="18" t="n">
        <x:v>45048</x:v>
      </x:c>
      <x:c r="E1476" s="8" t="str">
        <x:v>TIGER TROUT</x:v>
      </x:c>
      <x:c r="F1476" s="13" t="n">
        <x:v>1000</x:v>
      </x:c>
      <x:c r="G1476" s="9" t="n">
        <x:v>19.9</x:v>
      </x:c>
      <x:c r="H1476" s="9" t="n">
        <x:v>84.8</x:v>
      </x:c>
      <x:c r="I1476" s="8" t="str">
        <x:f>B1476&amp;" / "&amp;C1476&amp;" / "&amp;E1476</x:f>
        <x:v>4920 / 2023 / TIGER TROUT</x:v>
      </x:c>
    </x:row>
    <x:row r="1477" ht="23" customHeight="1">
      <x:c r="A1477" s="8" t="str">
        <x:v>Jackfish Lake</x:v>
      </x:c>
      <x:c r="B1477" s="8" t="str">
        <x:v>4920</x:v>
      </x:c>
      <x:c r="C1477" s="17" t="n">
        <x:v>2022</x:v>
      </x:c>
      <x:c r="D1477" s="18" t="n">
        <x:v>44691</x:v>
      </x:c>
      <x:c r="E1477" s="8" t="str">
        <x:v>RAINBOW TROUT</x:v>
      </x:c>
      <x:c r="F1477" s="13" t="n">
        <x:v>5000</x:v>
      </x:c>
      <x:c r="G1477" s="9" t="n">
        <x:v>22.8</x:v>
      </x:c>
      <x:c r="H1477" s="9" t="n">
        <x:v>131.7</x:v>
      </x:c>
      <x:c r="I1477" s="8" t="str">
        <x:f>B1477&amp;" / "&amp;C1477&amp;" / "&amp;E1477</x:f>
        <x:v>4920 / 2022 / RAINBOW TROUT</x:v>
      </x:c>
    </x:row>
    <x:row r="1478" ht="23" customHeight="1">
      <x:c r="A1478" s="8" t="str">
        <x:v>Jackfish Lake</x:v>
      </x:c>
      <x:c r="B1478" s="8" t="str">
        <x:v>4920</x:v>
      </x:c>
      <x:c r="C1478" s="17" t="n">
        <x:v>2022</x:v>
      </x:c>
      <x:c r="D1478" s="18" t="n">
        <x:v>44691</x:v>
      </x:c>
      <x:c r="E1478" s="8" t="str">
        <x:v>TIGER TROUT</x:v>
      </x:c>
      <x:c r="F1478" s="13" t="n">
        <x:v>1000</x:v>
      </x:c>
      <x:c r="G1478" s="9" t="n">
        <x:v>16.7</x:v>
      </x:c>
      <x:c r="H1478" s="9" t="n">
        <x:v>51.8</x:v>
      </x:c>
      <x:c r="I1478" s="8" t="str">
        <x:f>B1478&amp;" / "&amp;C1478&amp;" / "&amp;E1478</x:f>
        <x:v>4920 / 2022 / TIGER TROUT</x:v>
      </x:c>
    </x:row>
    <x:row r="1479" ht="23" customHeight="1">
      <x:c r="A1479" s="8" t="str">
        <x:v>Jackfish Lake</x:v>
      </x:c>
      <x:c r="B1479" s="8" t="str">
        <x:v>4920</x:v>
      </x:c>
      <x:c r="C1479" s="17" t="n">
        <x:v>2021</x:v>
      </x:c>
      <x:c r="D1479" s="18" t="n">
        <x:v>44314</x:v>
      </x:c>
      <x:c r="E1479" s="8" t="str">
        <x:v>RAINBOW TROUT</x:v>
      </x:c>
      <x:c r="F1479" s="13" t="n">
        <x:v>5000</x:v>
      </x:c>
      <x:c r="G1479" s="9" t="n">
        <x:v>19.7</x:v>
      </x:c>
      <x:c r="H1479" s="9" t="n">
        <x:v>84</x:v>
      </x:c>
      <x:c r="I1479" s="8" t="str">
        <x:f>B1479&amp;" / "&amp;C1479&amp;" / "&amp;E1479</x:f>
        <x:v>4920 / 2021 / RAINBOW TROUT</x:v>
      </x:c>
    </x:row>
    <x:row r="1480" ht="23" customHeight="1">
      <x:c r="A1480" s="8" t="str">
        <x:v>Jackfish Lake</x:v>
      </x:c>
      <x:c r="B1480" s="8" t="str">
        <x:v>4920</x:v>
      </x:c>
      <x:c r="C1480" s="17" t="n">
        <x:v>2021</x:v>
      </x:c>
      <x:c r="D1480" s="18" t="n">
        <x:v>44466</x:v>
      </x:c>
      <x:c r="E1480" s="8" t="str">
        <x:v>TIGER TROUT</x:v>
      </x:c>
      <x:c r="F1480" s="13" t="n">
        <x:v>1000</x:v>
      </x:c>
      <x:c r="G1480" s="9" t="n">
        <x:v>20.3</x:v>
      </x:c>
      <x:c r="H1480" s="9" t="n">
        <x:v>92.1</x:v>
      </x:c>
      <x:c r="I1480" s="8" t="str">
        <x:f>B1480&amp;" / "&amp;C1480&amp;" / "&amp;E1480</x:f>
        <x:v>4920 / 2021 / TIGER TROUT</x:v>
      </x:c>
    </x:row>
    <x:row r="1481" ht="23" customHeight="1">
      <x:c r="A1481" s="8" t="str">
        <x:v>Jane Lake</x:v>
      </x:c>
      <x:c r="B1481" s="8" t="str">
        <x:v>4935</x:v>
      </x:c>
      <x:c r="C1481" s="17" t="n">
        <x:v>2025</x:v>
      </x:c>
      <x:c r="D1481" s="18" t="n">
        <x:v>45917</x:v>
      </x:c>
      <x:c r="E1481" s="8" t="str">
        <x:v>RAINBOW TROUT</x:v>
      </x:c>
      <x:c r="F1481" s="13" t="n">
        <x:v>1800</x:v>
      </x:c>
      <x:c r="G1481" s="9" t="n">
        <x:v>5.9</x:v>
      </x:c>
      <x:c r="H1481" s="9" t="n">
        <x:v>2.3</x:v>
      </x:c>
      <x:c r="I1481" s="8" t="str">
        <x:f>B1481&amp;" / "&amp;C1481&amp;" / "&amp;E1481</x:f>
        <x:v>4935 / 2025 / RAINBOW TROUT</x:v>
      </x:c>
    </x:row>
    <x:row r="1482" ht="23" customHeight="1">
      <x:c r="A1482" s="8" t="str">
        <x:v>Jane Lake</x:v>
      </x:c>
      <x:c r="B1482" s="8" t="str">
        <x:v>4935</x:v>
      </x:c>
      <x:c r="C1482" s="17" t="n">
        <x:v>2022</x:v>
      </x:c>
      <x:c r="D1482" s="18" t="n">
        <x:v>44837</x:v>
      </x:c>
      <x:c r="E1482" s="8" t="str">
        <x:v>RAINBOW TROUT</x:v>
      </x:c>
      <x:c r="F1482" s="13" t="n">
        <x:v>1800</x:v>
      </x:c>
      <x:c r="G1482" s="9" t="n">
        <x:v>7.9</x:v>
      </x:c>
      <x:c r="H1482" s="9" t="n">
        <x:v>5.4</x:v>
      </x:c>
      <x:c r="I1482" s="8" t="str">
        <x:f>B1482&amp;" / "&amp;C1482&amp;" / "&amp;E1482</x:f>
        <x:v>4935 / 2022 / RAINBOW TROUT</x:v>
      </x:c>
    </x:row>
    <x:row r="1483" ht="23" customHeight="1">
      <x:c r="A1483" s="8" t="str">
        <x:v>Jarvis Creek Pond</x:v>
      </x:c>
      <x:c r="B1483" s="8" t="str">
        <x:v>6788</x:v>
      </x:c>
      <x:c r="C1483" s="17" t="n">
        <x:v>2026</x:v>
      </x:c>
      <x:c r="D1483" s="18" t="n">
        <x:v>46169</x:v>
      </x:c>
      <x:c r="E1483" s="8" t="str">
        <x:v>RAINBOW TROUT</x:v>
      </x:c>
      <x:c r="F1483" s="13" t="n">
        <x:v>700</x:v>
      </x:c>
      <x:c r="G1483" s="9" t="n">
        <x:v>23.4</x:v>
      </x:c>
      <x:c r="H1483" s="9" t="n">
        <x:v>138</x:v>
      </x:c>
      <x:c r="I1483" s="8" t="str">
        <x:f>B1483&amp;" / "&amp;C1483&amp;" / "&amp;E1483</x:f>
        <x:v>6788 / 2026 / RAINBOW TROUT</x:v>
      </x:c>
    </x:row>
    <x:row r="1484" ht="23" customHeight="1">
      <x:c r="A1484" s="8" t="str">
        <x:v>Jarvis Creek Pond</x:v>
      </x:c>
      <x:c r="B1484" s="8" t="str">
        <x:v>6788</x:v>
      </x:c>
      <x:c r="C1484" s="17" t="n">
        <x:v>2025</x:v>
      </x:c>
      <x:c r="D1484" s="18" t="n">
        <x:v>45790</x:v>
      </x:c>
      <x:c r="E1484" s="8" t="str">
        <x:v>RAINBOW TROUT</x:v>
      </x:c>
      <x:c r="F1484" s="13" t="n">
        <x:v>700</x:v>
      </x:c>
      <x:c r="G1484" s="9" t="n">
        <x:v>23.3</x:v>
      </x:c>
      <x:c r="H1484" s="9" t="n">
        <x:v>136</x:v>
      </x:c>
      <x:c r="I1484" s="8" t="str">
        <x:f>B1484&amp;" / "&amp;C1484&amp;" / "&amp;E1484</x:f>
        <x:v>6788 / 2025 / RAINBOW TROUT</x:v>
      </x:c>
    </x:row>
    <x:row r="1485" ht="23" customHeight="1">
      <x:c r="A1485" s="8" t="str">
        <x:v>Jarvis Creek Pond</x:v>
      </x:c>
      <x:c r="B1485" s="8" t="str">
        <x:v>6788</x:v>
      </x:c>
      <x:c r="C1485" s="17" t="n">
        <x:v>2024</x:v>
      </x:c>
      <x:c r="D1485" s="18" t="n">
        <x:v>45439</x:v>
      </x:c>
      <x:c r="E1485" s="8" t="str">
        <x:v>RAINBOW TROUT</x:v>
      </x:c>
      <x:c r="F1485" s="13" t="n">
        <x:v>350</x:v>
      </x:c>
      <x:c r="G1485" s="9" t="n">
        <x:v>20.5</x:v>
      </x:c>
      <x:c r="H1485" s="9" t="n">
        <x:v>93.6</x:v>
      </x:c>
      <x:c r="I1485" s="8" t="str">
        <x:f>B1485&amp;" / "&amp;C1485&amp;" / "&amp;E1485</x:f>
        <x:v>6788 / 2024 / RAINBOW TROUT</x:v>
      </x:c>
    </x:row>
    <x:row r="1486" ht="23" customHeight="1">
      <x:c r="A1486" s="8" t="str">
        <x:v>Jarvis Creek Pond</x:v>
      </x:c>
      <x:c r="B1486" s="8" t="str">
        <x:v>6788</x:v>
      </x:c>
      <x:c r="C1486" s="17" t="n">
        <x:v>2023</x:v>
      </x:c>
      <x:c r="D1486" s="18" t="n">
        <x:v>45070</x:v>
      </x:c>
      <x:c r="E1486" s="8" t="str">
        <x:v>RAINBOW TROUT</x:v>
      </x:c>
      <x:c r="F1486" s="13" t="n">
        <x:v>351</x:v>
      </x:c>
      <x:c r="G1486" s="9" t="n">
        <x:v>20.3</x:v>
      </x:c>
      <x:c r="H1486" s="9" t="n">
        <x:v>90.9</x:v>
      </x:c>
      <x:c r="I1486" s="8" t="str">
        <x:f>B1486&amp;" / "&amp;C1486&amp;" / "&amp;E1486</x:f>
        <x:v>6788 / 2023 / RAINBOW TROUT</x:v>
      </x:c>
    </x:row>
    <x:row r="1487" ht="23" customHeight="1">
      <x:c r="A1487" s="8" t="str">
        <x:v>Jarvis Creek Pond</x:v>
      </x:c>
      <x:c r="B1487" s="8" t="str">
        <x:v>6788</x:v>
      </x:c>
      <x:c r="C1487" s="17" t="n">
        <x:v>2022</x:v>
      </x:c>
      <x:c r="D1487" s="18" t="n">
        <x:v>44706</x:v>
      </x:c>
      <x:c r="E1487" s="8" t="str">
        <x:v>RAINBOW TROUT</x:v>
      </x:c>
      <x:c r="F1487" s="13" t="n">
        <x:v>700</x:v>
      </x:c>
      <x:c r="G1487" s="9" t="n">
        <x:v>21.3</x:v>
      </x:c>
      <x:c r="H1487" s="9" t="n">
        <x:v>106</x:v>
      </x:c>
      <x:c r="I1487" s="8" t="str">
        <x:f>B1487&amp;" / "&amp;C1487&amp;" / "&amp;E1487</x:f>
        <x:v>6788 / 2022 / RAINBOW TROUT</x:v>
      </x:c>
    </x:row>
    <x:row r="1488" ht="23" customHeight="1">
      <x:c r="A1488" s="8" t="str">
        <x:v>Jarvis Creek Pond</x:v>
      </x:c>
      <x:c r="B1488" s="8" t="str">
        <x:v>6788</x:v>
      </x:c>
      <x:c r="C1488" s="17" t="n">
        <x:v>2021</x:v>
      </x:c>
      <x:c r="D1488" s="18" t="n">
        <x:v>44341</x:v>
      </x:c>
      <x:c r="E1488" s="8" t="str">
        <x:v>RAINBOW TROUT</x:v>
      </x:c>
      <x:c r="F1488" s="13" t="n">
        <x:v>700</x:v>
      </x:c>
      <x:c r="G1488" s="9" t="n">
        <x:v>20.4</x:v>
      </x:c>
      <x:c r="H1488" s="9" t="n">
        <x:v>93.4</x:v>
      </x:c>
      <x:c r="I1488" s="8" t="str">
        <x:f>B1488&amp;" / "&amp;C1488&amp;" / "&amp;E1488</x:f>
        <x:v>6788 / 2021 / RAINBOW TROUT</x:v>
      </x:c>
    </x:row>
    <x:row r="1489" ht="23" customHeight="1">
      <x:c r="A1489" s="8" t="str">
        <x:v>Jessie Lake</x:v>
      </x:c>
      <x:c r="B1489" s="8" t="str">
        <x:v>4944</x:v>
      </x:c>
      <x:c r="C1489" s="17" t="n">
        <x:v>2025</x:v>
      </x:c>
      <x:c r="D1489" s="18" t="n">
        <x:v>45917</x:v>
      </x:c>
      <x:c r="E1489" s="8" t="str">
        <x:v>RAINBOW TROUT</x:v>
      </x:c>
      <x:c r="F1489" s="13" t="n">
        <x:v>3500</x:v>
      </x:c>
      <x:c r="G1489" s="9" t="n">
        <x:v>5.9</x:v>
      </x:c>
      <x:c r="H1489" s="9" t="n">
        <x:v>2.3</x:v>
      </x:c>
      <x:c r="I1489" s="8" t="str">
        <x:f>B1489&amp;" / "&amp;C1489&amp;" / "&amp;E1489</x:f>
        <x:v>4944 / 2025 / RAINBOW TROUT</x:v>
      </x:c>
    </x:row>
    <x:row r="1490" ht="23" customHeight="1">
      <x:c r="A1490" s="8" t="str">
        <x:v>Jessie Lake</x:v>
      </x:c>
      <x:c r="B1490" s="8" t="str">
        <x:v>4944</x:v>
      </x:c>
      <x:c r="C1490" s="17" t="n">
        <x:v>2022</x:v>
      </x:c>
      <x:c r="D1490" s="18" t="n">
        <x:v>44837</x:v>
      </x:c>
      <x:c r="E1490" s="8" t="str">
        <x:v>RAINBOW TROUT</x:v>
      </x:c>
      <x:c r="F1490" s="13" t="n">
        <x:v>3500</x:v>
      </x:c>
      <x:c r="G1490" s="9" t="n">
        <x:v>7.9</x:v>
      </x:c>
      <x:c r="H1490" s="9" t="n">
        <x:v>5.4</x:v>
      </x:c>
      <x:c r="I1490" s="8" t="str">
        <x:f>B1490&amp;" / "&amp;C1490&amp;" / "&amp;E1490</x:f>
        <x:v>4944 / 2022 / RAINBOW TROUT</x:v>
      </x:c>
    </x:row>
    <x:row r="1491" ht="23" customHeight="1">
      <x:c r="A1491" s="8" t="str">
        <x:v>Kakut Pond</x:v>
      </x:c>
      <x:c r="B1491" s="8" t="str">
        <x:v>26729</x:v>
      </x:c>
      <x:c r="C1491" s="17" t="n">
        <x:v>2025</x:v>
      </x:c>
      <x:c r="D1491" s="18" t="n">
        <x:v>45797</x:v>
      </x:c>
      <x:c r="E1491" s="8" t="str">
        <x:v>RAINBOW TROUT</x:v>
      </x:c>
      <x:c r="F1491" s="13" t="n">
        <x:v>1500</x:v>
      </x:c>
      <x:c r="G1491" s="9" t="n">
        <x:v>20.6</x:v>
      </x:c>
      <x:c r="H1491" s="9" t="n">
        <x:v>96.6</x:v>
      </x:c>
      <x:c r="I1491" s="8" t="str">
        <x:f>B1491&amp;" / "&amp;C1491&amp;" / "&amp;E1491</x:f>
        <x:v>26729 / 2025 / RAINBOW TROUT</x:v>
      </x:c>
    </x:row>
    <x:row r="1492" ht="23" customHeight="1">
      <x:c r="A1492" s="8" t="str">
        <x:v>Kakut Pond</x:v>
      </x:c>
      <x:c r="B1492" s="8" t="str">
        <x:v>26729</x:v>
      </x:c>
      <x:c r="C1492" s="17" t="n">
        <x:v>2024</x:v>
      </x:c>
      <x:c r="D1492" s="18" t="n">
        <x:v>45420</x:v>
      </x:c>
      <x:c r="E1492" s="8" t="str">
        <x:v>RAINBOW TROUT</x:v>
      </x:c>
      <x:c r="F1492" s="13" t="n">
        <x:v>750</x:v>
      </x:c>
      <x:c r="G1492" s="9" t="n">
        <x:v>20.1</x:v>
      </x:c>
      <x:c r="H1492" s="9" t="n">
        <x:v>87.5</x:v>
      </x:c>
      <x:c r="I1492" s="8" t="str">
        <x:f>B1492&amp;" / "&amp;C1492&amp;" / "&amp;E1492</x:f>
        <x:v>26729 / 2024 / RAINBOW TROUT</x:v>
      </x:c>
    </x:row>
    <x:row r="1493" ht="23" customHeight="1">
      <x:c r="A1493" s="8" t="str">
        <x:v>Kakut Pond</x:v>
      </x:c>
      <x:c r="B1493" s="8" t="str">
        <x:v>26729</x:v>
      </x:c>
      <x:c r="C1493" s="17" t="n">
        <x:v>2023</x:v>
      </x:c>
      <x:c r="D1493" s="18" t="n">
        <x:v>45055</x:v>
      </x:c>
      <x:c r="E1493" s="8" t="str">
        <x:v>RAINBOW TROUT</x:v>
      </x:c>
      <x:c r="F1493" s="13" t="n">
        <x:v>753</x:v>
      </x:c>
      <x:c r="G1493" s="9" t="n">
        <x:v>19.9</x:v>
      </x:c>
      <x:c r="H1493" s="9" t="n">
        <x:v>87.4</x:v>
      </x:c>
      <x:c r="I1493" s="8" t="str">
        <x:f>B1493&amp;" / "&amp;C1493&amp;" / "&amp;E1493</x:f>
        <x:v>26729 / 2023 / RAINBOW TROUT</x:v>
      </x:c>
    </x:row>
    <x:row r="1494" ht="23" customHeight="1">
      <x:c r="A1494" s="8" t="str">
        <x:v>Kakut Pond</x:v>
      </x:c>
      <x:c r="B1494" s="8" t="str">
        <x:v>26729</x:v>
      </x:c>
      <x:c r="C1494" s="17" t="n">
        <x:v>2022</x:v>
      </x:c>
      <x:c r="D1494" s="18" t="n">
        <x:v>44705</x:v>
      </x:c>
      <x:c r="E1494" s="8" t="str">
        <x:v>RAINBOW TROUT</x:v>
      </x:c>
      <x:c r="F1494" s="13" t="n">
        <x:v>1500</x:v>
      </x:c>
      <x:c r="G1494" s="9" t="n">
        <x:v>20.4</x:v>
      </x:c>
      <x:c r="H1494" s="9" t="n">
        <x:v>93.4</x:v>
      </x:c>
      <x:c r="I1494" s="8" t="str">
        <x:f>B1494&amp;" / "&amp;C1494&amp;" / "&amp;E1494</x:f>
        <x:v>26729 / 2022 / RAINBOW TROUT</x:v>
      </x:c>
    </x:row>
    <x:row r="1495" ht="23" customHeight="1">
      <x:c r="A1495" s="8" t="str">
        <x:v>Kakut Pond</x:v>
      </x:c>
      <x:c r="B1495" s="8" t="str">
        <x:v>26729</x:v>
      </x:c>
      <x:c r="C1495" s="17" t="n">
        <x:v>2021</x:v>
      </x:c>
      <x:c r="D1495" s="18" t="n">
        <x:v>44335</x:v>
      </x:c>
      <x:c r="E1495" s="8" t="str">
        <x:v>RAINBOW TROUT</x:v>
      </x:c>
      <x:c r="F1495" s="13" t="n">
        <x:v>1500</x:v>
      </x:c>
      <x:c r="G1495" s="9" t="n">
        <x:v>19.5</x:v>
      </x:c>
      <x:c r="H1495" s="9" t="n">
        <x:v>81.5</x:v>
      </x:c>
      <x:c r="I1495" s="8" t="str">
        <x:f>B1495&amp;" / "&amp;C1495&amp;" / "&amp;E1495</x:f>
        <x:v>26729 / 2021 / RAINBOW TROUT</x:v>
      </x:c>
    </x:row>
    <x:row r="1496" ht="23" customHeight="1">
      <x:c r="A1496" s="8" t="str">
        <x:v>Keenex Trout Pond</x:v>
      </x:c>
      <x:c r="B1496" s="8" t="str">
        <x:v>417476</x:v>
      </x:c>
      <x:c r="C1496" s="17" t="n">
        <x:v>2021</x:v>
      </x:c>
      <x:c r="D1496" s="18" t="n">
        <x:v>44346</x:v>
      </x:c>
      <x:c r="E1496" s="8" t="str">
        <x:v>BROOK TROUT</x:v>
      </x:c>
      <x:c r="F1496" s="13" t="n">
        <x:v>150</x:v>
      </x:c>
      <x:c r="G1496" s="9" t="n">
        <x:v>45</x:v>
      </x:c>
      <x:c r="H1496" s="9" t="n">
        <x:v>670</x:v>
      </x:c>
      <x:c r="I1496" s="8" t="str">
        <x:f>B1496&amp;" / "&amp;C1496&amp;" / "&amp;E1496</x:f>
        <x:v>417476 / 2021 / BROOK TROUT</x:v>
      </x:c>
    </x:row>
    <x:row r="1497" ht="23" customHeight="1">
      <x:c r="A1497" s="8" t="str">
        <x:v>Keenex Trout Pond</x:v>
      </x:c>
      <x:c r="B1497" s="8" t="str">
        <x:v>417476</x:v>
      </x:c>
      <x:c r="C1497" s="17" t="n">
        <x:v>2021</x:v>
      </x:c>
      <x:c r="D1497" s="18" t="n">
        <x:v>44300</x:v>
      </x:c>
      <x:c r="E1497" s="8" t="str">
        <x:v>RAINBOW TROUT</x:v>
      </x:c>
      <x:c r="F1497" s="13" t="n">
        <x:v>3500</x:v>
      </x:c>
      <x:c r="G1497" s="9" t="n">
        <x:v>20.4</x:v>
      </x:c>
      <x:c r="H1497" s="9" t="n">
        <x:v>94.3</x:v>
      </x:c>
      <x:c r="I1497" s="8" t="str">
        <x:f>B1497&amp;" / "&amp;C1497&amp;" / "&amp;E1497</x:f>
        <x:v>417476 / 2021 / RAINBOW TROUT</x:v>
      </x:c>
    </x:row>
    <x:row r="1498" ht="23" customHeight="1">
      <x:c r="A1498" s="8" t="str">
        <x:v>Kehewin Lake</x:v>
      </x:c>
      <x:c r="B1498" s="8" t="str">
        <x:v>4977</x:v>
      </x:c>
      <x:c r="C1498" s="17" t="n">
        <x:v>2026</x:v>
      </x:c>
      <x:c r="D1498" s="18" t="n">
        <x:v>46182</x:v>
      </x:c>
      <x:c r="E1498" s="8" t="str">
        <x:v>WALLEYE</x:v>
      </x:c>
      <x:c r="F1498" s="13" t="n">
        <x:v>400000</x:v>
      </x:c>
      <x:c r="G1498" s="9" t="n">
        <x:v>0.4</x:v>
      </x:c>
      <x:c r="H1498" s="9" t="str">
        <x:v>Unknown</x:v>
      </x:c>
      <x:c r="I1498" s="8" t="str">
        <x:f>B1498&amp;" / "&amp;C1498&amp;" / "&amp;E1498</x:f>
        <x:v>4977 / 2026 / WALLEYE</x:v>
      </x:c>
    </x:row>
    <x:row r="1499" ht="23" customHeight="1">
      <x:c r="A1499" s="8" t="str">
        <x:v>Kehewin Lake</x:v>
      </x:c>
      <x:c r="B1499" s="8" t="str">
        <x:v>4977</x:v>
      </x:c>
      <x:c r="C1499" s="17" t="n">
        <x:v>2025</x:v>
      </x:c>
      <x:c r="D1499" s="18" t="n">
        <x:v>45810</x:v>
      </x:c>
      <x:c r="E1499" s="8" t="str">
        <x:v>WALLEYE</x:v>
      </x:c>
      <x:c r="F1499" s="13" t="n">
        <x:v>530560</x:v>
      </x:c>
      <x:c r="G1499" s="9" t="n">
        <x:v>0.4</x:v>
      </x:c>
      <x:c r="H1499" s="9" t="str">
        <x:v>Unknown</x:v>
      </x:c>
      <x:c r="I1499" s="8" t="str">
        <x:f>B1499&amp;" / "&amp;C1499&amp;" / "&amp;E1499</x:f>
        <x:v>4977 / 2025 / WALLEYE</x:v>
      </x:c>
    </x:row>
    <x:row r="1500" ht="23" customHeight="1">
      <x:c r="A1500" s="8" t="str">
        <x:v>Keho Lake</x:v>
      </x:c>
      <x:c r="B1500" s="8" t="str">
        <x:v>4978</x:v>
      </x:c>
      <x:c r="C1500" s="17" t="n">
        <x:v>2022</x:v>
      </x:c>
      <x:c r="D1500" s="18" t="n">
        <x:v>44707</x:v>
      </x:c>
      <x:c r="E1500" s="8" t="str">
        <x:v>WALLEYE</x:v>
      </x:c>
      <x:c r="F1500" s="13" t="n">
        <x:v>303342</x:v>
      </x:c>
      <x:c r="G1500" s="9" t="n">
        <x:v>0.4</x:v>
      </x:c>
      <x:c r="H1500" s="9" t="n">
        <x:v>0</x:v>
      </x:c>
      <x:c r="I1500" s="8" t="str">
        <x:f>B1500&amp;" / "&amp;C1500&amp;" / "&amp;E1500</x:f>
        <x:v>4978 / 2022 / WALLEYE</x:v>
      </x:c>
    </x:row>
    <x:row r="1501" ht="23" customHeight="1">
      <x:c r="A1501" s="8" t="str">
        <x:v>Kerbe's Pond</x:v>
      </x:c>
      <x:c r="B1501" s="8" t="str">
        <x:v>6770</x:v>
      </x:c>
      <x:c r="C1501" s="17" t="n">
        <x:v>2026</x:v>
      </x:c>
      <x:c r="D1501" s="18" t="n">
        <x:v>46139</x:v>
      </x:c>
      <x:c r="E1501" s="8" t="str">
        <x:v>BROWN TROUT</x:v>
      </x:c>
      <x:c r="F1501" s="13" t="n">
        <x:v>250</x:v>
      </x:c>
      <x:c r="G1501" s="9" t="n">
        <x:v>17.6</x:v>
      </x:c>
      <x:c r="H1501" s="9" t="n">
        <x:v>58.4</x:v>
      </x:c>
      <x:c r="I1501" s="8" t="str">
        <x:f>B1501&amp;" / "&amp;C1501&amp;" / "&amp;E1501</x:f>
        <x:v>6770 / 2026 / BROWN TROUT</x:v>
      </x:c>
    </x:row>
    <x:row r="1502" ht="23" customHeight="1">
      <x:c r="A1502" s="8" t="str">
        <x:v>Kerbe's Pond</x:v>
      </x:c>
      <x:c r="B1502" s="8" t="str">
        <x:v>6770</x:v>
      </x:c>
      <x:c r="C1502" s="17" t="n">
        <x:v>2026</x:v>
      </x:c>
      <x:c r="D1502" s="18" t="n">
        <x:v>46139</x:v>
      </x:c>
      <x:c r="E1502" s="8" t="str">
        <x:v>RAINBOW TROUT</x:v>
      </x:c>
      <x:c r="F1502" s="13" t="n">
        <x:v>1000</x:v>
      </x:c>
      <x:c r="G1502" s="9" t="n">
        <x:v>23.6</x:v>
      </x:c>
      <x:c r="H1502" s="9" t="n">
        <x:v>142</x:v>
      </x:c>
      <x:c r="I1502" s="8" t="str">
        <x:f>B1502&amp;" / "&amp;C1502&amp;" / "&amp;E1502</x:f>
        <x:v>6770 / 2026 / RAINBOW TROUT</x:v>
      </x:c>
    </x:row>
    <x:row r="1503" ht="23" customHeight="1">
      <x:c r="A1503" s="8" t="str">
        <x:v>Kerbe's Pond</x:v>
      </x:c>
      <x:c r="B1503" s="8" t="str">
        <x:v>6770</x:v>
      </x:c>
      <x:c r="C1503" s="17" t="n">
        <x:v>2026</x:v>
      </x:c>
      <x:c r="D1503" s="18" t="n">
        <x:v>46139</x:v>
      </x:c>
      <x:c r="E1503" s="8" t="str">
        <x:v>TIGER TROUT</x:v>
      </x:c>
      <x:c r="F1503" s="13" t="n">
        <x:v>1000</x:v>
      </x:c>
      <x:c r="G1503" s="9" t="n">
        <x:v>16.7</x:v>
      </x:c>
      <x:c r="H1503" s="9" t="n">
        <x:v>50.2</x:v>
      </x:c>
      <x:c r="I1503" s="8" t="str">
        <x:f>B1503&amp;" / "&amp;C1503&amp;" / "&amp;E1503</x:f>
        <x:v>6770 / 2026 / TIGER TROUT</x:v>
      </x:c>
    </x:row>
    <x:row r="1504" ht="23" customHeight="1">
      <x:c r="A1504" s="8" t="str">
        <x:v>Kerbe's Pond</x:v>
      </x:c>
      <x:c r="B1504" s="8" t="str">
        <x:v>6770</x:v>
      </x:c>
      <x:c r="C1504" s="17" t="n">
        <x:v>2025</x:v>
      </x:c>
      <x:c r="D1504" s="18" t="n">
        <x:v>45788</x:v>
      </x:c>
      <x:c r="E1504" s="8" t="str">
        <x:v>BROWN TROUT</x:v>
      </x:c>
      <x:c r="F1504" s="13" t="n">
        <x:v>250</x:v>
      </x:c>
      <x:c r="G1504" s="9" t="n">
        <x:v>19.8</x:v>
      </x:c>
      <x:c r="H1504" s="9" t="n">
        <x:v>83.3</x:v>
      </x:c>
      <x:c r="I1504" s="8" t="str">
        <x:f>B1504&amp;" / "&amp;C1504&amp;" / "&amp;E1504</x:f>
        <x:v>6770 / 2025 / BROWN TROUT</x:v>
      </x:c>
    </x:row>
    <x:row r="1505" ht="23" customHeight="1">
      <x:c r="A1505" s="8" t="str">
        <x:v>Kerbe's Pond</x:v>
      </x:c>
      <x:c r="B1505" s="8" t="str">
        <x:v>6770</x:v>
      </x:c>
      <x:c r="C1505" s="17" t="n">
        <x:v>2025</x:v>
      </x:c>
      <x:c r="D1505" s="18" t="n">
        <x:v>45788</x:v>
      </x:c>
      <x:c r="E1505" s="8" t="str">
        <x:v>RAINBOW TROUT</x:v>
      </x:c>
      <x:c r="F1505" s="13" t="n">
        <x:v>1000</x:v>
      </x:c>
      <x:c r="G1505" s="9" t="n">
        <x:v>23.7</x:v>
      </x:c>
      <x:c r="H1505" s="9" t="n">
        <x:v>143.6</x:v>
      </x:c>
      <x:c r="I1505" s="8" t="str">
        <x:f>B1505&amp;" / "&amp;C1505&amp;" / "&amp;E1505</x:f>
        <x:v>6770 / 2025 / RAINBOW TROUT</x:v>
      </x:c>
    </x:row>
    <x:row r="1506" ht="23" customHeight="1">
      <x:c r="A1506" s="8" t="str">
        <x:v>Kerbe's Pond</x:v>
      </x:c>
      <x:c r="B1506" s="8" t="str">
        <x:v>6770</x:v>
      </x:c>
      <x:c r="C1506" s="17" t="n">
        <x:v>2025</x:v>
      </x:c>
      <x:c r="D1506" s="18" t="n">
        <x:v>45788</x:v>
      </x:c>
      <x:c r="E1506" s="8" t="str">
        <x:v>TIGER TROUT</x:v>
      </x:c>
      <x:c r="F1506" s="13" t="n">
        <x:v>1000</x:v>
      </x:c>
      <x:c r="G1506" s="9" t="n">
        <x:v>19.8</x:v>
      </x:c>
      <x:c r="H1506" s="9" t="n">
        <x:v>83.3</x:v>
      </x:c>
      <x:c r="I1506" s="8" t="str">
        <x:f>B1506&amp;" / "&amp;C1506&amp;" / "&amp;E1506</x:f>
        <x:v>6770 / 2025 / TIGER TROUT</x:v>
      </x:c>
    </x:row>
    <x:row r="1507" ht="23" customHeight="1">
      <x:c r="A1507" s="8" t="str">
        <x:v>Kerbe's Pond</x:v>
      </x:c>
      <x:c r="B1507" s="8" t="str">
        <x:v>6770</x:v>
      </x:c>
      <x:c r="C1507" s="17" t="n">
        <x:v>2024</x:v>
      </x:c>
      <x:c r="D1507" s="18" t="n">
        <x:v>45399</x:v>
      </x:c>
      <x:c r="E1507" s="8" t="str">
        <x:v>BROWN TROUT</x:v>
      </x:c>
      <x:c r="F1507" s="13" t="n">
        <x:v>250</x:v>
      </x:c>
      <x:c r="G1507" s="9" t="n">
        <x:v>20.7</x:v>
      </x:c>
      <x:c r="H1507" s="9" t="n">
        <x:v>96</x:v>
      </x:c>
      <x:c r="I1507" s="8" t="str">
        <x:f>B1507&amp;" / "&amp;C1507&amp;" / "&amp;E1507</x:f>
        <x:v>6770 / 2024 / BROWN TROUT</x:v>
      </x:c>
    </x:row>
    <x:row r="1508" ht="23" customHeight="1">
      <x:c r="A1508" s="8" t="str">
        <x:v>Kerbe's Pond</x:v>
      </x:c>
      <x:c r="B1508" s="8" t="str">
        <x:v>6770</x:v>
      </x:c>
      <x:c r="C1508" s="17" t="n">
        <x:v>2024</x:v>
      </x:c>
      <x:c r="D1508" s="18" t="n">
        <x:v>45407</x:v>
      </x:c>
      <x:c r="E1508" s="8" t="str">
        <x:v>RAINBOW TROUT</x:v>
      </x:c>
      <x:c r="F1508" s="13" t="n">
        <x:v>15</x:v>
      </x:c>
      <x:c r="G1508" s="9" t="n">
        <x:v>55.2</x:v>
      </x:c>
      <x:c r="H1508" s="9" t="n">
        <x:v>2800</x:v>
      </x:c>
      <x:c r="I1508" s="8" t="str">
        <x:f>B1508&amp;" / "&amp;C1508&amp;" / "&amp;E1508</x:f>
        <x:v>6770 / 2024 / RAINBOW TROUT</x:v>
      </x:c>
    </x:row>
    <x:row r="1509" ht="23" customHeight="1">
      <x:c r="A1509" s="8" t="str">
        <x:v>Kerbe's Pond</x:v>
      </x:c>
      <x:c r="B1509" s="8" t="str">
        <x:v>6770</x:v>
      </x:c>
      <x:c r="C1509" s="17" t="n">
        <x:v>2024</x:v>
      </x:c>
      <x:c r="D1509" s="18" t="n">
        <x:v>45399</x:v>
      </x:c>
      <x:c r="E1509" s="8" t="str">
        <x:v>RAINBOW TROUT</x:v>
      </x:c>
      <x:c r="F1509" s="13" t="n">
        <x:v>500</x:v>
      </x:c>
      <x:c r="G1509" s="9" t="n">
        <x:v>20.7</x:v>
      </x:c>
      <x:c r="H1509" s="9" t="n">
        <x:v>96</x:v>
      </x:c>
      <x:c r="I1509" s="8" t="str">
        <x:f>B1509&amp;" / "&amp;C1509&amp;" / "&amp;E1509</x:f>
        <x:v>6770 / 2024 / RAINBOW TROUT</x:v>
      </x:c>
    </x:row>
    <x:row r="1510" ht="23" customHeight="1">
      <x:c r="A1510" s="8" t="str">
        <x:v>Kerbe's Pond</x:v>
      </x:c>
      <x:c r="B1510" s="8" t="str">
        <x:v>6770</x:v>
      </x:c>
      <x:c r="C1510" s="17" t="n">
        <x:v>2024</x:v>
      </x:c>
      <x:c r="D1510" s="18" t="n">
        <x:v>45399</x:v>
      </x:c>
      <x:c r="E1510" s="8" t="str">
        <x:v>TIGER TROUT</x:v>
      </x:c>
      <x:c r="F1510" s="13" t="n">
        <x:v>1000</x:v>
      </x:c>
      <x:c r="G1510" s="9" t="n">
        <x:v>19.5</x:v>
      </x:c>
      <x:c r="H1510" s="9" t="n">
        <x:v>79.6</x:v>
      </x:c>
      <x:c r="I1510" s="8" t="str">
        <x:f>B1510&amp;" / "&amp;C1510&amp;" / "&amp;E1510</x:f>
        <x:v>6770 / 2024 / TIGER TROUT</x:v>
      </x:c>
    </x:row>
    <x:row r="1511" ht="23" customHeight="1">
      <x:c r="A1511" s="8" t="str">
        <x:v>Kerbe's Pond</x:v>
      </x:c>
      <x:c r="B1511" s="8" t="str">
        <x:v>6770</x:v>
      </x:c>
      <x:c r="C1511" s="17" t="n">
        <x:v>2023</x:v>
      </x:c>
      <x:c r="D1511" s="18" t="n">
        <x:v>45047</x:v>
      </x:c>
      <x:c r="E1511" s="8" t="str">
        <x:v>BROWN TROUT</x:v>
      </x:c>
      <x:c r="F1511" s="13" t="n">
        <x:v>250</x:v>
      </x:c>
      <x:c r="G1511" s="9" t="n">
        <x:v>19</x:v>
      </x:c>
      <x:c r="H1511" s="9" t="n">
        <x:v>73.5</x:v>
      </x:c>
      <x:c r="I1511" s="8" t="str">
        <x:f>B1511&amp;" / "&amp;C1511&amp;" / "&amp;E1511</x:f>
        <x:v>6770 / 2023 / BROWN TROUT</x:v>
      </x:c>
    </x:row>
    <x:row r="1512" ht="23" customHeight="1">
      <x:c r="A1512" s="8" t="str">
        <x:v>Kerbe's Pond</x:v>
      </x:c>
      <x:c r="B1512" s="8" t="str">
        <x:v>6770</x:v>
      </x:c>
      <x:c r="C1512" s="17" t="n">
        <x:v>2023</x:v>
      </x:c>
      <x:c r="D1512" s="18" t="n">
        <x:v>45188</x:v>
      </x:c>
      <x:c r="E1512" s="8" t="str">
        <x:v>RAINBOW TROUT</x:v>
      </x:c>
      <x:c r="F1512" s="13" t="n">
        <x:v>500</x:v>
      </x:c>
      <x:c r="G1512" s="9" t="n">
        <x:v>25.6</x:v>
      </x:c>
      <x:c r="H1512" s="9" t="n">
        <x:v>181.8</x:v>
      </x:c>
      <x:c r="I1512" s="8" t="str">
        <x:f>B1512&amp;" / "&amp;C1512&amp;" / "&amp;E1512</x:f>
        <x:v>6770 / 2023 / RAINBOW TROUT</x:v>
      </x:c>
    </x:row>
    <x:row r="1513" ht="23" customHeight="1">
      <x:c r="A1513" s="8" t="str">
        <x:v>Kerbe's Pond</x:v>
      </x:c>
      <x:c r="B1513" s="8" t="str">
        <x:v>6770</x:v>
      </x:c>
      <x:c r="C1513" s="17" t="n">
        <x:v>2023</x:v>
      </x:c>
      <x:c r="D1513" s="18" t="n">
        <x:v>45047</x:v>
      </x:c>
      <x:c r="E1513" s="8" t="str">
        <x:v>RAINBOW TROUT</x:v>
      </x:c>
      <x:c r="F1513" s="13" t="n">
        <x:v>502</x:v>
      </x:c>
      <x:c r="G1513" s="9" t="n">
        <x:v>20.3</x:v>
      </x:c>
      <x:c r="H1513" s="9" t="n">
        <x:v>90.2</x:v>
      </x:c>
      <x:c r="I1513" s="8" t="str">
        <x:f>B1513&amp;" / "&amp;C1513&amp;" / "&amp;E1513</x:f>
        <x:v>6770 / 2023 / RAINBOW TROUT</x:v>
      </x:c>
    </x:row>
    <x:row r="1514" ht="23" customHeight="1">
      <x:c r="A1514" s="8" t="str">
        <x:v>Kerbe's Pond</x:v>
      </x:c>
      <x:c r="B1514" s="8" t="str">
        <x:v>6770</x:v>
      </x:c>
      <x:c r="C1514" s="17" t="n">
        <x:v>2023</x:v>
      </x:c>
      <x:c r="D1514" s="18" t="n">
        <x:v>45047</x:v>
      </x:c>
      <x:c r="E1514" s="8" t="str">
        <x:v>TIGER TROUT</x:v>
      </x:c>
      <x:c r="F1514" s="13" t="n">
        <x:v>1000</x:v>
      </x:c>
      <x:c r="G1514" s="9" t="n">
        <x:v>19.9</x:v>
      </x:c>
      <x:c r="H1514" s="9" t="n">
        <x:v>85.3</x:v>
      </x:c>
      <x:c r="I1514" s="8" t="str">
        <x:f>B1514&amp;" / "&amp;C1514&amp;" / "&amp;E1514</x:f>
        <x:v>6770 / 2023 / TIGER TROUT</x:v>
      </x:c>
    </x:row>
    <x:row r="1515" ht="23" customHeight="1">
      <x:c r="A1515" s="8" t="str">
        <x:v>Kerbe's Pond</x:v>
      </x:c>
      <x:c r="B1515" s="8" t="str">
        <x:v>6770</x:v>
      </x:c>
      <x:c r="C1515" s="17" t="n">
        <x:v>2022</x:v>
      </x:c>
      <x:c r="D1515" s="18" t="n">
        <x:v>44679</x:v>
      </x:c>
      <x:c r="E1515" s="8" t="str">
        <x:v>BROWN TROUT</x:v>
      </x:c>
      <x:c r="F1515" s="13" t="n">
        <x:v>250</x:v>
      </x:c>
      <x:c r="G1515" s="9" t="n">
        <x:v>18.2</x:v>
      </x:c>
      <x:c r="H1515" s="9" t="n">
        <x:v>66.5</x:v>
      </x:c>
      <x:c r="I1515" s="8" t="str">
        <x:f>B1515&amp;" / "&amp;C1515&amp;" / "&amp;E1515</x:f>
        <x:v>6770 / 2022 / BROWN TROUT</x:v>
      </x:c>
    </x:row>
    <x:row r="1516" ht="23" customHeight="1">
      <x:c r="A1516" s="8" t="str">
        <x:v>Kerbe's Pond</x:v>
      </x:c>
      <x:c r="B1516" s="8" t="str">
        <x:v>6770</x:v>
      </x:c>
      <x:c r="C1516" s="17" t="n">
        <x:v>2022</x:v>
      </x:c>
      <x:c r="D1516" s="18" t="n">
        <x:v>44679</x:v>
      </x:c>
      <x:c r="E1516" s="8" t="str">
        <x:v>RAINBOW TROUT</x:v>
      </x:c>
      <x:c r="F1516" s="13" t="n">
        <x:v>1000</x:v>
      </x:c>
      <x:c r="G1516" s="9" t="n">
        <x:v>21.3</x:v>
      </x:c>
      <x:c r="H1516" s="9" t="n">
        <x:v>106.4</x:v>
      </x:c>
      <x:c r="I1516" s="8" t="str">
        <x:f>B1516&amp;" / "&amp;C1516&amp;" / "&amp;E1516</x:f>
        <x:v>6770 / 2022 / RAINBOW TROUT</x:v>
      </x:c>
    </x:row>
    <x:row r="1517" ht="23" customHeight="1">
      <x:c r="A1517" s="8" t="str">
        <x:v>Kerbe's Pond</x:v>
      </x:c>
      <x:c r="B1517" s="8" t="str">
        <x:v>6770</x:v>
      </x:c>
      <x:c r="C1517" s="17" t="n">
        <x:v>2022</x:v>
      </x:c>
      <x:c r="D1517" s="18" t="n">
        <x:v>44679</x:v>
      </x:c>
      <x:c r="E1517" s="8" t="str">
        <x:v>TIGER TROUT</x:v>
      </x:c>
      <x:c r="F1517" s="13" t="n">
        <x:v>1000</x:v>
      </x:c>
      <x:c r="G1517" s="9" t="n">
        <x:v>17.1</x:v>
      </x:c>
      <x:c r="H1517" s="9" t="n">
        <x:v>55.2</x:v>
      </x:c>
      <x:c r="I1517" s="8" t="str">
        <x:f>B1517&amp;" / "&amp;C1517&amp;" / "&amp;E1517</x:f>
        <x:v>6770 / 2022 / TIGER TROUT</x:v>
      </x:c>
    </x:row>
    <x:row r="1518" ht="23" customHeight="1">
      <x:c r="A1518" s="8" t="str">
        <x:v>Kerbe's Pond</x:v>
      </x:c>
      <x:c r="B1518" s="8" t="str">
        <x:v>6770</x:v>
      </x:c>
      <x:c r="C1518" s="17" t="n">
        <x:v>2021</x:v>
      </x:c>
      <x:c r="D1518" s="18" t="n">
        <x:v>44306</x:v>
      </x:c>
      <x:c r="E1518" s="8" t="str">
        <x:v>BROWN TROUT</x:v>
      </x:c>
      <x:c r="F1518" s="13" t="n">
        <x:v>250</x:v>
      </x:c>
      <x:c r="G1518" s="9" t="n">
        <x:v>16.8</x:v>
      </x:c>
      <x:c r="H1518" s="9" t="n">
        <x:v>52.3</x:v>
      </x:c>
      <x:c r="I1518" s="8" t="str">
        <x:f>B1518&amp;" / "&amp;C1518&amp;" / "&amp;E1518</x:f>
        <x:v>6770 / 2021 / BROWN TROUT</x:v>
      </x:c>
    </x:row>
    <x:row r="1519" ht="23" customHeight="1">
      <x:c r="A1519" s="8" t="str">
        <x:v>Kerbe's Pond</x:v>
      </x:c>
      <x:c r="B1519" s="8" t="str">
        <x:v>6770</x:v>
      </x:c>
      <x:c r="C1519" s="17" t="n">
        <x:v>2021</x:v>
      </x:c>
      <x:c r="D1519" s="18" t="n">
        <x:v>44466</x:v>
      </x:c>
      <x:c r="E1519" s="8" t="str">
        <x:v>RAINBOW TROUT</x:v>
      </x:c>
      <x:c r="F1519" s="13" t="n">
        <x:v>500</x:v>
      </x:c>
      <x:c r="G1519" s="9" t="n">
        <x:v>28.3</x:v>
      </x:c>
      <x:c r="H1519" s="9" t="n">
        <x:v>252</x:v>
      </x:c>
      <x:c r="I1519" s="8" t="str">
        <x:f>B1519&amp;" / "&amp;C1519&amp;" / "&amp;E1519</x:f>
        <x:v>6770 / 2021 / RAINBOW TROUT</x:v>
      </x:c>
    </x:row>
    <x:row r="1520" ht="23" customHeight="1">
      <x:c r="A1520" s="8" t="str">
        <x:v>Kerbe's Pond</x:v>
      </x:c>
      <x:c r="B1520" s="8" t="str">
        <x:v>6770</x:v>
      </x:c>
      <x:c r="C1520" s="17" t="n">
        <x:v>2021</x:v>
      </x:c>
      <x:c r="D1520" s="18" t="n">
        <x:v>44315</x:v>
      </x:c>
      <x:c r="E1520" s="8" t="str">
        <x:v>RAINBOW TROUT</x:v>
      </x:c>
      <x:c r="F1520" s="13" t="n">
        <x:v>50</x:v>
      </x:c>
      <x:c r="G1520" s="9" t="n">
        <x:v>30</x:v>
      </x:c>
      <x:c r="H1520" s="9" t="n">
        <x:v>410</x:v>
      </x:c>
      <x:c r="I1520" s="8" t="str">
        <x:f>B1520&amp;" / "&amp;C1520&amp;" / "&amp;E1520</x:f>
        <x:v>6770 / 2021 / RAINBOW TROUT</x:v>
      </x:c>
    </x:row>
    <x:row r="1521" ht="23" customHeight="1">
      <x:c r="A1521" s="8" t="str">
        <x:v>Kerbe's Pond</x:v>
      </x:c>
      <x:c r="B1521" s="8" t="str">
        <x:v>6770</x:v>
      </x:c>
      <x:c r="C1521" s="17" t="n">
        <x:v>2021</x:v>
      </x:c>
      <x:c r="D1521" s="18" t="n">
        <x:v>44306</x:v>
      </x:c>
      <x:c r="E1521" s="8" t="str">
        <x:v>RAINBOW TROUT</x:v>
      </x:c>
      <x:c r="F1521" s="13" t="n">
        <x:v>1000</x:v>
      </x:c>
      <x:c r="G1521" s="9" t="n">
        <x:v>20.4</x:v>
      </x:c>
      <x:c r="H1521" s="9" t="n">
        <x:v>94.3</x:v>
      </x:c>
      <x:c r="I1521" s="8" t="str">
        <x:f>B1521&amp;" / "&amp;C1521&amp;" / "&amp;E1521</x:f>
        <x:v>6770 / 2021 / RAINBOW TROUT</x:v>
      </x:c>
    </x:row>
    <x:row r="1522" ht="23" customHeight="1">
      <x:c r="A1522" s="8" t="str">
        <x:v>Kerbe's Pond</x:v>
      </x:c>
      <x:c r="B1522" s="8" t="str">
        <x:v>6770</x:v>
      </x:c>
      <x:c r="C1522" s="17" t="n">
        <x:v>2021</x:v>
      </x:c>
      <x:c r="D1522" s="18" t="n">
        <x:v>44467</x:v>
      </x:c>
      <x:c r="E1522" s="8" t="str">
        <x:v>TIGER TROUT</x:v>
      </x:c>
      <x:c r="F1522" s="13" t="n">
        <x:v>500</x:v>
      </x:c>
      <x:c r="G1522" s="9" t="n">
        <x:v>19.6</x:v>
      </x:c>
      <x:c r="H1522" s="9" t="n">
        <x:v>83.8</x:v>
      </x:c>
      <x:c r="I1522" s="8" t="str">
        <x:f>B1522&amp;" / "&amp;C1522&amp;" / "&amp;E1522</x:f>
        <x:v>6770 / 2021 / TIGER TROUT</x:v>
      </x:c>
    </x:row>
    <x:row r="1523" ht="23" customHeight="1">
      <x:c r="A1523" s="8" t="str">
        <x:v>Kerbe's Pond</x:v>
      </x:c>
      <x:c r="B1523" s="8" t="str">
        <x:v>6770</x:v>
      </x:c>
      <x:c r="C1523" s="17" t="n">
        <x:v>2021</x:v>
      </x:c>
      <x:c r="D1523" s="18" t="n">
        <x:v>44306</x:v>
      </x:c>
      <x:c r="E1523" s="8" t="str">
        <x:v>TIGER TROUT</x:v>
      </x:c>
      <x:c r="F1523" s="13" t="n">
        <x:v>1000</x:v>
      </x:c>
      <x:c r="G1523" s="9" t="n">
        <x:v>17.7</x:v>
      </x:c>
      <x:c r="H1523" s="9" t="n">
        <x:v>60.9</x:v>
      </x:c>
      <x:c r="I1523" s="8" t="str">
        <x:f>B1523&amp;" / "&amp;C1523&amp;" / "&amp;E1523</x:f>
        <x:v>6770 / 2021 / TIGER TROUT</x:v>
      </x:c>
    </x:row>
    <x:row r="1524" ht="23" customHeight="1">
      <x:c r="A1524" s="8" t="str">
        <x:v>Kids Can Catch Pond</x:v>
      </x:c>
      <x:c r="B1524" s="8" t="str">
        <x:v>26447</x:v>
      </x:c>
      <x:c r="C1524" s="17" t="n">
        <x:v>2026</x:v>
      </x:c>
      <x:c r="D1524" s="18" t="n">
        <x:v>46198</x:v>
      </x:c>
      <x:c r="E1524" s="8" t="str">
        <x:v>RAINBOW TROUT</x:v>
      </x:c>
      <x:c r="F1524" s="13" t="n">
        <x:v>50</x:v>
      </x:c>
      <x:c r="G1524" s="9" t="n">
        <x:v>25.7</x:v>
      </x:c>
      <x:c r="H1524" s="9" t="n">
        <x:v>183.4</x:v>
      </x:c>
      <x:c r="I1524" s="8" t="str">
        <x:f>B1524&amp;" / "&amp;C1524&amp;" / "&amp;E1524</x:f>
        <x:v>26447 / 2026 / RAINBOW TROUT</x:v>
      </x:c>
    </x:row>
    <x:row r="1525" ht="23" customHeight="1">
      <x:c r="A1525" s="8" t="str">
        <x:v>Kids Can Catch Pond</x:v>
      </x:c>
      <x:c r="B1525" s="8" t="str">
        <x:v>26447</x:v>
      </x:c>
      <x:c r="C1525" s="17" t="n">
        <x:v>2026</x:v>
      </x:c>
      <x:c r="D1525" s="18" t="n">
        <x:v>46188</x:v>
      </x:c>
      <x:c r="E1525" s="8" t="str">
        <x:v>RAINBOW TROUT</x:v>
      </x:c>
      <x:c r="F1525" s="13" t="n">
        <x:v>50</x:v>
      </x:c>
      <x:c r="G1525" s="9" t="n">
        <x:v>26.6</x:v>
      </x:c>
      <x:c r="H1525" s="9" t="n">
        <x:v>204</x:v>
      </x:c>
      <x:c r="I1525" s="8" t="str">
        <x:f>B1525&amp;" / "&amp;C1525&amp;" / "&amp;E1525</x:f>
        <x:v>26447 / 2026 / RAINBOW TROUT</x:v>
      </x:c>
    </x:row>
    <x:row r="1526" ht="23" customHeight="1">
      <x:c r="A1526" s="8" t="str">
        <x:v>Kids Can Catch Pond</x:v>
      </x:c>
      <x:c r="B1526" s="8" t="str">
        <x:v>26447</x:v>
      </x:c>
      <x:c r="C1526" s="17" t="n">
        <x:v>2026</x:v>
      </x:c>
      <x:c r="D1526" s="18" t="n">
        <x:v>46154</x:v>
      </x:c>
      <x:c r="E1526" s="8" t="str">
        <x:v>RAINBOW TROUT</x:v>
      </x:c>
      <x:c r="F1526" s="13" t="n">
        <x:v>21</x:v>
      </x:c>
      <x:c r="G1526" s="9" t="n">
        <x:v>23.7</x:v>
      </x:c>
      <x:c r="H1526" s="9" t="n">
        <x:v>143.9</x:v>
      </x:c>
      <x:c r="I1526" s="8" t="str">
        <x:f>B1526&amp;" / "&amp;C1526&amp;" / "&amp;E1526</x:f>
        <x:v>26447 / 2026 / RAINBOW TROUT</x:v>
      </x:c>
    </x:row>
    <x:row r="1527" ht="23" customHeight="1">
      <x:c r="A1527" s="8" t="str">
        <x:v>Kids Can Catch Pond</x:v>
      </x:c>
      <x:c r="B1527" s="8" t="str">
        <x:v>26447</x:v>
      </x:c>
      <x:c r="C1527" s="17" t="n">
        <x:v>2026</x:v>
      </x:c>
      <x:c r="D1527" s="18" t="n">
        <x:v>46143</x:v>
      </x:c>
      <x:c r="E1527" s="8" t="str">
        <x:v>RAINBOW TROUT</x:v>
      </x:c>
      <x:c r="F1527" s="13" t="n">
        <x:v>15</x:v>
      </x:c>
      <x:c r="G1527" s="9" t="n">
        <x:v>23.7</x:v>
      </x:c>
      <x:c r="H1527" s="9" t="n">
        <x:v>143.9</x:v>
      </x:c>
      <x:c r="I1527" s="8" t="str">
        <x:f>B1527&amp;" / "&amp;C1527&amp;" / "&amp;E1527</x:f>
        <x:v>26447 / 2026 / RAINBOW TROUT</x:v>
      </x:c>
    </x:row>
    <x:row r="1528" ht="23" customHeight="1">
      <x:c r="A1528" s="8" t="str">
        <x:v>Kids Can Catch Pond</x:v>
      </x:c>
      <x:c r="B1528" s="8" t="str">
        <x:v>26447</x:v>
      </x:c>
      <x:c r="C1528" s="17" t="n">
        <x:v>2025</x:v>
      </x:c>
      <x:c r="D1528" s="18" t="n">
        <x:v>45854</x:v>
      </x:c>
      <x:c r="E1528" s="8" t="str">
        <x:v>RAINBOW TROUT</x:v>
      </x:c>
      <x:c r="F1528" s="13" t="n">
        <x:v>65</x:v>
      </x:c>
      <x:c r="G1528" s="9" t="n">
        <x:v>26.9</x:v>
      </x:c>
      <x:c r="H1528" s="9" t="n">
        <x:v>210.8</x:v>
      </x:c>
      <x:c r="I1528" s="8" t="str">
        <x:f>B1528&amp;" / "&amp;C1528&amp;" / "&amp;E1528</x:f>
        <x:v>26447 / 2025 / RAINBOW TROUT</x:v>
      </x:c>
    </x:row>
    <x:row r="1529" ht="23" customHeight="1">
      <x:c r="A1529" s="8" t="str">
        <x:v>Kids Can Catch Pond</x:v>
      </x:c>
      <x:c r="B1529" s="8" t="str">
        <x:v>26447</x:v>
      </x:c>
      <x:c r="C1529" s="17" t="n">
        <x:v>2025</x:v>
      </x:c>
      <x:c r="D1529" s="18" t="n">
        <x:v>45776</x:v>
      </x:c>
      <x:c r="E1529" s="8" t="str">
        <x:v>RAINBOW TROUT</x:v>
      </x:c>
      <x:c r="F1529" s="13" t="n">
        <x:v>40</x:v>
      </x:c>
      <x:c r="G1529" s="9" t="n">
        <x:v>24.6</x:v>
      </x:c>
      <x:c r="H1529" s="9" t="n">
        <x:v>160</x:v>
      </x:c>
      <x:c r="I1529" s="8" t="str">
        <x:f>B1529&amp;" / "&amp;C1529&amp;" / "&amp;E1529</x:f>
        <x:v>26447 / 2025 / RAINBOW TROUT</x:v>
      </x:c>
    </x:row>
    <x:row r="1530" ht="23" customHeight="1">
      <x:c r="A1530" s="8" t="str">
        <x:v>Kids Can Catch Pond</x:v>
      </x:c>
      <x:c r="B1530" s="8" t="str">
        <x:v>26447</x:v>
      </x:c>
      <x:c r="C1530" s="17" t="n">
        <x:v>2024</x:v>
      </x:c>
      <x:c r="D1530" s="18" t="n">
        <x:v>45523</x:v>
      </x:c>
      <x:c r="E1530" s="8" t="str">
        <x:v>RAINBOW TROUT</x:v>
      </x:c>
      <x:c r="F1530" s="13" t="n">
        <x:v>139</x:v>
      </x:c>
      <x:c r="G1530" s="9" t="n">
        <x:v>27.5</x:v>
      </x:c>
      <x:c r="H1530" s="9" t="n">
        <x:v>224.5</x:v>
      </x:c>
      <x:c r="I1530" s="8" t="str">
        <x:f>B1530&amp;" / "&amp;C1530&amp;" / "&amp;E1530</x:f>
        <x:v>26447 / 2024 / RAINBOW TROUT</x:v>
      </x:c>
    </x:row>
    <x:row r="1531" ht="23" customHeight="1">
      <x:c r="A1531" s="8" t="str">
        <x:v>Kids Can Catch Pond</x:v>
      </x:c>
      <x:c r="B1531" s="8" t="str">
        <x:v>26447</x:v>
      </x:c>
      <x:c r="C1531" s="17" t="n">
        <x:v>2024</x:v>
      </x:c>
      <x:c r="D1531" s="18" t="n">
        <x:v>45496</x:v>
      </x:c>
      <x:c r="E1531" s="8" t="str">
        <x:v>RAINBOW TROUT</x:v>
      </x:c>
      <x:c r="F1531" s="13" t="n">
        <x:v>1</x:v>
      </x:c>
      <x:c r="G1531" s="9" t="n">
        <x:v>55</x:v>
      </x:c>
      <x:c r="H1531" s="9" t="n">
        <x:v>3500</x:v>
      </x:c>
      <x:c r="I1531" s="8" t="str">
        <x:f>B1531&amp;" / "&amp;C1531&amp;" / "&amp;E1531</x:f>
        <x:v>26447 / 2024 / RAINBOW TROUT</x:v>
      </x:c>
    </x:row>
    <x:row r="1532" ht="23" customHeight="1">
      <x:c r="A1532" s="8" t="str">
        <x:v>Kids Can Catch Pond</x:v>
      </x:c>
      <x:c r="B1532" s="8" t="str">
        <x:v>26447</x:v>
      </x:c>
      <x:c r="C1532" s="17" t="n">
        <x:v>2024</x:v>
      </x:c>
      <x:c r="D1532" s="18" t="n">
        <x:v>45496</x:v>
      </x:c>
      <x:c r="E1532" s="8" t="str">
        <x:v>RAINBOW TROUT</x:v>
      </x:c>
      <x:c r="F1532" s="13" t="n">
        <x:v>10</x:v>
      </x:c>
      <x:c r="G1532" s="9" t="n">
        <x:v>35</x:v>
      </x:c>
      <x:c r="H1532" s="9" t="n">
        <x:v>1850</x:v>
      </x:c>
      <x:c r="I1532" s="8" t="str">
        <x:f>B1532&amp;" / "&amp;C1532&amp;" / "&amp;E1532</x:f>
        <x:v>26447 / 2024 / RAINBOW TROUT</x:v>
      </x:c>
    </x:row>
    <x:row r="1533" ht="23" customHeight="1">
      <x:c r="A1533" s="8" t="str">
        <x:v>Kids Can Catch Pond</x:v>
      </x:c>
      <x:c r="B1533" s="8" t="str">
        <x:v>26447</x:v>
      </x:c>
      <x:c r="C1533" s="17" t="n">
        <x:v>2024</x:v>
      </x:c>
      <x:c r="D1533" s="18" t="n">
        <x:v>45491</x:v>
      </x:c>
      <x:c r="E1533" s="8" t="str">
        <x:v>RAINBOW TROUT</x:v>
      </x:c>
      <x:c r="F1533" s="13" t="n">
        <x:v>50</x:v>
      </x:c>
      <x:c r="G1533" s="9" t="n">
        <x:v>24.9</x:v>
      </x:c>
      <x:c r="H1533" s="9" t="n">
        <x:v>166.1</x:v>
      </x:c>
      <x:c r="I1533" s="8" t="str">
        <x:f>B1533&amp;" / "&amp;C1533&amp;" / "&amp;E1533</x:f>
        <x:v>26447 / 2024 / RAINBOW TROUT</x:v>
      </x:c>
    </x:row>
    <x:row r="1534" ht="23" customHeight="1">
      <x:c r="A1534" s="8" t="str">
        <x:v>Kids Can Catch Pond</x:v>
      </x:c>
      <x:c r="B1534" s="8" t="str">
        <x:v>26447</x:v>
      </x:c>
      <x:c r="C1534" s="17" t="n">
        <x:v>2022</x:v>
      </x:c>
      <x:c r="D1534" s="18" t="n">
        <x:v>44704</x:v>
      </x:c>
      <x:c r="E1534" s="8" t="str">
        <x:v>RAINBOW TROUT</x:v>
      </x:c>
      <x:c r="F1534" s="13" t="n">
        <x:v>5</x:v>
      </x:c>
      <x:c r="G1534" s="9" t="n">
        <x:v>30.1</x:v>
      </x:c>
      <x:c r="H1534" s="9" t="n">
        <x:v>6600.1</x:v>
      </x:c>
      <x:c r="I1534" s="8" t="str">
        <x:f>B1534&amp;" / "&amp;C1534&amp;" / "&amp;E1534</x:f>
        <x:v>26447 / 2022 / RAINBOW TROUT</x:v>
      </x:c>
    </x:row>
    <x:row r="1535" ht="23" customHeight="1">
      <x:c r="A1535" s="8" t="str">
        <x:v>Kids Can Catch Pond</x:v>
      </x:c>
      <x:c r="B1535" s="8" t="str">
        <x:v>26447</x:v>
      </x:c>
      <x:c r="C1535" s="17" t="n">
        <x:v>2022</x:v>
      </x:c>
      <x:c r="D1535" s="18" t="n">
        <x:v>44704</x:v>
      </x:c>
      <x:c r="E1535" s="8" t="str">
        <x:v>RAINBOW TROUT</x:v>
      </x:c>
      <x:c r="F1535" s="13" t="n">
        <x:v>5</x:v>
      </x:c>
      <x:c r="G1535" s="9" t="n">
        <x:v>50.1</x:v>
      </x:c>
      <x:c r="H1535" s="9" t="n">
        <x:v>12600.1</x:v>
      </x:c>
      <x:c r="I1535" s="8" t="str">
        <x:f>B1535&amp;" / "&amp;C1535&amp;" / "&amp;E1535</x:f>
        <x:v>26447 / 2022 / RAINBOW TROUT</x:v>
      </x:c>
    </x:row>
    <x:row r="1536" ht="23" customHeight="1">
      <x:c r="A1536" s="8" t="str">
        <x:v>Kids Can Catch Pond</x:v>
      </x:c>
      <x:c r="B1536" s="8" t="str">
        <x:v>26447</x:v>
      </x:c>
      <x:c r="C1536" s="17" t="n">
        <x:v>2022</x:v>
      </x:c>
      <x:c r="D1536" s="18" t="n">
        <x:v>44696</x:v>
      </x:c>
      <x:c r="E1536" s="8" t="str">
        <x:v>RAINBOW TROUT</x:v>
      </x:c>
      <x:c r="F1536" s="13" t="n">
        <x:v>20</x:v>
      </x:c>
      <x:c r="G1536" s="9" t="n">
        <x:v>23.6</x:v>
      </x:c>
      <x:c r="H1536" s="9" t="n">
        <x:v>143.8</x:v>
      </x:c>
      <x:c r="I1536" s="8" t="str">
        <x:f>B1536&amp;" / "&amp;C1536&amp;" / "&amp;E1536</x:f>
        <x:v>26447 / 2022 / RAINBOW TROUT</x:v>
      </x:c>
    </x:row>
    <x:row r="1537" ht="23" customHeight="1">
      <x:c r="A1537" s="8" t="str">
        <x:v>Kids Can Catch Pond</x:v>
      </x:c>
      <x:c r="B1537" s="8" t="str">
        <x:v>26447</x:v>
      </x:c>
      <x:c r="C1537" s="17" t="n">
        <x:v>2022</x:v>
      </x:c>
      <x:c r="D1537" s="18" t="n">
        <x:v>44680</x:v>
      </x:c>
      <x:c r="E1537" s="8" t="str">
        <x:v>RAINBOW TROUT</x:v>
      </x:c>
      <x:c r="F1537" s="13" t="n">
        <x:v>41</x:v>
      </x:c>
      <x:c r="G1537" s="9" t="n">
        <x:v>22.4</x:v>
      </x:c>
      <x:c r="H1537" s="9" t="n">
        <x:v>121.8</x:v>
      </x:c>
      <x:c r="I1537" s="8" t="str">
        <x:f>B1537&amp;" / "&amp;C1537&amp;" / "&amp;E1537</x:f>
        <x:v>26447 / 2022 / RAINBOW TROUT</x:v>
      </x:c>
    </x:row>
    <x:row r="1538" ht="23" customHeight="1">
      <x:c r="A1538" s="8" t="str">
        <x:v>Kids Can Catch Pond</x:v>
      </x:c>
      <x:c r="B1538" s="8" t="str">
        <x:v>26447</x:v>
      </x:c>
      <x:c r="C1538" s="17" t="n">
        <x:v>2021</x:v>
      </x:c>
      <x:c r="D1538" s="18" t="n">
        <x:v>44426</x:v>
      </x:c>
      <x:c r="E1538" s="8" t="str">
        <x:v>RAINBOW TROUT</x:v>
      </x:c>
      <x:c r="F1538" s="13" t="n">
        <x:v>40</x:v>
      </x:c>
      <x:c r="G1538" s="9" t="n">
        <x:v>27.3</x:v>
      </x:c>
      <x:c r="H1538" s="9" t="n">
        <x:v>225</x:v>
      </x:c>
      <x:c r="I1538" s="8" t="str">
        <x:f>B1538&amp;" / "&amp;C1538&amp;" / "&amp;E1538</x:f>
        <x:v>26447 / 2021 / RAINBOW TROUT</x:v>
      </x:c>
    </x:row>
    <x:row r="1539" ht="23" customHeight="1">
      <x:c r="A1539" s="8" t="str">
        <x:v>Kids Can Catch Pond</x:v>
      </x:c>
      <x:c r="B1539" s="8" t="str">
        <x:v>26447</x:v>
      </x:c>
      <x:c r="C1539" s="17" t="n">
        <x:v>2021</x:v>
      </x:c>
      <x:c r="D1539" s="18" t="n">
        <x:v>44370</x:v>
      </x:c>
      <x:c r="E1539" s="8" t="str">
        <x:v>RAINBOW TROUT</x:v>
      </x:c>
      <x:c r="F1539" s="13" t="n">
        <x:v>40</x:v>
      </x:c>
      <x:c r="G1539" s="9" t="n">
        <x:v>25.1</x:v>
      </x:c>
      <x:c r="H1539" s="9" t="n">
        <x:v>175</x:v>
      </x:c>
      <x:c r="I1539" s="8" t="str">
        <x:f>B1539&amp;" / "&amp;C1539&amp;" / "&amp;E1539</x:f>
        <x:v>26447 / 2021 / RAINBOW TROUT</x:v>
      </x:c>
    </x:row>
    <x:row r="1540" ht="23" customHeight="1">
      <x:c r="A1540" s="8" t="str">
        <x:v>Kids Can Catch Pond</x:v>
      </x:c>
      <x:c r="B1540" s="8" t="str">
        <x:v>26447</x:v>
      </x:c>
      <x:c r="C1540" s="17" t="n">
        <x:v>2021</x:v>
      </x:c>
      <x:c r="D1540" s="18" t="n">
        <x:v>44325</x:v>
      </x:c>
      <x:c r="E1540" s="8" t="str">
        <x:v>RAINBOW TROUT</x:v>
      </x:c>
      <x:c r="F1540" s="13" t="n">
        <x:v>5</x:v>
      </x:c>
      <x:c r="G1540" s="9" t="n">
        <x:v>50</x:v>
      </x:c>
      <x:c r="H1540" s="9" t="n">
        <x:v>2660</x:v>
      </x:c>
      <x:c r="I1540" s="8" t="str">
        <x:f>B1540&amp;" / "&amp;C1540&amp;" / "&amp;E1540</x:f>
        <x:v>26447 / 2021 / RAINBOW TROUT</x:v>
      </x:c>
    </x:row>
    <x:row r="1541" ht="23" customHeight="1">
      <x:c r="A1541" s="8" t="str">
        <x:v>Kids Can Catch Pond</x:v>
      </x:c>
      <x:c r="B1541" s="8" t="str">
        <x:v>26447</x:v>
      </x:c>
      <x:c r="C1541" s="17" t="n">
        <x:v>2021</x:v>
      </x:c>
      <x:c r="D1541" s="18" t="n">
        <x:v>44315</x:v>
      </x:c>
      <x:c r="E1541" s="8" t="str">
        <x:v>RAINBOW TROUT</x:v>
      </x:c>
      <x:c r="F1541" s="13" t="n">
        <x:v>200</x:v>
      </x:c>
      <x:c r="G1541" s="9" t="n">
        <x:v>21.2</x:v>
      </x:c>
      <x:c r="H1541" s="9" t="n">
        <x:v>105.3</x:v>
      </x:c>
      <x:c r="I1541" s="8" t="str">
        <x:f>B1541&amp;" / "&amp;C1541&amp;" / "&amp;E1541</x:f>
        <x:v>26447 / 2021 / RAINBOW TROUT</x:v>
      </x:c>
    </x:row>
    <x:row r="1542" ht="23" customHeight="1">
      <x:c r="A1542" s="8" t="str">
        <x:v>Kinglet Lake</x:v>
      </x:c>
      <x:c r="B1542" s="8" t="str">
        <x:v>6654</x:v>
      </x:c>
      <x:c r="C1542" s="17" t="n">
        <x:v>2023</x:v>
      </x:c>
      <x:c r="D1542" s="18" t="n">
        <x:v>45176</x:v>
      </x:c>
      <x:c r="E1542" s="8" t="str">
        <x:v>CUTTHROAT TROUT</x:v>
      </x:c>
      <x:c r="F1542" s="13" t="n">
        <x:v>250</x:v>
      </x:c>
      <x:c r="G1542" s="9" t="n">
        <x:v>17.1</x:v>
      </x:c>
      <x:c r="H1542" s="9" t="n">
        <x:v>52.8</x:v>
      </x:c>
      <x:c r="I1542" s="8" t="str">
        <x:f>B1542&amp;" / "&amp;C1542&amp;" / "&amp;E1542</x:f>
        <x:v>6654 / 2023 / CUTTHROAT TROUT</x:v>
      </x:c>
    </x:row>
    <x:row r="1543" ht="23" customHeight="1">
      <x:c r="A1543" s="8" t="str">
        <x:v>Kinky Lake</x:v>
      </x:c>
      <x:c r="B1543" s="8" t="str">
        <x:v>5002</x:v>
      </x:c>
      <x:c r="C1543" s="17" t="n">
        <x:v>2026</x:v>
      </x:c>
      <x:c r="D1543" s="18" t="n">
        <x:v>46150</x:v>
      </x:c>
      <x:c r="E1543" s="8" t="str">
        <x:v>BROOK TROUT</x:v>
      </x:c>
      <x:c r="F1543" s="13" t="n">
        <x:v>7000</x:v>
      </x:c>
      <x:c r="G1543" s="9" t="n">
        <x:v>20.6</x:v>
      </x:c>
      <x:c r="H1543" s="9" t="n">
        <x:v>96.1</x:v>
      </x:c>
      <x:c r="I1543" s="8" t="str">
        <x:f>B1543&amp;" / "&amp;C1543&amp;" / "&amp;E1543</x:f>
        <x:v>5002 / 2026 / BROOK TROUT</x:v>
      </x:c>
    </x:row>
    <x:row r="1544" ht="23" customHeight="1">
      <x:c r="A1544" s="8" t="str">
        <x:v>Kinky Lake</x:v>
      </x:c>
      <x:c r="B1544" s="8" t="str">
        <x:v>5002</x:v>
      </x:c>
      <x:c r="C1544" s="17" t="n">
        <x:v>2025</x:v>
      </x:c>
      <x:c r="D1544" s="18" t="n">
        <x:v>45796</x:v>
      </x:c>
      <x:c r="E1544" s="8" t="str">
        <x:v>BROOK TROUT</x:v>
      </x:c>
      <x:c r="F1544" s="13" t="n">
        <x:v>8161</x:v>
      </x:c>
      <x:c r="G1544" s="9" t="n">
        <x:v>19.1</x:v>
      </x:c>
      <x:c r="H1544" s="9" t="n">
        <x:v>74.9</x:v>
      </x:c>
      <x:c r="I1544" s="8" t="str">
        <x:f>B1544&amp;" / "&amp;C1544&amp;" / "&amp;E1544</x:f>
        <x:v>5002 / 2025 / BROOK TROUT</x:v>
      </x:c>
    </x:row>
    <x:row r="1545" ht="23" customHeight="1">
      <x:c r="A1545" s="8" t="str">
        <x:v>Kinky Lake</x:v>
      </x:c>
      <x:c r="B1545" s="8" t="str">
        <x:v>5002</x:v>
      </x:c>
      <x:c r="C1545" s="17" t="n">
        <x:v>2025</x:v>
      </x:c>
      <x:c r="D1545" s="18" t="n">
        <x:v>45796</x:v>
      </x:c>
      <x:c r="E1545" s="8" t="str">
        <x:v>BROOK TROUT</x:v>
      </x:c>
      <x:c r="F1545" s="13" t="n">
        <x:v>1839</x:v>
      </x:c>
      <x:c r="G1545" s="9" t="n">
        <x:v>19.8</x:v>
      </x:c>
      <x:c r="H1545" s="9" t="n">
        <x:v>84.4</x:v>
      </x:c>
      <x:c r="I1545" s="8" t="str">
        <x:f>B1545&amp;" / "&amp;C1545&amp;" / "&amp;E1545</x:f>
        <x:v>5002 / 2025 / BROOK TROUT</x:v>
      </x:c>
    </x:row>
    <x:row r="1546" ht="23" customHeight="1">
      <x:c r="A1546" s="8" t="str">
        <x:v>Kinky Lake</x:v>
      </x:c>
      <x:c r="B1546" s="8" t="str">
        <x:v>5002</x:v>
      </x:c>
      <x:c r="C1546" s="17" t="n">
        <x:v>2024</x:v>
      </x:c>
      <x:c r="D1546" s="18" t="n">
        <x:v>45552</x:v>
      </x:c>
      <x:c r="E1546" s="8" t="str">
        <x:v>BROOK TROUT</x:v>
      </x:c>
      <x:c r="F1546" s="13" t="n">
        <x:v>3066</x:v>
      </x:c>
      <x:c r="G1546" s="9" t="n">
        <x:v>24.6</x:v>
      </x:c>
      <x:c r="H1546" s="9" t="n">
        <x:v>159.9</x:v>
      </x:c>
      <x:c r="I1546" s="8" t="str">
        <x:f>B1546&amp;" / "&amp;C1546&amp;" / "&amp;E1546</x:f>
        <x:v>5002 / 2024 / BROOK TROUT</x:v>
      </x:c>
    </x:row>
    <x:row r="1547" ht="23" customHeight="1">
      <x:c r="A1547" s="8" t="str">
        <x:v>Kinky Lake</x:v>
      </x:c>
      <x:c r="B1547" s="8" t="str">
        <x:v>5002</x:v>
      </x:c>
      <x:c r="C1547" s="17" t="n">
        <x:v>2024</x:v>
      </x:c>
      <x:c r="D1547" s="18" t="n">
        <x:v>45442</x:v>
      </x:c>
      <x:c r="E1547" s="8" t="str">
        <x:v>BROOK TROUT</x:v>
      </x:c>
      <x:c r="F1547" s="13" t="n">
        <x:v>3300</x:v>
      </x:c>
      <x:c r="G1547" s="9" t="n">
        <x:v>19.3</x:v>
      </x:c>
      <x:c r="H1547" s="9" t="n">
        <x:v>78</x:v>
      </x:c>
      <x:c r="I1547" s="8" t="str">
        <x:f>B1547&amp;" / "&amp;C1547&amp;" / "&amp;E1547</x:f>
        <x:v>5002 / 2024 / BROOK TROUT</x:v>
      </x:c>
    </x:row>
    <x:row r="1548" ht="23" customHeight="1">
      <x:c r="A1548" s="8" t="str">
        <x:v>Kinky Lake</x:v>
      </x:c>
      <x:c r="B1548" s="8" t="str">
        <x:v>5002</x:v>
      </x:c>
      <x:c r="C1548" s="17" t="n">
        <x:v>2023</x:v>
      </x:c>
      <x:c r="D1548" s="18" t="n">
        <x:v>45204</x:v>
      </x:c>
      <x:c r="E1548" s="8" t="str">
        <x:v>BROOK TROUT</x:v>
      </x:c>
      <x:c r="F1548" s="13" t="n">
        <x:v>1500</x:v>
      </x:c>
      <x:c r="G1548" s="9" t="n">
        <x:v>22.5</x:v>
      </x:c>
      <x:c r="H1548" s="9" t="n">
        <x:v>123.5</x:v>
      </x:c>
      <x:c r="I1548" s="8" t="str">
        <x:f>B1548&amp;" / "&amp;C1548&amp;" / "&amp;E1548</x:f>
        <x:v>5002 / 2023 / BROOK TROUT</x:v>
      </x:c>
    </x:row>
    <x:row r="1549" ht="23" customHeight="1">
      <x:c r="A1549" s="8" t="str">
        <x:v>Kinky Lake</x:v>
      </x:c>
      <x:c r="B1549" s="8" t="str">
        <x:v>5002</x:v>
      </x:c>
      <x:c r="C1549" s="17" t="n">
        <x:v>2023</x:v>
      </x:c>
      <x:c r="D1549" s="18" t="n">
        <x:v>45082</x:v>
      </x:c>
      <x:c r="E1549" s="8" t="str">
        <x:v>BROOK TROUT</x:v>
      </x:c>
      <x:c r="F1549" s="13" t="n">
        <x:v>2000</x:v>
      </x:c>
      <x:c r="G1549" s="9" t="n">
        <x:v>21.4</x:v>
      </x:c>
      <x:c r="H1549" s="9" t="n">
        <x:v>92.7</x:v>
      </x:c>
      <x:c r="I1549" s="8" t="str">
        <x:f>B1549&amp;" / "&amp;C1549&amp;" / "&amp;E1549</x:f>
        <x:v>5002 / 2023 / BROOK TROUT</x:v>
      </x:c>
    </x:row>
    <x:row r="1550" ht="23" customHeight="1">
      <x:c r="A1550" s="8" t="str">
        <x:v>Kinky Lake</x:v>
      </x:c>
      <x:c r="B1550" s="8" t="str">
        <x:v>5002</x:v>
      </x:c>
      <x:c r="C1550" s="17" t="n">
        <x:v>2023</x:v>
      </x:c>
      <x:c r="D1550" s="18" t="n">
        <x:v>45070</x:v>
      </x:c>
      <x:c r="E1550" s="8" t="str">
        <x:v>BROOK TROUT</x:v>
      </x:c>
      <x:c r="F1550" s="13" t="n">
        <x:v>5000</x:v>
      </x:c>
      <x:c r="G1550" s="9" t="n">
        <x:v>19.8</x:v>
      </x:c>
      <x:c r="H1550" s="9" t="n">
        <x:v>55.6</x:v>
      </x:c>
      <x:c r="I1550" s="8" t="str">
        <x:f>B1550&amp;" / "&amp;C1550&amp;" / "&amp;E1550</x:f>
        <x:v>5002 / 2023 / BROOK TROUT</x:v>
      </x:c>
    </x:row>
    <x:row r="1551" ht="23" customHeight="1">
      <x:c r="A1551" s="8" t="str">
        <x:v>Kinky Lake</x:v>
      </x:c>
      <x:c r="B1551" s="8" t="str">
        <x:v>5002</x:v>
      </x:c>
      <x:c r="C1551" s="17" t="n">
        <x:v>2022</x:v>
      </x:c>
      <x:c r="D1551" s="18" t="n">
        <x:v>44816</x:v>
      </x:c>
      <x:c r="E1551" s="8" t="str">
        <x:v>BROOK TROUT</x:v>
      </x:c>
      <x:c r="F1551" s="13" t="n">
        <x:v>4000</x:v>
      </x:c>
      <x:c r="G1551" s="9" t="n">
        <x:v>12.7</x:v>
      </x:c>
      <x:c r="H1551" s="9" t="n">
        <x:v>22.9</x:v>
      </x:c>
      <x:c r="I1551" s="8" t="str">
        <x:f>B1551&amp;" / "&amp;C1551&amp;" / "&amp;E1551</x:f>
        <x:v>5002 / 2022 / BROOK TROUT</x:v>
      </x:c>
    </x:row>
    <x:row r="1552" ht="23" customHeight="1">
      <x:c r="A1552" s="8" t="str">
        <x:v>Kinky Lake</x:v>
      </x:c>
      <x:c r="B1552" s="8" t="str">
        <x:v>5002</x:v>
      </x:c>
      <x:c r="C1552" s="17" t="n">
        <x:v>2022</x:v>
      </x:c>
      <x:c r="D1552" s="18" t="n">
        <x:v>44816</x:v>
      </x:c>
      <x:c r="E1552" s="8" t="str">
        <x:v>BROOK TROUT</x:v>
      </x:c>
      <x:c r="F1552" s="13" t="n">
        <x:v>3485</x:v>
      </x:c>
      <x:c r="G1552" s="9" t="n">
        <x:v>24.9</x:v>
      </x:c>
      <x:c r="H1552" s="9" t="n">
        <x:v>24.9</x:v>
      </x:c>
      <x:c r="I1552" s="8" t="str">
        <x:f>B1552&amp;" / "&amp;C1552&amp;" / "&amp;E1552</x:f>
        <x:v>5002 / 2022 / BROOK TROUT</x:v>
      </x:c>
    </x:row>
    <x:row r="1553" ht="23" customHeight="1">
      <x:c r="A1553" s="8" t="str">
        <x:v>Kinky Lake</x:v>
      </x:c>
      <x:c r="B1553" s="8" t="str">
        <x:v>5002</x:v>
      </x:c>
      <x:c r="C1553" s="17" t="n">
        <x:v>2022</x:v>
      </x:c>
      <x:c r="D1553" s="18" t="n">
        <x:v>44706</x:v>
      </x:c>
      <x:c r="E1553" s="8" t="str">
        <x:v>BROOK TROUT</x:v>
      </x:c>
      <x:c r="F1553" s="13" t="n">
        <x:v>7000</x:v>
      </x:c>
      <x:c r="G1553" s="9" t="n">
        <x:v>19.7</x:v>
      </x:c>
      <x:c r="H1553" s="9" t="n">
        <x:v>84.6</x:v>
      </x:c>
      <x:c r="I1553" s="8" t="str">
        <x:f>B1553&amp;" / "&amp;C1553&amp;" / "&amp;E1553</x:f>
        <x:v>5002 / 2022 / BROOK TROUT</x:v>
      </x:c>
    </x:row>
    <x:row r="1554" ht="23" customHeight="1">
      <x:c r="A1554" s="8" t="str">
        <x:v>Kinky Lake</x:v>
      </x:c>
      <x:c r="B1554" s="8" t="str">
        <x:v>5002</x:v>
      </x:c>
      <x:c r="C1554" s="17" t="n">
        <x:v>2021</x:v>
      </x:c>
      <x:c r="D1554" s="18" t="n">
        <x:v>44342</x:v>
      </x:c>
      <x:c r="E1554" s="8" t="str">
        <x:v>BROOK TROUT</x:v>
      </x:c>
      <x:c r="F1554" s="13" t="n">
        <x:v>7000</x:v>
      </x:c>
      <x:c r="G1554" s="9" t="n">
        <x:v>19.9</x:v>
      </x:c>
      <x:c r="H1554" s="9" t="n">
        <x:v>86.7</x:v>
      </x:c>
      <x:c r="I1554" s="8" t="str">
        <x:f>B1554&amp;" / "&amp;C1554&amp;" / "&amp;E1554</x:f>
        <x:v>5002 / 2021 / BROOK TROUT</x:v>
      </x:c>
    </x:row>
    <x:row r="1555" ht="23" customHeight="1">
      <x:c r="A1555" s="8" t="str">
        <x:v>Kraft Wimborne Pond</x:v>
      </x:c>
      <x:c r="B1555" s="8" t="str">
        <x:v>6773</x:v>
      </x:c>
      <x:c r="C1555" s="17" t="n">
        <x:v>2026</x:v>
      </x:c>
      <x:c r="D1555" s="18" t="n">
        <x:v>46153</x:v>
      </x:c>
      <x:c r="E1555" s="8" t="str">
        <x:v>BROOK TROUT</x:v>
      </x:c>
      <x:c r="F1555" s="13" t="n">
        <x:v>230</x:v>
      </x:c>
      <x:c r="G1555" s="9" t="n">
        <x:v>19.4</x:v>
      </x:c>
      <x:c r="H1555" s="9" t="n">
        <x:v>78.3</x:v>
      </x:c>
      <x:c r="I1555" s="8" t="str">
        <x:f>B1555&amp;" / "&amp;C1555&amp;" / "&amp;E1555</x:f>
        <x:v>6773 / 2026 / BROOK TROUT</x:v>
      </x:c>
    </x:row>
    <x:row r="1556" ht="23" customHeight="1">
      <x:c r="A1556" s="8" t="str">
        <x:v>Kraft Wimborne Pond</x:v>
      </x:c>
      <x:c r="B1556" s="8" t="str">
        <x:v>6773</x:v>
      </x:c>
      <x:c r="C1556" s="17" t="n">
        <x:v>2026</x:v>
      </x:c>
      <x:c r="D1556" s="18" t="n">
        <x:v>46146</x:v>
      </x:c>
      <x:c r="E1556" s="8" t="str">
        <x:v>BROOK TROUT</x:v>
      </x:c>
      <x:c r="F1556" s="13" t="n">
        <x:v>50</x:v>
      </x:c>
      <x:c r="G1556" s="9" t="n">
        <x:v>30.1</x:v>
      </x:c>
      <x:c r="H1556" s="9" t="n">
        <x:v>335.5</x:v>
      </x:c>
      <x:c r="I1556" s="8" t="str">
        <x:f>B1556&amp;" / "&amp;C1556&amp;" / "&amp;E1556</x:f>
        <x:v>6773 / 2026 / BROOK TROUT</x:v>
      </x:c>
    </x:row>
    <x:row r="1557" ht="23" customHeight="1">
      <x:c r="A1557" s="8" t="str">
        <x:v>Kraft Wimborne Pond</x:v>
      </x:c>
      <x:c r="B1557" s="8" t="str">
        <x:v>6773</x:v>
      </x:c>
      <x:c r="C1557" s="17" t="n">
        <x:v>2026</x:v>
      </x:c>
      <x:c r="D1557" s="18" t="n">
        <x:v>46175</x:v>
      </x:c>
      <x:c r="E1557" s="8" t="str">
        <x:v>RAINBOW TROUT</x:v>
      </x:c>
      <x:c r="F1557" s="13" t="n">
        <x:v>300</x:v>
      </x:c>
      <x:c r="G1557" s="9" t="n">
        <x:v>21.1</x:v>
      </x:c>
      <x:c r="H1557" s="9" t="n">
        <x:v>99.9</x:v>
      </x:c>
      <x:c r="I1557" s="8" t="str">
        <x:f>B1557&amp;" / "&amp;C1557&amp;" / "&amp;E1557</x:f>
        <x:v>6773 / 2026 / RAINBOW TROUT</x:v>
      </x:c>
    </x:row>
    <x:row r="1558" ht="23" customHeight="1">
      <x:c r="A1558" s="8" t="str">
        <x:v>Kraft Wimborne Pond</x:v>
      </x:c>
      <x:c r="B1558" s="8" t="str">
        <x:v>6773</x:v>
      </x:c>
      <x:c r="C1558" s="17" t="n">
        <x:v>2026</x:v>
      </x:c>
      <x:c r="D1558" s="18" t="n">
        <x:v>46153</x:v>
      </x:c>
      <x:c r="E1558" s="8" t="str">
        <x:v>RAINBOW TROUT</x:v>
      </x:c>
      <x:c r="F1558" s="13" t="n">
        <x:v>180</x:v>
      </x:c>
      <x:c r="G1558" s="9" t="n">
        <x:v>22.3</x:v>
      </x:c>
      <x:c r="H1558" s="9" t="n">
        <x:v>120</x:v>
      </x:c>
      <x:c r="I1558" s="8" t="str">
        <x:f>B1558&amp;" / "&amp;C1558&amp;" / "&amp;E1558</x:f>
        <x:v>6773 / 2026 / RAINBOW TROUT</x:v>
      </x:c>
    </x:row>
    <x:row r="1559" ht="23" customHeight="1">
      <x:c r="A1559" s="8" t="str">
        <x:v>Kraft Wimborne Pond</x:v>
      </x:c>
      <x:c r="B1559" s="8" t="str">
        <x:v>6773</x:v>
      </x:c>
      <x:c r="C1559" s="17" t="n">
        <x:v>2026</x:v>
      </x:c>
      <x:c r="D1559" s="18" t="n">
        <x:v>46153</x:v>
      </x:c>
      <x:c r="E1559" s="8" t="str">
        <x:v>TIGER TROUT</x:v>
      </x:c>
      <x:c r="F1559" s="13" t="n">
        <x:v>70</x:v>
      </x:c>
      <x:c r="G1559" s="9" t="n">
        <x:v>19</x:v>
      </x:c>
      <x:c r="H1559" s="9" t="n">
        <x:v>79.3</x:v>
      </x:c>
      <x:c r="I1559" s="8" t="str">
        <x:f>B1559&amp;" / "&amp;C1559&amp;" / "&amp;E1559</x:f>
        <x:v>6773 / 2026 / TIGER TROUT</x:v>
      </x:c>
    </x:row>
    <x:row r="1560" ht="23" customHeight="1">
      <x:c r="A1560" s="8" t="str">
        <x:v>Kraft Wimborne Pond</x:v>
      </x:c>
      <x:c r="B1560" s="8" t="str">
        <x:v>6773</x:v>
      </x:c>
      <x:c r="C1560" s="17" t="n">
        <x:v>2025</x:v>
      </x:c>
      <x:c r="D1560" s="18" t="n">
        <x:v>45777</x:v>
      </x:c>
      <x:c r="E1560" s="8" t="str">
        <x:v>BROOK TROUT</x:v>
      </x:c>
      <x:c r="F1560" s="13" t="n">
        <x:v>230</x:v>
      </x:c>
      <x:c r="G1560" s="9" t="n">
        <x:v>19.6</x:v>
      </x:c>
      <x:c r="H1560" s="9" t="n">
        <x:v>81</x:v>
      </x:c>
      <x:c r="I1560" s="8" t="str">
        <x:f>B1560&amp;" / "&amp;C1560&amp;" / "&amp;E1560</x:f>
        <x:v>6773 / 2025 / BROOK TROUT</x:v>
      </x:c>
    </x:row>
    <x:row r="1561" ht="23" customHeight="1">
      <x:c r="A1561" s="8" t="str">
        <x:v>Kraft Wimborne Pond</x:v>
      </x:c>
      <x:c r="B1561" s="8" t="str">
        <x:v>6773</x:v>
      </x:c>
      <x:c r="C1561" s="17" t="n">
        <x:v>2025</x:v>
      </x:c>
      <x:c r="D1561" s="18" t="n">
        <x:v>45798</x:v>
      </x:c>
      <x:c r="E1561" s="8" t="str">
        <x:v>RAINBOW TROUT</x:v>
      </x:c>
      <x:c r="F1561" s="13" t="n">
        <x:v>180</x:v>
      </x:c>
      <x:c r="G1561" s="9" t="n">
        <x:v>20.1</x:v>
      </x:c>
      <x:c r="H1561" s="9" t="n">
        <x:v>87.7</x:v>
      </x:c>
      <x:c r="I1561" s="8" t="str">
        <x:f>B1561&amp;" / "&amp;C1561&amp;" / "&amp;E1561</x:f>
        <x:v>6773 / 2025 / RAINBOW TROUT</x:v>
      </x:c>
    </x:row>
    <x:row r="1562" ht="23" customHeight="1">
      <x:c r="A1562" s="8" t="str">
        <x:v>Kraft Wimborne Pond</x:v>
      </x:c>
      <x:c r="B1562" s="8" t="str">
        <x:v>6773</x:v>
      </x:c>
      <x:c r="C1562" s="17" t="n">
        <x:v>2025</x:v>
      </x:c>
      <x:c r="D1562" s="18" t="n">
        <x:v>45777</x:v>
      </x:c>
      <x:c r="E1562" s="8" t="str">
        <x:v>TIGER TROUT</x:v>
      </x:c>
      <x:c r="F1562" s="13" t="n">
        <x:v>70</x:v>
      </x:c>
      <x:c r="G1562" s="9" t="n">
        <x:v>20.3</x:v>
      </x:c>
      <x:c r="H1562" s="9" t="n">
        <x:v>90.9</x:v>
      </x:c>
      <x:c r="I1562" s="8" t="str">
        <x:f>B1562&amp;" / "&amp;C1562&amp;" / "&amp;E1562</x:f>
        <x:v>6773 / 2025 / TIGER TROUT</x:v>
      </x:c>
    </x:row>
    <x:row r="1563" ht="23" customHeight="1">
      <x:c r="A1563" s="8" t="str">
        <x:v>Kraft Wimborne Pond</x:v>
      </x:c>
      <x:c r="B1563" s="8" t="str">
        <x:v>6773</x:v>
      </x:c>
      <x:c r="C1563" s="17" t="n">
        <x:v>2024</x:v>
      </x:c>
      <x:c r="D1563" s="18" t="n">
        <x:v>45412</x:v>
      </x:c>
      <x:c r="E1563" s="8" t="str">
        <x:v>BROOK TROUT</x:v>
      </x:c>
      <x:c r="F1563" s="13" t="n">
        <x:v>230</x:v>
      </x:c>
      <x:c r="G1563" s="9" t="n">
        <x:v>19.8</x:v>
      </x:c>
      <x:c r="H1563" s="9" t="n">
        <x:v>91.1</x:v>
      </x:c>
      <x:c r="I1563" s="8" t="str">
        <x:f>B1563&amp;" / "&amp;C1563&amp;" / "&amp;E1563</x:f>
        <x:v>6773 / 2024 / BROOK TROUT</x:v>
      </x:c>
    </x:row>
    <x:row r="1564" ht="23" customHeight="1">
      <x:c r="A1564" s="8" t="str">
        <x:v>Kraft Wimborne Pond</x:v>
      </x:c>
      <x:c r="B1564" s="8" t="str">
        <x:v>6773</x:v>
      </x:c>
      <x:c r="C1564" s="17" t="n">
        <x:v>2024</x:v>
      </x:c>
      <x:c r="D1564" s="18" t="n">
        <x:v>45412</x:v>
      </x:c>
      <x:c r="E1564" s="8" t="str">
        <x:v>RAINBOW TROUT</x:v>
      </x:c>
      <x:c r="F1564" s="13" t="n">
        <x:v>180</x:v>
      </x:c>
      <x:c r="G1564" s="9" t="n">
        <x:v>20.4</x:v>
      </x:c>
      <x:c r="H1564" s="9" t="n">
        <x:v>92</x:v>
      </x:c>
      <x:c r="I1564" s="8" t="str">
        <x:f>B1564&amp;" / "&amp;C1564&amp;" / "&amp;E1564</x:f>
        <x:v>6773 / 2024 / RAINBOW TROUT</x:v>
      </x:c>
    </x:row>
    <x:row r="1565" ht="23" customHeight="1">
      <x:c r="A1565" s="8" t="str">
        <x:v>Kraft Wimborne Pond</x:v>
      </x:c>
      <x:c r="B1565" s="8" t="str">
        <x:v>6773</x:v>
      </x:c>
      <x:c r="C1565" s="17" t="n">
        <x:v>2024</x:v>
      </x:c>
      <x:c r="D1565" s="18" t="n">
        <x:v>45412</x:v>
      </x:c>
      <x:c r="E1565" s="8" t="str">
        <x:v>TIGER TROUT</x:v>
      </x:c>
      <x:c r="F1565" s="13" t="n">
        <x:v>70</x:v>
      </x:c>
      <x:c r="G1565" s="9" t="n">
        <x:v>20.2</x:v>
      </x:c>
      <x:c r="H1565" s="9" t="n">
        <x:v>82</x:v>
      </x:c>
      <x:c r="I1565" s="8" t="str">
        <x:f>B1565&amp;" / "&amp;C1565&amp;" / "&amp;E1565</x:f>
        <x:v>6773 / 2024 / TIGER TROUT</x:v>
      </x:c>
    </x:row>
    <x:row r="1566" ht="23" customHeight="1">
      <x:c r="A1566" s="8" t="str">
        <x:v>Kraft Wimborne Pond</x:v>
      </x:c>
      <x:c r="B1566" s="8" t="str">
        <x:v>6773</x:v>
      </x:c>
      <x:c r="C1566" s="17" t="n">
        <x:v>2023</x:v>
      </x:c>
      <x:c r="D1566" s="18" t="n">
        <x:v>45048</x:v>
      </x:c>
      <x:c r="E1566" s="8" t="str">
        <x:v>BROOK TROUT</x:v>
      </x:c>
      <x:c r="F1566" s="13" t="n">
        <x:v>230</x:v>
      </x:c>
      <x:c r="G1566" s="9" t="n">
        <x:v>20.4</x:v>
      </x:c>
      <x:c r="H1566" s="9" t="n">
        <x:v>91.3</x:v>
      </x:c>
      <x:c r="I1566" s="8" t="str">
        <x:f>B1566&amp;" / "&amp;C1566&amp;" / "&amp;E1566</x:f>
        <x:v>6773 / 2023 / BROOK TROUT</x:v>
      </x:c>
    </x:row>
    <x:row r="1567" ht="23" customHeight="1">
      <x:c r="A1567" s="8" t="str">
        <x:v>Kraft Wimborne Pond</x:v>
      </x:c>
      <x:c r="B1567" s="8" t="str">
        <x:v>6773</x:v>
      </x:c>
      <x:c r="C1567" s="17" t="n">
        <x:v>2023</x:v>
      </x:c>
      <x:c r="D1567" s="18" t="n">
        <x:v>45048</x:v>
      </x:c>
      <x:c r="E1567" s="8" t="str">
        <x:v>RAINBOW TROUT</x:v>
      </x:c>
      <x:c r="F1567" s="13" t="n">
        <x:v>100</x:v>
      </x:c>
      <x:c r="G1567" s="9" t="n">
        <x:v>20.6</x:v>
      </x:c>
      <x:c r="H1567" s="9" t="n">
        <x:v>94</x:v>
      </x:c>
      <x:c r="I1567" s="8" t="str">
        <x:f>B1567&amp;" / "&amp;C1567&amp;" / "&amp;E1567</x:f>
        <x:v>6773 / 2023 / RAINBOW TROUT</x:v>
      </x:c>
    </x:row>
    <x:row r="1568" ht="23" customHeight="1">
      <x:c r="A1568" s="8" t="str">
        <x:v>Kraft Wimborne Pond</x:v>
      </x:c>
      <x:c r="B1568" s="8" t="str">
        <x:v>6773</x:v>
      </x:c>
      <x:c r="C1568" s="17" t="n">
        <x:v>2023</x:v>
      </x:c>
      <x:c r="D1568" s="18" t="n">
        <x:v>45046</x:v>
      </x:c>
      <x:c r="E1568" s="8" t="str">
        <x:v>RAINBOW TROUT</x:v>
      </x:c>
      <x:c r="F1568" s="13" t="n">
        <x:v>480</x:v>
      </x:c>
      <x:c r="G1568" s="9" t="n">
        <x:v>20.5</x:v>
      </x:c>
      <x:c r="H1568" s="9" t="n">
        <x:v>89.9</x:v>
      </x:c>
      <x:c r="I1568" s="8" t="str">
        <x:f>B1568&amp;" / "&amp;C1568&amp;" / "&amp;E1568</x:f>
        <x:v>6773 / 2023 / RAINBOW TROUT</x:v>
      </x:c>
    </x:row>
    <x:row r="1569" ht="23" customHeight="1">
      <x:c r="A1569" s="8" t="str">
        <x:v>Kraft Wimborne Pond</x:v>
      </x:c>
      <x:c r="B1569" s="8" t="str">
        <x:v>6773</x:v>
      </x:c>
      <x:c r="C1569" s="17" t="n">
        <x:v>2023</x:v>
      </x:c>
      <x:c r="D1569" s="18" t="n">
        <x:v>45048</x:v>
      </x:c>
      <x:c r="E1569" s="8" t="str">
        <x:v>TIGER TROUT</x:v>
      </x:c>
      <x:c r="F1569" s="13" t="n">
        <x:v>70</x:v>
      </x:c>
      <x:c r="G1569" s="9" t="n">
        <x:v>20.2</x:v>
      </x:c>
      <x:c r="H1569" s="9" t="n">
        <x:v>88.6</x:v>
      </x:c>
      <x:c r="I1569" s="8" t="str">
        <x:f>B1569&amp;" / "&amp;C1569&amp;" / "&amp;E1569</x:f>
        <x:v>6773 / 2023 / TIGER TROUT</x:v>
      </x:c>
    </x:row>
    <x:row r="1570" ht="23" customHeight="1">
      <x:c r="A1570" s="8" t="str">
        <x:v>Kraft Wimborne Pond</x:v>
      </x:c>
      <x:c r="B1570" s="8" t="str">
        <x:v>6773</x:v>
      </x:c>
      <x:c r="C1570" s="17" t="n">
        <x:v>2022</x:v>
      </x:c>
      <x:c r="D1570" s="18" t="n">
        <x:v>44752</x:v>
      </x:c>
      <x:c r="E1570" s="8" t="str">
        <x:v>BROOK TROUT</x:v>
      </x:c>
      <x:c r="F1570" s="13" t="n">
        <x:v>10</x:v>
      </x:c>
      <x:c r="G1570" s="9" t="n">
        <x:v>25.1</x:v>
      </x:c>
      <x:c r="H1570" s="9" t="n">
        <x:v>165.1</x:v>
      </x:c>
      <x:c r="I1570" s="8" t="str">
        <x:f>B1570&amp;" / "&amp;C1570&amp;" / "&amp;E1570</x:f>
        <x:v>6773 / 2022 / BROOK TROUT</x:v>
      </x:c>
    </x:row>
    <x:row r="1571" ht="23" customHeight="1">
      <x:c r="A1571" s="8" t="str">
        <x:v>Kraft Wimborne Pond</x:v>
      </x:c>
      <x:c r="B1571" s="8" t="str">
        <x:v>6773</x:v>
      </x:c>
      <x:c r="C1571" s="17" t="n">
        <x:v>2022</x:v>
      </x:c>
      <x:c r="D1571" s="18" t="n">
        <x:v>44690</x:v>
      </x:c>
      <x:c r="E1571" s="8" t="str">
        <x:v>BROOK TROUT</x:v>
      </x:c>
      <x:c r="F1571" s="13" t="n">
        <x:v>230</x:v>
      </x:c>
      <x:c r="G1571" s="9" t="n">
        <x:v>19.5</x:v>
      </x:c>
      <x:c r="H1571" s="9" t="n">
        <x:v>82.2</x:v>
      </x:c>
      <x:c r="I1571" s="8" t="str">
        <x:f>B1571&amp;" / "&amp;C1571&amp;" / "&amp;E1571</x:f>
        <x:v>6773 / 2022 / BROOK TROUT</x:v>
      </x:c>
    </x:row>
    <x:row r="1572" ht="23" customHeight="1">
      <x:c r="A1572" s="8" t="str">
        <x:v>Kraft Wimborne Pond</x:v>
      </x:c>
      <x:c r="B1572" s="8" t="str">
        <x:v>6773</x:v>
      </x:c>
      <x:c r="C1572" s="17" t="n">
        <x:v>2022</x:v>
      </x:c>
      <x:c r="D1572" s="18" t="n">
        <x:v>44752</x:v>
      </x:c>
      <x:c r="E1572" s="8" t="str">
        <x:v>RAINBOW TROUT</x:v>
      </x:c>
      <x:c r="F1572" s="13" t="n">
        <x:v>105</x:v>
      </x:c>
      <x:c r="G1572" s="9" t="n">
        <x:v>25.1</x:v>
      </x:c>
      <x:c r="H1572" s="9" t="n">
        <x:v>165.1</x:v>
      </x:c>
      <x:c r="I1572" s="8" t="str">
        <x:f>B1572&amp;" / "&amp;C1572&amp;" / "&amp;E1572</x:f>
        <x:v>6773 / 2022 / RAINBOW TROUT</x:v>
      </x:c>
    </x:row>
    <x:row r="1573" ht="23" customHeight="1">
      <x:c r="A1573" s="8" t="str">
        <x:v>Kraft Wimborne Pond</x:v>
      </x:c>
      <x:c r="B1573" s="8" t="str">
        <x:v>6773</x:v>
      </x:c>
      <x:c r="C1573" s="17" t="n">
        <x:v>2022</x:v>
      </x:c>
      <x:c r="D1573" s="18" t="n">
        <x:v>44724</x:v>
      </x:c>
      <x:c r="E1573" s="8" t="str">
        <x:v>RAINBOW TROUT</x:v>
      </x:c>
      <x:c r="F1573" s="13" t="n">
        <x:v>480</x:v>
      </x:c>
      <x:c r="G1573" s="9" t="n">
        <x:v>20.6</x:v>
      </x:c>
      <x:c r="H1573" s="9" t="n">
        <x:v>91.5</x:v>
      </x:c>
      <x:c r="I1573" s="8" t="str">
        <x:f>B1573&amp;" / "&amp;C1573&amp;" / "&amp;E1573</x:f>
        <x:v>6773 / 2022 / RAINBOW TROUT</x:v>
      </x:c>
    </x:row>
    <x:row r="1574" ht="23" customHeight="1">
      <x:c r="A1574" s="8" t="str">
        <x:v>Kraft Wimborne Pond</x:v>
      </x:c>
      <x:c r="B1574" s="8" t="str">
        <x:v>6773</x:v>
      </x:c>
      <x:c r="C1574" s="17" t="n">
        <x:v>2022</x:v>
      </x:c>
      <x:c r="D1574" s="18" t="n">
        <x:v>44690</x:v>
      </x:c>
      <x:c r="E1574" s="8" t="str">
        <x:v>RAINBOW TROUT</x:v>
      </x:c>
      <x:c r="F1574" s="13" t="n">
        <x:v>480</x:v>
      </x:c>
      <x:c r="G1574" s="9" t="n">
        <x:v>21</x:v>
      </x:c>
      <x:c r="H1574" s="9" t="n">
        <x:v>102.9</x:v>
      </x:c>
      <x:c r="I1574" s="8" t="str">
        <x:f>B1574&amp;" / "&amp;C1574&amp;" / "&amp;E1574</x:f>
        <x:v>6773 / 2022 / RAINBOW TROUT</x:v>
      </x:c>
    </x:row>
    <x:row r="1575" ht="23" customHeight="1">
      <x:c r="A1575" s="8" t="str">
        <x:v>Kraft Wimborne Pond</x:v>
      </x:c>
      <x:c r="B1575" s="8" t="str">
        <x:v>6773</x:v>
      </x:c>
      <x:c r="C1575" s="17" t="n">
        <x:v>2022</x:v>
      </x:c>
      <x:c r="D1575" s="18" t="n">
        <x:v>44752</x:v>
      </x:c>
      <x:c r="E1575" s="8" t="str">
        <x:v>TIGER TROUT</x:v>
      </x:c>
      <x:c r="F1575" s="13" t="n">
        <x:v>25</x:v>
      </x:c>
      <x:c r="G1575" s="9" t="n">
        <x:v>25.1</x:v>
      </x:c>
      <x:c r="H1575" s="9" t="n">
        <x:v>165.1</x:v>
      </x:c>
      <x:c r="I1575" s="8" t="str">
        <x:f>B1575&amp;" / "&amp;C1575&amp;" / "&amp;E1575</x:f>
        <x:v>6773 / 2022 / TIGER TROUT</x:v>
      </x:c>
    </x:row>
    <x:row r="1576" ht="23" customHeight="1">
      <x:c r="A1576" s="8" t="str">
        <x:v>Kraft Wimborne Pond</x:v>
      </x:c>
      <x:c r="B1576" s="8" t="str">
        <x:v>6773</x:v>
      </x:c>
      <x:c r="C1576" s="17" t="n">
        <x:v>2022</x:v>
      </x:c>
      <x:c r="D1576" s="18" t="n">
        <x:v>44690</x:v>
      </x:c>
      <x:c r="E1576" s="8" t="str">
        <x:v>TIGER TROUT</x:v>
      </x:c>
      <x:c r="F1576" s="13" t="n">
        <x:v>70</x:v>
      </x:c>
      <x:c r="G1576" s="9" t="n">
        <x:v>16.9</x:v>
      </x:c>
      <x:c r="H1576" s="9" t="n">
        <x:v>53.7</x:v>
      </x:c>
      <x:c r="I1576" s="8" t="str">
        <x:f>B1576&amp;" / "&amp;C1576&amp;" / "&amp;E1576</x:f>
        <x:v>6773 / 2022 / TIGER TROUT</x:v>
      </x:c>
    </x:row>
    <x:row r="1577" ht="23" customHeight="1">
      <x:c r="A1577" s="8" t="str">
        <x:v>Kraft Wimborne Pond</x:v>
      </x:c>
      <x:c r="B1577" s="8" t="str">
        <x:v>6773</x:v>
      </x:c>
      <x:c r="C1577" s="17" t="n">
        <x:v>2021</x:v>
      </x:c>
      <x:c r="D1577" s="18" t="n">
        <x:v>44329</x:v>
      </x:c>
      <x:c r="E1577" s="8" t="str">
        <x:v>BROOK TROUT</x:v>
      </x:c>
      <x:c r="F1577" s="13" t="n">
        <x:v>230</x:v>
      </x:c>
      <x:c r="G1577" s="9" t="n">
        <x:v>19.8</x:v>
      </x:c>
      <x:c r="H1577" s="9" t="n">
        <x:v>86.2</x:v>
      </x:c>
      <x:c r="I1577" s="8" t="str">
        <x:f>B1577&amp;" / "&amp;C1577&amp;" / "&amp;E1577</x:f>
        <x:v>6773 / 2021 / BROOK TROUT</x:v>
      </x:c>
    </x:row>
    <x:row r="1578" ht="23" customHeight="1">
      <x:c r="A1578" s="8" t="str">
        <x:v>Kraft Wimborne Pond</x:v>
      </x:c>
      <x:c r="B1578" s="8" t="str">
        <x:v>6773</x:v>
      </x:c>
      <x:c r="C1578" s="17" t="n">
        <x:v>2021</x:v>
      </x:c>
      <x:c r="D1578" s="18" t="n">
        <x:v>44465</x:v>
      </x:c>
      <x:c r="E1578" s="8" t="str">
        <x:v>RAINBOW TROUT</x:v>
      </x:c>
      <x:c r="F1578" s="13" t="n">
        <x:v>400</x:v>
      </x:c>
      <x:c r="G1578" s="9" t="n">
        <x:v>21.5</x:v>
      </x:c>
      <x:c r="H1578" s="9" t="n">
        <x:v>99.3</x:v>
      </x:c>
      <x:c r="I1578" s="8" t="str">
        <x:f>B1578&amp;" / "&amp;C1578&amp;" / "&amp;E1578</x:f>
        <x:v>6773 / 2021 / RAINBOW TROUT</x:v>
      </x:c>
    </x:row>
    <x:row r="1579" ht="23" customHeight="1">
      <x:c r="A1579" s="8" t="str">
        <x:v>Kraft Wimborne Pond</x:v>
      </x:c>
      <x:c r="B1579" s="8" t="str">
        <x:v>6773</x:v>
      </x:c>
      <x:c r="C1579" s="17" t="n">
        <x:v>2021</x:v>
      </x:c>
      <x:c r="D1579" s="18" t="n">
        <x:v>44329</x:v>
      </x:c>
      <x:c r="E1579" s="8" t="str">
        <x:v>RAINBOW TROUT</x:v>
      </x:c>
      <x:c r="F1579" s="13" t="n">
        <x:v>480</x:v>
      </x:c>
      <x:c r="G1579" s="9" t="n">
        <x:v>21.4</x:v>
      </x:c>
      <x:c r="H1579" s="9" t="n">
        <x:v>108.9</x:v>
      </x:c>
      <x:c r="I1579" s="8" t="str">
        <x:f>B1579&amp;" / "&amp;C1579&amp;" / "&amp;E1579</x:f>
        <x:v>6773 / 2021 / RAINBOW TROUT</x:v>
      </x:c>
    </x:row>
    <x:row r="1580" ht="23" customHeight="1">
      <x:c r="A1580" s="8" t="str">
        <x:v>Kraft Wimborne Pond</x:v>
      </x:c>
      <x:c r="B1580" s="8" t="str">
        <x:v>6773</x:v>
      </x:c>
      <x:c r="C1580" s="17" t="n">
        <x:v>2021</x:v>
      </x:c>
      <x:c r="D1580" s="18" t="n">
        <x:v>44329</x:v>
      </x:c>
      <x:c r="E1580" s="8" t="str">
        <x:v>TIGER TROUT</x:v>
      </x:c>
      <x:c r="F1580" s="13" t="n">
        <x:v>70</x:v>
      </x:c>
      <x:c r="G1580" s="9" t="n">
        <x:v>15.9</x:v>
      </x:c>
      <x:c r="H1580" s="9" t="n">
        <x:v>44.8</x:v>
      </x:c>
      <x:c r="I1580" s="8" t="str">
        <x:f>B1580&amp;" / "&amp;C1580&amp;" / "&amp;E1580</x:f>
        <x:v>6773 / 2021 / TIGER TROUT</x:v>
      </x:c>
    </x:row>
    <x:row r="1581" ht="23" customHeight="1">
      <x:c r="A1581" s="8" t="str">
        <x:v>Kramer Pond</x:v>
      </x:c>
      <x:c r="B1581" s="8" t="str">
        <x:v>6774</x:v>
      </x:c>
      <x:c r="C1581" s="17" t="n">
        <x:v>2026</x:v>
      </x:c>
      <x:c r="D1581" s="18" t="n">
        <x:v>46156</x:v>
      </x:c>
      <x:c r="E1581" s="8" t="str">
        <x:v>RAINBOW TROUT</x:v>
      </x:c>
      <x:c r="F1581" s="13" t="n">
        <x:v>1500</x:v>
      </x:c>
      <x:c r="G1581" s="9" t="n">
        <x:v>20.3</x:v>
      </x:c>
      <x:c r="H1581" s="9" t="n">
        <x:v>90.7</x:v>
      </x:c>
      <x:c r="I1581" s="8" t="str">
        <x:f>B1581&amp;" / "&amp;C1581&amp;" / "&amp;E1581</x:f>
        <x:v>6774 / 2026 / RAINBOW TROUT</x:v>
      </x:c>
    </x:row>
    <x:row r="1582" ht="23" customHeight="1">
      <x:c r="A1582" s="8" t="str">
        <x:v>Kramer Pond</x:v>
      </x:c>
      <x:c r="B1582" s="8" t="str">
        <x:v>6774</x:v>
      </x:c>
      <x:c r="C1582" s="17" t="n">
        <x:v>2026</x:v>
      </x:c>
      <x:c r="D1582" s="18" t="n">
        <x:v>46154</x:v>
      </x:c>
      <x:c r="E1582" s="8" t="str">
        <x:v>RAINBOW TROUT</x:v>
      </x:c>
      <x:c r="F1582" s="13" t="n">
        <x:v>2000</x:v>
      </x:c>
      <x:c r="G1582" s="9" t="n">
        <x:v>20.8</x:v>
      </x:c>
      <x:c r="H1582" s="9" t="n">
        <x:v>97.8</x:v>
      </x:c>
      <x:c r="I1582" s="8" t="str">
        <x:f>B1582&amp;" / "&amp;C1582&amp;" / "&amp;E1582</x:f>
        <x:v>6774 / 2026 / RAINBOW TROUT</x:v>
      </x:c>
    </x:row>
    <x:row r="1583" ht="23" customHeight="1">
      <x:c r="A1583" s="8" t="str">
        <x:v>Kramer Pond</x:v>
      </x:c>
      <x:c r="B1583" s="8" t="str">
        <x:v>6774</x:v>
      </x:c>
      <x:c r="C1583" s="17" t="n">
        <x:v>2025</x:v>
      </x:c>
      <x:c r="D1583" s="18" t="n">
        <x:v>45930</x:v>
      </x:c>
      <x:c r="E1583" s="8" t="str">
        <x:v>RAINBOW TROUT</x:v>
      </x:c>
      <x:c r="F1583" s="13" t="n">
        <x:v>1500</x:v>
      </x:c>
      <x:c r="G1583" s="9" t="n">
        <x:v>20.4</x:v>
      </x:c>
      <x:c r="H1583" s="9" t="n">
        <x:v>91.3</x:v>
      </x:c>
      <x:c r="I1583" s="8" t="str">
        <x:f>B1583&amp;" / "&amp;C1583&amp;" / "&amp;E1583</x:f>
        <x:v>6774 / 2025 / RAINBOW TROUT</x:v>
      </x:c>
    </x:row>
    <x:row r="1584" ht="23" customHeight="1">
      <x:c r="A1584" s="8" t="str">
        <x:v>Kramer Pond</x:v>
      </x:c>
      <x:c r="B1584" s="8" t="str">
        <x:v>6774</x:v>
      </x:c>
      <x:c r="C1584" s="17" t="n">
        <x:v>2025</x:v>
      </x:c>
      <x:c r="D1584" s="18" t="n">
        <x:v>45785</x:v>
      </x:c>
      <x:c r="E1584" s="8" t="str">
        <x:v>RAINBOW TROUT</x:v>
      </x:c>
      <x:c r="F1584" s="13" t="n">
        <x:v>3500</x:v>
      </x:c>
      <x:c r="G1584" s="9" t="n">
        <x:v>20.1</x:v>
      </x:c>
      <x:c r="H1584" s="9" t="n">
        <x:v>87.5</x:v>
      </x:c>
      <x:c r="I1584" s="8" t="str">
        <x:f>B1584&amp;" / "&amp;C1584&amp;" / "&amp;E1584</x:f>
        <x:v>6774 / 2025 / RAINBOW TROUT</x:v>
      </x:c>
    </x:row>
    <x:row r="1585" ht="23" customHeight="1">
      <x:c r="A1585" s="8" t="str">
        <x:v>Kramer Pond</x:v>
      </x:c>
      <x:c r="B1585" s="8" t="str">
        <x:v>6774</x:v>
      </x:c>
      <x:c r="C1585" s="17" t="n">
        <x:v>2024</x:v>
      </x:c>
      <x:c r="D1585" s="18" t="n">
        <x:v>45554</x:v>
      </x:c>
      <x:c r="E1585" s="8" t="str">
        <x:v>RAINBOW TROUT</x:v>
      </x:c>
      <x:c r="F1585" s="13" t="n">
        <x:v>1500</x:v>
      </x:c>
      <x:c r="G1585" s="9" t="n">
        <x:v>21.4</x:v>
      </x:c>
      <x:c r="H1585" s="9" t="n">
        <x:v>108.1</x:v>
      </x:c>
      <x:c r="I1585" s="8" t="str">
        <x:f>B1585&amp;" / "&amp;C1585&amp;" / "&amp;E1585</x:f>
        <x:v>6774 / 2024 / RAINBOW TROUT</x:v>
      </x:c>
    </x:row>
    <x:row r="1586" ht="23" customHeight="1">
      <x:c r="A1586" s="8" t="str">
        <x:v>Kramer Pond</x:v>
      </x:c>
      <x:c r="B1586" s="8" t="str">
        <x:v>6774</x:v>
      </x:c>
      <x:c r="C1586" s="17" t="n">
        <x:v>2024</x:v>
      </x:c>
      <x:c r="D1586" s="18" t="n">
        <x:v>45415</x:v>
      </x:c>
      <x:c r="E1586" s="8" t="str">
        <x:v>RAINBOW TROUT</x:v>
      </x:c>
      <x:c r="F1586" s="13" t="n">
        <x:v>1750</x:v>
      </x:c>
      <x:c r="G1586" s="9" t="n">
        <x:v>20.5</x:v>
      </x:c>
      <x:c r="H1586" s="9" t="n">
        <x:v>92.6</x:v>
      </x:c>
      <x:c r="I1586" s="8" t="str">
        <x:f>B1586&amp;" / "&amp;C1586&amp;" / "&amp;E1586</x:f>
        <x:v>6774 / 2024 / RAINBOW TROUT</x:v>
      </x:c>
    </x:row>
    <x:row r="1587" ht="23" customHeight="1">
      <x:c r="A1587" s="8" t="str">
        <x:v>Kramer Pond</x:v>
      </x:c>
      <x:c r="B1587" s="8" t="str">
        <x:v>6774</x:v>
      </x:c>
      <x:c r="C1587" s="17" t="n">
        <x:v>2023</x:v>
      </x:c>
      <x:c r="D1587" s="18" t="n">
        <x:v>45189</x:v>
      </x:c>
      <x:c r="E1587" s="8" t="str">
        <x:v>RAINBOW TROUT</x:v>
      </x:c>
      <x:c r="F1587" s="13" t="n">
        <x:v>503</x:v>
      </x:c>
      <x:c r="G1587" s="9" t="n">
        <x:v>20.9</x:v>
      </x:c>
      <x:c r="H1587" s="9" t="n">
        <x:v>93.8</x:v>
      </x:c>
      <x:c r="I1587" s="8" t="str">
        <x:f>B1587&amp;" / "&amp;C1587&amp;" / "&amp;E1587</x:f>
        <x:v>6774 / 2023 / RAINBOW TROUT</x:v>
      </x:c>
    </x:row>
    <x:row r="1588" ht="23" customHeight="1">
      <x:c r="A1588" s="8" t="str">
        <x:v>Kramer Pond</x:v>
      </x:c>
      <x:c r="B1588" s="8" t="str">
        <x:v>6774</x:v>
      </x:c>
      <x:c r="C1588" s="17" t="n">
        <x:v>2023</x:v>
      </x:c>
      <x:c r="D1588" s="18" t="n">
        <x:v>45057</x:v>
      </x:c>
      <x:c r="E1588" s="8" t="str">
        <x:v>RAINBOW TROUT</x:v>
      </x:c>
      <x:c r="F1588" s="13" t="n">
        <x:v>1757</x:v>
      </x:c>
      <x:c r="G1588" s="9" t="n">
        <x:v>21.1</x:v>
      </x:c>
      <x:c r="H1588" s="9" t="n">
        <x:v>104.5</x:v>
      </x:c>
      <x:c r="I1588" s="8" t="str">
        <x:f>B1588&amp;" / "&amp;C1588&amp;" / "&amp;E1588</x:f>
        <x:v>6774 / 2023 / RAINBOW TROUT</x:v>
      </x:c>
    </x:row>
    <x:row r="1589" ht="23" customHeight="1">
      <x:c r="A1589" s="8" t="str">
        <x:v>Kramer Pond</x:v>
      </x:c>
      <x:c r="B1589" s="8" t="str">
        <x:v>6774</x:v>
      </x:c>
      <x:c r="C1589" s="17" t="n">
        <x:v>2022</x:v>
      </x:c>
      <x:c r="D1589" s="18" t="n">
        <x:v>44830</x:v>
      </x:c>
      <x:c r="E1589" s="8" t="str">
        <x:v>RAINBOW TROUT</x:v>
      </x:c>
      <x:c r="F1589" s="13" t="n">
        <x:v>1500</x:v>
      </x:c>
      <x:c r="G1589" s="9" t="n">
        <x:v>19.5</x:v>
      </x:c>
      <x:c r="H1589" s="9" t="n">
        <x:v>82.2</x:v>
      </x:c>
      <x:c r="I1589" s="8" t="str">
        <x:f>B1589&amp;" / "&amp;C1589&amp;" / "&amp;E1589</x:f>
        <x:v>6774 / 2022 / RAINBOW TROUT</x:v>
      </x:c>
    </x:row>
    <x:row r="1590" ht="23" customHeight="1">
      <x:c r="A1590" s="8" t="str">
        <x:v>Kramer Pond</x:v>
      </x:c>
      <x:c r="B1590" s="8" t="str">
        <x:v>6774</x:v>
      </x:c>
      <x:c r="C1590" s="17" t="n">
        <x:v>2022</x:v>
      </x:c>
      <x:c r="D1590" s="18" t="n">
        <x:v>44830</x:v>
      </x:c>
      <x:c r="E1590" s="8" t="str">
        <x:v>RAINBOW TROUT</x:v>
      </x:c>
      <x:c r="F1590" s="13" t="n">
        <x:v>1500</x:v>
      </x:c>
      <x:c r="G1590" s="9" t="n">
        <x:v>19.5</x:v>
      </x:c>
      <x:c r="H1590" s="9" t="n">
        <x:v>82.2</x:v>
      </x:c>
      <x:c r="I1590" s="8" t="str">
        <x:f>B1590&amp;" / "&amp;C1590&amp;" / "&amp;E1590</x:f>
        <x:v>6774 / 2022 / RAINBOW TROUT</x:v>
      </x:c>
    </x:row>
    <x:row r="1591" ht="23" customHeight="1">
      <x:c r="A1591" s="8" t="str">
        <x:v>Kramer Pond</x:v>
      </x:c>
      <x:c r="B1591" s="8" t="str">
        <x:v>6774</x:v>
      </x:c>
      <x:c r="C1591" s="17" t="n">
        <x:v>2022</x:v>
      </x:c>
      <x:c r="D1591" s="18" t="n">
        <x:v>44696</x:v>
      </x:c>
      <x:c r="E1591" s="8" t="str">
        <x:v>RAINBOW TROUT</x:v>
      </x:c>
      <x:c r="F1591" s="13" t="n">
        <x:v>3500</x:v>
      </x:c>
      <x:c r="G1591" s="9" t="n">
        <x:v>22.1</x:v>
      </x:c>
      <x:c r="H1591" s="9" t="n">
        <x:v>117.6</x:v>
      </x:c>
      <x:c r="I1591" s="8" t="str">
        <x:f>B1591&amp;" / "&amp;C1591&amp;" / "&amp;E1591</x:f>
        <x:v>6774 / 2022 / RAINBOW TROUT</x:v>
      </x:c>
    </x:row>
    <x:row r="1592" ht="23" customHeight="1">
      <x:c r="A1592" s="8" t="str">
        <x:v>Kramer Pond</x:v>
      </x:c>
      <x:c r="B1592" s="8" t="str">
        <x:v>6774</x:v>
      </x:c>
      <x:c r="C1592" s="17" t="n">
        <x:v>2021</x:v>
      </x:c>
      <x:c r="D1592" s="18" t="n">
        <x:v>44466</x:v>
      </x:c>
      <x:c r="E1592" s="8" t="str">
        <x:v>RAINBOW TROUT</x:v>
      </x:c>
      <x:c r="F1592" s="13" t="n">
        <x:v>1358</x:v>
      </x:c>
      <x:c r="G1592" s="9" t="n">
        <x:v>28.5</x:v>
      </x:c>
      <x:c r="H1592" s="9" t="n">
        <x:v>255.4</x:v>
      </x:c>
      <x:c r="I1592" s="8" t="str">
        <x:f>B1592&amp;" / "&amp;C1592&amp;" / "&amp;E1592</x:f>
        <x:v>6774 / 2021 / RAINBOW TROUT</x:v>
      </x:c>
    </x:row>
    <x:row r="1593" ht="23" customHeight="1">
      <x:c r="A1593" s="8" t="str">
        <x:v>Kramer Pond</x:v>
      </x:c>
      <x:c r="B1593" s="8" t="str">
        <x:v>6774</x:v>
      </x:c>
      <x:c r="C1593" s="17" t="n">
        <x:v>2021</x:v>
      </x:c>
      <x:c r="D1593" s="18" t="n">
        <x:v>44466</x:v>
      </x:c>
      <x:c r="E1593" s="8" t="str">
        <x:v>RAINBOW TROUT</x:v>
      </x:c>
      <x:c r="F1593" s="13" t="n">
        <x:v>142</x:v>
      </x:c>
      <x:c r="G1593" s="9" t="n">
        <x:v>20.6</x:v>
      </x:c>
      <x:c r="H1593" s="9" t="n">
        <x:v>97.2</x:v>
      </x:c>
      <x:c r="I1593" s="8" t="str">
        <x:f>B1593&amp;" / "&amp;C1593&amp;" / "&amp;E1593</x:f>
        <x:v>6774 / 2021 / RAINBOW TROUT</x:v>
      </x:c>
    </x:row>
    <x:row r="1594" ht="23" customHeight="1">
      <x:c r="A1594" s="8" t="str">
        <x:v>Kramer Pond</x:v>
      </x:c>
      <x:c r="B1594" s="8" t="str">
        <x:v>6774</x:v>
      </x:c>
      <x:c r="C1594" s="17" t="n">
        <x:v>2021</x:v>
      </x:c>
      <x:c r="D1594" s="18" t="n">
        <x:v>44319</x:v>
      </x:c>
      <x:c r="E1594" s="8" t="str">
        <x:v>RAINBOW TROUT</x:v>
      </x:c>
      <x:c r="F1594" s="13" t="n">
        <x:v>5000</x:v>
      </x:c>
      <x:c r="G1594" s="9" t="n">
        <x:v>20.8</x:v>
      </x:c>
      <x:c r="H1594" s="9" t="n">
        <x:v>99.1</x:v>
      </x:c>
      <x:c r="I1594" s="8" t="str">
        <x:f>B1594&amp;" / "&amp;C1594&amp;" / "&amp;E1594</x:f>
        <x:v>6774 / 2021 / RAINBOW TROUT</x:v>
      </x:c>
    </x:row>
    <x:row r="1595" ht="23" customHeight="1">
      <x:c r="A1595" s="8" t="str">
        <x:v>La Crete Pond</x:v>
      </x:c>
      <x:c r="B1595" s="8" t="str">
        <x:v>20267</x:v>
      </x:c>
      <x:c r="C1595" s="17" t="n">
        <x:v>2026</x:v>
      </x:c>
      <x:c r="D1595" s="18" t="n">
        <x:v>46162</x:v>
      </x:c>
      <x:c r="E1595" s="8" t="str">
        <x:v>RAINBOW TROUT</x:v>
      </x:c>
      <x:c r="F1595" s="13" t="n">
        <x:v>1500</x:v>
      </x:c>
      <x:c r="G1595" s="9" t="n">
        <x:v>21.5</x:v>
      </x:c>
      <x:c r="H1595" s="9" t="n">
        <x:v>109</x:v>
      </x:c>
      <x:c r="I1595" s="8" t="str">
        <x:f>B1595&amp;" / "&amp;C1595&amp;" / "&amp;E1595</x:f>
        <x:v>20267 / 2026 / RAINBOW TROUT</x:v>
      </x:c>
    </x:row>
    <x:row r="1596" ht="23" customHeight="1">
      <x:c r="A1596" s="8" t="str">
        <x:v>La Crete Pond</x:v>
      </x:c>
      <x:c r="B1596" s="8" t="str">
        <x:v>20267</x:v>
      </x:c>
      <x:c r="C1596" s="17" t="n">
        <x:v>2025</x:v>
      </x:c>
      <x:c r="D1596" s="18" t="n">
        <x:v>45789</x:v>
      </x:c>
      <x:c r="E1596" s="8" t="str">
        <x:v>RAINBOW TROUT</x:v>
      </x:c>
      <x:c r="F1596" s="13" t="n">
        <x:v>1500</x:v>
      </x:c>
      <x:c r="G1596" s="9" t="n">
        <x:v>20.8</x:v>
      </x:c>
      <x:c r="H1596" s="9" t="n">
        <x:v>95.5</x:v>
      </x:c>
      <x:c r="I1596" s="8" t="str">
        <x:f>B1596&amp;" / "&amp;C1596&amp;" / "&amp;E1596</x:f>
        <x:v>20267 / 2025 / RAINBOW TROUT</x:v>
      </x:c>
    </x:row>
    <x:row r="1597" ht="23" customHeight="1">
      <x:c r="A1597" s="8" t="str">
        <x:v>La Crete Pond</x:v>
      </x:c>
      <x:c r="B1597" s="8" t="str">
        <x:v>20267</x:v>
      </x:c>
      <x:c r="C1597" s="17" t="n">
        <x:v>2024</x:v>
      </x:c>
      <x:c r="D1597" s="18" t="n">
        <x:v>45426</x:v>
      </x:c>
      <x:c r="E1597" s="8" t="str">
        <x:v>RAINBOW TROUT</x:v>
      </x:c>
      <x:c r="F1597" s="13" t="n">
        <x:v>750</x:v>
      </x:c>
      <x:c r="G1597" s="9" t="n">
        <x:v>20.7</x:v>
      </x:c>
      <x:c r="H1597" s="9" t="n">
        <x:v>95.1</x:v>
      </x:c>
      <x:c r="I1597" s="8" t="str">
        <x:f>B1597&amp;" / "&amp;C1597&amp;" / "&amp;E1597</x:f>
        <x:v>20267 / 2024 / RAINBOW TROUT</x:v>
      </x:c>
    </x:row>
    <x:row r="1598" ht="23" customHeight="1">
      <x:c r="A1598" s="8" t="str">
        <x:v>La Crete Pond</x:v>
      </x:c>
      <x:c r="B1598" s="8" t="str">
        <x:v>20267</x:v>
      </x:c>
      <x:c r="C1598" s="17" t="n">
        <x:v>2023</x:v>
      </x:c>
      <x:c r="D1598" s="18" t="n">
        <x:v>45069</x:v>
      </x:c>
      <x:c r="E1598" s="8" t="str">
        <x:v>RAINBOW TROUT</x:v>
      </x:c>
      <x:c r="F1598" s="13" t="n">
        <x:v>112</x:v>
      </x:c>
      <x:c r="G1598" s="9" t="n">
        <x:v>20.1</x:v>
      </x:c>
      <x:c r="H1598" s="9" t="n">
        <x:v>87.5</x:v>
      </x:c>
      <x:c r="I1598" s="8" t="str">
        <x:f>B1598&amp;" / "&amp;C1598&amp;" / "&amp;E1598</x:f>
        <x:v>20267 / 2023 / RAINBOW TROUT</x:v>
      </x:c>
    </x:row>
    <x:row r="1599" ht="23" customHeight="1">
      <x:c r="A1599" s="8" t="str">
        <x:v>La Crete Pond</x:v>
      </x:c>
      <x:c r="B1599" s="8" t="str">
        <x:v>20267</x:v>
      </x:c>
      <x:c r="C1599" s="17" t="n">
        <x:v>2023</x:v>
      </x:c>
      <x:c r="D1599" s="18" t="n">
        <x:v>45069</x:v>
      </x:c>
      <x:c r="E1599" s="8" t="str">
        <x:v>RAINBOW TROUT</x:v>
      </x:c>
      <x:c r="F1599" s="13" t="n">
        <x:v>641</x:v>
      </x:c>
      <x:c r="G1599" s="9" t="n">
        <x:v>21.4</x:v>
      </x:c>
      <x:c r="H1599" s="9" t="n">
        <x:v>105.6</x:v>
      </x:c>
      <x:c r="I1599" s="8" t="str">
        <x:f>B1599&amp;" / "&amp;C1599&amp;" / "&amp;E1599</x:f>
        <x:v>20267 / 2023 / RAINBOW TROUT</x:v>
      </x:c>
    </x:row>
    <x:row r="1600" ht="23" customHeight="1">
      <x:c r="A1600" s="8" t="str">
        <x:v>La Crete Pond</x:v>
      </x:c>
      <x:c r="B1600" s="8" t="str">
        <x:v>20267</x:v>
      </x:c>
      <x:c r="C1600" s="17" t="n">
        <x:v>2022</x:v>
      </x:c>
      <x:c r="D1600" s="18" t="n">
        <x:v>44697</x:v>
      </x:c>
      <x:c r="E1600" s="8" t="str">
        <x:v>RAINBOW TROUT</x:v>
      </x:c>
      <x:c r="F1600" s="13" t="n">
        <x:v>1500</x:v>
      </x:c>
      <x:c r="G1600" s="9" t="n">
        <x:v>21.9</x:v>
      </x:c>
      <x:c r="H1600" s="9" t="n">
        <x:v>116.9</x:v>
      </x:c>
      <x:c r="I1600" s="8" t="str">
        <x:f>B1600&amp;" / "&amp;C1600&amp;" / "&amp;E1600</x:f>
        <x:v>20267 / 2022 / RAINBOW TROUT</x:v>
      </x:c>
    </x:row>
    <x:row r="1601" ht="23" customHeight="1">
      <x:c r="A1601" s="8" t="str">
        <x:v>La Crete Pond</x:v>
      </x:c>
      <x:c r="B1601" s="8" t="str">
        <x:v>20267</x:v>
      </x:c>
      <x:c r="C1601" s="17" t="n">
        <x:v>2021</x:v>
      </x:c>
      <x:c r="D1601" s="18" t="n">
        <x:v>44342</x:v>
      </x:c>
      <x:c r="E1601" s="8" t="str">
        <x:v>RAINBOW TROUT</x:v>
      </x:c>
      <x:c r="F1601" s="13" t="n">
        <x:v>1500</x:v>
      </x:c>
      <x:c r="G1601" s="9" t="n">
        <x:v>19.5</x:v>
      </x:c>
      <x:c r="H1601" s="9" t="n">
        <x:v>83</x:v>
      </x:c>
      <x:c r="I1601" s="8" t="str">
        <x:f>B1601&amp;" / "&amp;C1601&amp;" / "&amp;E1601</x:f>
        <x:v>20267 / 2021 / RAINBOW TROUT</x:v>
      </x:c>
    </x:row>
    <x:row r="1602" ht="23" customHeight="1">
      <x:c r="A1602" s="8" t="str">
        <x:v>Lac Bellevue</x:v>
      </x:c>
      <x:c r="B1602" s="8" t="str">
        <x:v>4027</x:v>
      </x:c>
      <x:c r="C1602" s="17" t="n">
        <x:v>2023</x:v>
      </x:c>
      <x:c r="D1602" s="18" t="n">
        <x:v>45072</x:v>
      </x:c>
      <x:c r="E1602" s="8" t="str">
        <x:v>WALLEYE</x:v>
      </x:c>
      <x:c r="F1602" s="13" t="n">
        <x:v>46100</x:v>
      </x:c>
      <x:c r="G1602" s="9" t="n">
        <x:v>0.4</x:v>
      </x:c>
      <x:c r="H1602" s="9" t="n">
        <x:v>0</x:v>
      </x:c>
      <x:c r="I1602" s="8" t="str">
        <x:f>B1602&amp;" / "&amp;C1602&amp;" / "&amp;E1602</x:f>
        <x:v>4027 / 2023 / WALLEYE</x:v>
      </x:c>
    </x:row>
    <x:row r="1603" ht="23" customHeight="1">
      <x:c r="A1603" s="8" t="str">
        <x:v>Lac Bellevue</x:v>
      </x:c>
      <x:c r="B1603" s="8" t="str">
        <x:v>4027</x:v>
      </x:c>
      <x:c r="C1603" s="17" t="n">
        <x:v>2022</x:v>
      </x:c>
      <x:c r="D1603" s="18" t="n">
        <x:v>44707</x:v>
      </x:c>
      <x:c r="E1603" s="8" t="str">
        <x:v>WALLEYE</x:v>
      </x:c>
      <x:c r="F1603" s="13" t="n">
        <x:v>46100</x:v>
      </x:c>
      <x:c r="G1603" s="9" t="n">
        <x:v>0.4</x:v>
      </x:c>
      <x:c r="H1603" s="9" t="n">
        <x:v>0</x:v>
      </x:c>
      <x:c r="I1603" s="8" t="str">
        <x:f>B1603&amp;" / "&amp;C1603&amp;" / "&amp;E1603</x:f>
        <x:v>4027 / 2022 / WALLEYE</x:v>
      </x:c>
    </x:row>
    <x:row r="1604" ht="23" customHeight="1">
      <x:c r="A1604" s="8" t="str">
        <x:v>Lac Bellevue</x:v>
      </x:c>
      <x:c r="B1604" s="8" t="str">
        <x:v>4027</x:v>
      </x:c>
      <x:c r="C1604" s="17" t="n">
        <x:v>2021</x:v>
      </x:c>
      <x:c r="D1604" s="18" t="n">
        <x:v>44455</x:v>
      </x:c>
      <x:c r="E1604" s="8" t="str">
        <x:v>NORTHERN PIKE</x:v>
      </x:c>
      <x:c r="F1604" s="13" t="n">
        <x:v>524</x:v>
      </x:c>
      <x:c r="G1604" s="9" t="n">
        <x:v>20</x:v>
      </x:c>
      <x:c r="H1604" s="9" t="n">
        <x:v>38.2</x:v>
      </x:c>
      <x:c r="I1604" s="8" t="str">
        <x:f>B1604&amp;" / "&amp;C1604&amp;" / "&amp;E1604</x:f>
        <x:v>4027 / 2021 / NORTHERN PIKE</x:v>
      </x:c>
    </x:row>
    <x:row r="1605" ht="23" customHeight="1">
      <x:c r="A1605" s="8" t="str">
        <x:v>Lac Bellevue</x:v>
      </x:c>
      <x:c r="B1605" s="8" t="str">
        <x:v>4027</x:v>
      </x:c>
      <x:c r="C1605" s="17" t="n">
        <x:v>2021</x:v>
      </x:c>
      <x:c r="D1605" s="18" t="n">
        <x:v>44455</x:v>
      </x:c>
      <x:c r="E1605" s="8" t="str">
        <x:v>WALLEYE</x:v>
      </x:c>
      <x:c r="F1605" s="13" t="n">
        <x:v>1161</x:v>
      </x:c>
      <x:c r="G1605" s="9" t="n">
        <x:v>7.8</x:v>
      </x:c>
      <x:c r="H1605" s="9" t="n">
        <x:v>3.1</x:v>
      </x:c>
      <x:c r="I1605" s="8" t="str">
        <x:f>B1605&amp;" / "&amp;C1605&amp;" / "&amp;E1605</x:f>
        <x:v>4027 / 2021 / WALLEYE</x:v>
      </x:c>
    </x:row>
    <x:row r="1606" ht="23" customHeight="1">
      <x:c r="A1606" s="8" t="str">
        <x:v>Lac Bellevue</x:v>
      </x:c>
      <x:c r="B1606" s="8" t="str">
        <x:v>4027</x:v>
      </x:c>
      <x:c r="C1606" s="17" t="n">
        <x:v>2021</x:v>
      </x:c>
      <x:c r="D1606" s="18" t="n">
        <x:v>44340</x:v>
      </x:c>
      <x:c r="E1606" s="8" t="str">
        <x:v>WALLEYE</x:v>
      </x:c>
      <x:c r="F1606" s="13" t="n">
        <x:v>55320</x:v>
      </x:c>
      <x:c r="G1606" s="9" t="n">
        <x:v>0.4</x:v>
      </x:c>
      <x:c r="H1606" s="9" t="str">
        <x:v>Unknown</x:v>
      </x:c>
      <x:c r="I1606" s="8" t="str">
        <x:f>B1606&amp;" / "&amp;C1606&amp;" / "&amp;E1606</x:f>
        <x:v>4027 / 2021 / WALLEYE</x:v>
      </x:c>
    </x:row>
    <x:row r="1607" ht="23" customHeight="1">
      <x:c r="A1607" s="8" t="str">
        <x:v>Lacombe Park Pond</x:v>
      </x:c>
      <x:c r="B1607" s="8" t="str">
        <x:v>6776</x:v>
      </x:c>
      <x:c r="C1607" s="17" t="n">
        <x:v>2026</x:v>
      </x:c>
      <x:c r="D1607" s="18" t="n">
        <x:v>46148</x:v>
      </x:c>
      <x:c r="E1607" s="8" t="str">
        <x:v>BROOK TROUT</x:v>
      </x:c>
      <x:c r="F1607" s="13" t="n">
        <x:v>600</x:v>
      </x:c>
      <x:c r="G1607" s="9" t="n">
        <x:v>18.5</x:v>
      </x:c>
      <x:c r="H1607" s="9" t="n">
        <x:v>68</x:v>
      </x:c>
      <x:c r="I1607" s="8" t="str">
        <x:f>B1607&amp;" / "&amp;C1607&amp;" / "&amp;E1607</x:f>
        <x:v>6776 / 2026 / BROOK TROUT</x:v>
      </x:c>
    </x:row>
    <x:row r="1608" ht="23" customHeight="1">
      <x:c r="A1608" s="8" t="str">
        <x:v>Lacombe Park Pond</x:v>
      </x:c>
      <x:c r="B1608" s="8" t="str">
        <x:v>6776</x:v>
      </x:c>
      <x:c r="C1608" s="17" t="n">
        <x:v>2026</x:v>
      </x:c>
      <x:c r="D1608" s="18" t="n">
        <x:v>46147</x:v>
      </x:c>
      <x:c r="E1608" s="8" t="str">
        <x:v>BROOK TROUT</x:v>
      </x:c>
      <x:c r="F1608" s="13" t="n">
        <x:v>120</x:v>
      </x:c>
      <x:c r="G1608" s="9" t="n">
        <x:v>30.1</x:v>
      </x:c>
      <x:c r="H1608" s="9" t="n">
        <x:v>335.5</x:v>
      </x:c>
      <x:c r="I1608" s="8" t="str">
        <x:f>B1608&amp;" / "&amp;C1608&amp;" / "&amp;E1608</x:f>
        <x:v>6776 / 2026 / BROOK TROUT</x:v>
      </x:c>
    </x:row>
    <x:row r="1609" ht="23" customHeight="1">
      <x:c r="A1609" s="8" t="str">
        <x:v>Lacombe Park Pond</x:v>
      </x:c>
      <x:c r="B1609" s="8" t="str">
        <x:v>6776</x:v>
      </x:c>
      <x:c r="C1609" s="17" t="n">
        <x:v>2026</x:v>
      </x:c>
      <x:c r="D1609" s="18" t="n">
        <x:v>46148</x:v>
      </x:c>
      <x:c r="E1609" s="8" t="str">
        <x:v>RAINBOW TROUT</x:v>
      </x:c>
      <x:c r="F1609" s="13" t="n">
        <x:v>500</x:v>
      </x:c>
      <x:c r="G1609" s="9" t="n">
        <x:v>24.2</x:v>
      </x:c>
      <x:c r="H1609" s="9" t="n">
        <x:v>152.2</x:v>
      </x:c>
      <x:c r="I1609" s="8" t="str">
        <x:f>B1609&amp;" / "&amp;C1609&amp;" / "&amp;E1609</x:f>
        <x:v>6776 / 2026 / RAINBOW TROUT</x:v>
      </x:c>
    </x:row>
    <x:row r="1610" ht="23" customHeight="1">
      <x:c r="A1610" s="8" t="str">
        <x:v>Lacombe Park Pond</x:v>
      </x:c>
      <x:c r="B1610" s="8" t="str">
        <x:v>6776</x:v>
      </x:c>
      <x:c r="C1610" s="17" t="n">
        <x:v>2025</x:v>
      </x:c>
      <x:c r="D1610" s="18" t="n">
        <x:v>45788</x:v>
      </x:c>
      <x:c r="E1610" s="8" t="str">
        <x:v>BROOK TROUT</x:v>
      </x:c>
      <x:c r="F1610" s="13" t="n">
        <x:v>600</x:v>
      </x:c>
      <x:c r="G1610" s="9" t="n">
        <x:v>19.4</x:v>
      </x:c>
      <x:c r="H1610" s="9" t="n">
        <x:v>78.4</x:v>
      </x:c>
      <x:c r="I1610" s="8" t="str">
        <x:f>B1610&amp;" / "&amp;C1610&amp;" / "&amp;E1610</x:f>
        <x:v>6776 / 2025 / BROOK TROUT</x:v>
      </x:c>
    </x:row>
    <x:row r="1611" ht="23" customHeight="1">
      <x:c r="A1611" s="8" t="str">
        <x:v>Lacombe Park Pond</x:v>
      </x:c>
      <x:c r="B1611" s="8" t="str">
        <x:v>6776</x:v>
      </x:c>
      <x:c r="C1611" s="17" t="n">
        <x:v>2025</x:v>
      </x:c>
      <x:c r="D1611" s="18" t="n">
        <x:v>45788</x:v>
      </x:c>
      <x:c r="E1611" s="8" t="str">
        <x:v>RAINBOW TROUT</x:v>
      </x:c>
      <x:c r="F1611" s="13" t="n">
        <x:v>500</x:v>
      </x:c>
      <x:c r="G1611" s="9" t="n">
        <x:v>20.3</x:v>
      </x:c>
      <x:c r="H1611" s="9" t="n">
        <x:v>89.8</x:v>
      </x:c>
      <x:c r="I1611" s="8" t="str">
        <x:f>B1611&amp;" / "&amp;C1611&amp;" / "&amp;E1611</x:f>
        <x:v>6776 / 2025 / RAINBOW TROUT</x:v>
      </x:c>
    </x:row>
    <x:row r="1612" ht="23" customHeight="1">
      <x:c r="A1612" s="8" t="str">
        <x:v>Lacombe Park Pond</x:v>
      </x:c>
      <x:c r="B1612" s="8" t="str">
        <x:v>6776</x:v>
      </x:c>
      <x:c r="C1612" s="17" t="n">
        <x:v>2024</x:v>
      </x:c>
      <x:c r="D1612" s="18" t="n">
        <x:v>45427</x:v>
      </x:c>
      <x:c r="E1612" s="8" t="str">
        <x:v>BROOK TROUT</x:v>
      </x:c>
      <x:c r="F1612" s="13" t="n">
        <x:v>600</x:v>
      </x:c>
      <x:c r="G1612" s="9" t="n">
        <x:v>21.7</x:v>
      </x:c>
      <x:c r="H1612" s="9" t="n">
        <x:v>70.1</x:v>
      </x:c>
      <x:c r="I1612" s="8" t="str">
        <x:f>B1612&amp;" / "&amp;C1612&amp;" / "&amp;E1612</x:f>
        <x:v>6776 / 2024 / BROOK TROUT</x:v>
      </x:c>
    </x:row>
    <x:row r="1613" ht="23" customHeight="1">
      <x:c r="A1613" s="8" t="str">
        <x:v>Lacombe Park Pond</x:v>
      </x:c>
      <x:c r="B1613" s="8" t="str">
        <x:v>6776</x:v>
      </x:c>
      <x:c r="C1613" s="17" t="n">
        <x:v>2024</x:v>
      </x:c>
      <x:c r="D1613" s="18" t="n">
        <x:v>45412</x:v>
      </x:c>
      <x:c r="E1613" s="8" t="str">
        <x:v>RAINBOW TROUT</x:v>
      </x:c>
      <x:c r="F1613" s="13" t="n">
        <x:v>500</x:v>
      </x:c>
      <x:c r="G1613" s="9" t="n">
        <x:v>20.3</x:v>
      </x:c>
      <x:c r="H1613" s="9" t="n">
        <x:v>91</x:v>
      </x:c>
      <x:c r="I1613" s="8" t="str">
        <x:f>B1613&amp;" / "&amp;C1613&amp;" / "&amp;E1613</x:f>
        <x:v>6776 / 2024 / RAINBOW TROUT</x:v>
      </x:c>
    </x:row>
    <x:row r="1614" ht="23" customHeight="1">
      <x:c r="A1614" s="8" t="str">
        <x:v>Lacombe Park Pond</x:v>
      </x:c>
      <x:c r="B1614" s="8" t="str">
        <x:v>6776</x:v>
      </x:c>
      <x:c r="C1614" s="17" t="n">
        <x:v>2023</x:v>
      </x:c>
      <x:c r="D1614" s="18" t="n">
        <x:v>45030</x:v>
      </x:c>
      <x:c r="E1614" s="8" t="str">
        <x:v>BROOK TROUT</x:v>
      </x:c>
      <x:c r="F1614" s="13" t="n">
        <x:v>600</x:v>
      </x:c>
      <x:c r="G1614" s="9" t="n">
        <x:v>21</x:v>
      </x:c>
      <x:c r="H1614" s="9" t="n">
        <x:v>103</x:v>
      </x:c>
      <x:c r="I1614" s="8" t="str">
        <x:f>B1614&amp;" / "&amp;C1614&amp;" / "&amp;E1614</x:f>
        <x:v>6776 / 2023 / BROOK TROUT</x:v>
      </x:c>
    </x:row>
    <x:row r="1615" ht="23" customHeight="1">
      <x:c r="A1615" s="8" t="str">
        <x:v>Lacombe Park Pond</x:v>
      </x:c>
      <x:c r="B1615" s="8" t="str">
        <x:v>6776</x:v>
      </x:c>
      <x:c r="C1615" s="17" t="n">
        <x:v>2023</x:v>
      </x:c>
      <x:c r="D1615" s="18" t="n">
        <x:v>45049</x:v>
      </x:c>
      <x:c r="E1615" s="8" t="str">
        <x:v>RAINBOW TROUT</x:v>
      </x:c>
      <x:c r="F1615" s="13" t="n">
        <x:v>500</x:v>
      </x:c>
      <x:c r="G1615" s="9" t="n">
        <x:v>20.6</x:v>
      </x:c>
      <x:c r="H1615" s="9" t="n">
        <x:v>93.8</x:v>
      </x:c>
      <x:c r="I1615" s="8" t="str">
        <x:f>B1615&amp;" / "&amp;C1615&amp;" / "&amp;E1615</x:f>
        <x:v>6776 / 2023 / RAINBOW TROUT</x:v>
      </x:c>
    </x:row>
    <x:row r="1616" ht="23" customHeight="1">
      <x:c r="A1616" s="8" t="str">
        <x:v>Lacombe Park Pond</x:v>
      </x:c>
      <x:c r="B1616" s="8" t="str">
        <x:v>6776</x:v>
      </x:c>
      <x:c r="C1616" s="17" t="n">
        <x:v>2022</x:v>
      </x:c>
      <x:c r="D1616" s="18" t="n">
        <x:v>44689</x:v>
      </x:c>
      <x:c r="E1616" s="8" t="str">
        <x:v>BROOK TROUT</x:v>
      </x:c>
      <x:c r="F1616" s="13" t="n">
        <x:v>600</x:v>
      </x:c>
      <x:c r="G1616" s="9" t="n">
        <x:v>19.5</x:v>
      </x:c>
      <x:c r="H1616" s="9" t="n">
        <x:v>82.2</x:v>
      </x:c>
      <x:c r="I1616" s="8" t="str">
        <x:f>B1616&amp;" / "&amp;C1616&amp;" / "&amp;E1616</x:f>
        <x:v>6776 / 2022 / BROOK TROUT</x:v>
      </x:c>
    </x:row>
    <x:row r="1617" ht="23" customHeight="1">
      <x:c r="A1617" s="8" t="str">
        <x:v>Lacombe Park Pond</x:v>
      </x:c>
      <x:c r="B1617" s="8" t="str">
        <x:v>6776</x:v>
      </x:c>
      <x:c r="C1617" s="17" t="n">
        <x:v>2022</x:v>
      </x:c>
      <x:c r="D1617" s="18" t="n">
        <x:v>44689</x:v>
      </x:c>
      <x:c r="E1617" s="8" t="str">
        <x:v>RAINBOW TROUT</x:v>
      </x:c>
      <x:c r="F1617" s="13" t="n">
        <x:v>500</x:v>
      </x:c>
      <x:c r="G1617" s="9" t="n">
        <x:v>20</x:v>
      </x:c>
      <x:c r="H1617" s="9" t="n">
        <x:v>89.1</x:v>
      </x:c>
      <x:c r="I1617" s="8" t="str">
        <x:f>B1617&amp;" / "&amp;C1617&amp;" / "&amp;E1617</x:f>
        <x:v>6776 / 2022 / RAINBOW TROUT</x:v>
      </x:c>
    </x:row>
    <x:row r="1618" ht="23" customHeight="1">
      <x:c r="A1618" s="8" t="str">
        <x:v>Lacombe Park Pond</x:v>
      </x:c>
      <x:c r="B1618" s="8" t="str">
        <x:v>6776</x:v>
      </x:c>
      <x:c r="C1618" s="17" t="n">
        <x:v>2021</x:v>
      </x:c>
      <x:c r="D1618" s="18" t="n">
        <x:v>44326</x:v>
      </x:c>
      <x:c r="E1618" s="8" t="str">
        <x:v>BROOK TROUT</x:v>
      </x:c>
      <x:c r="F1618" s="13" t="n">
        <x:v>600</x:v>
      </x:c>
      <x:c r="G1618" s="9" t="n">
        <x:v>19.5</x:v>
      </x:c>
      <x:c r="H1618" s="9" t="n">
        <x:v>81.5</x:v>
      </x:c>
      <x:c r="I1618" s="8" t="str">
        <x:f>B1618&amp;" / "&amp;C1618&amp;" / "&amp;E1618</x:f>
        <x:v>6776 / 2021 / BROOK TROUT</x:v>
      </x:c>
    </x:row>
    <x:row r="1619" ht="23" customHeight="1">
      <x:c r="A1619" s="8" t="str">
        <x:v>Lacombe Park Pond</x:v>
      </x:c>
      <x:c r="B1619" s="8" t="str">
        <x:v>6776</x:v>
      </x:c>
      <x:c r="C1619" s="17" t="n">
        <x:v>2021</x:v>
      </x:c>
      <x:c r="D1619" s="18" t="n">
        <x:v>44326</x:v>
      </x:c>
      <x:c r="E1619" s="8" t="str">
        <x:v>RAINBOW TROUT</x:v>
      </x:c>
      <x:c r="F1619" s="13" t="n">
        <x:v>500</x:v>
      </x:c>
      <x:c r="G1619" s="9" t="n">
        <x:v>20.4</x:v>
      </x:c>
      <x:c r="H1619" s="9" t="n">
        <x:v>93.4</x:v>
      </x:c>
      <x:c r="I1619" s="8" t="str">
        <x:f>B1619&amp;" / "&amp;C1619&amp;" / "&amp;E1619</x:f>
        <x:v>6776 / 2021 / RAINBOW TROUT</x:v>
      </x:c>
    </x:row>
    <x:row r="1620" ht="23" customHeight="1">
      <x:c r="A1620" s="8" t="str">
        <x:v>Lake Newell</x:v>
      </x:c>
      <x:c r="B1620" s="8" t="str">
        <x:v>5434</x:v>
      </x:c>
      <x:c r="C1620" s="17" t="n">
        <x:v>2023</x:v>
      </x:c>
      <x:c r="D1620" s="18" t="n">
        <x:v>45077</x:v>
      </x:c>
      <x:c r="E1620" s="8" t="str">
        <x:v>WALLEYE</x:v>
      </x:c>
      <x:c r="F1620" s="13" t="n">
        <x:v>396068</x:v>
      </x:c>
      <x:c r="G1620" s="9" t="n">
        <x:v>0.4</x:v>
      </x:c>
      <x:c r="H1620" s="9" t="n">
        <x:v>0</x:v>
      </x:c>
      <x:c r="I1620" s="8" t="str">
        <x:f>B1620&amp;" / "&amp;C1620&amp;" / "&amp;E1620</x:f>
        <x:v>5434 / 2023 / WALLEYE</x:v>
      </x:c>
    </x:row>
    <x:row r="1621" ht="23" customHeight="1">
      <x:c r="A1621" s="8" t="str">
        <x:v>Lake Newell</x:v>
      </x:c>
      <x:c r="B1621" s="8" t="str">
        <x:v>5434</x:v>
      </x:c>
      <x:c r="C1621" s="17" t="n">
        <x:v>2022</x:v>
      </x:c>
      <x:c r="D1621" s="18" t="n">
        <x:v>44710</x:v>
      </x:c>
      <x:c r="E1621" s="8" t="str">
        <x:v>WALLEYE</x:v>
      </x:c>
      <x:c r="F1621" s="13" t="n">
        <x:v>579717</x:v>
      </x:c>
      <x:c r="G1621" s="9" t="n">
        <x:v>0.4</x:v>
      </x:c>
      <x:c r="H1621" s="9" t="n">
        <x:v>0</x:v>
      </x:c>
      <x:c r="I1621" s="8" t="str">
        <x:f>B1621&amp;" / "&amp;C1621&amp;" / "&amp;E1621</x:f>
        <x:v>5434 / 2022 / WALLEYE</x:v>
      </x:c>
    </x:row>
    <x:row r="1622" ht="23" customHeight="1">
      <x:c r="A1622" s="8" t="str">
        <x:v>Lake Of Falls</x:v>
      </x:c>
      <x:c r="B1622" s="8" t="str">
        <x:v>4564</x:v>
      </x:c>
      <x:c r="C1622" s="17" t="n">
        <x:v>2025</x:v>
      </x:c>
      <x:c r="D1622" s="18" t="n">
        <x:v>45924</x:v>
      </x:c>
      <x:c r="E1622" s="8" t="str">
        <x:v>CUTTHROAT TROUT</x:v>
      </x:c>
      <x:c r="F1622" s="13" t="n">
        <x:v>2627</x:v>
      </x:c>
      <x:c r="G1622" s="9" t="n">
        <x:v>4.7</x:v>
      </x:c>
      <x:c r="H1622" s="9" t="n">
        <x:v>1.1</x:v>
      </x:c>
      <x:c r="I1622" s="8" t="str">
        <x:f>B1622&amp;" / "&amp;C1622&amp;" / "&amp;E1622</x:f>
        <x:v>4564 / 2025 / CUTTHROAT TROUT</x:v>
      </x:c>
    </x:row>
    <x:row r="1623" ht="23" customHeight="1">
      <x:c r="A1623" s="8" t="str">
        <x:v>Lake Of Falls</x:v>
      </x:c>
      <x:c r="B1623" s="8" t="str">
        <x:v>4564</x:v>
      </x:c>
      <x:c r="C1623" s="17" t="n">
        <x:v>2022</x:v>
      </x:c>
      <x:c r="D1623" s="18" t="n">
        <x:v>44824</x:v>
      </x:c>
      <x:c r="E1623" s="8" t="str">
        <x:v>CUTTHROAT TROUT</x:v>
      </x:c>
      <x:c r="F1623" s="13" t="n">
        <x:v>4000</x:v>
      </x:c>
      <x:c r="G1623" s="9" t="n">
        <x:v>18.4</x:v>
      </x:c>
      <x:c r="H1623" s="9" t="n">
        <x:v>67.4</x:v>
      </x:c>
      <x:c r="I1623" s="8" t="str">
        <x:f>B1623&amp;" / "&amp;C1623&amp;" / "&amp;E1623</x:f>
        <x:v>4564 / 2022 / CUTTHROAT TROUT</x:v>
      </x:c>
    </x:row>
    <x:row r="1624" ht="23" customHeight="1">
      <x:c r="A1624" s="8" t="str">
        <x:v>Lake of the Horns</x:v>
      </x:c>
      <x:c r="B1624" s="8" t="str">
        <x:v>4854</x:v>
      </x:c>
      <x:c r="C1624" s="17" t="n">
        <x:v>2021</x:v>
      </x:c>
      <x:c r="D1624" s="18" t="n">
        <x:v>44447</x:v>
      </x:c>
      <x:c r="E1624" s="8" t="str">
        <x:v>CUTTHROAT TROUT</x:v>
      </x:c>
      <x:c r="F1624" s="13" t="n">
        <x:v>1300</x:v>
      </x:c>
      <x:c r="G1624" s="9" t="n">
        <x:v>4.9</x:v>
      </x:c>
      <x:c r="H1624" s="9" t="n">
        <x:v>1.3</x:v>
      </x:c>
      <x:c r="I1624" s="8" t="str">
        <x:f>B1624&amp;" / "&amp;C1624&amp;" / "&amp;E1624</x:f>
        <x:v>4854 / 2021 / CUTTHROAT TROUT</x:v>
      </x:c>
    </x:row>
    <x:row r="1625" ht="23" customHeight="1">
      <x:c r="A1625" s="8" t="str">
        <x:v>Lambert Pond</x:v>
      </x:c>
      <x:c r="B1625" s="8" t="str">
        <x:v>3479</x:v>
      </x:c>
      <x:c r="C1625" s="17" t="n">
        <x:v>2026</x:v>
      </x:c>
      <x:c r="D1625" s="18" t="n">
        <x:v>46150</x:v>
      </x:c>
      <x:c r="E1625" s="8" t="str">
        <x:v>RAINBOW TROUT</x:v>
      </x:c>
      <x:c r="F1625" s="13" t="n">
        <x:v>2000</x:v>
      </x:c>
      <x:c r="G1625" s="9" t="n">
        <x:v>15.8</x:v>
      </x:c>
      <x:c r="H1625" s="9" t="n">
        <x:v>43.9</x:v>
      </x:c>
      <x:c r="I1625" s="8" t="str">
        <x:f>B1625&amp;" / "&amp;C1625&amp;" / "&amp;E1625</x:f>
        <x:v>3479 / 2026 / RAINBOW TROUT</x:v>
      </x:c>
    </x:row>
    <x:row r="1626" ht="23" customHeight="1">
      <x:c r="A1626" s="8" t="str">
        <x:v>Lambert Pond</x:v>
      </x:c>
      <x:c r="B1626" s="8" t="str">
        <x:v>3479</x:v>
      </x:c>
      <x:c r="C1626" s="17" t="n">
        <x:v>2025</x:v>
      </x:c>
      <x:c r="D1626" s="18" t="n">
        <x:v>45791</x:v>
      </x:c>
      <x:c r="E1626" s="8" t="str">
        <x:v>RAINBOW TROUT</x:v>
      </x:c>
      <x:c r="F1626" s="13" t="n">
        <x:v>2000</x:v>
      </x:c>
      <x:c r="G1626" s="9" t="n">
        <x:v>17.8</x:v>
      </x:c>
      <x:c r="H1626" s="9" t="n">
        <x:v>62.5</x:v>
      </x:c>
      <x:c r="I1626" s="8" t="str">
        <x:f>B1626&amp;" / "&amp;C1626&amp;" / "&amp;E1626</x:f>
        <x:v>3479 / 2025 / RAINBOW TROUT</x:v>
      </x:c>
    </x:row>
    <x:row r="1627" ht="23" customHeight="1">
      <x:c r="A1627" s="8" t="str">
        <x:v>Lambert Pond</x:v>
      </x:c>
      <x:c r="B1627" s="8" t="str">
        <x:v>3479</x:v>
      </x:c>
      <x:c r="C1627" s="17" t="n">
        <x:v>2024</x:v>
      </x:c>
      <x:c r="D1627" s="18" t="n">
        <x:v>45428</x:v>
      </x:c>
      <x:c r="E1627" s="8" t="str">
        <x:v>RAINBOW TROUT</x:v>
      </x:c>
      <x:c r="F1627" s="13" t="n">
        <x:v>1000</x:v>
      </x:c>
      <x:c r="G1627" s="9" t="n">
        <x:v>20</x:v>
      </x:c>
      <x:c r="H1627" s="9" t="n">
        <x:v>85.9</x:v>
      </x:c>
      <x:c r="I1627" s="8" t="str">
        <x:f>B1627&amp;" / "&amp;C1627&amp;" / "&amp;E1627</x:f>
        <x:v>3479 / 2024 / RAINBOW TROUT</x:v>
      </x:c>
    </x:row>
    <x:row r="1628" ht="23" customHeight="1">
      <x:c r="A1628" s="8" t="str">
        <x:v>Lambert Pond</x:v>
      </x:c>
      <x:c r="B1628" s="8" t="str">
        <x:v>3479</x:v>
      </x:c>
      <x:c r="C1628" s="17" t="n">
        <x:v>2023</x:v>
      </x:c>
      <x:c r="D1628" s="18" t="n">
        <x:v>45068</x:v>
      </x:c>
      <x:c r="E1628" s="8" t="str">
        <x:v>RAINBOW TROUT</x:v>
      </x:c>
      <x:c r="F1628" s="13" t="n">
        <x:v>948</x:v>
      </x:c>
      <x:c r="G1628" s="9" t="n">
        <x:v>17.8</x:v>
      </x:c>
      <x:c r="H1628" s="9" t="n">
        <x:v>61</x:v>
      </x:c>
      <x:c r="I1628" s="8" t="str">
        <x:f>B1628&amp;" / "&amp;C1628&amp;" / "&amp;E1628</x:f>
        <x:v>3479 / 2023 / RAINBOW TROUT</x:v>
      </x:c>
    </x:row>
    <x:row r="1629" ht="23" customHeight="1">
      <x:c r="A1629" s="8" t="str">
        <x:v>Lambert Pond</x:v>
      </x:c>
      <x:c r="B1629" s="8" t="str">
        <x:v>3479</x:v>
      </x:c>
      <x:c r="C1629" s="17" t="n">
        <x:v>2022</x:v>
      </x:c>
      <x:c r="D1629" s="18" t="n">
        <x:v>44700</x:v>
      </x:c>
      <x:c r="E1629" s="8" t="str">
        <x:v>RAINBOW TROUT</x:v>
      </x:c>
      <x:c r="F1629" s="13" t="n">
        <x:v>2000</x:v>
      </x:c>
      <x:c r="G1629" s="9" t="n">
        <x:v>18.7</x:v>
      </x:c>
      <x:c r="H1629" s="9" t="n">
        <x:v>71.8</x:v>
      </x:c>
      <x:c r="I1629" s="8" t="str">
        <x:f>B1629&amp;" / "&amp;C1629&amp;" / "&amp;E1629</x:f>
        <x:v>3479 / 2022 / RAINBOW TROUT</x:v>
      </x:c>
    </x:row>
    <x:row r="1630" ht="23" customHeight="1">
      <x:c r="A1630" s="8" t="str">
        <x:v>Lambert Pond</x:v>
      </x:c>
      <x:c r="B1630" s="8" t="str">
        <x:v>3479</x:v>
      </x:c>
      <x:c r="C1630" s="17" t="n">
        <x:v>2021</x:v>
      </x:c>
      <x:c r="D1630" s="18" t="n">
        <x:v>44327</x:v>
      </x:c>
      <x:c r="E1630" s="8" t="str">
        <x:v>RAINBOW TROUT</x:v>
      </x:c>
      <x:c r="F1630" s="13" t="n">
        <x:v>2000</x:v>
      </x:c>
      <x:c r="G1630" s="9" t="n">
        <x:v>20.4</x:v>
      </x:c>
      <x:c r="H1630" s="9" t="n">
        <x:v>93.4</x:v>
      </x:c>
      <x:c r="I1630" s="8" t="str">
        <x:f>B1630&amp;" / "&amp;C1630&amp;" / "&amp;E1630</x:f>
        <x:v>3479 / 2021 / RAINBOW TROUT</x:v>
      </x:c>
    </x:row>
    <x:row r="1631" ht="23" customHeight="1">
      <x:c r="A1631" s="8" t="str">
        <x:v>Lamont Pond</x:v>
      </x:c>
      <x:c r="B1631" s="8" t="str">
        <x:v>6655</x:v>
      </x:c>
      <x:c r="C1631" s="17" t="n">
        <x:v>2026</x:v>
      </x:c>
      <x:c r="D1631" s="18" t="n">
        <x:v>46149</x:v>
      </x:c>
      <x:c r="E1631" s="8" t="str">
        <x:v>RAINBOW TROUT</x:v>
      </x:c>
      <x:c r="F1631" s="13" t="n">
        <x:v>2000</x:v>
      </x:c>
      <x:c r="G1631" s="9" t="n">
        <x:v>21</x:v>
      </x:c>
      <x:c r="H1631" s="9" t="n">
        <x:v>95.8</x:v>
      </x:c>
      <x:c r="I1631" s="8" t="str">
        <x:f>B1631&amp;" / "&amp;C1631&amp;" / "&amp;E1631</x:f>
        <x:v>6655 / 2026 / RAINBOW TROUT</x:v>
      </x:c>
    </x:row>
    <x:row r="1632" ht="23" customHeight="1">
      <x:c r="A1632" s="8" t="str">
        <x:v>Lamont Pond</x:v>
      </x:c>
      <x:c r="B1632" s="8" t="str">
        <x:v>6655</x:v>
      </x:c>
      <x:c r="C1632" s="17" t="n">
        <x:v>2024</x:v>
      </x:c>
      <x:c r="D1632" s="18" t="n">
        <x:v>45420</x:v>
      </x:c>
      <x:c r="E1632" s="8" t="str">
        <x:v>RAINBOW TROUT</x:v>
      </x:c>
      <x:c r="F1632" s="13" t="n">
        <x:v>2000</x:v>
      </x:c>
      <x:c r="G1632" s="9" t="n">
        <x:v>20.9</x:v>
      </x:c>
      <x:c r="H1632" s="9" t="n">
        <x:v>91.8</x:v>
      </x:c>
      <x:c r="I1632" s="8" t="str">
        <x:f>B1632&amp;" / "&amp;C1632&amp;" / "&amp;E1632</x:f>
        <x:v>6655 / 2024 / RAINBOW TROUT</x:v>
      </x:c>
    </x:row>
    <x:row r="1633" ht="23" customHeight="1">
      <x:c r="A1633" s="8" t="str">
        <x:v>Lamont Pond</x:v>
      </x:c>
      <x:c r="B1633" s="8" t="str">
        <x:v>6655</x:v>
      </x:c>
      <x:c r="C1633" s="17" t="n">
        <x:v>2023</x:v>
      </x:c>
      <x:c r="D1633" s="18" t="n">
        <x:v>45060</x:v>
      </x:c>
      <x:c r="E1633" s="8" t="str">
        <x:v>RAINBOW TROUT</x:v>
      </x:c>
      <x:c r="F1633" s="13" t="n">
        <x:v>2000</x:v>
      </x:c>
      <x:c r="G1633" s="9" t="n">
        <x:v>20.5</x:v>
      </x:c>
      <x:c r="H1633" s="9" t="n">
        <x:v>89.9</x:v>
      </x:c>
      <x:c r="I1633" s="8" t="str">
        <x:f>B1633&amp;" / "&amp;C1633&amp;" / "&amp;E1633</x:f>
        <x:v>6655 / 2023 / RAINBOW TROUT</x:v>
      </x:c>
    </x:row>
    <x:row r="1634" ht="23" customHeight="1">
      <x:c r="A1634" s="8" t="str">
        <x:v>Lamont Pond</x:v>
      </x:c>
      <x:c r="B1634" s="8" t="str">
        <x:v>6655</x:v>
      </x:c>
      <x:c r="C1634" s="17" t="n">
        <x:v>2022</x:v>
      </x:c>
      <x:c r="D1634" s="18" t="n">
        <x:v>44699</x:v>
      </x:c>
      <x:c r="E1634" s="8" t="str">
        <x:v>RAINBOW TROUT</x:v>
      </x:c>
      <x:c r="F1634" s="13" t="n">
        <x:v>2000</x:v>
      </x:c>
      <x:c r="G1634" s="9" t="n">
        <x:v>20.9</x:v>
      </x:c>
      <x:c r="H1634" s="9" t="n">
        <x:v>97.9</x:v>
      </x:c>
      <x:c r="I1634" s="8" t="str">
        <x:f>B1634&amp;" / "&amp;C1634&amp;" / "&amp;E1634</x:f>
        <x:v>6655 / 2022 / RAINBOW TROUT</x:v>
      </x:c>
    </x:row>
    <x:row r="1635" ht="23" customHeight="1">
      <x:c r="A1635" s="8" t="str">
        <x:v>Lamont Pond</x:v>
      </x:c>
      <x:c r="B1635" s="8" t="str">
        <x:v>6655</x:v>
      </x:c>
      <x:c r="C1635" s="17" t="n">
        <x:v>2021</x:v>
      </x:c>
      <x:c r="D1635" s="18" t="n">
        <x:v>44326</x:v>
      </x:c>
      <x:c r="E1635" s="8" t="str">
        <x:v>RAINBOW TROUT</x:v>
      </x:c>
      <x:c r="F1635" s="13" t="n">
        <x:v>2000</x:v>
      </x:c>
      <x:c r="G1635" s="9" t="n">
        <x:v>20.1</x:v>
      </x:c>
      <x:c r="H1635" s="9" t="n">
        <x:v>87.5</x:v>
      </x:c>
      <x:c r="I1635" s="8" t="str">
        <x:f>B1635&amp;" / "&amp;C1635&amp;" / "&amp;E1635</x:f>
        <x:v>6655 / 2021 / RAINBOW TROUT</x:v>
      </x:c>
    </x:row>
    <x:row r="1636" ht="23" customHeight="1">
      <x:c r="A1636" s="8" t="str">
        <x:v>Landslide Lake</x:v>
      </x:c>
      <x:c r="B1636" s="8" t="str">
        <x:v>5029</x:v>
      </x:c>
      <x:c r="C1636" s="17" t="n">
        <x:v>2025</x:v>
      </x:c>
      <x:c r="D1636" s="18" t="n">
        <x:v>45924</x:v>
      </x:c>
      <x:c r="E1636" s="8" t="str">
        <x:v>CUTTHROAT TROUT</x:v>
      </x:c>
      <x:c r="F1636" s="13" t="n">
        <x:v>4007</x:v>
      </x:c>
      <x:c r="G1636" s="9" t="n">
        <x:v>4.7</x:v>
      </x:c>
      <x:c r="H1636" s="9" t="n">
        <x:v>1.1</x:v>
      </x:c>
      <x:c r="I1636" s="8" t="str">
        <x:f>B1636&amp;" / "&amp;C1636&amp;" / "&amp;E1636</x:f>
        <x:v>5029 / 2025 / CUTTHROAT TROUT</x:v>
      </x:c>
    </x:row>
    <x:row r="1637" ht="23" customHeight="1">
      <x:c r="A1637" s="8" t="str">
        <x:v>Landslide Lake</x:v>
      </x:c>
      <x:c r="B1637" s="8" t="str">
        <x:v>5029</x:v>
      </x:c>
      <x:c r="C1637" s="17" t="n">
        <x:v>2023</x:v>
      </x:c>
      <x:c r="D1637" s="18" t="n">
        <x:v>45176</x:v>
      </x:c>
      <x:c r="E1637" s="8" t="str">
        <x:v>CUTTHROAT TROUT</x:v>
      </x:c>
      <x:c r="F1637" s="13" t="n">
        <x:v>5750</x:v>
      </x:c>
      <x:c r="G1637" s="9" t="n">
        <x:v>17.2</x:v>
      </x:c>
      <x:c r="H1637" s="9" t="n">
        <x:v>55.3</x:v>
      </x:c>
      <x:c r="I1637" s="8" t="str">
        <x:f>B1637&amp;" / "&amp;C1637&amp;" / "&amp;E1637</x:f>
        <x:v>5029 / 2023 / CUTTHROAT TROUT</x:v>
      </x:c>
    </x:row>
    <x:row r="1638" ht="23" customHeight="1">
      <x:c r="A1638" s="8" t="str">
        <x:v>Landslide Lake</x:v>
      </x:c>
      <x:c r="B1638" s="8" t="str">
        <x:v>5029</x:v>
      </x:c>
      <x:c r="C1638" s="17" t="n">
        <x:v>2021</x:v>
      </x:c>
      <x:c r="D1638" s="18" t="n">
        <x:v>44446</x:v>
      </x:c>
      <x:c r="E1638" s="8" t="str">
        <x:v>CUTTHROAT TROUT</x:v>
      </x:c>
      <x:c r="F1638" s="13" t="n">
        <x:v>13000</x:v>
      </x:c>
      <x:c r="G1638" s="9" t="n">
        <x:v>5.5</x:v>
      </x:c>
      <x:c r="H1638" s="9" t="n">
        <x:v>1.9</x:v>
      </x:c>
      <x:c r="I1638" s="8" t="str">
        <x:f>B1638&amp;" / "&amp;C1638&amp;" / "&amp;E1638</x:f>
        <x:v>5029 / 2021 / CUTTHROAT TROUT</x:v>
      </x:c>
    </x:row>
    <x:row r="1639" ht="23" customHeight="1">
      <x:c r="A1639" s="8" t="str">
        <x:v>Lara Fish Pond</x:v>
      </x:c>
      <x:c r="B1639" s="8" t="str">
        <x:v>24053</x:v>
      </x:c>
      <x:c r="C1639" s="17" t="n">
        <x:v>2026</x:v>
      </x:c>
      <x:c r="D1639" s="18" t="n">
        <x:v>46153</x:v>
      </x:c>
      <x:c r="E1639" s="8" t="str">
        <x:v>RAINBOW TROUT</x:v>
      </x:c>
      <x:c r="F1639" s="13" t="n">
        <x:v>400</x:v>
      </x:c>
      <x:c r="G1639" s="9" t="n">
        <x:v>23.5</x:v>
      </x:c>
      <x:c r="H1639" s="9" t="n">
        <x:v>144.4</x:v>
      </x:c>
      <x:c r="I1639" s="8" t="str">
        <x:f>B1639&amp;" / "&amp;C1639&amp;" / "&amp;E1639</x:f>
        <x:v>24053 / 2026 / RAINBOW TROUT</x:v>
      </x:c>
    </x:row>
    <x:row r="1640" ht="23" customHeight="1">
      <x:c r="A1640" s="8" t="str">
        <x:v>Lara Fish Pond</x:v>
      </x:c>
      <x:c r="B1640" s="8" t="str">
        <x:v>24053</x:v>
      </x:c>
      <x:c r="C1640" s="17" t="n">
        <x:v>2025</x:v>
      </x:c>
      <x:c r="D1640" s="18" t="n">
        <x:v>45924</x:v>
      </x:c>
      <x:c r="E1640" s="8" t="str">
        <x:v>RAINBOW TROUT</x:v>
      </x:c>
      <x:c r="F1640" s="13" t="n">
        <x:v>200</x:v>
      </x:c>
      <x:c r="G1640" s="9" t="n">
        <x:v>23.8</x:v>
      </x:c>
      <x:c r="H1640" s="9" t="n">
        <x:v>149.9</x:v>
      </x:c>
      <x:c r="I1640" s="8" t="str">
        <x:f>B1640&amp;" / "&amp;C1640&amp;" / "&amp;E1640</x:f>
        <x:v>24053 / 2025 / RAINBOW TROUT</x:v>
      </x:c>
    </x:row>
    <x:row r="1641" ht="23" customHeight="1">
      <x:c r="A1641" s="8" t="str">
        <x:v>Lara Fish Pond</x:v>
      </x:c>
      <x:c r="B1641" s="8" t="str">
        <x:v>24053</x:v>
      </x:c>
      <x:c r="C1641" s="17" t="n">
        <x:v>2024</x:v>
      </x:c>
      <x:c r="D1641" s="18" t="n">
        <x:v>45572</x:v>
      </x:c>
      <x:c r="E1641" s="8" t="str">
        <x:v>RAINBOW TROUT</x:v>
      </x:c>
      <x:c r="F1641" s="13" t="n">
        <x:v>200</x:v>
      </x:c>
      <x:c r="G1641" s="9" t="n">
        <x:v>22.5</x:v>
      </x:c>
      <x:c r="H1641" s="9" t="n">
        <x:v>125</x:v>
      </x:c>
      <x:c r="I1641" s="8" t="str">
        <x:f>B1641&amp;" / "&amp;C1641&amp;" / "&amp;E1641</x:f>
        <x:v>24053 / 2024 / RAINBOW TROUT</x:v>
      </x:c>
    </x:row>
    <x:row r="1642" ht="23" customHeight="1">
      <x:c r="A1642" s="8" t="str">
        <x:v>Lara Fish Pond</x:v>
      </x:c>
      <x:c r="B1642" s="8" t="str">
        <x:v>24053</x:v>
      </x:c>
      <x:c r="C1642" s="17" t="n">
        <x:v>2024</x:v>
      </x:c>
      <x:c r="D1642" s="18" t="n">
        <x:v>45415</x:v>
      </x:c>
      <x:c r="E1642" s="8" t="str">
        <x:v>RAINBOW TROUT</x:v>
      </x:c>
      <x:c r="F1642" s="13" t="n">
        <x:v>160</x:v>
      </x:c>
      <x:c r="G1642" s="9" t="n">
        <x:v>20</x:v>
      </x:c>
      <x:c r="H1642" s="9" t="n">
        <x:v>86.2</x:v>
      </x:c>
      <x:c r="I1642" s="8" t="str">
        <x:f>B1642&amp;" / "&amp;C1642&amp;" / "&amp;E1642</x:f>
        <x:v>24053 / 2024 / RAINBOW TROUT</x:v>
      </x:c>
    </x:row>
    <x:row r="1643" ht="23" customHeight="1">
      <x:c r="A1643" s="8" t="str">
        <x:v>Lara Fish Pond</x:v>
      </x:c>
      <x:c r="B1643" s="8" t="str">
        <x:v>24053</x:v>
      </x:c>
      <x:c r="C1643" s="17" t="n">
        <x:v>2023</x:v>
      </x:c>
      <x:c r="D1643" s="18" t="n">
        <x:v>45050</x:v>
      </x:c>
      <x:c r="E1643" s="8" t="str">
        <x:v>RAINBOW TROUT</x:v>
      </x:c>
      <x:c r="F1643" s="13" t="n">
        <x:v>160</x:v>
      </x:c>
      <x:c r="G1643" s="9" t="n">
        <x:v>20.2</x:v>
      </x:c>
      <x:c r="H1643" s="9" t="n">
        <x:v>88.8</x:v>
      </x:c>
      <x:c r="I1643" s="8" t="str">
        <x:f>B1643&amp;" / "&amp;C1643&amp;" / "&amp;E1643</x:f>
        <x:v>24053 / 2023 / RAINBOW TROUT</x:v>
      </x:c>
    </x:row>
    <x:row r="1644" ht="23" customHeight="1">
      <x:c r="A1644" s="8" t="str">
        <x:v>Lara Fish Pond</x:v>
      </x:c>
      <x:c r="B1644" s="8" t="str">
        <x:v>24053</x:v>
      </x:c>
      <x:c r="C1644" s="17" t="n">
        <x:v>2022</x:v>
      </x:c>
      <x:c r="D1644" s="18" t="n">
        <x:v>44679</x:v>
      </x:c>
      <x:c r="E1644" s="8" t="str">
        <x:v>RAINBOW TROUT</x:v>
      </x:c>
      <x:c r="F1644" s="13" t="n">
        <x:v>400</x:v>
      </x:c>
      <x:c r="G1644" s="9" t="n">
        <x:v>23.6</x:v>
      </x:c>
      <x:c r="H1644" s="9" t="n">
        <x:v>145.2</x:v>
      </x:c>
      <x:c r="I1644" s="8" t="str">
        <x:f>B1644&amp;" / "&amp;C1644&amp;" / "&amp;E1644</x:f>
        <x:v>24053 / 2022 / RAINBOW TROUT</x:v>
      </x:c>
    </x:row>
    <x:row r="1645" ht="23" customHeight="1">
      <x:c r="A1645" s="8" t="str">
        <x:v>Lara Fish Pond</x:v>
      </x:c>
      <x:c r="B1645" s="8" t="str">
        <x:v>24053</x:v>
      </x:c>
      <x:c r="C1645" s="17" t="n">
        <x:v>2021</x:v>
      </x:c>
      <x:c r="D1645" s="18" t="n">
        <x:v>44468</x:v>
      </x:c>
      <x:c r="E1645" s="8" t="str">
        <x:v>RAINBOW TROUT</x:v>
      </x:c>
      <x:c r="F1645" s="13" t="n">
        <x:v>200</x:v>
      </x:c>
      <x:c r="G1645" s="9" t="n">
        <x:v>24.2</x:v>
      </x:c>
      <x:c r="H1645" s="9" t="n">
        <x:v>156.3</x:v>
      </x:c>
      <x:c r="I1645" s="8" t="str">
        <x:f>B1645&amp;" / "&amp;C1645&amp;" / "&amp;E1645</x:f>
        <x:v>24053 / 2021 / RAINBOW TROUT</x:v>
      </x:c>
    </x:row>
    <x:row r="1646" ht="23" customHeight="1">
      <x:c r="A1646" s="8" t="str">
        <x:v>Lara Fish Pond</x:v>
      </x:c>
      <x:c r="B1646" s="8" t="str">
        <x:v>24053</x:v>
      </x:c>
      <x:c r="C1646" s="17" t="n">
        <x:v>2021</x:v>
      </x:c>
      <x:c r="D1646" s="18" t="n">
        <x:v>44468</x:v>
      </x:c>
      <x:c r="E1646" s="8" t="str">
        <x:v>RAINBOW TROUT</x:v>
      </x:c>
      <x:c r="F1646" s="13" t="n">
        <x:v>10</x:v>
      </x:c>
      <x:c r="G1646" s="9" t="n">
        <x:v>39</x:v>
      </x:c>
      <x:c r="H1646" s="9" t="n">
        <x:v>650</x:v>
      </x:c>
      <x:c r="I1646" s="8" t="str">
        <x:f>B1646&amp;" / "&amp;C1646&amp;" / "&amp;E1646</x:f>
        <x:v>24053 / 2021 / RAINBOW TROUT</x:v>
      </x:c>
    </x:row>
    <x:row r="1647" ht="23" customHeight="1">
      <x:c r="A1647" s="8" t="str">
        <x:v>Lara Fish Pond</x:v>
      </x:c>
      <x:c r="B1647" s="8" t="str">
        <x:v>24053</x:v>
      </x:c>
      <x:c r="C1647" s="17" t="n">
        <x:v>2021</x:v>
      </x:c>
      <x:c r="D1647" s="18" t="n">
        <x:v>44304</x:v>
      </x:c>
      <x:c r="E1647" s="8" t="str">
        <x:v>RAINBOW TROUT</x:v>
      </x:c>
      <x:c r="F1647" s="13" t="n">
        <x:v>50</x:v>
      </x:c>
      <x:c r="G1647" s="9" t="n">
        <x:v>42</x:v>
      </x:c>
      <x:c r="H1647" s="9" t="n">
        <x:v>821</x:v>
      </x:c>
      <x:c r="I1647" s="8" t="str">
        <x:f>B1647&amp;" / "&amp;C1647&amp;" / "&amp;E1647</x:f>
        <x:v>24053 / 2021 / RAINBOW TROUT</x:v>
      </x:c>
    </x:row>
    <x:row r="1648" ht="23" customHeight="1">
      <x:c r="A1648" s="8" t="str">
        <x:v>Lara Fish Pond</x:v>
      </x:c>
      <x:c r="B1648" s="8" t="str">
        <x:v>24053</x:v>
      </x:c>
      <x:c r="C1648" s="17" t="n">
        <x:v>2021</x:v>
      </x:c>
      <x:c r="D1648" s="18" t="n">
        <x:v>44304</x:v>
      </x:c>
      <x:c r="E1648" s="8" t="str">
        <x:v>RAINBOW TROUT</x:v>
      </x:c>
      <x:c r="F1648" s="13" t="n">
        <x:v>350</x:v>
      </x:c>
      <x:c r="G1648" s="9" t="n">
        <x:v>20</x:v>
      </x:c>
      <x:c r="H1648" s="9" t="n">
        <x:v>88</x:v>
      </x:c>
      <x:c r="I1648" s="8" t="str">
        <x:f>B1648&amp;" / "&amp;C1648&amp;" / "&amp;E1648</x:f>
        <x:v>24053 / 2021 / RAINBOW TROUT</x:v>
      </x:c>
    </x:row>
    <x:row r="1649" ht="23" customHeight="1">
      <x:c r="A1649" s="8" t="str">
        <x:v>Leduc Reservoir</x:v>
      </x:c>
      <x:c r="B1649" s="8" t="str">
        <x:v>6764</x:v>
      </x:c>
      <x:c r="C1649" s="17" t="n">
        <x:v>2026</x:v>
      </x:c>
      <x:c r="D1649" s="18" t="n">
        <x:v>46148</x:v>
      </x:c>
      <x:c r="E1649" s="8" t="str">
        <x:v>RAINBOW TROUT</x:v>
      </x:c>
      <x:c r="F1649" s="13" t="n">
        <x:v>5000</x:v>
      </x:c>
      <x:c r="G1649" s="9" t="n">
        <x:v>20.3</x:v>
      </x:c>
      <x:c r="H1649" s="9" t="n">
        <x:v>90.7</x:v>
      </x:c>
      <x:c r="I1649" s="8" t="str">
        <x:f>B1649&amp;" / "&amp;C1649&amp;" / "&amp;E1649</x:f>
        <x:v>6764 / 2026 / RAINBOW TROUT</x:v>
      </x:c>
    </x:row>
    <x:row r="1650" ht="23" customHeight="1">
      <x:c r="A1650" s="8" t="str">
        <x:v>Leduc Reservoir</x:v>
      </x:c>
      <x:c r="B1650" s="8" t="str">
        <x:v>6764</x:v>
      </x:c>
      <x:c r="C1650" s="17" t="n">
        <x:v>2025</x:v>
      </x:c>
      <x:c r="D1650" s="18" t="n">
        <x:v>45771</x:v>
      </x:c>
      <x:c r="E1650" s="8" t="str">
        <x:v>RAINBOW TROUT</x:v>
      </x:c>
      <x:c r="F1650" s="13" t="n">
        <x:v>3819</x:v>
      </x:c>
      <x:c r="G1650" s="9" t="n">
        <x:v>21</x:v>
      </x:c>
      <x:c r="H1650" s="9" t="n">
        <x:v>100</x:v>
      </x:c>
      <x:c r="I1650" s="8" t="str">
        <x:f>B1650&amp;" / "&amp;C1650&amp;" / "&amp;E1650</x:f>
        <x:v>6764 / 2025 / RAINBOW TROUT</x:v>
      </x:c>
    </x:row>
    <x:row r="1651" ht="23" customHeight="1">
      <x:c r="A1651" s="8" t="str">
        <x:v>Leduc Reservoir</x:v>
      </x:c>
      <x:c r="B1651" s="8" t="str">
        <x:v>6764</x:v>
      </x:c>
      <x:c r="C1651" s="17" t="n">
        <x:v>2025</x:v>
      </x:c>
      <x:c r="D1651" s="18" t="n">
        <x:v>45771</x:v>
      </x:c>
      <x:c r="E1651" s="8" t="str">
        <x:v>RAINBOW TROUT</x:v>
      </x:c>
      <x:c r="F1651" s="13" t="n">
        <x:v>1181</x:v>
      </x:c>
      <x:c r="G1651" s="9" t="n">
        <x:v>20.2</x:v>
      </x:c>
      <x:c r="H1651" s="9" t="n">
        <x:v>89.2</x:v>
      </x:c>
      <x:c r="I1651" s="8" t="str">
        <x:f>B1651&amp;" / "&amp;C1651&amp;" / "&amp;E1651</x:f>
        <x:v>6764 / 2025 / RAINBOW TROUT</x:v>
      </x:c>
    </x:row>
    <x:row r="1652" ht="23" customHeight="1">
      <x:c r="A1652" s="8" t="str">
        <x:v>Leduc Reservoir</x:v>
      </x:c>
      <x:c r="B1652" s="8" t="str">
        <x:v>6764</x:v>
      </x:c>
      <x:c r="C1652" s="17" t="n">
        <x:v>2024</x:v>
      </x:c>
      <x:c r="D1652" s="18" t="n">
        <x:v>45411</x:v>
      </x:c>
      <x:c r="E1652" s="8" t="str">
        <x:v>RAINBOW TROUT</x:v>
      </x:c>
      <x:c r="F1652" s="13" t="n">
        <x:v>690</x:v>
      </x:c>
      <x:c r="G1652" s="9" t="n">
        <x:v>20</x:v>
      </x:c>
      <x:c r="H1652" s="9" t="n">
        <x:v>85.8</x:v>
      </x:c>
      <x:c r="I1652" s="8" t="str">
        <x:f>B1652&amp;" / "&amp;C1652&amp;" / "&amp;E1652</x:f>
        <x:v>6764 / 2024 / RAINBOW TROUT</x:v>
      </x:c>
    </x:row>
    <x:row r="1653" ht="23" customHeight="1">
      <x:c r="A1653" s="8" t="str">
        <x:v>Leduc Reservoir</x:v>
      </x:c>
      <x:c r="B1653" s="8" t="str">
        <x:v>6764</x:v>
      </x:c>
      <x:c r="C1653" s="17" t="n">
        <x:v>2024</x:v>
      </x:c>
      <x:c r="D1653" s="18" t="n">
        <x:v>45411</x:v>
      </x:c>
      <x:c r="E1653" s="8" t="str">
        <x:v>RAINBOW TROUT</x:v>
      </x:c>
      <x:c r="F1653" s="13" t="n">
        <x:v>1310</x:v>
      </x:c>
      <x:c r="G1653" s="9" t="n">
        <x:v>20.7</x:v>
      </x:c>
      <x:c r="H1653" s="9" t="n">
        <x:v>96</x:v>
      </x:c>
      <x:c r="I1653" s="8" t="str">
        <x:f>B1653&amp;" / "&amp;C1653&amp;" / "&amp;E1653</x:f>
        <x:v>6764 / 2024 / RAINBOW TROUT</x:v>
      </x:c>
    </x:row>
    <x:row r="1654" ht="23" customHeight="1">
      <x:c r="A1654" s="8" t="str">
        <x:v>Leduc Reservoir</x:v>
      </x:c>
      <x:c r="B1654" s="8" t="str">
        <x:v>6764</x:v>
      </x:c>
      <x:c r="C1654" s="17" t="n">
        <x:v>2023</x:v>
      </x:c>
      <x:c r="D1654" s="18" t="n">
        <x:v>45049</x:v>
      </x:c>
      <x:c r="E1654" s="8" t="str">
        <x:v>RAINBOW TROUT</x:v>
      </x:c>
      <x:c r="F1654" s="13" t="n">
        <x:v>1995</x:v>
      </x:c>
      <x:c r="G1654" s="9" t="n">
        <x:v>20.3</x:v>
      </x:c>
      <x:c r="H1654" s="9" t="n">
        <x:v>90.9</x:v>
      </x:c>
      <x:c r="I1654" s="8" t="str">
        <x:f>B1654&amp;" / "&amp;C1654&amp;" / "&amp;E1654</x:f>
        <x:v>6764 / 2023 / RAINBOW TROUT</x:v>
      </x:c>
    </x:row>
    <x:row r="1655" ht="23" customHeight="1">
      <x:c r="A1655" s="8" t="str">
        <x:v>Leduc Reservoir</x:v>
      </x:c>
      <x:c r="B1655" s="8" t="str">
        <x:v>6764</x:v>
      </x:c>
      <x:c r="C1655" s="17" t="n">
        <x:v>2022</x:v>
      </x:c>
      <x:c r="D1655" s="18" t="n">
        <x:v>44683</x:v>
      </x:c>
      <x:c r="E1655" s="8" t="str">
        <x:v>RAINBOW TROUT</x:v>
      </x:c>
      <x:c r="F1655" s="13" t="n">
        <x:v>5000</x:v>
      </x:c>
      <x:c r="G1655" s="9" t="n">
        <x:v>21.7</x:v>
      </x:c>
      <x:c r="H1655" s="9" t="n">
        <x:v>111.1</x:v>
      </x:c>
      <x:c r="I1655" s="8" t="str">
        <x:f>B1655&amp;" / "&amp;C1655&amp;" / "&amp;E1655</x:f>
        <x:v>6764 / 2022 / RAINBOW TROUT</x:v>
      </x:c>
    </x:row>
    <x:row r="1656" ht="23" customHeight="1">
      <x:c r="A1656" s="8" t="str">
        <x:v>Leduc Reservoir</x:v>
      </x:c>
      <x:c r="B1656" s="8" t="str">
        <x:v>6764</x:v>
      </x:c>
      <x:c r="C1656" s="17" t="n">
        <x:v>2021</x:v>
      </x:c>
      <x:c r="D1656" s="18" t="n">
        <x:v>44322</x:v>
      </x:c>
      <x:c r="E1656" s="8" t="str">
        <x:v>RAINBOW TROUT</x:v>
      </x:c>
      <x:c r="F1656" s="13" t="n">
        <x:v>5000</x:v>
      </x:c>
      <x:c r="G1656" s="9" t="n">
        <x:v>17</x:v>
      </x:c>
      <x:c r="H1656" s="9" t="n">
        <x:v>52</x:v>
      </x:c>
      <x:c r="I1656" s="8" t="str">
        <x:f>B1656&amp;" / "&amp;C1656&amp;" / "&amp;E1656</x:f>
        <x:v>6764 / 2021 / RAINBOW TROUT</x:v>
      </x:c>
    </x:row>
    <x:row r="1657" ht="23" customHeight="1">
      <x:c r="A1657" s="8" t="str">
        <x:v>Lees Lake</x:v>
      </x:c>
      <x:c r="B1657" s="8" t="str">
        <x:v>5050</x:v>
      </x:c>
      <x:c r="C1657" s="17" t="n">
        <x:v>2026</x:v>
      </x:c>
      <x:c r="D1657" s="18" t="n">
        <x:v>46125</x:v>
      </x:c>
      <x:c r="E1657" s="8" t="str">
        <x:v>BROWN TROUT</x:v>
      </x:c>
      <x:c r="F1657" s="13" t="n">
        <x:v>1895</x:v>
      </x:c>
      <x:c r="G1657" s="9" t="n">
        <x:v>16.6</x:v>
      </x:c>
      <x:c r="H1657" s="9" t="n">
        <x:v>50.7</x:v>
      </x:c>
      <x:c r="I1657" s="8" t="str">
        <x:f>B1657&amp;" / "&amp;C1657&amp;" / "&amp;E1657</x:f>
        <x:v>5050 / 2026 / BROWN TROUT</x:v>
      </x:c>
    </x:row>
    <x:row r="1658" ht="23" customHeight="1">
      <x:c r="A1658" s="8" t="str">
        <x:v>Lees Lake</x:v>
      </x:c>
      <x:c r="B1658" s="8" t="str">
        <x:v>5050</x:v>
      </x:c>
      <x:c r="C1658" s="17" t="n">
        <x:v>2026</x:v>
      </x:c>
      <x:c r="D1658" s="18" t="n">
        <x:v>46125</x:v>
      </x:c>
      <x:c r="E1658" s="8" t="str">
        <x:v>RAINBOW TROUT</x:v>
      </x:c>
      <x:c r="F1658" s="13" t="n">
        <x:v>20000</x:v>
      </x:c>
      <x:c r="G1658" s="9" t="n">
        <x:v>19.9</x:v>
      </x:c>
      <x:c r="H1658" s="9" t="n">
        <x:v>87.3</x:v>
      </x:c>
      <x:c r="I1658" s="8" t="str">
        <x:f>B1658&amp;" / "&amp;C1658&amp;" / "&amp;E1658</x:f>
        <x:v>5050 / 2026 / RAINBOW TROUT</x:v>
      </x:c>
    </x:row>
    <x:row r="1659" ht="23" customHeight="1">
      <x:c r="A1659" s="8" t="str">
        <x:v>Lees Lake</x:v>
      </x:c>
      <x:c r="B1659" s="8" t="str">
        <x:v>5050</x:v>
      </x:c>
      <x:c r="C1659" s="17" t="n">
        <x:v>2025</x:v>
      </x:c>
      <x:c r="D1659" s="18" t="n">
        <x:v>45760</x:v>
      </x:c>
      <x:c r="E1659" s="8" t="str">
        <x:v>BROWN TROUT</x:v>
      </x:c>
      <x:c r="F1659" s="13" t="n">
        <x:v>1895</x:v>
      </x:c>
      <x:c r="G1659" s="9" t="n">
        <x:v>19</x:v>
      </x:c>
      <x:c r="H1659" s="9" t="n">
        <x:v>74</x:v>
      </x:c>
      <x:c r="I1659" s="8" t="str">
        <x:f>B1659&amp;" / "&amp;C1659&amp;" / "&amp;E1659</x:f>
        <x:v>5050 / 2025 / BROWN TROUT</x:v>
      </x:c>
    </x:row>
    <x:row r="1660" ht="23" customHeight="1">
      <x:c r="A1660" s="8" t="str">
        <x:v>Lees Lake</x:v>
      </x:c>
      <x:c r="B1660" s="8" t="str">
        <x:v>5050</x:v>
      </x:c>
      <x:c r="C1660" s="17" t="n">
        <x:v>2025</x:v>
      </x:c>
      <x:c r="D1660" s="18" t="n">
        <x:v>45921</x:v>
      </x:c>
      <x:c r="E1660" s="8" t="str">
        <x:v>RAINBOW TROUT</x:v>
      </x:c>
      <x:c r="F1660" s="13" t="n">
        <x:v>5943</x:v>
      </x:c>
      <x:c r="G1660" s="9" t="n">
        <x:v>6.4</x:v>
      </x:c>
      <x:c r="H1660" s="9" t="n">
        <x:v>2.9</x:v>
      </x:c>
      <x:c r="I1660" s="8" t="str">
        <x:f>B1660&amp;" / "&amp;C1660&amp;" / "&amp;E1660</x:f>
        <x:v>5050 / 2025 / RAINBOW TROUT</x:v>
      </x:c>
    </x:row>
    <x:row r="1661" ht="23" customHeight="1">
      <x:c r="A1661" s="8" t="str">
        <x:v>Lees Lake</x:v>
      </x:c>
      <x:c r="B1661" s="8" t="str">
        <x:v>5050</x:v>
      </x:c>
      <x:c r="C1661" s="17" t="n">
        <x:v>2025</x:v>
      </x:c>
      <x:c r="D1661" s="18" t="n">
        <x:v>45921</x:v>
      </x:c>
      <x:c r="E1661" s="8" t="str">
        <x:v>RAINBOW TROUT</x:v>
      </x:c>
      <x:c r="F1661" s="13" t="n">
        <x:v>20000</x:v>
      </x:c>
      <x:c r="G1661" s="9" t="n">
        <x:v>20.1</x:v>
      </x:c>
      <x:c r="H1661" s="9" t="n">
        <x:v>88.1</x:v>
      </x:c>
      <x:c r="I1661" s="8" t="str">
        <x:f>B1661&amp;" / "&amp;C1661&amp;" / "&amp;E1661</x:f>
        <x:v>5050 / 2025 / RAINBOW TROUT</x:v>
      </x:c>
    </x:row>
    <x:row r="1662" ht="23" customHeight="1">
      <x:c r="A1662" s="8" t="str">
        <x:v>Lees Lake</x:v>
      </x:c>
      <x:c r="B1662" s="8" t="str">
        <x:v>5050</x:v>
      </x:c>
      <x:c r="C1662" s="17" t="n">
        <x:v>2025</x:v>
      </x:c>
      <x:c r="D1662" s="18" t="n">
        <x:v>45760</x:v>
      </x:c>
      <x:c r="E1662" s="8" t="str">
        <x:v>RAINBOW TROUT</x:v>
      </x:c>
      <x:c r="F1662" s="13" t="n">
        <x:v>17000</x:v>
      </x:c>
      <x:c r="G1662" s="9" t="n">
        <x:v>20.1</x:v>
      </x:c>
      <x:c r="H1662" s="9" t="n">
        <x:v>87.4</x:v>
      </x:c>
      <x:c r="I1662" s="8" t="str">
        <x:f>B1662&amp;" / "&amp;C1662&amp;" / "&amp;E1662</x:f>
        <x:v>5050 / 2025 / RAINBOW TROUT</x:v>
      </x:c>
    </x:row>
    <x:row r="1663" ht="23" customHeight="1">
      <x:c r="A1663" s="8" t="str">
        <x:v>Lees Lake</x:v>
      </x:c>
      <x:c r="B1663" s="8" t="str">
        <x:v>5050</x:v>
      </x:c>
      <x:c r="C1663" s="17" t="n">
        <x:v>2025</x:v>
      </x:c>
      <x:c r="D1663" s="18" t="n">
        <x:v>45760</x:v>
      </x:c>
      <x:c r="E1663" s="8" t="str">
        <x:v>RAINBOW TROUT</x:v>
      </x:c>
      <x:c r="F1663" s="13" t="n">
        <x:v>3000</x:v>
      </x:c>
      <x:c r="G1663" s="9" t="n">
        <x:v>10.7</x:v>
      </x:c>
      <x:c r="H1663" s="9" t="n">
        <x:v>13.4</x:v>
      </x:c>
      <x:c r="I1663" s="8" t="str">
        <x:f>B1663&amp;" / "&amp;C1663&amp;" / "&amp;E1663</x:f>
        <x:v>5050 / 2025 / RAINBOW TROUT</x:v>
      </x:c>
    </x:row>
    <x:row r="1664" ht="23" customHeight="1">
      <x:c r="A1664" s="8" t="str">
        <x:v>Lees Lake</x:v>
      </x:c>
      <x:c r="B1664" s="8" t="str">
        <x:v>5050</x:v>
      </x:c>
      <x:c r="C1664" s="17" t="n">
        <x:v>2024</x:v>
      </x:c>
      <x:c r="D1664" s="18" t="n">
        <x:v>45393</x:v>
      </x:c>
      <x:c r="E1664" s="8" t="str">
        <x:v>BROWN TROUT</x:v>
      </x:c>
      <x:c r="F1664" s="13" t="n">
        <x:v>1000</x:v>
      </x:c>
      <x:c r="G1664" s="9" t="n">
        <x:v>19.5</x:v>
      </x:c>
      <x:c r="H1664" s="9" t="n">
        <x:v>80</x:v>
      </x:c>
      <x:c r="I1664" s="8" t="str">
        <x:f>B1664&amp;" / "&amp;C1664&amp;" / "&amp;E1664</x:f>
        <x:v>5050 / 2024 / BROWN TROUT</x:v>
      </x:c>
    </x:row>
    <x:row r="1665" ht="23" customHeight="1">
      <x:c r="A1665" s="8" t="str">
        <x:v>Lees Lake</x:v>
      </x:c>
      <x:c r="B1665" s="8" t="str">
        <x:v>5050</x:v>
      </x:c>
      <x:c r="C1665" s="17" t="n">
        <x:v>2024</x:v>
      </x:c>
      <x:c r="D1665" s="18" t="n">
        <x:v>45568</x:v>
      </x:c>
      <x:c r="E1665" s="8" t="str">
        <x:v>RAINBOW TROUT</x:v>
      </x:c>
      <x:c r="F1665" s="13" t="n">
        <x:v>9336</x:v>
      </x:c>
      <x:c r="G1665" s="9" t="n">
        <x:v>17.4</x:v>
      </x:c>
      <x:c r="H1665" s="9" t="n">
        <x:v>58.4</x:v>
      </x:c>
      <x:c r="I1665" s="8" t="str">
        <x:f>B1665&amp;" / "&amp;C1665&amp;" / "&amp;E1665</x:f>
        <x:v>5050 / 2024 / RAINBOW TROUT</x:v>
      </x:c>
    </x:row>
    <x:row r="1666" ht="23" customHeight="1">
      <x:c r="A1666" s="8" t="str">
        <x:v>Lees Lake</x:v>
      </x:c>
      <x:c r="B1666" s="8" t="str">
        <x:v>5050</x:v>
      </x:c>
      <x:c r="C1666" s="17" t="n">
        <x:v>2024</x:v>
      </x:c>
      <x:c r="D1666" s="18" t="n">
        <x:v>45568</x:v>
      </x:c>
      <x:c r="E1666" s="8" t="str">
        <x:v>RAINBOW TROUT</x:v>
      </x:c>
      <x:c r="F1666" s="13" t="n">
        <x:v>11014</x:v>
      </x:c>
      <x:c r="G1666" s="9" t="n">
        <x:v>19.7</x:v>
      </x:c>
      <x:c r="H1666" s="9" t="n">
        <x:v>85.2</x:v>
      </x:c>
      <x:c r="I1666" s="8" t="str">
        <x:f>B1666&amp;" / "&amp;C1666&amp;" / "&amp;E1666</x:f>
        <x:v>5050 / 2024 / RAINBOW TROUT</x:v>
      </x:c>
    </x:row>
    <x:row r="1667" ht="23" customHeight="1">
      <x:c r="A1667" s="8" t="str">
        <x:v>Lees Lake</x:v>
      </x:c>
      <x:c r="B1667" s="8" t="str">
        <x:v>5050</x:v>
      </x:c>
      <x:c r="C1667" s="17" t="n">
        <x:v>2024</x:v>
      </x:c>
      <x:c r="D1667" s="18" t="n">
        <x:v>45566</x:v>
      </x:c>
      <x:c r="E1667" s="8" t="str">
        <x:v>RAINBOW TROUT</x:v>
      </x:c>
      <x:c r="F1667" s="13" t="n">
        <x:v>11450</x:v>
      </x:c>
      <x:c r="G1667" s="9" t="n">
        <x:v>17.4</x:v>
      </x:c>
      <x:c r="H1667" s="9" t="n">
        <x:v>58.5</x:v>
      </x:c>
      <x:c r="I1667" s="8" t="str">
        <x:f>B1667&amp;" / "&amp;C1667&amp;" / "&amp;E1667</x:f>
        <x:v>5050 / 2024 / RAINBOW TROUT</x:v>
      </x:c>
    </x:row>
    <x:row r="1668" ht="23" customHeight="1">
      <x:c r="A1668" s="8" t="str">
        <x:v>Lees Lake</x:v>
      </x:c>
      <x:c r="B1668" s="8" t="str">
        <x:v>5050</x:v>
      </x:c>
      <x:c r="C1668" s="17" t="n">
        <x:v>2024</x:v>
      </x:c>
      <x:c r="D1668" s="18" t="n">
        <x:v>45561</x:v>
      </x:c>
      <x:c r="E1668" s="8" t="str">
        <x:v>RAINBOW TROUT</x:v>
      </x:c>
      <x:c r="F1668" s="13" t="n">
        <x:v>8200</x:v>
      </x:c>
      <x:c r="G1668" s="9" t="n">
        <x:v>21</x:v>
      </x:c>
      <x:c r="H1668" s="9" t="n">
        <x:v>103.5</x:v>
      </x:c>
      <x:c r="I1668" s="8" t="str">
        <x:f>B1668&amp;" / "&amp;C1668&amp;" / "&amp;E1668</x:f>
        <x:v>5050 / 2024 / RAINBOW TROUT</x:v>
      </x:c>
    </x:row>
    <x:row r="1669" ht="23" customHeight="1">
      <x:c r="A1669" s="8" t="str">
        <x:v>Lees Lake</x:v>
      </x:c>
      <x:c r="B1669" s="8" t="str">
        <x:v>5050</x:v>
      </x:c>
      <x:c r="C1669" s="17" t="n">
        <x:v>2024</x:v>
      </x:c>
      <x:c r="D1669" s="18" t="n">
        <x:v>45433</x:v>
      </x:c>
      <x:c r="E1669" s="8" t="str">
        <x:v>RAINBOW TROUT</x:v>
      </x:c>
      <x:c r="F1669" s="13" t="n">
        <x:v>15000</x:v>
      </x:c>
      <x:c r="G1669" s="9" t="n">
        <x:v>14.1</x:v>
      </x:c>
      <x:c r="H1669" s="9" t="n">
        <x:v>30.9</x:v>
      </x:c>
      <x:c r="I1669" s="8" t="str">
        <x:f>B1669&amp;" / "&amp;C1669&amp;" / "&amp;E1669</x:f>
        <x:v>5050 / 2024 / RAINBOW TROUT</x:v>
      </x:c>
    </x:row>
    <x:row r="1670" ht="23" customHeight="1">
      <x:c r="A1670" s="8" t="str">
        <x:v>Lees Lake</x:v>
      </x:c>
      <x:c r="B1670" s="8" t="str">
        <x:v>5050</x:v>
      </x:c>
      <x:c r="C1670" s="17" t="n">
        <x:v>2024</x:v>
      </x:c>
      <x:c r="D1670" s="18" t="n">
        <x:v>45393</x:v>
      </x:c>
      <x:c r="E1670" s="8" t="str">
        <x:v>RAINBOW TROUT</x:v>
      </x:c>
      <x:c r="F1670" s="13" t="n">
        <x:v>10000</x:v>
      </x:c>
      <x:c r="G1670" s="9" t="n">
        <x:v>20</x:v>
      </x:c>
      <x:c r="H1670" s="9" t="n">
        <x:v>86.2</x:v>
      </x:c>
      <x:c r="I1670" s="8" t="str">
        <x:f>B1670&amp;" / "&amp;C1670&amp;" / "&amp;E1670</x:f>
        <x:v>5050 / 2024 / RAINBOW TROUT</x:v>
      </x:c>
    </x:row>
    <x:row r="1671" ht="23" customHeight="1">
      <x:c r="A1671" s="8" t="str">
        <x:v>Lees Lake</x:v>
      </x:c>
      <x:c r="B1671" s="8" t="str">
        <x:v>5050</x:v>
      </x:c>
      <x:c r="C1671" s="17" t="n">
        <x:v>2023</x:v>
      </x:c>
      <x:c r="D1671" s="18" t="n">
        <x:v>45039</x:v>
      </x:c>
      <x:c r="E1671" s="8" t="str">
        <x:v>BROWN TROUT</x:v>
      </x:c>
      <x:c r="F1671" s="13" t="n">
        <x:v>1000</x:v>
      </x:c>
      <x:c r="G1671" s="9" t="n">
        <x:v>18.7</x:v>
      </x:c>
      <x:c r="H1671" s="9" t="n">
        <x:v>72.4</x:v>
      </x:c>
      <x:c r="I1671" s="8" t="str">
        <x:f>B1671&amp;" / "&amp;C1671&amp;" / "&amp;E1671</x:f>
        <x:v>5050 / 2023 / BROWN TROUT</x:v>
      </x:c>
    </x:row>
    <x:row r="1672" ht="23" customHeight="1">
      <x:c r="A1672" s="8" t="str">
        <x:v>Lees Lake</x:v>
      </x:c>
      <x:c r="B1672" s="8" t="str">
        <x:v>5050</x:v>
      </x:c>
      <x:c r="C1672" s="17" t="n">
        <x:v>2023</x:v>
      </x:c>
      <x:c r="D1672" s="18" t="n">
        <x:v>45174</x:v>
      </x:c>
      <x:c r="E1672" s="8" t="str">
        <x:v>RAINBOW TROUT</x:v>
      </x:c>
      <x:c r="F1672" s="13" t="n">
        <x:v>10000</x:v>
      </x:c>
      <x:c r="G1672" s="9" t="n">
        <x:v>13.4</x:v>
      </x:c>
      <x:c r="H1672" s="9" t="n">
        <x:v>25.8</x:v>
      </x:c>
      <x:c r="I1672" s="8" t="str">
        <x:f>B1672&amp;" / "&amp;C1672&amp;" / "&amp;E1672</x:f>
        <x:v>5050 / 2023 / RAINBOW TROUT</x:v>
      </x:c>
    </x:row>
    <x:row r="1673" ht="23" customHeight="1">
      <x:c r="A1673" s="8" t="str">
        <x:v>Lees Lake</x:v>
      </x:c>
      <x:c r="B1673" s="8" t="str">
        <x:v>5050</x:v>
      </x:c>
      <x:c r="C1673" s="17" t="n">
        <x:v>2023</x:v>
      </x:c>
      <x:c r="D1673" s="18" t="n">
        <x:v>45041</x:v>
      </x:c>
      <x:c r="E1673" s="8" t="str">
        <x:v>RAINBOW TROUT</x:v>
      </x:c>
      <x:c r="F1673" s="13" t="n">
        <x:v>10000</x:v>
      </x:c>
      <x:c r="G1673" s="9" t="n">
        <x:v>9.5</x:v>
      </x:c>
      <x:c r="H1673" s="9" t="n">
        <x:v>9.6</x:v>
      </x:c>
      <x:c r="I1673" s="8" t="str">
        <x:f>B1673&amp;" / "&amp;C1673&amp;" / "&amp;E1673</x:f>
        <x:v>5050 / 2023 / RAINBOW TROUT</x:v>
      </x:c>
    </x:row>
    <x:row r="1674" ht="23" customHeight="1">
      <x:c r="A1674" s="8" t="str">
        <x:v>Lees Lake</x:v>
      </x:c>
      <x:c r="B1674" s="8" t="str">
        <x:v>5050</x:v>
      </x:c>
      <x:c r="C1674" s="17" t="n">
        <x:v>2023</x:v>
      </x:c>
      <x:c r="D1674" s="18" t="n">
        <x:v>45039</x:v>
      </x:c>
      <x:c r="E1674" s="8" t="str">
        <x:v>RAINBOW TROUT</x:v>
      </x:c>
      <x:c r="F1674" s="13" t="n">
        <x:v>4740</x:v>
      </x:c>
      <x:c r="G1674" s="9" t="n">
        <x:v>17.2</x:v>
      </x:c>
      <x:c r="H1674" s="9" t="n">
        <x:v>56.1</x:v>
      </x:c>
      <x:c r="I1674" s="8" t="str">
        <x:f>B1674&amp;" / "&amp;C1674&amp;" / "&amp;E1674</x:f>
        <x:v>5050 / 2023 / RAINBOW TROUT</x:v>
      </x:c>
    </x:row>
    <x:row r="1675" ht="23" customHeight="1">
      <x:c r="A1675" s="8" t="str">
        <x:v>Lees Lake</x:v>
      </x:c>
      <x:c r="B1675" s="8" t="str">
        <x:v>5050</x:v>
      </x:c>
      <x:c r="C1675" s="17" t="n">
        <x:v>2023</x:v>
      </x:c>
      <x:c r="D1675" s="18" t="n">
        <x:v>45039</x:v>
      </x:c>
      <x:c r="E1675" s="8" t="str">
        <x:v>RAINBOW TROUT</x:v>
      </x:c>
      <x:c r="F1675" s="13" t="n">
        <x:v>5020</x:v>
      </x:c>
      <x:c r="G1675" s="9" t="n">
        <x:v>20.7</x:v>
      </x:c>
      <x:c r="H1675" s="9" t="n">
        <x:v>97.5</x:v>
      </x:c>
      <x:c r="I1675" s="8" t="str">
        <x:f>B1675&amp;" / "&amp;C1675&amp;" / "&amp;E1675</x:f>
        <x:v>5050 / 2023 / RAINBOW TROUT</x:v>
      </x:c>
    </x:row>
    <x:row r="1676" ht="23" customHeight="1">
      <x:c r="A1676" s="8" t="str">
        <x:v>Lees Lake</x:v>
      </x:c>
      <x:c r="B1676" s="8" t="str">
        <x:v>5050</x:v>
      </x:c>
      <x:c r="C1676" s="17" t="n">
        <x:v>2022</x:v>
      </x:c>
      <x:c r="D1676" s="18" t="n">
        <x:v>44675</x:v>
      </x:c>
      <x:c r="E1676" s="8" t="str">
        <x:v>BROWN TROUT</x:v>
      </x:c>
      <x:c r="F1676" s="13" t="n">
        <x:v>1895</x:v>
      </x:c>
      <x:c r="G1676" s="9" t="n">
        <x:v>17.7</x:v>
      </x:c>
      <x:c r="H1676" s="9" t="n">
        <x:v>61.1</x:v>
      </x:c>
      <x:c r="I1676" s="8" t="str">
        <x:f>B1676&amp;" / "&amp;C1676&amp;" / "&amp;E1676</x:f>
        <x:v>5050 / 2022 / BROWN TROUT</x:v>
      </x:c>
    </x:row>
    <x:row r="1677" ht="23" customHeight="1">
      <x:c r="A1677" s="8" t="str">
        <x:v>Lees Lake</x:v>
      </x:c>
      <x:c r="B1677" s="8" t="str">
        <x:v>5050</x:v>
      </x:c>
      <x:c r="C1677" s="17" t="n">
        <x:v>2022</x:v>
      </x:c>
      <x:c r="D1677" s="18" t="n">
        <x:v>44815</x:v>
      </x:c>
      <x:c r="E1677" s="8" t="str">
        <x:v>RAINBOW TROUT</x:v>
      </x:c>
      <x:c r="F1677" s="13" t="n">
        <x:v>19800</x:v>
      </x:c>
      <x:c r="G1677" s="9" t="n">
        <x:v>17.1</x:v>
      </x:c>
      <x:c r="H1677" s="9" t="n">
        <x:v>54.5</x:v>
      </x:c>
      <x:c r="I1677" s="8" t="str">
        <x:f>B1677&amp;" / "&amp;C1677&amp;" / "&amp;E1677</x:f>
        <x:v>5050 / 2022 / RAINBOW TROUT</x:v>
      </x:c>
    </x:row>
    <x:row r="1678" ht="23" customHeight="1">
      <x:c r="A1678" s="8" t="str">
        <x:v>Lees Lake</x:v>
      </x:c>
      <x:c r="B1678" s="8" t="str">
        <x:v>5050</x:v>
      </x:c>
      <x:c r="C1678" s="17" t="n">
        <x:v>2022</x:v>
      </x:c>
      <x:c r="D1678" s="18" t="n">
        <x:v>44675</x:v>
      </x:c>
      <x:c r="E1678" s="8" t="str">
        <x:v>RAINBOW TROUT</x:v>
      </x:c>
      <x:c r="F1678" s="13" t="n">
        <x:v>8036</x:v>
      </x:c>
      <x:c r="G1678" s="9" t="n">
        <x:v>20</x:v>
      </x:c>
      <x:c r="H1678" s="9" t="n">
        <x:v>88.9</x:v>
      </x:c>
      <x:c r="I1678" s="8" t="str">
        <x:f>B1678&amp;" / "&amp;C1678&amp;" / "&amp;E1678</x:f>
        <x:v>5050 / 2022 / RAINBOW TROUT</x:v>
      </x:c>
    </x:row>
    <x:row r="1679" ht="23" customHeight="1">
      <x:c r="A1679" s="8" t="str">
        <x:v>Lees Lake</x:v>
      </x:c>
      <x:c r="B1679" s="8" t="str">
        <x:v>5050</x:v>
      </x:c>
      <x:c r="C1679" s="17" t="n">
        <x:v>2022</x:v>
      </x:c>
      <x:c r="D1679" s="18" t="n">
        <x:v>44675</x:v>
      </x:c>
      <x:c r="E1679" s="8" t="str">
        <x:v>RAINBOW TROUT</x:v>
      </x:c>
      <x:c r="F1679" s="13" t="n">
        <x:v>1966</x:v>
      </x:c>
      <x:c r="G1679" s="9" t="n">
        <x:v>20</x:v>
      </x:c>
      <x:c r="H1679" s="9" t="n">
        <x:v>88.9</x:v>
      </x:c>
      <x:c r="I1679" s="8" t="str">
        <x:f>B1679&amp;" / "&amp;C1679&amp;" / "&amp;E1679</x:f>
        <x:v>5050 / 2022 / RAINBOW TROUT</x:v>
      </x:c>
    </x:row>
    <x:row r="1680" ht="23" customHeight="1">
      <x:c r="A1680" s="8" t="str">
        <x:v>Lees Lake</x:v>
      </x:c>
      <x:c r="B1680" s="8" t="str">
        <x:v>5050</x:v>
      </x:c>
      <x:c r="C1680" s="17" t="n">
        <x:v>2022</x:v>
      </x:c>
      <x:c r="D1680" s="18" t="n">
        <x:v>44675</x:v>
      </x:c>
      <x:c r="E1680" s="8" t="str">
        <x:v>RAINBOW TROUT</x:v>
      </x:c>
      <x:c r="F1680" s="13" t="n">
        <x:v>10000</x:v>
      </x:c>
      <x:c r="G1680" s="9" t="n">
        <x:v>12.5</x:v>
      </x:c>
      <x:c r="H1680" s="9" t="n">
        <x:v>21</x:v>
      </x:c>
      <x:c r="I1680" s="8" t="str">
        <x:f>B1680&amp;" / "&amp;C1680&amp;" / "&amp;E1680</x:f>
        <x:v>5050 / 2022 / RAINBOW TROUT</x:v>
      </x:c>
    </x:row>
    <x:row r="1681" ht="23" customHeight="1">
      <x:c r="A1681" s="8" t="str">
        <x:v>Lees Lake</x:v>
      </x:c>
      <x:c r="B1681" s="8" t="str">
        <x:v>5050</x:v>
      </x:c>
      <x:c r="C1681" s="17" t="n">
        <x:v>2021</x:v>
      </x:c>
      <x:c r="D1681" s="18" t="n">
        <x:v>44298</x:v>
      </x:c>
      <x:c r="E1681" s="8" t="str">
        <x:v>BROWN TROUT</x:v>
      </x:c>
      <x:c r="F1681" s="13" t="n">
        <x:v>1895</x:v>
      </x:c>
      <x:c r="G1681" s="9" t="n">
        <x:v>16.8</x:v>
      </x:c>
      <x:c r="H1681" s="9" t="n">
        <x:v>52.1</x:v>
      </x:c>
      <x:c r="I1681" s="8" t="str">
        <x:f>B1681&amp;" / "&amp;C1681&amp;" / "&amp;E1681</x:f>
        <x:v>5050 / 2021 / BROWN TROUT</x:v>
      </x:c>
    </x:row>
    <x:row r="1682" ht="23" customHeight="1">
      <x:c r="A1682" s="8" t="str">
        <x:v>Lees Lake</x:v>
      </x:c>
      <x:c r="B1682" s="8" t="str">
        <x:v>5050</x:v>
      </x:c>
      <x:c r="C1682" s="17" t="n">
        <x:v>2021</x:v>
      </x:c>
      <x:c r="D1682" s="18" t="n">
        <x:v>44455</x:v>
      </x:c>
      <x:c r="E1682" s="8" t="str">
        <x:v>RAINBOW TROUT</x:v>
      </x:c>
      <x:c r="F1682" s="13" t="n">
        <x:v>8987</x:v>
      </x:c>
      <x:c r="G1682" s="9" t="n">
        <x:v>17</x:v>
      </x:c>
      <x:c r="H1682" s="9" t="n">
        <x:v>54.1</x:v>
      </x:c>
      <x:c r="I1682" s="8" t="str">
        <x:f>B1682&amp;" / "&amp;C1682&amp;" / "&amp;E1682</x:f>
        <x:v>5050 / 2021 / RAINBOW TROUT</x:v>
      </x:c>
    </x:row>
    <x:row r="1683" ht="23" customHeight="1">
      <x:c r="A1683" s="8" t="str">
        <x:v>Lees Lake</x:v>
      </x:c>
      <x:c r="B1683" s="8" t="str">
        <x:v>5050</x:v>
      </x:c>
      <x:c r="C1683" s="17" t="n">
        <x:v>2021</x:v>
      </x:c>
      <x:c r="D1683" s="18" t="n">
        <x:v>44452</x:v>
      </x:c>
      <x:c r="E1683" s="8" t="str">
        <x:v>RAINBOW TROUT</x:v>
      </x:c>
      <x:c r="F1683" s="13" t="n">
        <x:v>11108</x:v>
      </x:c>
      <x:c r="G1683" s="9" t="n">
        <x:v>17</x:v>
      </x:c>
      <x:c r="H1683" s="9" t="n">
        <x:v>54</x:v>
      </x:c>
      <x:c r="I1683" s="8" t="str">
        <x:f>B1683&amp;" / "&amp;C1683&amp;" / "&amp;E1683</x:f>
        <x:v>5050 / 2021 / RAINBOW TROUT</x:v>
      </x:c>
    </x:row>
    <x:row r="1684" ht="23" customHeight="1">
      <x:c r="A1684" s="8" t="str">
        <x:v>Lees Lake</x:v>
      </x:c>
      <x:c r="B1684" s="8" t="str">
        <x:v>5050</x:v>
      </x:c>
      <x:c r="C1684" s="17" t="n">
        <x:v>2021</x:v>
      </x:c>
      <x:c r="D1684" s="18" t="n">
        <x:v>44298</x:v>
      </x:c>
      <x:c r="E1684" s="8" t="str">
        <x:v>RAINBOW TROUT</x:v>
      </x:c>
      <x:c r="F1684" s="13" t="n">
        <x:v>20000</x:v>
      </x:c>
      <x:c r="G1684" s="9" t="n">
        <x:v>17.1</x:v>
      </x:c>
      <x:c r="H1684" s="9" t="n">
        <x:v>55.5</x:v>
      </x:c>
      <x:c r="I1684" s="8" t="str">
        <x:f>B1684&amp;" / "&amp;C1684&amp;" / "&amp;E1684</x:f>
        <x:v>5050 / 2021 / RAINBOW TROUT</x:v>
      </x:c>
    </x:row>
    <x:row r="1685" ht="23" customHeight="1">
      <x:c r="A1685" s="8" t="str">
        <x:v>Legal Reservoir</x:v>
      </x:c>
      <x:c r="B1685" s="8" t="str">
        <x:v>6765</x:v>
      </x:c>
      <x:c r="C1685" s="17" t="n">
        <x:v>2026</x:v>
      </x:c>
      <x:c r="D1685" s="18" t="n">
        <x:v>46157</x:v>
      </x:c>
      <x:c r="E1685" s="8" t="str">
        <x:v>RAINBOW TROUT</x:v>
      </x:c>
      <x:c r="F1685" s="13" t="n">
        <x:v>1150</x:v>
      </x:c>
      <x:c r="G1685" s="9" t="n">
        <x:v>22.9</x:v>
      </x:c>
      <x:c r="H1685" s="9" t="n">
        <x:v>133.6</x:v>
      </x:c>
      <x:c r="I1685" s="8" t="str">
        <x:f>B1685&amp;" / "&amp;C1685&amp;" / "&amp;E1685</x:f>
        <x:v>6765 / 2026 / RAINBOW TROUT</x:v>
      </x:c>
    </x:row>
    <x:row r="1686" ht="23" customHeight="1">
      <x:c r="A1686" s="8" t="str">
        <x:v>Legal Reservoir</x:v>
      </x:c>
      <x:c r="B1686" s="8" t="str">
        <x:v>6765</x:v>
      </x:c>
      <x:c r="C1686" s="17" t="n">
        <x:v>2025</x:v>
      </x:c>
      <x:c r="D1686" s="18" t="n">
        <x:v>45801</x:v>
      </x:c>
      <x:c r="E1686" s="8" t="str">
        <x:v>RAINBOW TROUT</x:v>
      </x:c>
      <x:c r="F1686" s="13" t="n">
        <x:v>1150</x:v>
      </x:c>
      <x:c r="G1686" s="9" t="n">
        <x:v>23.9</x:v>
      </x:c>
      <x:c r="H1686" s="9" t="n">
        <x:v>151</x:v>
      </x:c>
      <x:c r="I1686" s="8" t="str">
        <x:f>B1686&amp;" / "&amp;C1686&amp;" / "&amp;E1686</x:f>
        <x:v>6765 / 2025 / RAINBOW TROUT</x:v>
      </x:c>
    </x:row>
    <x:row r="1687" ht="23" customHeight="1">
      <x:c r="A1687" s="8" t="str">
        <x:v>Legal Reservoir</x:v>
      </x:c>
      <x:c r="B1687" s="8" t="str">
        <x:v>6765</x:v>
      </x:c>
      <x:c r="C1687" s="17" t="n">
        <x:v>2024</x:v>
      </x:c>
      <x:c r="D1687" s="18" t="n">
        <x:v>45429</x:v>
      </x:c>
      <x:c r="E1687" s="8" t="str">
        <x:v>RAINBOW TROUT</x:v>
      </x:c>
      <x:c r="F1687" s="13" t="n">
        <x:v>1200</x:v>
      </x:c>
      <x:c r="G1687" s="9" t="n">
        <x:v>20.1</x:v>
      </x:c>
      <x:c r="H1687" s="9" t="n">
        <x:v>88</x:v>
      </x:c>
      <x:c r="I1687" s="8" t="str">
        <x:f>B1687&amp;" / "&amp;C1687&amp;" / "&amp;E1687</x:f>
        <x:v>6765 / 2024 / RAINBOW TROUT</x:v>
      </x:c>
    </x:row>
    <x:row r="1688" ht="23" customHeight="1">
      <x:c r="A1688" s="8" t="str">
        <x:v>Legal Reservoir</x:v>
      </x:c>
      <x:c r="B1688" s="8" t="str">
        <x:v>6765</x:v>
      </x:c>
      <x:c r="C1688" s="17" t="n">
        <x:v>2023</x:v>
      </x:c>
      <x:c r="D1688" s="18" t="n">
        <x:v>45069</x:v>
      </x:c>
      <x:c r="E1688" s="8" t="str">
        <x:v>RAINBOW TROUT</x:v>
      </x:c>
      <x:c r="F1688" s="13" t="n">
        <x:v>300</x:v>
      </x:c>
      <x:c r="G1688" s="9" t="n">
        <x:v>20.4</x:v>
      </x:c>
      <x:c r="H1688" s="9" t="n">
        <x:v>92</x:v>
      </x:c>
      <x:c r="I1688" s="8" t="str">
        <x:f>B1688&amp;" / "&amp;C1688&amp;" / "&amp;E1688</x:f>
        <x:v>6765 / 2023 / RAINBOW TROUT</x:v>
      </x:c>
    </x:row>
    <x:row r="1689" ht="23" customHeight="1">
      <x:c r="A1689" s="8" t="str">
        <x:v>Legal Reservoir</x:v>
      </x:c>
      <x:c r="B1689" s="8" t="str">
        <x:v>6765</x:v>
      </x:c>
      <x:c r="C1689" s="17" t="n">
        <x:v>2023</x:v>
      </x:c>
      <x:c r="D1689" s="18" t="n">
        <x:v>45057</x:v>
      </x:c>
      <x:c r="E1689" s="8" t="str">
        <x:v>RAINBOW TROUT</x:v>
      </x:c>
      <x:c r="F1689" s="13" t="n">
        <x:v>1150</x:v>
      </x:c>
      <x:c r="G1689" s="9" t="n">
        <x:v>19.9</x:v>
      </x:c>
      <x:c r="H1689" s="9" t="n">
        <x:v>87.9</x:v>
      </x:c>
      <x:c r="I1689" s="8" t="str">
        <x:f>B1689&amp;" / "&amp;C1689&amp;" / "&amp;E1689</x:f>
        <x:v>6765 / 2023 / RAINBOW TROUT</x:v>
      </x:c>
    </x:row>
    <x:row r="1690" ht="23" customHeight="1">
      <x:c r="A1690" s="8" t="str">
        <x:v>Legal Reservoir</x:v>
      </x:c>
      <x:c r="B1690" s="8" t="str">
        <x:v>6765</x:v>
      </x:c>
      <x:c r="C1690" s="17" t="n">
        <x:v>2022</x:v>
      </x:c>
      <x:c r="D1690" s="18" t="n">
        <x:v>44693</x:v>
      </x:c>
      <x:c r="E1690" s="8" t="str">
        <x:v>RAINBOW TROUT</x:v>
      </x:c>
      <x:c r="F1690" s="13" t="n">
        <x:v>1135</x:v>
      </x:c>
      <x:c r="G1690" s="9" t="n">
        <x:v>20.9</x:v>
      </x:c>
      <x:c r="H1690" s="9" t="n">
        <x:v>101.3</x:v>
      </x:c>
      <x:c r="I1690" s="8" t="str">
        <x:f>B1690&amp;" / "&amp;C1690&amp;" / "&amp;E1690</x:f>
        <x:v>6765 / 2022 / RAINBOW TROUT</x:v>
      </x:c>
    </x:row>
    <x:row r="1691" ht="23" customHeight="1">
      <x:c r="A1691" s="8" t="str">
        <x:v>Legal Reservoir</x:v>
      </x:c>
      <x:c r="B1691" s="8" t="str">
        <x:v>6765</x:v>
      </x:c>
      <x:c r="C1691" s="17" t="n">
        <x:v>2021</x:v>
      </x:c>
      <x:c r="D1691" s="18" t="n">
        <x:v>44326</x:v>
      </x:c>
      <x:c r="E1691" s="8" t="str">
        <x:v>RAINBOW TROUT</x:v>
      </x:c>
      <x:c r="F1691" s="13" t="n">
        <x:v>1135</x:v>
      </x:c>
      <x:c r="G1691" s="9" t="n">
        <x:v>20.4</x:v>
      </x:c>
      <x:c r="H1691" s="9" t="n">
        <x:v>93.4</x:v>
      </x:c>
      <x:c r="I1691" s="8" t="str">
        <x:f>B1691&amp;" / "&amp;C1691&amp;" / "&amp;E1691</x:f>
        <x:v>6765 / 2021 / RAINBOW TROUT</x:v>
      </x:c>
    </x:row>
    <x:row r="1692" ht="23" customHeight="1">
      <x:c r="A1692" s="8" t="str">
        <x:v>Len Thompson Pond</x:v>
      </x:c>
      <x:c r="B1692" s="8" t="str">
        <x:v>26322</x:v>
      </x:c>
      <x:c r="C1692" s="17" t="n">
        <x:v>2026</x:v>
      </x:c>
      <x:c r="D1692" s="18" t="n">
        <x:v>46156</x:v>
      </x:c>
      <x:c r="E1692" s="8" t="str">
        <x:v>BROWN TROUT</x:v>
      </x:c>
      <x:c r="F1692" s="13" t="n">
        <x:v>50</x:v>
      </x:c>
      <x:c r="G1692" s="9" t="n">
        <x:v>64</x:v>
      </x:c>
      <x:c r="H1692" s="9" t="n">
        <x:v>3200</x:v>
      </x:c>
      <x:c r="I1692" s="8" t="str">
        <x:f>B1692&amp;" / "&amp;C1692&amp;" / "&amp;E1692</x:f>
        <x:v>26322 / 2026 / BROWN TROUT</x:v>
      </x:c>
    </x:row>
    <x:row r="1693" ht="23" customHeight="1">
      <x:c r="A1693" s="8" t="str">
        <x:v>Len Thompson Pond</x:v>
      </x:c>
      <x:c r="B1693" s="8" t="str">
        <x:v>26322</x:v>
      </x:c>
      <x:c r="C1693" s="17" t="n">
        <x:v>2026</x:v>
      </x:c>
      <x:c r="D1693" s="18" t="n">
        <x:v>46175</x:v>
      </x:c>
      <x:c r="E1693" s="8" t="str">
        <x:v>RAINBOW TROUT</x:v>
      </x:c>
      <x:c r="F1693" s="13" t="n">
        <x:v>1100</x:v>
      </x:c>
      <x:c r="G1693" s="9" t="n">
        <x:v>21.1</x:v>
      </x:c>
      <x:c r="H1693" s="9" t="n">
        <x:v>99.9</x:v>
      </x:c>
      <x:c r="I1693" s="8" t="str">
        <x:f>B1693&amp;" / "&amp;C1693&amp;" / "&amp;E1693</x:f>
        <x:v>26322 / 2026 / RAINBOW TROUT</x:v>
      </x:c>
    </x:row>
    <x:row r="1694" ht="23" customHeight="1">
      <x:c r="A1694" s="8" t="str">
        <x:v>Len Thompson Pond</x:v>
      </x:c>
      <x:c r="B1694" s="8" t="str">
        <x:v>26322</x:v>
      </x:c>
      <x:c r="C1694" s="17" t="n">
        <x:v>2026</x:v>
      </x:c>
      <x:c r="D1694" s="18" t="n">
        <x:v>46146</x:v>
      </x:c>
      <x:c r="E1694" s="8" t="str">
        <x:v>RAINBOW TROUT</x:v>
      </x:c>
      <x:c r="F1694" s="13" t="n">
        <x:v>1235</x:v>
      </x:c>
      <x:c r="G1694" s="9" t="n">
        <x:v>22.2</x:v>
      </x:c>
      <x:c r="H1694" s="9" t="n">
        <x:v>118.3</x:v>
      </x:c>
      <x:c r="I1694" s="8" t="str">
        <x:f>B1694&amp;" / "&amp;C1694&amp;" / "&amp;E1694</x:f>
        <x:v>26322 / 2026 / RAINBOW TROUT</x:v>
      </x:c>
    </x:row>
    <x:row r="1695" ht="23" customHeight="1">
      <x:c r="A1695" s="8" t="str">
        <x:v>Len Thompson Pond</x:v>
      </x:c>
      <x:c r="B1695" s="8" t="str">
        <x:v>26322</x:v>
      </x:c>
      <x:c r="C1695" s="17" t="n">
        <x:v>2026</x:v>
      </x:c>
      <x:c r="D1695" s="18" t="n">
        <x:v>46146</x:v>
      </x:c>
      <x:c r="E1695" s="8" t="str">
        <x:v>TIGER TROUT</x:v>
      </x:c>
      <x:c r="F1695" s="13" t="n">
        <x:v>650</x:v>
      </x:c>
      <x:c r="G1695" s="9" t="n">
        <x:v>17.3</x:v>
      </x:c>
      <x:c r="H1695" s="9" t="n">
        <x:v>55.6</x:v>
      </x:c>
      <x:c r="I1695" s="8" t="str">
        <x:f>B1695&amp;" / "&amp;C1695&amp;" / "&amp;E1695</x:f>
        <x:v>26322 / 2026 / TIGER TROUT</x:v>
      </x:c>
    </x:row>
    <x:row r="1696" ht="23" customHeight="1">
      <x:c r="A1696" s="8" t="str">
        <x:v>Len Thompson Pond</x:v>
      </x:c>
      <x:c r="B1696" s="8" t="str">
        <x:v>26322</x:v>
      </x:c>
      <x:c r="C1696" s="17" t="n">
        <x:v>2025</x:v>
      </x:c>
      <x:c r="D1696" s="18" t="n">
        <x:v>45930</x:v>
      </x:c>
      <x:c r="E1696" s="8" t="str">
        <x:v>BROWN TROUT</x:v>
      </x:c>
      <x:c r="F1696" s="13" t="n">
        <x:v>50</x:v>
      </x:c>
      <x:c r="G1696" s="9" t="n">
        <x:v>33</x:v>
      </x:c>
      <x:c r="H1696" s="9" t="n">
        <x:v>531</x:v>
      </x:c>
      <x:c r="I1696" s="8" t="str">
        <x:f>B1696&amp;" / "&amp;C1696&amp;" / "&amp;E1696</x:f>
        <x:v>26322 / 2025 / BROWN TROUT</x:v>
      </x:c>
    </x:row>
    <x:row r="1697" ht="23" customHeight="1">
      <x:c r="A1697" s="8" t="str">
        <x:v>Len Thompson Pond</x:v>
      </x:c>
      <x:c r="B1697" s="8" t="str">
        <x:v>26322</x:v>
      </x:c>
      <x:c r="C1697" s="17" t="n">
        <x:v>2025</x:v>
      </x:c>
      <x:c r="D1697" s="18" t="n">
        <x:v>45818</x:v>
      </x:c>
      <x:c r="E1697" s="8" t="str">
        <x:v>RAINBOW TROUT</x:v>
      </x:c>
      <x:c r="F1697" s="13" t="n">
        <x:v>872</x:v>
      </x:c>
      <x:c r="G1697" s="9" t="n">
        <x:v>20.3</x:v>
      </x:c>
      <x:c r="H1697" s="9" t="n">
        <x:v>91.7</x:v>
      </x:c>
      <x:c r="I1697" s="8" t="str">
        <x:f>B1697&amp;" / "&amp;C1697&amp;" / "&amp;E1697</x:f>
        <x:v>26322 / 2025 / RAINBOW TROUT</x:v>
      </x:c>
    </x:row>
    <x:row r="1698" ht="23" customHeight="1">
      <x:c r="A1698" s="8" t="str">
        <x:v>Len Thompson Pond</x:v>
      </x:c>
      <x:c r="B1698" s="8" t="str">
        <x:v>26322</x:v>
      </x:c>
      <x:c r="C1698" s="17" t="n">
        <x:v>2025</x:v>
      </x:c>
      <x:c r="D1698" s="18" t="n">
        <x:v>45777</x:v>
      </x:c>
      <x:c r="E1698" s="8" t="str">
        <x:v>RAINBOW TROUT</x:v>
      </x:c>
      <x:c r="F1698" s="13" t="n">
        <x:v>1735</x:v>
      </x:c>
      <x:c r="G1698" s="9" t="n">
        <x:v>20.2</x:v>
      </x:c>
      <x:c r="H1698" s="9" t="n">
        <x:v>89.5</x:v>
      </x:c>
      <x:c r="I1698" s="8" t="str">
        <x:f>B1698&amp;" / "&amp;C1698&amp;" / "&amp;E1698</x:f>
        <x:v>26322 / 2025 / RAINBOW TROUT</x:v>
      </x:c>
    </x:row>
    <x:row r="1699" ht="23" customHeight="1">
      <x:c r="A1699" s="8" t="str">
        <x:v>Len Thompson Pond</x:v>
      </x:c>
      <x:c r="B1699" s="8" t="str">
        <x:v>26322</x:v>
      </x:c>
      <x:c r="C1699" s="17" t="n">
        <x:v>2025</x:v>
      </x:c>
      <x:c r="D1699" s="18" t="n">
        <x:v>45777</x:v>
      </x:c>
      <x:c r="E1699" s="8" t="str">
        <x:v>TIGER TROUT</x:v>
      </x:c>
      <x:c r="F1699" s="13" t="n">
        <x:v>500</x:v>
      </x:c>
      <x:c r="G1699" s="9" t="n">
        <x:v>20.3</x:v>
      </x:c>
      <x:c r="H1699" s="9" t="n">
        <x:v>90</x:v>
      </x:c>
      <x:c r="I1699" s="8" t="str">
        <x:f>B1699&amp;" / "&amp;C1699&amp;" / "&amp;E1699</x:f>
        <x:v>26322 / 2025 / TIGER TROUT</x:v>
      </x:c>
    </x:row>
    <x:row r="1700" ht="23" customHeight="1">
      <x:c r="A1700" s="8" t="str">
        <x:v>Len Thompson Pond</x:v>
      </x:c>
      <x:c r="B1700" s="8" t="str">
        <x:v>26322</x:v>
      </x:c>
      <x:c r="C1700" s="17" t="n">
        <x:v>2025</x:v>
      </x:c>
      <x:c r="D1700" s="18" t="n">
        <x:v>45777</x:v>
      </x:c>
      <x:c r="E1700" s="8" t="str">
        <x:v>TIGER TROUT</x:v>
      </x:c>
      <x:c r="F1700" s="13" t="n">
        <x:v>150</x:v>
      </x:c>
      <x:c r="G1700" s="9" t="n">
        <x:v>20.3</x:v>
      </x:c>
      <x:c r="H1700" s="9" t="n">
        <x:v>90</x:v>
      </x:c>
      <x:c r="I1700" s="8" t="str">
        <x:f>B1700&amp;" / "&amp;C1700&amp;" / "&amp;E1700</x:f>
        <x:v>26322 / 2025 / TIGER TROUT</x:v>
      </x:c>
    </x:row>
    <x:row r="1701" ht="23" customHeight="1">
      <x:c r="A1701" s="8" t="str">
        <x:v>Len Thompson Pond</x:v>
      </x:c>
      <x:c r="B1701" s="8" t="str">
        <x:v>26322</x:v>
      </x:c>
      <x:c r="C1701" s="17" t="n">
        <x:v>2024</x:v>
      </x:c>
      <x:c r="D1701" s="18" t="n">
        <x:v>45440</x:v>
      </x:c>
      <x:c r="E1701" s="8" t="str">
        <x:v>RAINBOW TROUT</x:v>
      </x:c>
      <x:c r="F1701" s="13" t="n">
        <x:v>40</x:v>
      </x:c>
      <x:c r="G1701" s="9" t="n">
        <x:v>30</x:v>
      </x:c>
      <x:c r="H1701" s="9" t="n">
        <x:v>331</x:v>
      </x:c>
      <x:c r="I1701" s="8" t="str">
        <x:f>B1701&amp;" / "&amp;C1701&amp;" / "&amp;E1701</x:f>
        <x:v>26322 / 2024 / RAINBOW TROUT</x:v>
      </x:c>
    </x:row>
    <x:row r="1702" ht="23" customHeight="1">
      <x:c r="A1702" s="8" t="str">
        <x:v>Len Thompson Pond</x:v>
      </x:c>
      <x:c r="B1702" s="8" t="str">
        <x:v>26322</x:v>
      </x:c>
      <x:c r="C1702" s="17" t="n">
        <x:v>2024</x:v>
      </x:c>
      <x:c r="D1702" s="18" t="n">
        <x:v>45440</x:v>
      </x:c>
      <x:c r="E1702" s="8" t="str">
        <x:v>RAINBOW TROUT</x:v>
      </x:c>
      <x:c r="F1702" s="13" t="n">
        <x:v>400</x:v>
      </x:c>
      <x:c r="G1702" s="9" t="n">
        <x:v>20.3</x:v>
      </x:c>
      <x:c r="H1702" s="9" t="n">
        <x:v>89.1</x:v>
      </x:c>
      <x:c r="I1702" s="8" t="str">
        <x:f>B1702&amp;" / "&amp;C1702&amp;" / "&amp;E1702</x:f>
        <x:v>26322 / 2024 / RAINBOW TROUT</x:v>
      </x:c>
    </x:row>
    <x:row r="1703" ht="23" customHeight="1">
      <x:c r="A1703" s="8" t="str">
        <x:v>Len Thompson Pond</x:v>
      </x:c>
      <x:c r="B1703" s="8" t="str">
        <x:v>26322</x:v>
      </x:c>
      <x:c r="C1703" s="17" t="n">
        <x:v>2024</x:v>
      </x:c>
      <x:c r="D1703" s="18" t="n">
        <x:v>45412</x:v>
      </x:c>
      <x:c r="E1703" s="8" t="str">
        <x:v>RAINBOW TROUT</x:v>
      </x:c>
      <x:c r="F1703" s="13" t="n">
        <x:v>1792</x:v>
      </x:c>
      <x:c r="G1703" s="9" t="n">
        <x:v>20.3</x:v>
      </x:c>
      <x:c r="H1703" s="9" t="n">
        <x:v>91</x:v>
      </x:c>
      <x:c r="I1703" s="8" t="str">
        <x:f>B1703&amp;" / "&amp;C1703&amp;" / "&amp;E1703</x:f>
        <x:v>26322 / 2024 / RAINBOW TROUT</x:v>
      </x:c>
    </x:row>
    <x:row r="1704" ht="23" customHeight="1">
      <x:c r="A1704" s="8" t="str">
        <x:v>Len Thompson Pond</x:v>
      </x:c>
      <x:c r="B1704" s="8" t="str">
        <x:v>26322</x:v>
      </x:c>
      <x:c r="C1704" s="17" t="n">
        <x:v>2024</x:v>
      </x:c>
      <x:c r="D1704" s="18" t="n">
        <x:v>45412</x:v>
      </x:c>
      <x:c r="E1704" s="8" t="str">
        <x:v>TIGER TROUT</x:v>
      </x:c>
      <x:c r="F1704" s="13" t="n">
        <x:v>650</x:v>
      </x:c>
      <x:c r="G1704" s="9" t="n">
        <x:v>19.7</x:v>
      </x:c>
      <x:c r="H1704" s="9" t="n">
        <x:v>82.2</x:v>
      </x:c>
      <x:c r="I1704" s="8" t="str">
        <x:f>B1704&amp;" / "&amp;C1704&amp;" / "&amp;E1704</x:f>
        <x:v>26322 / 2024 / TIGER TROUT</x:v>
      </x:c>
    </x:row>
    <x:row r="1705" ht="23" customHeight="1">
      <x:c r="A1705" s="8" t="str">
        <x:v>Len Thompson Pond</x:v>
      </x:c>
      <x:c r="B1705" s="8" t="str">
        <x:v>26322</x:v>
      </x:c>
      <x:c r="C1705" s="17" t="n">
        <x:v>2023</x:v>
      </x:c>
      <x:c r="D1705" s="18" t="n">
        <x:v>45181</x:v>
      </x:c>
      <x:c r="E1705" s="8" t="str">
        <x:v>RAINBOW TROUT</x:v>
      </x:c>
      <x:c r="F1705" s="13" t="n">
        <x:v>1000</x:v>
      </x:c>
      <x:c r="G1705" s="9" t="n">
        <x:v>25.3</x:v>
      </x:c>
      <x:c r="H1705" s="9" t="n">
        <x:v>174.1</x:v>
      </x:c>
      <x:c r="I1705" s="8" t="str">
        <x:f>B1705&amp;" / "&amp;C1705&amp;" / "&amp;E1705</x:f>
        <x:v>26322 / 2023 / RAINBOW TROUT</x:v>
      </x:c>
    </x:row>
    <x:row r="1706" ht="23" customHeight="1">
      <x:c r="A1706" s="8" t="str">
        <x:v>Len Thompson Pond</x:v>
      </x:c>
      <x:c r="B1706" s="8" t="str">
        <x:v>26322</x:v>
      </x:c>
      <x:c r="C1706" s="17" t="n">
        <x:v>2023</x:v>
      </x:c>
      <x:c r="D1706" s="18" t="n">
        <x:v>45079</x:v>
      </x:c>
      <x:c r="E1706" s="8" t="str">
        <x:v>RAINBOW TROUT</x:v>
      </x:c>
      <x:c r="F1706" s="13" t="n">
        <x:v>100</x:v>
      </x:c>
      <x:c r="G1706" s="9" t="n">
        <x:v>32.1</x:v>
      </x:c>
      <x:c r="H1706" s="9" t="n">
        <x:v>312.1</x:v>
      </x:c>
      <x:c r="I1706" s="8" t="str">
        <x:f>B1706&amp;" / "&amp;C1706&amp;" / "&amp;E1706</x:f>
        <x:v>26322 / 2023 / RAINBOW TROUT</x:v>
      </x:c>
    </x:row>
    <x:row r="1707" ht="23" customHeight="1">
      <x:c r="A1707" s="8" t="str">
        <x:v>Len Thompson Pond</x:v>
      </x:c>
      <x:c r="B1707" s="8" t="str">
        <x:v>26322</x:v>
      </x:c>
      <x:c r="C1707" s="17" t="n">
        <x:v>2023</x:v>
      </x:c>
      <x:c r="D1707" s="18" t="n">
        <x:v>45062</x:v>
      </x:c>
      <x:c r="E1707" s="8" t="str">
        <x:v>RAINBOW TROUT</x:v>
      </x:c>
      <x:c r="F1707" s="13" t="n">
        <x:v>1500</x:v>
      </x:c>
      <x:c r="G1707" s="9" t="n">
        <x:v>20.5</x:v>
      </x:c>
      <x:c r="H1707" s="9" t="n">
        <x:v>89.9</x:v>
      </x:c>
      <x:c r="I1707" s="8" t="str">
        <x:f>B1707&amp;" / "&amp;C1707&amp;" / "&amp;E1707</x:f>
        <x:v>26322 / 2023 / RAINBOW TROUT</x:v>
      </x:c>
    </x:row>
    <x:row r="1708" ht="23" customHeight="1">
      <x:c r="A1708" s="8" t="str">
        <x:v>Len Thompson Pond</x:v>
      </x:c>
      <x:c r="B1708" s="8" t="str">
        <x:v>26322</x:v>
      </x:c>
      <x:c r="C1708" s="17" t="n">
        <x:v>2023</x:v>
      </x:c>
      <x:c r="D1708" s="18" t="n">
        <x:v>45049</x:v>
      </x:c>
      <x:c r="E1708" s="8" t="str">
        <x:v>RAINBOW TROUT</x:v>
      </x:c>
      <x:c r="F1708" s="13" t="n">
        <x:v>575</x:v>
      </x:c>
      <x:c r="G1708" s="9" t="n">
        <x:v>20.6</x:v>
      </x:c>
      <x:c r="H1708" s="9" t="n">
        <x:v>93.8</x:v>
      </x:c>
      <x:c r="I1708" s="8" t="str">
        <x:f>B1708&amp;" / "&amp;C1708&amp;" / "&amp;E1708</x:f>
        <x:v>26322 / 2023 / RAINBOW TROUT</x:v>
      </x:c>
    </x:row>
    <x:row r="1709" ht="23" customHeight="1">
      <x:c r="A1709" s="8" t="str">
        <x:v>Len Thompson Pond</x:v>
      </x:c>
      <x:c r="B1709" s="8" t="str">
        <x:v>26322</x:v>
      </x:c>
      <x:c r="C1709" s="17" t="n">
        <x:v>2023</x:v>
      </x:c>
      <x:c r="D1709" s="18" t="n">
        <x:v>45049</x:v>
      </x:c>
      <x:c r="E1709" s="8" t="str">
        <x:v>TIGER TROUT</x:v>
      </x:c>
      <x:c r="F1709" s="13" t="n">
        <x:v>650</x:v>
      </x:c>
      <x:c r="G1709" s="9" t="n">
        <x:v>20.6</x:v>
      </x:c>
      <x:c r="H1709" s="9" t="n">
        <x:v>93.8</x:v>
      </x:c>
      <x:c r="I1709" s="8" t="str">
        <x:f>B1709&amp;" / "&amp;C1709&amp;" / "&amp;E1709</x:f>
        <x:v>26322 / 2023 / TIGER TROUT</x:v>
      </x:c>
    </x:row>
    <x:row r="1710" ht="23" customHeight="1">
      <x:c r="A1710" s="8" t="str">
        <x:v>Len Thompson Pond</x:v>
      </x:c>
      <x:c r="B1710" s="8" t="str">
        <x:v>26322</x:v>
      </x:c>
      <x:c r="C1710" s="17" t="n">
        <x:v>2022</x:v>
      </x:c>
      <x:c r="D1710" s="18" t="n">
        <x:v>44752</x:v>
      </x:c>
      <x:c r="E1710" s="8" t="str">
        <x:v>RAINBOW TROUT</x:v>
      </x:c>
      <x:c r="F1710" s="13" t="n">
        <x:v>500</x:v>
      </x:c>
      <x:c r="G1710" s="9" t="n">
        <x:v>23.5</x:v>
      </x:c>
      <x:c r="H1710" s="9" t="n">
        <x:v>142.8</x:v>
      </x:c>
      <x:c r="I1710" s="8" t="str">
        <x:f>B1710&amp;" / "&amp;C1710&amp;" / "&amp;E1710</x:f>
        <x:v>26322 / 2022 / RAINBOW TROUT</x:v>
      </x:c>
    </x:row>
    <x:row r="1711" ht="23" customHeight="1">
      <x:c r="A1711" s="8" t="str">
        <x:v>Len Thompson Pond</x:v>
      </x:c>
      <x:c r="B1711" s="8" t="str">
        <x:v>26322</x:v>
      </x:c>
      <x:c r="C1711" s="17" t="n">
        <x:v>2022</x:v>
      </x:c>
      <x:c r="D1711" s="18" t="n">
        <x:v>44696</x:v>
      </x:c>
      <x:c r="E1711" s="8" t="str">
        <x:v>RAINBOW TROUT</x:v>
      </x:c>
      <x:c r="F1711" s="13" t="n">
        <x:v>100</x:v>
      </x:c>
      <x:c r="G1711" s="9" t="n">
        <x:v>30</x:v>
      </x:c>
      <x:c r="H1711" s="9" t="n">
        <x:v>225.1</x:v>
      </x:c>
      <x:c r="I1711" s="8" t="str">
        <x:f>B1711&amp;" / "&amp;C1711&amp;" / "&amp;E1711</x:f>
        <x:v>26322 / 2022 / RAINBOW TROUT</x:v>
      </x:c>
    </x:row>
    <x:row r="1712" ht="23" customHeight="1">
      <x:c r="A1712" s="8" t="str">
        <x:v>Len Thompson Pond</x:v>
      </x:c>
      <x:c r="B1712" s="8" t="str">
        <x:v>26322</x:v>
      </x:c>
      <x:c r="C1712" s="17" t="n">
        <x:v>2022</x:v>
      </x:c>
      <x:c r="D1712" s="18" t="n">
        <x:v>44677</x:v>
      </x:c>
      <x:c r="E1712" s="8" t="str">
        <x:v>RAINBOW TROUT</x:v>
      </x:c>
      <x:c r="F1712" s="13" t="n">
        <x:v>2000</x:v>
      </x:c>
      <x:c r="G1712" s="9" t="n">
        <x:v>21.3</x:v>
      </x:c>
      <x:c r="H1712" s="9" t="n">
        <x:v>106.4</x:v>
      </x:c>
      <x:c r="I1712" s="8" t="str">
        <x:f>B1712&amp;" / "&amp;C1712&amp;" / "&amp;E1712</x:f>
        <x:v>26322 / 2022 / RAINBOW TROUT</x:v>
      </x:c>
    </x:row>
    <x:row r="1713" ht="23" customHeight="1">
      <x:c r="A1713" s="8" t="str">
        <x:v>Len Thompson Pond</x:v>
      </x:c>
      <x:c r="B1713" s="8" t="str">
        <x:v>26322</x:v>
      </x:c>
      <x:c r="C1713" s="17" t="n">
        <x:v>2022</x:v>
      </x:c>
      <x:c r="D1713" s="18" t="n">
        <x:v>44815</x:v>
      </x:c>
      <x:c r="E1713" s="8" t="str">
        <x:v>TIGER TROUT</x:v>
      </x:c>
      <x:c r="F1713" s="13" t="n">
        <x:v>1600</x:v>
      </x:c>
      <x:c r="G1713" s="9" t="n">
        <x:v>9.1</x:v>
      </x:c>
      <x:c r="H1713" s="9" t="n">
        <x:v>8.3</x:v>
      </x:c>
      <x:c r="I1713" s="8" t="str">
        <x:f>B1713&amp;" / "&amp;C1713&amp;" / "&amp;E1713</x:f>
        <x:v>26322 / 2022 / TIGER TROUT</x:v>
      </x:c>
    </x:row>
    <x:row r="1714" ht="23" customHeight="1">
      <x:c r="A1714" s="8" t="str">
        <x:v>Len Thompson Pond</x:v>
      </x:c>
      <x:c r="B1714" s="8" t="str">
        <x:v>26322</x:v>
      </x:c>
      <x:c r="C1714" s="17" t="n">
        <x:v>2022</x:v>
      </x:c>
      <x:c r="D1714" s="18" t="n">
        <x:v>44677</x:v>
      </x:c>
      <x:c r="E1714" s="8" t="str">
        <x:v>TIGER TROUT</x:v>
      </x:c>
      <x:c r="F1714" s="13" t="n">
        <x:v>650</x:v>
      </x:c>
      <x:c r="G1714" s="9" t="n">
        <x:v>17.1</x:v>
      </x:c>
      <x:c r="H1714" s="9" t="n">
        <x:v>55.2</x:v>
      </x:c>
      <x:c r="I1714" s="8" t="str">
        <x:f>B1714&amp;" / "&amp;C1714&amp;" / "&amp;E1714</x:f>
        <x:v>26322 / 2022 / TIGER TROUT</x:v>
      </x:c>
    </x:row>
    <x:row r="1715" ht="23" customHeight="1">
      <x:c r="A1715" s="8" t="str">
        <x:v>Len Thompson Pond</x:v>
      </x:c>
      <x:c r="B1715" s="8" t="str">
        <x:v>26322</x:v>
      </x:c>
      <x:c r="C1715" s="17" t="n">
        <x:v>2021</x:v>
      </x:c>
      <x:c r="D1715" s="18" t="n">
        <x:v>44441</x:v>
      </x:c>
      <x:c r="E1715" s="8" t="str">
        <x:v>RAINBOW TROUT</x:v>
      </x:c>
      <x:c r="F1715" s="13" t="n">
        <x:v>1000</x:v>
      </x:c>
      <x:c r="G1715" s="9" t="n">
        <x:v>21.5</x:v>
      </x:c>
      <x:c r="H1715" s="9" t="n">
        <x:v>102.4</x:v>
      </x:c>
      <x:c r="I1715" s="8" t="str">
        <x:f>B1715&amp;" / "&amp;C1715&amp;" / "&amp;E1715</x:f>
        <x:v>26322 / 2021 / RAINBOW TROUT</x:v>
      </x:c>
    </x:row>
    <x:row r="1716" ht="23" customHeight="1">
      <x:c r="A1716" s="8" t="str">
        <x:v>Len Thompson Pond</x:v>
      </x:c>
      <x:c r="B1716" s="8" t="str">
        <x:v>26322</x:v>
      </x:c>
      <x:c r="C1716" s="17" t="n">
        <x:v>2021</x:v>
      </x:c>
      <x:c r="D1716" s="18" t="n">
        <x:v>44301</x:v>
      </x:c>
      <x:c r="E1716" s="8" t="str">
        <x:v>RAINBOW TROUT</x:v>
      </x:c>
      <x:c r="F1716" s="13" t="n">
        <x:v>2850</x:v>
      </x:c>
      <x:c r="G1716" s="9" t="n">
        <x:v>20.4</x:v>
      </x:c>
      <x:c r="H1716" s="9" t="n">
        <x:v>93.3</x:v>
      </x:c>
      <x:c r="I1716" s="8" t="str">
        <x:f>B1716&amp;" / "&amp;C1716&amp;" / "&amp;E1716</x:f>
        <x:v>26322 / 2021 / RAINBOW TROUT</x:v>
      </x:c>
    </x:row>
    <x:row r="1717" ht="23" customHeight="1">
      <x:c r="A1717" s="8" t="str">
        <x:v>Len Thompson Pond</x:v>
      </x:c>
      <x:c r="B1717" s="8" t="str">
        <x:v>26322</x:v>
      </x:c>
      <x:c r="C1717" s="17" t="n">
        <x:v>2021</x:v>
      </x:c>
      <x:c r="D1717" s="18" t="n">
        <x:v>44474</x:v>
      </x:c>
      <x:c r="E1717" s="8" t="str">
        <x:v>TIGER TROUT</x:v>
      </x:c>
      <x:c r="F1717" s="13" t="n">
        <x:v>1000</x:v>
      </x:c>
      <x:c r="G1717" s="9" t="n">
        <x:v>21</x:v>
      </x:c>
      <x:c r="H1717" s="9" t="n">
        <x:v>102.8</x:v>
      </x:c>
      <x:c r="I1717" s="8" t="str">
        <x:f>B1717&amp;" / "&amp;C1717&amp;" / "&amp;E1717</x:f>
        <x:v>26322 / 2021 / TIGER TROUT</x:v>
      </x:c>
    </x:row>
    <x:row r="1718" ht="23" customHeight="1">
      <x:c r="A1718" s="8" t="str">
        <x:v>Len Thompson Pond</x:v>
      </x:c>
      <x:c r="B1718" s="8" t="str">
        <x:v>26322</x:v>
      </x:c>
      <x:c r="C1718" s="17" t="n">
        <x:v>2021</x:v>
      </x:c>
      <x:c r="D1718" s="18" t="n">
        <x:v>44301</x:v>
      </x:c>
      <x:c r="E1718" s="8" t="str">
        <x:v>TIGER TROUT</x:v>
      </x:c>
      <x:c r="F1718" s="13" t="n">
        <x:v>1150</x:v>
      </x:c>
      <x:c r="G1718" s="9" t="n">
        <x:v>16.3</x:v>
      </x:c>
      <x:c r="H1718" s="9" t="n">
        <x:v>47.8</x:v>
      </x:c>
      <x:c r="I1718" s="8" t="str">
        <x:f>B1718&amp;" / "&amp;C1718&amp;" / "&amp;E1718</x:f>
        <x:v>26322 / 2021 / TIGER TROUT</x:v>
      </x:c>
    </x:row>
    <x:row r="1719" ht="23" customHeight="1">
      <x:c r="A1719" s="8" t="str">
        <x:v>Lillian Lake</x:v>
      </x:c>
      <x:c r="B1719" s="8" t="str">
        <x:v>5074</x:v>
      </x:c>
      <x:c r="C1719" s="17" t="n">
        <x:v>2021</x:v>
      </x:c>
      <x:c r="D1719" s="18" t="n">
        <x:v>44447</x:v>
      </x:c>
      <x:c r="E1719" s="8" t="str">
        <x:v>CUTTHROAT TROUT</x:v>
      </x:c>
      <x:c r="F1719" s="13" t="n">
        <x:v>1300</x:v>
      </x:c>
      <x:c r="G1719" s="9" t="n">
        <x:v>4.9</x:v>
      </x:c>
      <x:c r="H1719" s="9" t="n">
        <x:v>1.3</x:v>
      </x:c>
      <x:c r="I1719" s="8" t="str">
        <x:f>B1719&amp;" / "&amp;C1719&amp;" / "&amp;E1719</x:f>
        <x:v>5074 / 2021 / CUTTHROAT TROUT</x:v>
      </x:c>
    </x:row>
    <x:row r="1720" ht="23" customHeight="1">
      <x:c r="A1720" s="8" t="str">
        <x:v>Lily Lake</x:v>
      </x:c>
      <x:c r="B1720" s="8" t="str">
        <x:v>5078</x:v>
      </x:c>
      <x:c r="C1720" s="17" t="n">
        <x:v>2025</x:v>
      </x:c>
      <x:c r="D1720" s="18" t="n">
        <x:v>45917</x:v>
      </x:c>
      <x:c r="E1720" s="8" t="str">
        <x:v>BROOK TROUT</x:v>
      </x:c>
      <x:c r="F1720" s="13" t="n">
        <x:v>3660</x:v>
      </x:c>
      <x:c r="G1720" s="9" t="n">
        <x:v>11.7</x:v>
      </x:c>
      <x:c r="H1720" s="9" t="n">
        <x:v>17.3</x:v>
      </x:c>
      <x:c r="I1720" s="8" t="str">
        <x:f>B1720&amp;" / "&amp;C1720&amp;" / "&amp;E1720</x:f>
        <x:v>5078 / 2025 / BROOK TROUT</x:v>
      </x:c>
    </x:row>
    <x:row r="1721" ht="23" customHeight="1">
      <x:c r="A1721" s="8" t="str">
        <x:v>Lily Lake</x:v>
      </x:c>
      <x:c r="B1721" s="8" t="str">
        <x:v>5078</x:v>
      </x:c>
      <x:c r="C1721" s="17" t="n">
        <x:v>2025</x:v>
      </x:c>
      <x:c r="D1721" s="18" t="n">
        <x:v>45917</x:v>
      </x:c>
      <x:c r="E1721" s="8" t="str">
        <x:v>TIGER TROUT</x:v>
      </x:c>
      <x:c r="F1721" s="13" t="n">
        <x:v>200</x:v>
      </x:c>
      <x:c r="G1721" s="9" t="n">
        <x:v>10.9</x:v>
      </x:c>
      <x:c r="H1721" s="9" t="n">
        <x:v>14.6</x:v>
      </x:c>
      <x:c r="I1721" s="8" t="str">
        <x:f>B1721&amp;" / "&amp;C1721&amp;" / "&amp;E1721</x:f>
        <x:v>5078 / 2025 / TIGER TROUT</x:v>
      </x:c>
    </x:row>
    <x:row r="1722" ht="23" customHeight="1">
      <x:c r="A1722" s="8" t="str">
        <x:v>Lily Lake</x:v>
      </x:c>
      <x:c r="B1722" s="8" t="str">
        <x:v>5078</x:v>
      </x:c>
      <x:c r="C1722" s="17" t="n">
        <x:v>2025</x:v>
      </x:c>
      <x:c r="D1722" s="18" t="n">
        <x:v>45917</x:v>
      </x:c>
      <x:c r="E1722" s="8" t="str">
        <x:v>TIGER TROUT</x:v>
      </x:c>
      <x:c r="F1722" s="13" t="n">
        <x:v>325</x:v>
      </x:c>
      <x:c r="G1722" s="9" t="n">
        <x:v>30.6</x:v>
      </x:c>
      <x:c r="H1722" s="9" t="n">
        <x:v>318.1</x:v>
      </x:c>
      <x:c r="I1722" s="8" t="str">
        <x:f>B1722&amp;" / "&amp;C1722&amp;" / "&amp;E1722</x:f>
        <x:v>5078 / 2025 / TIGER TROUT</x:v>
      </x:c>
    </x:row>
    <x:row r="1723" ht="23" customHeight="1">
      <x:c r="A1723" s="8" t="str">
        <x:v>Lily Lake</x:v>
      </x:c>
      <x:c r="B1723" s="8" t="str">
        <x:v>5078</x:v>
      </x:c>
      <x:c r="C1723" s="17" t="n">
        <x:v>2024</x:v>
      </x:c>
      <x:c r="D1723" s="18" t="n">
        <x:v>45568</x:v>
      </x:c>
      <x:c r="E1723" s="8" t="str">
        <x:v>BROOK TROUT</x:v>
      </x:c>
      <x:c r="F1723" s="13" t="n">
        <x:v>3660</x:v>
      </x:c>
      <x:c r="G1723" s="9" t="n">
        <x:v>13</x:v>
      </x:c>
      <x:c r="H1723" s="9" t="n">
        <x:v>23.7</x:v>
      </x:c>
      <x:c r="I1723" s="8" t="str">
        <x:f>B1723&amp;" / "&amp;C1723&amp;" / "&amp;E1723</x:f>
        <x:v>5078 / 2024 / BROOK TROUT</x:v>
      </x:c>
    </x:row>
    <x:row r="1724" ht="23" customHeight="1">
      <x:c r="A1724" s="8" t="str">
        <x:v>Lily Lake</x:v>
      </x:c>
      <x:c r="B1724" s="8" t="str">
        <x:v>5078</x:v>
      </x:c>
      <x:c r="C1724" s="17" t="n">
        <x:v>2024</x:v>
      </x:c>
      <x:c r="D1724" s="18" t="n">
        <x:v>45568</x:v>
      </x:c>
      <x:c r="E1724" s="8" t="str">
        <x:v>TIGER TROUT</x:v>
      </x:c>
      <x:c r="F1724" s="13" t="n">
        <x:v>325</x:v>
      </x:c>
      <x:c r="G1724" s="9" t="n">
        <x:v>24.1</x:v>
      </x:c>
      <x:c r="H1724" s="9" t="n">
        <x:v>152</x:v>
      </x:c>
      <x:c r="I1724" s="8" t="str">
        <x:f>B1724&amp;" / "&amp;C1724&amp;" / "&amp;E1724</x:f>
        <x:v>5078 / 2024 / TIGER TROUT</x:v>
      </x:c>
    </x:row>
    <x:row r="1725" ht="23" customHeight="1">
      <x:c r="A1725" s="8" t="str">
        <x:v>Lily Lake</x:v>
      </x:c>
      <x:c r="B1725" s="8" t="str">
        <x:v>5078</x:v>
      </x:c>
      <x:c r="C1725" s="17" t="n">
        <x:v>2023</x:v>
      </x:c>
      <x:c r="D1725" s="18" t="n">
        <x:v>45209</x:v>
      </x:c>
      <x:c r="E1725" s="8" t="str">
        <x:v>BROOK TROUT</x:v>
      </x:c>
      <x:c r="F1725" s="13" t="n">
        <x:v>3660</x:v>
      </x:c>
      <x:c r="G1725" s="9" t="n">
        <x:v>12.1</x:v>
      </x:c>
      <x:c r="H1725" s="9" t="n">
        <x:v>19.3</x:v>
      </x:c>
      <x:c r="I1725" s="8" t="str">
        <x:f>B1725&amp;" / "&amp;C1725&amp;" / "&amp;E1725</x:f>
        <x:v>5078 / 2023 / BROOK TROUT</x:v>
      </x:c>
    </x:row>
    <x:row r="1726" ht="23" customHeight="1">
      <x:c r="A1726" s="8" t="str">
        <x:v>Lily Lake</x:v>
      </x:c>
      <x:c r="B1726" s="8" t="str">
        <x:v>5078</x:v>
      </x:c>
      <x:c r="C1726" s="17" t="n">
        <x:v>2023</x:v>
      </x:c>
      <x:c r="D1726" s="18" t="n">
        <x:v>45209</x:v>
      </x:c>
      <x:c r="E1726" s="8" t="str">
        <x:v>TIGER TROUT</x:v>
      </x:c>
      <x:c r="F1726" s="13" t="n">
        <x:v>325</x:v>
      </x:c>
      <x:c r="G1726" s="9" t="n">
        <x:v>24.2</x:v>
      </x:c>
      <x:c r="H1726" s="9" t="n">
        <x:v>153.8</x:v>
      </x:c>
      <x:c r="I1726" s="8" t="str">
        <x:f>B1726&amp;" / "&amp;C1726&amp;" / "&amp;E1726</x:f>
        <x:v>5078 / 2023 / TIGER TROUT</x:v>
      </x:c>
    </x:row>
    <x:row r="1727" ht="23" customHeight="1">
      <x:c r="A1727" s="8" t="str">
        <x:v>Lily Lake</x:v>
      </x:c>
      <x:c r="B1727" s="8" t="str">
        <x:v>5078</x:v>
      </x:c>
      <x:c r="C1727" s="17" t="n">
        <x:v>2022</x:v>
      </x:c>
      <x:c r="D1727" s="18" t="n">
        <x:v>44837</x:v>
      </x:c>
      <x:c r="E1727" s="8" t="str">
        <x:v>BROOK TROUT</x:v>
      </x:c>
      <x:c r="F1727" s="13" t="n">
        <x:v>3660</x:v>
      </x:c>
      <x:c r="G1727" s="9" t="n">
        <x:v>14.3</x:v>
      </x:c>
      <x:c r="H1727" s="9" t="n">
        <x:v>32.7</x:v>
      </x:c>
      <x:c r="I1727" s="8" t="str">
        <x:f>B1727&amp;" / "&amp;C1727&amp;" / "&amp;E1727</x:f>
        <x:v>5078 / 2022 / BROOK TROUT</x:v>
      </x:c>
    </x:row>
    <x:row r="1728" ht="23" customHeight="1">
      <x:c r="A1728" s="8" t="str">
        <x:v>Lily Lake</x:v>
      </x:c>
      <x:c r="B1728" s="8" t="str">
        <x:v>5078</x:v>
      </x:c>
      <x:c r="C1728" s="17" t="n">
        <x:v>2022</x:v>
      </x:c>
      <x:c r="D1728" s="18" t="n">
        <x:v>44837</x:v>
      </x:c>
      <x:c r="E1728" s="8" t="str">
        <x:v>TIGER TROUT</x:v>
      </x:c>
      <x:c r="F1728" s="13" t="n">
        <x:v>325</x:v>
      </x:c>
      <x:c r="G1728" s="9" t="n">
        <x:v>22.7</x:v>
      </x:c>
      <x:c r="H1728" s="9" t="n">
        <x:v>129.9</x:v>
      </x:c>
      <x:c r="I1728" s="8" t="str">
        <x:f>B1728&amp;" / "&amp;C1728&amp;" / "&amp;E1728</x:f>
        <x:v>5078 / 2022 / TIGER TROUT</x:v>
      </x:c>
    </x:row>
    <x:row r="1729" ht="23" customHeight="1">
      <x:c r="A1729" s="8" t="str">
        <x:v>Lily Lake</x:v>
      </x:c>
      <x:c r="B1729" s="8" t="str">
        <x:v>5078</x:v>
      </x:c>
      <x:c r="C1729" s="17" t="n">
        <x:v>2021</x:v>
      </x:c>
      <x:c r="D1729" s="18" t="n">
        <x:v>44482</x:v>
      </x:c>
      <x:c r="E1729" s="8" t="str">
        <x:v>BROOK TROUT</x:v>
      </x:c>
      <x:c r="F1729" s="13" t="n">
        <x:v>3000</x:v>
      </x:c>
      <x:c r="G1729" s="9" t="n">
        <x:v>12.1</x:v>
      </x:c>
      <x:c r="H1729" s="9" t="n">
        <x:v>19.8</x:v>
      </x:c>
      <x:c r="I1729" s="8" t="str">
        <x:f>B1729&amp;" / "&amp;C1729&amp;" / "&amp;E1729</x:f>
        <x:v>5078 / 2021 / BROOK TROUT</x:v>
      </x:c>
    </x:row>
    <x:row r="1730" ht="23" customHeight="1">
      <x:c r="A1730" s="8" t="str">
        <x:v>Lily Lake</x:v>
      </x:c>
      <x:c r="B1730" s="8" t="str">
        <x:v>5078</x:v>
      </x:c>
      <x:c r="C1730" s="17" t="n">
        <x:v>2021</x:v>
      </x:c>
      <x:c r="D1730" s="18" t="n">
        <x:v>44482</x:v>
      </x:c>
      <x:c r="E1730" s="8" t="str">
        <x:v>TIGER TROUT</x:v>
      </x:c>
      <x:c r="F1730" s="13" t="n">
        <x:v>325</x:v>
      </x:c>
      <x:c r="G1730" s="9" t="n">
        <x:v>22.3</x:v>
      </x:c>
      <x:c r="H1730" s="9" t="n">
        <x:v>122.3</x:v>
      </x:c>
      <x:c r="I1730" s="8" t="str">
        <x:f>B1730&amp;" / "&amp;C1730&amp;" / "&amp;E1730</x:f>
        <x:v>5078 / 2021 / TIGER TROUT</x:v>
      </x:c>
    </x:row>
    <x:row r="1731" ht="23" customHeight="1">
      <x:c r="A1731" s="8" t="str">
        <x:v>Little Bear Lake</x:v>
      </x:c>
      <x:c r="B1731" s="8" t="str">
        <x:v>5093</x:v>
      </x:c>
      <x:c r="C1731" s="17" t="n">
        <x:v>2026</x:v>
      </x:c>
      <x:c r="D1731" s="18" t="n">
        <x:v>46164</x:v>
      </x:c>
      <x:c r="E1731" s="8" t="str">
        <x:v>BROOK TROUT</x:v>
      </x:c>
      <x:c r="F1731" s="13" t="n">
        <x:v>2200</x:v>
      </x:c>
      <x:c r="G1731" s="9" t="n">
        <x:v>20.4</x:v>
      </x:c>
      <x:c r="H1731" s="9" t="n">
        <x:v>93.4</x:v>
      </x:c>
      <x:c r="I1731" s="8" t="str">
        <x:f>B1731&amp;" / "&amp;C1731&amp;" / "&amp;E1731</x:f>
        <x:v>5093 / 2026 / BROOK TROUT</x:v>
      </x:c>
    </x:row>
    <x:row r="1732" ht="23" customHeight="1">
      <x:c r="A1732" s="8" t="str">
        <x:v>Little Bear Lake</x:v>
      </x:c>
      <x:c r="B1732" s="8" t="str">
        <x:v>5093</x:v>
      </x:c>
      <x:c r="C1732" s="17" t="n">
        <x:v>2026</x:v>
      </x:c>
      <x:c r="D1732" s="18" t="n">
        <x:v>46164</x:v>
      </x:c>
      <x:c r="E1732" s="8" t="str">
        <x:v>BROWN TROUT</x:v>
      </x:c>
      <x:c r="F1732" s="13" t="n">
        <x:v>1000</x:v>
      </x:c>
      <x:c r="G1732" s="9" t="n">
        <x:v>18.7</x:v>
      </x:c>
      <x:c r="H1732" s="9" t="n">
        <x:v>72.2</x:v>
      </x:c>
      <x:c r="I1732" s="8" t="str">
        <x:f>B1732&amp;" / "&amp;C1732&amp;" / "&amp;E1732</x:f>
        <x:v>5093 / 2026 / BROWN TROUT</x:v>
      </x:c>
    </x:row>
    <x:row r="1733" ht="23" customHeight="1">
      <x:c r="A1733" s="8" t="str">
        <x:v>Little Bear Lake</x:v>
      </x:c>
      <x:c r="B1733" s="8" t="str">
        <x:v>5093</x:v>
      </x:c>
      <x:c r="C1733" s="17" t="n">
        <x:v>2026</x:v>
      </x:c>
      <x:c r="D1733" s="18" t="n">
        <x:v>46164</x:v>
      </x:c>
      <x:c r="E1733" s="8" t="str">
        <x:v>RAINBOW TROUT</x:v>
      </x:c>
      <x:c r="F1733" s="13" t="n">
        <x:v>5000</x:v>
      </x:c>
      <x:c r="G1733" s="9" t="n">
        <x:v>19.4</x:v>
      </x:c>
      <x:c r="H1733" s="9" t="n">
        <x:v>80.6</x:v>
      </x:c>
      <x:c r="I1733" s="8" t="str">
        <x:f>B1733&amp;" / "&amp;C1733&amp;" / "&amp;E1733</x:f>
        <x:v>5093 / 2026 / RAINBOW TROUT</x:v>
      </x:c>
    </x:row>
    <x:row r="1734" ht="23" customHeight="1">
      <x:c r="A1734" s="8" t="str">
        <x:v>Little Bear Lake</x:v>
      </x:c>
      <x:c r="B1734" s="8" t="str">
        <x:v>5093</x:v>
      </x:c>
      <x:c r="C1734" s="17" t="n">
        <x:v>2026</x:v>
      </x:c>
      <x:c r="D1734" s="18" t="n">
        <x:v>46164</x:v>
      </x:c>
      <x:c r="E1734" s="8" t="str">
        <x:v>RAINBOW TROUT</x:v>
      </x:c>
      <x:c r="F1734" s="13" t="n">
        <x:v>5000</x:v>
      </x:c>
      <x:c r="G1734" s="9" t="n">
        <x:v>22.1</x:v>
      </x:c>
      <x:c r="H1734" s="9" t="n">
        <x:v>119.5</x:v>
      </x:c>
      <x:c r="I1734" s="8" t="str">
        <x:f>B1734&amp;" / "&amp;C1734&amp;" / "&amp;E1734</x:f>
        <x:v>5093 / 2026 / RAINBOW TROUT</x:v>
      </x:c>
    </x:row>
    <x:row r="1735" ht="23" customHeight="1">
      <x:c r="A1735" s="8" t="str">
        <x:v>Little Bear Lake</x:v>
      </x:c>
      <x:c r="B1735" s="8" t="str">
        <x:v>5093</x:v>
      </x:c>
      <x:c r="C1735" s="17" t="n">
        <x:v>2026</x:v>
      </x:c>
      <x:c r="D1735" s="18" t="n">
        <x:v>46164</x:v>
      </x:c>
      <x:c r="E1735" s="8" t="str">
        <x:v>TIGER TROUT</x:v>
      </x:c>
      <x:c r="F1735" s="13" t="n">
        <x:v>2200</x:v>
      </x:c>
      <x:c r="G1735" s="9" t="n">
        <x:v>23.1</x:v>
      </x:c>
      <x:c r="H1735" s="9" t="n">
        <x:v>136.8</x:v>
      </x:c>
      <x:c r="I1735" s="8" t="str">
        <x:f>B1735&amp;" / "&amp;C1735&amp;" / "&amp;E1735</x:f>
        <x:v>5093 / 2026 / TIGER TROUT</x:v>
      </x:c>
    </x:row>
    <x:row r="1736" ht="23" customHeight="1">
      <x:c r="A1736" s="8" t="str">
        <x:v>Little Bear Lake</x:v>
      </x:c>
      <x:c r="B1736" s="8" t="str">
        <x:v>5093</x:v>
      </x:c>
      <x:c r="C1736" s="17" t="n">
        <x:v>2025</x:v>
      </x:c>
      <x:c r="D1736" s="18" t="n">
        <x:v>45777</x:v>
      </x:c>
      <x:c r="E1736" s="8" t="str">
        <x:v>BROOK TROUT</x:v>
      </x:c>
      <x:c r="F1736" s="13" t="n">
        <x:v>2200</x:v>
      </x:c>
      <x:c r="G1736" s="9" t="n">
        <x:v>19.6</x:v>
      </x:c>
      <x:c r="H1736" s="9" t="n">
        <x:v>81</x:v>
      </x:c>
      <x:c r="I1736" s="8" t="str">
        <x:f>B1736&amp;" / "&amp;C1736&amp;" / "&amp;E1736</x:f>
        <x:v>5093 / 2025 / BROOK TROUT</x:v>
      </x:c>
    </x:row>
    <x:row r="1737" ht="23" customHeight="1">
      <x:c r="A1737" s="8" t="str">
        <x:v>Little Bear Lake</x:v>
      </x:c>
      <x:c r="B1737" s="8" t="str">
        <x:v>5093</x:v>
      </x:c>
      <x:c r="C1737" s="17" t="n">
        <x:v>2025</x:v>
      </x:c>
      <x:c r="D1737" s="18" t="n">
        <x:v>45777</x:v>
      </x:c>
      <x:c r="E1737" s="8" t="str">
        <x:v>BROWN TROUT</x:v>
      </x:c>
      <x:c r="F1737" s="13" t="n">
        <x:v>1000</x:v>
      </x:c>
      <x:c r="G1737" s="9" t="n">
        <x:v>18.9</x:v>
      </x:c>
      <x:c r="H1737" s="9" t="n">
        <x:v>72.4</x:v>
      </x:c>
      <x:c r="I1737" s="8" t="str">
        <x:f>B1737&amp;" / "&amp;C1737&amp;" / "&amp;E1737</x:f>
        <x:v>5093 / 2025 / BROWN TROUT</x:v>
      </x:c>
    </x:row>
    <x:row r="1738" ht="23" customHeight="1">
      <x:c r="A1738" s="8" t="str">
        <x:v>Little Bear Lake</x:v>
      </x:c>
      <x:c r="B1738" s="8" t="str">
        <x:v>5093</x:v>
      </x:c>
      <x:c r="C1738" s="17" t="n">
        <x:v>2025</x:v>
      </x:c>
      <x:c r="D1738" s="18" t="n">
        <x:v>45943</x:v>
      </x:c>
      <x:c r="E1738" s="8" t="str">
        <x:v>RAINBOW TROUT</x:v>
      </x:c>
      <x:c r="F1738" s="13" t="n">
        <x:v>2159</x:v>
      </x:c>
      <x:c r="G1738" s="9" t="n">
        <x:v>25.9</x:v>
      </x:c>
      <x:c r="H1738" s="9" t="n">
        <x:v>193.5</x:v>
      </x:c>
      <x:c r="I1738" s="8" t="str">
        <x:f>B1738&amp;" / "&amp;C1738&amp;" / "&amp;E1738</x:f>
        <x:v>5093 / 2025 / RAINBOW TROUT</x:v>
      </x:c>
    </x:row>
    <x:row r="1739" ht="23" customHeight="1">
      <x:c r="A1739" s="8" t="str">
        <x:v>Little Bear Lake</x:v>
      </x:c>
      <x:c r="B1739" s="8" t="str">
        <x:v>5093</x:v>
      </x:c>
      <x:c r="C1739" s="17" t="n">
        <x:v>2025</x:v>
      </x:c>
      <x:c r="D1739" s="18" t="n">
        <x:v>45786</x:v>
      </x:c>
      <x:c r="E1739" s="8" t="str">
        <x:v>RAINBOW TROUT</x:v>
      </x:c>
      <x:c r="F1739" s="13" t="n">
        <x:v>5000</x:v>
      </x:c>
      <x:c r="G1739" s="9" t="n">
        <x:v>23.2</x:v>
      </x:c>
      <x:c r="H1739" s="9" t="n">
        <x:v>137.5</x:v>
      </x:c>
      <x:c r="I1739" s="8" t="str">
        <x:f>B1739&amp;" / "&amp;C1739&amp;" / "&amp;E1739</x:f>
        <x:v>5093 / 2025 / RAINBOW TROUT</x:v>
      </x:c>
    </x:row>
    <x:row r="1740" ht="23" customHeight="1">
      <x:c r="A1740" s="8" t="str">
        <x:v>Little Bear Lake</x:v>
      </x:c>
      <x:c r="B1740" s="8" t="str">
        <x:v>5093</x:v>
      </x:c>
      <x:c r="C1740" s="17" t="n">
        <x:v>2025</x:v>
      </x:c>
      <x:c r="D1740" s="18" t="n">
        <x:v>45786</x:v>
      </x:c>
      <x:c r="E1740" s="8" t="str">
        <x:v>RAINBOW TROUT</x:v>
      </x:c>
      <x:c r="F1740" s="13" t="n">
        <x:v>2500</x:v>
      </x:c>
      <x:c r="G1740" s="9" t="n">
        <x:v>18.2</x:v>
      </x:c>
      <x:c r="H1740" s="9" t="n">
        <x:v>66.8</x:v>
      </x:c>
      <x:c r="I1740" s="8" t="str">
        <x:f>B1740&amp;" / "&amp;C1740&amp;" / "&amp;E1740</x:f>
        <x:v>5093 / 2025 / RAINBOW TROUT</x:v>
      </x:c>
    </x:row>
    <x:row r="1741" ht="23" customHeight="1">
      <x:c r="A1741" s="8" t="str">
        <x:v>Little Bear Lake</x:v>
      </x:c>
      <x:c r="B1741" s="8" t="str">
        <x:v>5093</x:v>
      </x:c>
      <x:c r="C1741" s="17" t="n">
        <x:v>2025</x:v>
      </x:c>
      <x:c r="D1741" s="18" t="n">
        <x:v>45786</x:v>
      </x:c>
      <x:c r="E1741" s="8" t="str">
        <x:v>RAINBOW TROUT</x:v>
      </x:c>
      <x:c r="F1741" s="13" t="n">
        <x:v>4000</x:v>
      </x:c>
      <x:c r="G1741" s="9" t="n">
        <x:v>20.5</x:v>
      </x:c>
      <x:c r="H1741" s="9" t="n">
        <x:v>95.5</x:v>
      </x:c>
      <x:c r="I1741" s="8" t="str">
        <x:f>B1741&amp;" / "&amp;C1741&amp;" / "&amp;E1741</x:f>
        <x:v>5093 / 2025 / RAINBOW TROUT</x:v>
      </x:c>
    </x:row>
    <x:row r="1742" ht="23" customHeight="1">
      <x:c r="A1742" s="8" t="str">
        <x:v>Little Bear Lake</x:v>
      </x:c>
      <x:c r="B1742" s="8" t="str">
        <x:v>5093</x:v>
      </x:c>
      <x:c r="C1742" s="17" t="n">
        <x:v>2025</x:v>
      </x:c>
      <x:c r="D1742" s="18" t="n">
        <x:v>45786</x:v>
      </x:c>
      <x:c r="E1742" s="8" t="str">
        <x:v>TIGER TROUT</x:v>
      </x:c>
      <x:c r="F1742" s="13" t="n">
        <x:v>2000</x:v>
      </x:c>
      <x:c r="G1742" s="9" t="n">
        <x:v>22.7</x:v>
      </x:c>
      <x:c r="H1742" s="9" t="n">
        <x:v>128.8</x:v>
      </x:c>
      <x:c r="I1742" s="8" t="str">
        <x:f>B1742&amp;" / "&amp;C1742&amp;" / "&amp;E1742</x:f>
        <x:v>5093 / 2025 / TIGER TROUT</x:v>
      </x:c>
    </x:row>
    <x:row r="1743" ht="23" customHeight="1">
      <x:c r="A1743" s="8" t="str">
        <x:v>Little Bear Lake</x:v>
      </x:c>
      <x:c r="B1743" s="8" t="str">
        <x:v>5093</x:v>
      </x:c>
      <x:c r="C1743" s="17" t="n">
        <x:v>2024</x:v>
      </x:c>
      <x:c r="D1743" s="18" t="n">
        <x:v>45560</x:v>
      </x:c>
      <x:c r="E1743" s="8" t="str">
        <x:v>BROOK TROUT</x:v>
      </x:c>
      <x:c r="F1743" s="13" t="n">
        <x:v>14500</x:v>
      </x:c>
      <x:c r="G1743" s="9" t="n">
        <x:v>12.9</x:v>
      </x:c>
      <x:c r="H1743" s="9" t="n">
        <x:v>23.2</x:v>
      </x:c>
      <x:c r="I1743" s="8" t="str">
        <x:f>B1743&amp;" / "&amp;C1743&amp;" / "&amp;E1743</x:f>
        <x:v>5093 / 2024 / BROOK TROUT</x:v>
      </x:c>
    </x:row>
    <x:row r="1744" ht="23" customHeight="1">
      <x:c r="A1744" s="8" t="str">
        <x:v>Little Bear Lake</x:v>
      </x:c>
      <x:c r="B1744" s="8" t="str">
        <x:v>5093</x:v>
      </x:c>
      <x:c r="C1744" s="17" t="n">
        <x:v>2024</x:v>
      </x:c>
      <x:c r="D1744" s="18" t="n">
        <x:v>45560</x:v>
      </x:c>
      <x:c r="E1744" s="8" t="str">
        <x:v>BROWN TROUT</x:v>
      </x:c>
      <x:c r="F1744" s="13" t="n">
        <x:v>5000</x:v>
      </x:c>
      <x:c r="G1744" s="9" t="n">
        <x:v>9</x:v>
      </x:c>
      <x:c r="H1744" s="9" t="n">
        <x:v>8</x:v>
      </x:c>
      <x:c r="I1744" s="8" t="str">
        <x:f>B1744&amp;" / "&amp;C1744&amp;" / "&amp;E1744</x:f>
        <x:v>5093 / 2024 / BROWN TROUT</x:v>
      </x:c>
    </x:row>
    <x:row r="1745" ht="23" customHeight="1">
      <x:c r="A1745" s="8" t="str">
        <x:v>Little Bear Lake</x:v>
      </x:c>
      <x:c r="B1745" s="8" t="str">
        <x:v>5093</x:v>
      </x:c>
      <x:c r="C1745" s="17" t="n">
        <x:v>2024</x:v>
      </x:c>
      <x:c r="D1745" s="18" t="n">
        <x:v>45562</x:v>
      </x:c>
      <x:c r="E1745" s="8" t="str">
        <x:v>RAINBOW TROUT</x:v>
      </x:c>
      <x:c r="F1745" s="13" t="n">
        <x:v>15000</x:v>
      </x:c>
      <x:c r="G1745" s="9" t="n">
        <x:v>8.6</x:v>
      </x:c>
      <x:c r="H1745" s="9" t="n">
        <x:v>7</x:v>
      </x:c>
      <x:c r="I1745" s="8" t="str">
        <x:f>B1745&amp;" / "&amp;C1745&amp;" / "&amp;E1745</x:f>
        <x:v>5093 / 2024 / RAINBOW TROUT</x:v>
      </x:c>
    </x:row>
    <x:row r="1746" ht="23" customHeight="1">
      <x:c r="A1746" s="8" t="str">
        <x:v>Little Bear Lake</x:v>
      </x:c>
      <x:c r="B1746" s="8" t="str">
        <x:v>5093</x:v>
      </x:c>
      <x:c r="C1746" s="17" t="n">
        <x:v>2024</x:v>
      </x:c>
      <x:c r="D1746" s="18" t="n">
        <x:v>45562</x:v>
      </x:c>
      <x:c r="E1746" s="8" t="str">
        <x:v>RAINBOW TROUT</x:v>
      </x:c>
      <x:c r="F1746" s="13" t="n">
        <x:v>5000</x:v>
      </x:c>
      <x:c r="G1746" s="9" t="n">
        <x:v>19.6</x:v>
      </x:c>
      <x:c r="H1746" s="9" t="n">
        <x:v>83</x:v>
      </x:c>
      <x:c r="I1746" s="8" t="str">
        <x:f>B1746&amp;" / "&amp;C1746&amp;" / "&amp;E1746</x:f>
        <x:v>5093 / 2024 / RAINBOW TROUT</x:v>
      </x:c>
    </x:row>
    <x:row r="1747" ht="23" customHeight="1">
      <x:c r="A1747" s="8" t="str">
        <x:v>Little Bear Lake</x:v>
      </x:c>
      <x:c r="B1747" s="8" t="str">
        <x:v>5093</x:v>
      </x:c>
      <x:c r="C1747" s="17" t="n">
        <x:v>2024</x:v>
      </x:c>
      <x:c r="D1747" s="18" t="n">
        <x:v>45454</x:v>
      </x:c>
      <x:c r="E1747" s="8" t="str">
        <x:v>RAINBOW TROUT</x:v>
      </x:c>
      <x:c r="F1747" s="13" t="n">
        <x:v>4403</x:v>
      </x:c>
      <x:c r="G1747" s="9" t="n">
        <x:v>20.8</x:v>
      </x:c>
      <x:c r="H1747" s="9" t="n">
        <x:v>96.7</x:v>
      </x:c>
      <x:c r="I1747" s="8" t="str">
        <x:f>B1747&amp;" / "&amp;C1747&amp;" / "&amp;E1747</x:f>
        <x:v>5093 / 2024 / RAINBOW TROUT</x:v>
      </x:c>
    </x:row>
    <x:row r="1748" ht="23" customHeight="1">
      <x:c r="A1748" s="8" t="str">
        <x:v>Little Bear Lake</x:v>
      </x:c>
      <x:c r="B1748" s="8" t="str">
        <x:v>5093</x:v>
      </x:c>
      <x:c r="C1748" s="17" t="n">
        <x:v>2024</x:v>
      </x:c>
      <x:c r="D1748" s="18" t="n">
        <x:v>45446</x:v>
      </x:c>
      <x:c r="E1748" s="8" t="str">
        <x:v>RAINBOW TROUT</x:v>
      </x:c>
      <x:c r="F1748" s="13" t="n">
        <x:v>10000</x:v>
      </x:c>
      <x:c r="G1748" s="9" t="n">
        <x:v>10.9</x:v>
      </x:c>
      <x:c r="H1748" s="9" t="n">
        <x:v>14.2</x:v>
      </x:c>
      <x:c r="I1748" s="8" t="str">
        <x:f>B1748&amp;" / "&amp;C1748&amp;" / "&amp;E1748</x:f>
        <x:v>5093 / 2024 / RAINBOW TROUT</x:v>
      </x:c>
    </x:row>
    <x:row r="1749" ht="23" customHeight="1">
      <x:c r="A1749" s="8" t="str">
        <x:v>Little Bear Lake</x:v>
      </x:c>
      <x:c r="B1749" s="8" t="str">
        <x:v>5093</x:v>
      </x:c>
      <x:c r="C1749" s="17" t="n">
        <x:v>2024</x:v>
      </x:c>
      <x:c r="D1749" s="18" t="n">
        <x:v>45454</x:v>
      </x:c>
      <x:c r="E1749" s="8" t="str">
        <x:v>TIGER TROUT</x:v>
      </x:c>
      <x:c r="F1749" s="13" t="n">
        <x:v>1500</x:v>
      </x:c>
      <x:c r="G1749" s="9" t="n">
        <x:v>20.4</x:v>
      </x:c>
      <x:c r="H1749" s="9" t="n">
        <x:v>91.7</x:v>
      </x:c>
      <x:c r="I1749" s="8" t="str">
        <x:f>B1749&amp;" / "&amp;C1749&amp;" / "&amp;E1749</x:f>
        <x:v>5093 / 2024 / TIGER TROUT</x:v>
      </x:c>
    </x:row>
    <x:row r="1750" ht="23" customHeight="1">
      <x:c r="A1750" s="8" t="str">
        <x:v>Little Bear Lake</x:v>
      </x:c>
      <x:c r="B1750" s="8" t="str">
        <x:v>5093</x:v>
      </x:c>
      <x:c r="C1750" s="17" t="n">
        <x:v>2023</x:v>
      </x:c>
      <x:c r="D1750" s="18" t="n">
        <x:v>45188</x:v>
      </x:c>
      <x:c r="E1750" s="8" t="str">
        <x:v>BROOK TROUT</x:v>
      </x:c>
      <x:c r="F1750" s="13" t="n">
        <x:v>7000</x:v>
      </x:c>
      <x:c r="G1750" s="9" t="n">
        <x:v>11.7</x:v>
      </x:c>
      <x:c r="H1750" s="9" t="n">
        <x:v>17.4</x:v>
      </x:c>
      <x:c r="I1750" s="8" t="str">
        <x:f>B1750&amp;" / "&amp;C1750&amp;" / "&amp;E1750</x:f>
        <x:v>5093 / 2023 / BROOK TROUT</x:v>
      </x:c>
    </x:row>
    <x:row r="1751" ht="23" customHeight="1">
      <x:c r="A1751" s="8" t="str">
        <x:v>Little Bear Lake</x:v>
      </x:c>
      <x:c r="B1751" s="8" t="str">
        <x:v>5093</x:v>
      </x:c>
      <x:c r="C1751" s="17" t="n">
        <x:v>2023</x:v>
      </x:c>
      <x:c r="D1751" s="18" t="n">
        <x:v>45083</x:v>
      </x:c>
      <x:c r="E1751" s="8" t="str">
        <x:v>BROOK TROUT</x:v>
      </x:c>
      <x:c r="F1751" s="13" t="n">
        <x:v>2700</x:v>
      </x:c>
      <x:c r="G1751" s="9" t="n">
        <x:v>21</x:v>
      </x:c>
      <x:c r="H1751" s="9" t="n">
        <x:v>102.2</x:v>
      </x:c>
      <x:c r="I1751" s="8" t="str">
        <x:f>B1751&amp;" / "&amp;C1751&amp;" / "&amp;E1751</x:f>
        <x:v>5093 / 2023 / BROOK TROUT</x:v>
      </x:c>
    </x:row>
    <x:row r="1752" ht="23" customHeight="1">
      <x:c r="A1752" s="8" t="str">
        <x:v>Little Bear Lake</x:v>
      </x:c>
      <x:c r="B1752" s="8" t="str">
        <x:v>5093</x:v>
      </x:c>
      <x:c r="C1752" s="17" t="n">
        <x:v>2023</x:v>
      </x:c>
      <x:c r="D1752" s="18" t="n">
        <x:v>45187</x:v>
      </x:c>
      <x:c r="E1752" s="8" t="str">
        <x:v>RAINBOW TROUT</x:v>
      </x:c>
      <x:c r="F1752" s="13" t="n">
        <x:v>5000</x:v>
      </x:c>
      <x:c r="G1752" s="9" t="n">
        <x:v>14.4</x:v>
      </x:c>
      <x:c r="H1752" s="9" t="n">
        <x:v>32.4</x:v>
      </x:c>
      <x:c r="I1752" s="8" t="str">
        <x:f>B1752&amp;" / "&amp;C1752&amp;" / "&amp;E1752</x:f>
        <x:v>5093 / 2023 / RAINBOW TROUT</x:v>
      </x:c>
    </x:row>
    <x:row r="1753" ht="23" customHeight="1">
      <x:c r="A1753" s="8" t="str">
        <x:v>Little Bear Lake</x:v>
      </x:c>
      <x:c r="B1753" s="8" t="str">
        <x:v>5093</x:v>
      </x:c>
      <x:c r="C1753" s="17" t="n">
        <x:v>2023</x:v>
      </x:c>
      <x:c r="D1753" s="18" t="n">
        <x:v>45057</x:v>
      </x:c>
      <x:c r="E1753" s="8" t="str">
        <x:v>RAINBOW TROUT</x:v>
      </x:c>
      <x:c r="F1753" s="13" t="n">
        <x:v>2325</x:v>
      </x:c>
      <x:c r="G1753" s="9" t="n">
        <x:v>16</x:v>
      </x:c>
      <x:c r="H1753" s="9" t="n">
        <x:v>45</x:v>
      </x:c>
      <x:c r="I1753" s="8" t="str">
        <x:f>B1753&amp;" / "&amp;C1753&amp;" / "&amp;E1753</x:f>
        <x:v>5093 / 2023 / RAINBOW TROUT</x:v>
      </x:c>
    </x:row>
    <x:row r="1754" ht="23" customHeight="1">
      <x:c r="A1754" s="8" t="str">
        <x:v>Little Bear Lake</x:v>
      </x:c>
      <x:c r="B1754" s="8" t="str">
        <x:v>5093</x:v>
      </x:c>
      <x:c r="C1754" s="17" t="n">
        <x:v>2023</x:v>
      </x:c>
      <x:c r="D1754" s="18" t="n">
        <x:v>45057</x:v>
      </x:c>
      <x:c r="E1754" s="8" t="str">
        <x:v>RAINBOW TROUT</x:v>
      </x:c>
      <x:c r="F1754" s="13" t="n">
        <x:v>1995</x:v>
      </x:c>
      <x:c r="G1754" s="9" t="n">
        <x:v>20.1</x:v>
      </x:c>
      <x:c r="H1754" s="9" t="n">
        <x:v>89.8</x:v>
      </x:c>
      <x:c r="I1754" s="8" t="str">
        <x:f>B1754&amp;" / "&amp;C1754&amp;" / "&amp;E1754</x:f>
        <x:v>5093 / 2023 / RAINBOW TROUT</x:v>
      </x:c>
    </x:row>
    <x:row r="1755" ht="23" customHeight="1">
      <x:c r="A1755" s="8" t="str">
        <x:v>Little Bear Lake</x:v>
      </x:c>
      <x:c r="B1755" s="8" t="str">
        <x:v>5093</x:v>
      </x:c>
      <x:c r="C1755" s="17" t="n">
        <x:v>2023</x:v>
      </x:c>
      <x:c r="D1755" s="18" t="n">
        <x:v>45188</x:v>
      </x:c>
      <x:c r="E1755" s="8" t="str">
        <x:v>TIGER TROUT</x:v>
      </x:c>
      <x:c r="F1755" s="13" t="n">
        <x:v>2500</x:v>
      </x:c>
      <x:c r="G1755" s="9" t="n">
        <x:v>9.1</x:v>
      </x:c>
      <x:c r="H1755" s="9" t="n">
        <x:v>7.9</x:v>
      </x:c>
      <x:c r="I1755" s="8" t="str">
        <x:f>B1755&amp;" / "&amp;C1755&amp;" / "&amp;E1755</x:f>
        <x:v>5093 / 2023 / TIGER TROUT</x:v>
      </x:c>
    </x:row>
    <x:row r="1756" ht="23" customHeight="1">
      <x:c r="A1756" s="8" t="str">
        <x:v>Little Bear Lake</x:v>
      </x:c>
      <x:c r="B1756" s="8" t="str">
        <x:v>5093</x:v>
      </x:c>
      <x:c r="C1756" s="17" t="n">
        <x:v>2023</x:v>
      </x:c>
      <x:c r="D1756" s="18" t="n">
        <x:v>45057</x:v>
      </x:c>
      <x:c r="E1756" s="8" t="str">
        <x:v>TIGER TROUT</x:v>
      </x:c>
      <x:c r="F1756" s="13" t="n">
        <x:v>1500</x:v>
      </x:c>
      <x:c r="G1756" s="9" t="n">
        <x:v>19.5</x:v>
      </x:c>
      <x:c r="H1756" s="9" t="n">
        <x:v>82.1</x:v>
      </x:c>
      <x:c r="I1756" s="8" t="str">
        <x:f>B1756&amp;" / "&amp;C1756&amp;" / "&amp;E1756</x:f>
        <x:v>5093 / 2023 / TIGER TROUT</x:v>
      </x:c>
    </x:row>
    <x:row r="1757" ht="23" customHeight="1">
      <x:c r="A1757" s="8" t="str">
        <x:v>Little Bear Lake</x:v>
      </x:c>
      <x:c r="B1757" s="8" t="str">
        <x:v>5093</x:v>
      </x:c>
      <x:c r="C1757" s="17" t="n">
        <x:v>2022</x:v>
      </x:c>
      <x:c r="D1757" s="18" t="n">
        <x:v>44839</x:v>
      </x:c>
      <x:c r="E1757" s="8" t="str">
        <x:v>BROOK TROUT</x:v>
      </x:c>
      <x:c r="F1757" s="13" t="n">
        <x:v>5000</x:v>
      </x:c>
      <x:c r="G1757" s="9" t="n">
        <x:v>16.9</x:v>
      </x:c>
      <x:c r="H1757" s="9" t="n">
        <x:v>53.1</x:v>
      </x:c>
      <x:c r="I1757" s="8" t="str">
        <x:f>B1757&amp;" / "&amp;C1757&amp;" / "&amp;E1757</x:f>
        <x:v>5093 / 2022 / BROOK TROUT</x:v>
      </x:c>
    </x:row>
    <x:row r="1758" ht="23" customHeight="1">
      <x:c r="A1758" s="8" t="str">
        <x:v>Little Bear Lake</x:v>
      </x:c>
      <x:c r="B1758" s="8" t="str">
        <x:v>5093</x:v>
      </x:c>
      <x:c r="C1758" s="17" t="n">
        <x:v>2022</x:v>
      </x:c>
      <x:c r="D1758" s="18" t="n">
        <x:v>44818</x:v>
      </x:c>
      <x:c r="E1758" s="8" t="str">
        <x:v>BROOK TROUT</x:v>
      </x:c>
      <x:c r="F1758" s="13" t="n">
        <x:v>5000</x:v>
      </x:c>
      <x:c r="G1758" s="9" t="n">
        <x:v>14.1</x:v>
      </x:c>
      <x:c r="H1758" s="9" t="n">
        <x:v>30.9</x:v>
      </x:c>
      <x:c r="I1758" s="8" t="str">
        <x:f>B1758&amp;" / "&amp;C1758&amp;" / "&amp;E1758</x:f>
        <x:v>5093 / 2022 / BROOK TROUT</x:v>
      </x:c>
    </x:row>
    <x:row r="1759" ht="23" customHeight="1">
      <x:c r="A1759" s="8" t="str">
        <x:v>Little Bear Lake</x:v>
      </x:c>
      <x:c r="B1759" s="8" t="str">
        <x:v>5093</x:v>
      </x:c>
      <x:c r="C1759" s="17" t="n">
        <x:v>2022</x:v>
      </x:c>
      <x:c r="D1759" s="18" t="n">
        <x:v>44704</x:v>
      </x:c>
      <x:c r="E1759" s="8" t="str">
        <x:v>BROOK TROUT</x:v>
      </x:c>
      <x:c r="F1759" s="13" t="n">
        <x:v>2200</x:v>
      </x:c>
      <x:c r="G1759" s="9" t="n">
        <x:v>19.9</x:v>
      </x:c>
      <x:c r="H1759" s="9" t="n">
        <x:v>87.7</x:v>
      </x:c>
      <x:c r="I1759" s="8" t="str">
        <x:f>B1759&amp;" / "&amp;C1759&amp;" / "&amp;E1759</x:f>
        <x:v>5093 / 2022 / BROOK TROUT</x:v>
      </x:c>
    </x:row>
    <x:row r="1760" ht="23" customHeight="1">
      <x:c r="A1760" s="8" t="str">
        <x:v>Little Bear Lake</x:v>
      </x:c>
      <x:c r="B1760" s="8" t="str">
        <x:v>5093</x:v>
      </x:c>
      <x:c r="C1760" s="17" t="n">
        <x:v>2022</x:v>
      </x:c>
      <x:c r="D1760" s="18" t="n">
        <x:v>44839</x:v>
      </x:c>
      <x:c r="E1760" s="8" t="str">
        <x:v>RAINBOW TROUT</x:v>
      </x:c>
      <x:c r="F1760" s="13" t="n">
        <x:v>377</x:v>
      </x:c>
      <x:c r="G1760" s="9" t="n">
        <x:v>27.1</x:v>
      </x:c>
      <x:c r="H1760" s="9" t="n">
        <x:v>219.2</x:v>
      </x:c>
      <x:c r="I1760" s="8" t="str">
        <x:f>B1760&amp;" / "&amp;C1760&amp;" / "&amp;E1760</x:f>
        <x:v>5093 / 2022 / RAINBOW TROUT</x:v>
      </x:c>
    </x:row>
    <x:row r="1761" ht="23" customHeight="1">
      <x:c r="A1761" s="8" t="str">
        <x:v>Little Bear Lake</x:v>
      </x:c>
      <x:c r="B1761" s="8" t="str">
        <x:v>5093</x:v>
      </x:c>
      <x:c r="C1761" s="17" t="n">
        <x:v>2022</x:v>
      </x:c>
      <x:c r="D1761" s="18" t="n">
        <x:v>44818</x:v>
      </x:c>
      <x:c r="E1761" s="8" t="str">
        <x:v>RAINBOW TROUT</x:v>
      </x:c>
      <x:c r="F1761" s="13" t="n">
        <x:v>1000</x:v>
      </x:c>
      <x:c r="G1761" s="9" t="n">
        <x:v>25.7</x:v>
      </x:c>
      <x:c r="H1761" s="9" t="n">
        <x:v>188.5</x:v>
      </x:c>
      <x:c r="I1761" s="8" t="str">
        <x:f>B1761&amp;" / "&amp;C1761&amp;" / "&amp;E1761</x:f>
        <x:v>5093 / 2022 / RAINBOW TROUT</x:v>
      </x:c>
    </x:row>
    <x:row r="1762" ht="23" customHeight="1">
      <x:c r="A1762" s="8" t="str">
        <x:v>Little Bear Lake</x:v>
      </x:c>
      <x:c r="B1762" s="8" t="str">
        <x:v>5093</x:v>
      </x:c>
      <x:c r="C1762" s="17" t="n">
        <x:v>2022</x:v>
      </x:c>
      <x:c r="D1762" s="18" t="n">
        <x:v>44818</x:v>
      </x:c>
      <x:c r="E1762" s="8" t="str">
        <x:v>RAINBOW TROUT</x:v>
      </x:c>
      <x:c r="F1762" s="13" t="n">
        <x:v>1500</x:v>
      </x:c>
      <x:c r="G1762" s="9" t="n">
        <x:v>26.2</x:v>
      </x:c>
      <x:c r="H1762" s="9" t="n">
        <x:v>198.9</x:v>
      </x:c>
      <x:c r="I1762" s="8" t="str">
        <x:f>B1762&amp;" / "&amp;C1762&amp;" / "&amp;E1762</x:f>
        <x:v>5093 / 2022 / RAINBOW TROUT</x:v>
      </x:c>
    </x:row>
    <x:row r="1763" ht="23" customHeight="1">
      <x:c r="A1763" s="8" t="str">
        <x:v>Little Bear Lake</x:v>
      </x:c>
      <x:c r="B1763" s="8" t="str">
        <x:v>5093</x:v>
      </x:c>
      <x:c r="C1763" s="17" t="n">
        <x:v>2022</x:v>
      </x:c>
      <x:c r="D1763" s="18" t="n">
        <x:v>44818</x:v>
      </x:c>
      <x:c r="E1763" s="8" t="str">
        <x:v>RAINBOW TROUT</x:v>
      </x:c>
      <x:c r="F1763" s="13" t="n">
        <x:v>3380</x:v>
      </x:c>
      <x:c r="G1763" s="9" t="n">
        <x:v>21.3</x:v>
      </x:c>
      <x:c r="H1763" s="9" t="n">
        <x:v>107.1</x:v>
      </x:c>
      <x:c r="I1763" s="8" t="str">
        <x:f>B1763&amp;" / "&amp;C1763&amp;" / "&amp;E1763</x:f>
        <x:v>5093 / 2022 / RAINBOW TROUT</x:v>
      </x:c>
    </x:row>
    <x:row r="1764" ht="23" customHeight="1">
      <x:c r="A1764" s="8" t="str">
        <x:v>Little Bear Lake</x:v>
      </x:c>
      <x:c r="B1764" s="8" t="str">
        <x:v>5093</x:v>
      </x:c>
      <x:c r="C1764" s="17" t="n">
        <x:v>2022</x:v>
      </x:c>
      <x:c r="D1764" s="18" t="n">
        <x:v>44704</x:v>
      </x:c>
      <x:c r="E1764" s="8" t="str">
        <x:v>RAINBOW TROUT</x:v>
      </x:c>
      <x:c r="F1764" s="13" t="n">
        <x:v>2500</x:v>
      </x:c>
      <x:c r="G1764" s="9" t="n">
        <x:v>18.2</x:v>
      </x:c>
      <x:c r="H1764" s="9" t="n">
        <x:v>66.4</x:v>
      </x:c>
      <x:c r="I1764" s="8" t="str">
        <x:f>B1764&amp;" / "&amp;C1764&amp;" / "&amp;E1764</x:f>
        <x:v>5093 / 2022 / RAINBOW TROUT</x:v>
      </x:c>
    </x:row>
    <x:row r="1765" ht="23" customHeight="1">
      <x:c r="A1765" s="8" t="str">
        <x:v>Little Bear Lake</x:v>
      </x:c>
      <x:c r="B1765" s="8" t="str">
        <x:v>5093</x:v>
      </x:c>
      <x:c r="C1765" s="17" t="n">
        <x:v>2022</x:v>
      </x:c>
      <x:c r="D1765" s="18" t="n">
        <x:v>44704</x:v>
      </x:c>
      <x:c r="E1765" s="8" t="str">
        <x:v>RAINBOW TROUT</x:v>
      </x:c>
      <x:c r="F1765" s="13" t="n">
        <x:v>5000</x:v>
      </x:c>
      <x:c r="G1765" s="9" t="n">
        <x:v>15.7</x:v>
      </x:c>
      <x:c r="H1765" s="9" t="n">
        <x:v>43.2</x:v>
      </x:c>
      <x:c r="I1765" s="8" t="str">
        <x:f>B1765&amp;" / "&amp;C1765&amp;" / "&amp;E1765</x:f>
        <x:v>5093 / 2022 / RAINBOW TROUT</x:v>
      </x:c>
    </x:row>
    <x:row r="1766" ht="23" customHeight="1">
      <x:c r="A1766" s="8" t="str">
        <x:v>Little Bear Lake</x:v>
      </x:c>
      <x:c r="B1766" s="8" t="str">
        <x:v>5093</x:v>
      </x:c>
      <x:c r="C1766" s="17" t="n">
        <x:v>2022</x:v>
      </x:c>
      <x:c r="D1766" s="18" t="n">
        <x:v>44704</x:v>
      </x:c>
      <x:c r="E1766" s="8" t="str">
        <x:v>RAINBOW TROUT</x:v>
      </x:c>
      <x:c r="F1766" s="13" t="n">
        <x:v>2500</x:v>
      </x:c>
      <x:c r="G1766" s="9" t="n">
        <x:v>25.4</x:v>
      </x:c>
      <x:c r="H1766" s="9" t="n">
        <x:v>182</x:v>
      </x:c>
      <x:c r="I1766" s="8" t="str">
        <x:f>B1766&amp;" / "&amp;C1766&amp;" / "&amp;E1766</x:f>
        <x:v>5093 / 2022 / RAINBOW TROUT</x:v>
      </x:c>
    </x:row>
    <x:row r="1767" ht="23" customHeight="1">
      <x:c r="A1767" s="8" t="str">
        <x:v>Little Bear Lake</x:v>
      </x:c>
      <x:c r="B1767" s="8" t="str">
        <x:v>5093</x:v>
      </x:c>
      <x:c r="C1767" s="17" t="n">
        <x:v>2022</x:v>
      </x:c>
      <x:c r="D1767" s="18" t="n">
        <x:v>44818</x:v>
      </x:c>
      <x:c r="E1767" s="8" t="str">
        <x:v>TIGER TROUT</x:v>
      </x:c>
      <x:c r="F1767" s="13" t="n">
        <x:v>1080</x:v>
      </x:c>
      <x:c r="G1767" s="9" t="n">
        <x:v>23.2</x:v>
      </x:c>
      <x:c r="H1767" s="9" t="n">
        <x:v>138.3</x:v>
      </x:c>
      <x:c r="I1767" s="8" t="str">
        <x:f>B1767&amp;" / "&amp;C1767&amp;" / "&amp;E1767</x:f>
        <x:v>5093 / 2022 / TIGER TROUT</x:v>
      </x:c>
    </x:row>
    <x:row r="1768" ht="23" customHeight="1">
      <x:c r="A1768" s="8" t="str">
        <x:v>Little Bear Lake</x:v>
      </x:c>
      <x:c r="B1768" s="8" t="str">
        <x:v>5093</x:v>
      </x:c>
      <x:c r="C1768" s="17" t="n">
        <x:v>2022</x:v>
      </x:c>
      <x:c r="D1768" s="18" t="n">
        <x:v>44818</x:v>
      </x:c>
      <x:c r="E1768" s="8" t="str">
        <x:v>TIGER TROUT</x:v>
      </x:c>
      <x:c r="F1768" s="13" t="n">
        <x:v>5000</x:v>
      </x:c>
      <x:c r="G1768" s="9" t="n">
        <x:v>11.3</x:v>
      </x:c>
      <x:c r="H1768" s="9" t="n">
        <x:v>16</x:v>
      </x:c>
      <x:c r="I1768" s="8" t="str">
        <x:f>B1768&amp;" / "&amp;C1768&amp;" / "&amp;E1768</x:f>
        <x:v>5093 / 2022 / TIGER TROUT</x:v>
      </x:c>
    </x:row>
    <x:row r="1769" ht="23" customHeight="1">
      <x:c r="A1769" s="8" t="str">
        <x:v>Little Bear Lake</x:v>
      </x:c>
      <x:c r="B1769" s="8" t="str">
        <x:v>5093</x:v>
      </x:c>
      <x:c r="C1769" s="17" t="n">
        <x:v>2022</x:v>
      </x:c>
      <x:c r="D1769" s="18" t="n">
        <x:v>44704</x:v>
      </x:c>
      <x:c r="E1769" s="8" t="str">
        <x:v>TIGER TROUT</x:v>
      </x:c>
      <x:c r="F1769" s="13" t="n">
        <x:v>2200</x:v>
      </x:c>
      <x:c r="G1769" s="9" t="n">
        <x:v>16.7</x:v>
      </x:c>
      <x:c r="H1769" s="9" t="n">
        <x:v>51.8</x:v>
      </x:c>
      <x:c r="I1769" s="8" t="str">
        <x:f>B1769&amp;" / "&amp;C1769&amp;" / "&amp;E1769</x:f>
        <x:v>5093 / 2022 / TIGER TROUT</x:v>
      </x:c>
    </x:row>
    <x:row r="1770" ht="23" customHeight="1">
      <x:c r="A1770" s="8" t="str">
        <x:v>Little Bear Lake</x:v>
      </x:c>
      <x:c r="B1770" s="8" t="str">
        <x:v>5093</x:v>
      </x:c>
      <x:c r="C1770" s="17" t="n">
        <x:v>2021</x:v>
      </x:c>
      <x:c r="D1770" s="18" t="n">
        <x:v>44322</x:v>
      </x:c>
      <x:c r="E1770" s="8" t="str">
        <x:v>BROOK TROUT</x:v>
      </x:c>
      <x:c r="F1770" s="13" t="n">
        <x:v>2200</x:v>
      </x:c>
      <x:c r="G1770" s="9" t="n">
        <x:v>19.4</x:v>
      </x:c>
      <x:c r="H1770" s="9" t="n">
        <x:v>80.3</x:v>
      </x:c>
      <x:c r="I1770" s="8" t="str">
        <x:f>B1770&amp;" / "&amp;C1770&amp;" / "&amp;E1770</x:f>
        <x:v>5093 / 2021 / BROOK TROUT</x:v>
      </x:c>
    </x:row>
    <x:row r="1771" ht="23" customHeight="1">
      <x:c r="A1771" s="8" t="str">
        <x:v>Little Bear Lake</x:v>
      </x:c>
      <x:c r="B1771" s="8" t="str">
        <x:v>5093</x:v>
      </x:c>
      <x:c r="C1771" s="17" t="n">
        <x:v>2021</x:v>
      </x:c>
      <x:c r="D1771" s="18" t="n">
        <x:v>44476</x:v>
      </x:c>
      <x:c r="E1771" s="8" t="str">
        <x:v>RAINBOW TROUT</x:v>
      </x:c>
      <x:c r="F1771" s="13" t="n">
        <x:v>45</x:v>
      </x:c>
      <x:c r="G1771" s="9" t="n">
        <x:v>38.9</x:v>
      </x:c>
      <x:c r="H1771" s="9" t="n">
        <x:v>648.9</x:v>
      </x:c>
      <x:c r="I1771" s="8" t="str">
        <x:f>B1771&amp;" / "&amp;C1771&amp;" / "&amp;E1771</x:f>
        <x:v>5093 / 2021 / RAINBOW TROUT</x:v>
      </x:c>
    </x:row>
    <x:row r="1772" ht="23" customHeight="1">
      <x:c r="A1772" s="8" t="str">
        <x:v>Little Bear Lake</x:v>
      </x:c>
      <x:c r="B1772" s="8" t="str">
        <x:v>5093</x:v>
      </x:c>
      <x:c r="C1772" s="17" t="n">
        <x:v>2021</x:v>
      </x:c>
      <x:c r="D1772" s="18" t="n">
        <x:v>44476</x:v>
      </x:c>
      <x:c r="E1772" s="8" t="str">
        <x:v>RAINBOW TROUT</x:v>
      </x:c>
      <x:c r="F1772" s="13" t="n">
        <x:v>694</x:v>
      </x:c>
      <x:c r="G1772" s="9" t="n">
        <x:v>24.5</x:v>
      </x:c>
      <x:c r="H1772" s="9" t="n">
        <x:v>162.5</x:v>
      </x:c>
      <x:c r="I1772" s="8" t="str">
        <x:f>B1772&amp;" / "&amp;C1772&amp;" / "&amp;E1772</x:f>
        <x:v>5093 / 2021 / RAINBOW TROUT</x:v>
      </x:c>
    </x:row>
    <x:row r="1773" ht="23" customHeight="1">
      <x:c r="A1773" s="8" t="str">
        <x:v>Little Bear Lake</x:v>
      </x:c>
      <x:c r="B1773" s="8" t="str">
        <x:v>5093</x:v>
      </x:c>
      <x:c r="C1773" s="17" t="n">
        <x:v>2021</x:v>
      </x:c>
      <x:c r="D1773" s="18" t="n">
        <x:v>44462</x:v>
      </x:c>
      <x:c r="E1773" s="8" t="str">
        <x:v>RAINBOW TROUT</x:v>
      </x:c>
      <x:c r="F1773" s="13" t="n">
        <x:v>5000</x:v>
      </x:c>
      <x:c r="G1773" s="9" t="n">
        <x:v>16.9</x:v>
      </x:c>
      <x:c r="H1773" s="9" t="n">
        <x:v>53.4</x:v>
      </x:c>
      <x:c r="I1773" s="8" t="str">
        <x:f>B1773&amp;" / "&amp;C1773&amp;" / "&amp;E1773</x:f>
        <x:v>5093 / 2021 / RAINBOW TROUT</x:v>
      </x:c>
    </x:row>
    <x:row r="1774" ht="23" customHeight="1">
      <x:c r="A1774" s="8" t="str">
        <x:v>Little Bear Lake</x:v>
      </x:c>
      <x:c r="B1774" s="8" t="str">
        <x:v>5093</x:v>
      </x:c>
      <x:c r="C1774" s="17" t="n">
        <x:v>2021</x:v>
      </x:c>
      <x:c r="D1774" s="18" t="n">
        <x:v>44462</x:v>
      </x:c>
      <x:c r="E1774" s="8" t="str">
        <x:v>RAINBOW TROUT</x:v>
      </x:c>
      <x:c r="F1774" s="13" t="n">
        <x:v>220</x:v>
      </x:c>
      <x:c r="G1774" s="9" t="n">
        <x:v>38.9</x:v>
      </x:c>
      <x:c r="H1774" s="9" t="n">
        <x:v>654.6</x:v>
      </x:c>
      <x:c r="I1774" s="8" t="str">
        <x:f>B1774&amp;" / "&amp;C1774&amp;" / "&amp;E1774</x:f>
        <x:v>5093 / 2021 / RAINBOW TROUT</x:v>
      </x:c>
    </x:row>
    <x:row r="1775" ht="23" customHeight="1">
      <x:c r="A1775" s="8" t="str">
        <x:v>Little Bear Lake</x:v>
      </x:c>
      <x:c r="B1775" s="8" t="str">
        <x:v>5093</x:v>
      </x:c>
      <x:c r="C1775" s="17" t="n">
        <x:v>2021</x:v>
      </x:c>
      <x:c r="D1775" s="18" t="n">
        <x:v>44462</x:v>
      </x:c>
      <x:c r="E1775" s="8" t="str">
        <x:v>RAINBOW TROUT</x:v>
      </x:c>
      <x:c r="F1775" s="13" t="n">
        <x:v>5000</x:v>
      </x:c>
      <x:c r="G1775" s="9" t="n">
        <x:v>19.7</x:v>
      </x:c>
      <x:c r="H1775" s="9" t="n">
        <x:v>84.2</x:v>
      </x:c>
      <x:c r="I1775" s="8" t="str">
        <x:f>B1775&amp;" / "&amp;C1775&amp;" / "&amp;E1775</x:f>
        <x:v>5093 / 2021 / RAINBOW TROUT</x:v>
      </x:c>
    </x:row>
    <x:row r="1776" ht="23" customHeight="1">
      <x:c r="A1776" s="8" t="str">
        <x:v>Little Bear Lake</x:v>
      </x:c>
      <x:c r="B1776" s="8" t="str">
        <x:v>5093</x:v>
      </x:c>
      <x:c r="C1776" s="17" t="n">
        <x:v>2021</x:v>
      </x:c>
      <x:c r="D1776" s="18" t="n">
        <x:v>44322</x:v>
      </x:c>
      <x:c r="E1776" s="8" t="str">
        <x:v>RAINBOW TROUT</x:v>
      </x:c>
      <x:c r="F1776" s="13" t="n">
        <x:v>3220</x:v>
      </x:c>
      <x:c r="G1776" s="9" t="n">
        <x:v>19</x:v>
      </x:c>
      <x:c r="H1776" s="9" t="n">
        <x:v>76.4</x:v>
      </x:c>
      <x:c r="I1776" s="8" t="str">
        <x:f>B1776&amp;" / "&amp;C1776&amp;" / "&amp;E1776</x:f>
        <x:v>5093 / 2021 / RAINBOW TROUT</x:v>
      </x:c>
    </x:row>
    <x:row r="1777" ht="23" customHeight="1">
      <x:c r="A1777" s="8" t="str">
        <x:v>Little Bear Lake</x:v>
      </x:c>
      <x:c r="B1777" s="8" t="str">
        <x:v>5093</x:v>
      </x:c>
      <x:c r="C1777" s="17" t="n">
        <x:v>2021</x:v>
      </x:c>
      <x:c r="D1777" s="18" t="n">
        <x:v>44322</x:v>
      </x:c>
      <x:c r="E1777" s="8" t="str">
        <x:v>RAINBOW TROUT</x:v>
      </x:c>
      <x:c r="F1777" s="13" t="n">
        <x:v>7500</x:v>
      </x:c>
      <x:c r="G1777" s="9" t="n">
        <x:v>20.7</x:v>
      </x:c>
      <x:c r="H1777" s="9" t="n">
        <x:v>98.8</x:v>
      </x:c>
      <x:c r="I1777" s="8" t="str">
        <x:f>B1777&amp;" / "&amp;C1777&amp;" / "&amp;E1777</x:f>
        <x:v>5093 / 2021 / RAINBOW TROUT</x:v>
      </x:c>
    </x:row>
    <x:row r="1778" ht="23" customHeight="1">
      <x:c r="A1778" s="8" t="str">
        <x:v>Little Bear Lake</x:v>
      </x:c>
      <x:c r="B1778" s="8" t="str">
        <x:v>5093</x:v>
      </x:c>
      <x:c r="C1778" s="17" t="n">
        <x:v>2021</x:v>
      </x:c>
      <x:c r="D1778" s="18" t="n">
        <x:v>44486</x:v>
      </x:c>
      <x:c r="E1778" s="8" t="str">
        <x:v>TIGER TROUT</x:v>
      </x:c>
      <x:c r="F1778" s="13" t="n">
        <x:v>2343</x:v>
      </x:c>
      <x:c r="G1778" s="9" t="n">
        <x:v>22.3</x:v>
      </x:c>
      <x:c r="H1778" s="9" t="n">
        <x:v>122.3</x:v>
      </x:c>
      <x:c r="I1778" s="8" t="str">
        <x:f>B1778&amp;" / "&amp;C1778&amp;" / "&amp;E1778</x:f>
        <x:v>5093 / 2021 / TIGER TROUT</x:v>
      </x:c>
    </x:row>
    <x:row r="1779" ht="23" customHeight="1">
      <x:c r="A1779" s="8" t="str">
        <x:v>Little Bear Lake</x:v>
      </x:c>
      <x:c r="B1779" s="8" t="str">
        <x:v>5093</x:v>
      </x:c>
      <x:c r="C1779" s="17" t="n">
        <x:v>2021</x:v>
      </x:c>
      <x:c r="D1779" s="18" t="n">
        <x:v>44322</x:v>
      </x:c>
      <x:c r="E1779" s="8" t="str">
        <x:v>TIGER TROUT</x:v>
      </x:c>
      <x:c r="F1779" s="13" t="n">
        <x:v>2200</x:v>
      </x:c>
      <x:c r="G1779" s="9" t="n">
        <x:v>15.9</x:v>
      </x:c>
      <x:c r="H1779" s="9" t="n">
        <x:v>44.6</x:v>
      </x:c>
      <x:c r="I1779" s="8" t="str">
        <x:f>B1779&amp;" / "&amp;C1779&amp;" / "&amp;E1779</x:f>
        <x:v>5093 / 2021 / TIGER TROUT</x:v>
      </x:c>
    </x:row>
    <x:row r="1780" ht="23" customHeight="1">
      <x:c r="A1780" s="8" t="str">
        <x:v>Little Beaverdam Lake</x:v>
      </x:c>
      <x:c r="B1780" s="8" t="str">
        <x:v>6767</x:v>
      </x:c>
      <x:c r="C1780" s="17" t="n">
        <x:v>2026</x:v>
      </x:c>
      <x:c r="D1780" s="18" t="n">
        <x:v>46161</x:v>
      </x:c>
      <x:c r="E1780" s="8" t="str">
        <x:v>TIGER TROUT</x:v>
      </x:c>
      <x:c r="F1780" s="13" t="n">
        <x:v>1000</x:v>
      </x:c>
      <x:c r="G1780" s="9" t="n">
        <x:v>18.3</x:v>
      </x:c>
      <x:c r="H1780" s="9" t="n">
        <x:v>66</x:v>
      </x:c>
      <x:c r="I1780" s="8" t="str">
        <x:f>B1780&amp;" / "&amp;C1780&amp;" / "&amp;E1780</x:f>
        <x:v>6767 / 2026 / TIGER TROUT</x:v>
      </x:c>
    </x:row>
    <x:row r="1781" ht="23" customHeight="1">
      <x:c r="A1781" s="8" t="str">
        <x:v>Little Beaverdam Lake</x:v>
      </x:c>
      <x:c r="B1781" s="8" t="str">
        <x:v>6767</x:v>
      </x:c>
      <x:c r="C1781" s="17" t="n">
        <x:v>2025</x:v>
      </x:c>
      <x:c r="D1781" s="18" t="n">
        <x:v>45790</x:v>
      </x:c>
      <x:c r="E1781" s="8" t="str">
        <x:v>TIGER TROUT</x:v>
      </x:c>
      <x:c r="F1781" s="13" t="n">
        <x:v>1000</x:v>
      </x:c>
      <x:c r="G1781" s="9" t="n">
        <x:v>19.6</x:v>
      </x:c>
      <x:c r="H1781" s="9" t="n">
        <x:v>81.2</x:v>
      </x:c>
      <x:c r="I1781" s="8" t="str">
        <x:f>B1781&amp;" / "&amp;C1781&amp;" / "&amp;E1781</x:f>
        <x:v>6767 / 2025 / TIGER TROUT</x:v>
      </x:c>
    </x:row>
    <x:row r="1782" ht="23" customHeight="1">
      <x:c r="A1782" s="8" t="str">
        <x:v>Little Beaverdam Lake</x:v>
      </x:c>
      <x:c r="B1782" s="8" t="str">
        <x:v>6767</x:v>
      </x:c>
      <x:c r="C1782" s="17" t="n">
        <x:v>2024</x:v>
      </x:c>
      <x:c r="D1782" s="18" t="n">
        <x:v>45428</x:v>
      </x:c>
      <x:c r="E1782" s="8" t="str">
        <x:v>TIGER TROUT</x:v>
      </x:c>
      <x:c r="F1782" s="13" t="n">
        <x:v>1000</x:v>
      </x:c>
      <x:c r="G1782" s="9" t="n">
        <x:v>19.5</x:v>
      </x:c>
      <x:c r="H1782" s="9" t="n">
        <x:v>80</x:v>
      </x:c>
      <x:c r="I1782" s="8" t="str">
        <x:f>B1782&amp;" / "&amp;C1782&amp;" / "&amp;E1782</x:f>
        <x:v>6767 / 2024 / TIGER TROUT</x:v>
      </x:c>
    </x:row>
    <x:row r="1783" ht="23" customHeight="1">
      <x:c r="A1783" s="8" t="str">
        <x:v>Little Beaverdam Lake</x:v>
      </x:c>
      <x:c r="B1783" s="8" t="str">
        <x:v>6767</x:v>
      </x:c>
      <x:c r="C1783" s="17" t="n">
        <x:v>2023</x:v>
      </x:c>
      <x:c r="D1783" s="18" t="n">
        <x:v>45063</x:v>
      </x:c>
      <x:c r="E1783" s="8" t="str">
        <x:v>TIGER TROUT</x:v>
      </x:c>
      <x:c r="F1783" s="13" t="n">
        <x:v>1000</x:v>
      </x:c>
      <x:c r="G1783" s="9" t="n">
        <x:v>20.4</x:v>
      </x:c>
      <x:c r="H1783" s="9" t="n">
        <x:v>91.2</x:v>
      </x:c>
      <x:c r="I1783" s="8" t="str">
        <x:f>B1783&amp;" / "&amp;C1783&amp;" / "&amp;E1783</x:f>
        <x:v>6767 / 2023 / TIGER TROUT</x:v>
      </x:c>
    </x:row>
    <x:row r="1784" ht="23" customHeight="1">
      <x:c r="A1784" s="8" t="str">
        <x:v>Little Beaverdam Lake</x:v>
      </x:c>
      <x:c r="B1784" s="8" t="str">
        <x:v>6767</x:v>
      </x:c>
      <x:c r="C1784" s="17" t="n">
        <x:v>2022</x:v>
      </x:c>
      <x:c r="D1784" s="18" t="n">
        <x:v>44741</x:v>
      </x:c>
      <x:c r="E1784" s="8" t="str">
        <x:v>TIGER TROUT</x:v>
      </x:c>
      <x:c r="F1784" s="13" t="n">
        <x:v>1000</x:v>
      </x:c>
      <x:c r="G1784" s="9" t="n">
        <x:v>18.4</x:v>
      </x:c>
      <x:c r="H1784" s="9" t="n">
        <x:v>65.9</x:v>
      </x:c>
      <x:c r="I1784" s="8" t="str">
        <x:f>B1784&amp;" / "&amp;C1784&amp;" / "&amp;E1784</x:f>
        <x:v>6767 / 2022 / TIGER TROUT</x:v>
      </x:c>
    </x:row>
    <x:row r="1785" ht="23" customHeight="1">
      <x:c r="A1785" s="8" t="str">
        <x:v>Little Bow Lake Reservoir</x:v>
      </x:c>
      <x:c r="B1785" s="8" t="str">
        <x:v>3515</x:v>
      </x:c>
      <x:c r="C1785" s="17" t="n">
        <x:v>2023</x:v>
      </x:c>
      <x:c r="D1785" s="18" t="n">
        <x:v>45077</x:v>
      </x:c>
      <x:c r="E1785" s="8" t="str">
        <x:v>WALLEYE</x:v>
      </x:c>
      <x:c r="F1785" s="13" t="n">
        <x:v>154700</x:v>
      </x:c>
      <x:c r="G1785" s="9" t="n">
        <x:v>0.4</x:v>
      </x:c>
      <x:c r="H1785" s="9" t="n">
        <x:v>0</x:v>
      </x:c>
      <x:c r="I1785" s="8" t="str">
        <x:f>B1785&amp;" / "&amp;C1785&amp;" / "&amp;E1785</x:f>
        <x:v>3515 / 2023 / WALLEYE</x:v>
      </x:c>
    </x:row>
    <x:row r="1786" ht="23" customHeight="1">
      <x:c r="A1786" s="8" t="str">
        <x:v>Little Bow Lake Reservoir</x:v>
      </x:c>
      <x:c r="B1786" s="8" t="str">
        <x:v>3515</x:v>
      </x:c>
      <x:c r="C1786" s="17" t="n">
        <x:v>2022</x:v>
      </x:c>
      <x:c r="D1786" s="18" t="n">
        <x:v>44710</x:v>
      </x:c>
      <x:c r="E1786" s="8" t="str">
        <x:v>WALLEYE</x:v>
      </x:c>
      <x:c r="F1786" s="13" t="n">
        <x:v>54700</x:v>
      </x:c>
      <x:c r="G1786" s="9" t="n">
        <x:v>0.4</x:v>
      </x:c>
      <x:c r="H1786" s="9" t="n">
        <x:v>0</x:v>
      </x:c>
      <x:c r="I1786" s="8" t="str">
        <x:f>B1786&amp;" / "&amp;C1786&amp;" / "&amp;E1786</x:f>
        <x:v>3515 / 2022 / WALLEYE</x:v>
      </x:c>
    </x:row>
    <x:row r="1787" ht="23" customHeight="1">
      <x:c r="A1787" s="8" t="str">
        <x:v>Little Bow Lake Reservoir</x:v>
      </x:c>
      <x:c r="B1787" s="8" t="str">
        <x:v>3515</x:v>
      </x:c>
      <x:c r="C1787" s="17" t="n">
        <x:v>2021</x:v>
      </x:c>
      <x:c r="D1787" s="18" t="n">
        <x:v>44458</x:v>
      </x:c>
      <x:c r="E1787" s="8" t="str">
        <x:v>WALLEYE</x:v>
      </x:c>
      <x:c r="F1787" s="13" t="n">
        <x:v>4149</x:v>
      </x:c>
      <x:c r="G1787" s="9" t="n">
        <x:v>15.4</x:v>
      </x:c>
      <x:c r="H1787" s="9" t="n">
        <x:v>34</x:v>
      </x:c>
      <x:c r="I1787" s="8" t="str">
        <x:f>B1787&amp;" / "&amp;C1787&amp;" / "&amp;E1787</x:f>
        <x:v>3515 / 2021 / WALLEYE</x:v>
      </x:c>
    </x:row>
    <x:row r="1788" ht="23" customHeight="1">
      <x:c r="A1788" s="8" t="str">
        <x:v>Little Bow Lake Reservoir</x:v>
      </x:c>
      <x:c r="B1788" s="8" t="str">
        <x:v>3515</x:v>
      </x:c>
      <x:c r="C1788" s="17" t="n">
        <x:v>2021</x:v>
      </x:c>
      <x:c r="D1788" s="18" t="n">
        <x:v>44458</x:v>
      </x:c>
      <x:c r="E1788" s="8" t="str">
        <x:v>WALLEYE</x:v>
      </x:c>
      <x:c r="F1788" s="13" t="n">
        <x:v>2245</x:v>
      </x:c>
      <x:c r="G1788" s="9" t="n">
        <x:v>13.5</x:v>
      </x:c>
      <x:c r="H1788" s="9" t="n">
        <x:v>13.1</x:v>
      </x:c>
      <x:c r="I1788" s="8" t="str">
        <x:f>B1788&amp;" / "&amp;C1788&amp;" / "&amp;E1788</x:f>
        <x:v>3515 / 2021 / WALLEYE</x:v>
      </x:c>
    </x:row>
    <x:row r="1789" ht="23" customHeight="1">
      <x:c r="A1789" s="8" t="str">
        <x:v>Little Bow Lake Reservoir</x:v>
      </x:c>
      <x:c r="B1789" s="8" t="str">
        <x:v>3515</x:v>
      </x:c>
      <x:c r="C1789" s="17" t="n">
        <x:v>2021</x:v>
      </x:c>
      <x:c r="D1789" s="18" t="n">
        <x:v>44341</x:v>
      </x:c>
      <x:c r="E1789" s="8" t="str">
        <x:v>WALLEYE</x:v>
      </x:c>
      <x:c r="F1789" s="13" t="n">
        <x:v>97560</x:v>
      </x:c>
      <x:c r="G1789" s="9" t="n">
        <x:v>0.4</x:v>
      </x:c>
      <x:c r="H1789" s="9" t="str">
        <x:v>Unknown</x:v>
      </x:c>
      <x:c r="I1789" s="8" t="str">
        <x:f>B1789&amp;" / "&amp;C1789&amp;" / "&amp;E1789</x:f>
        <x:v>3515 / 2021 / WALLEYE</x:v>
      </x:c>
    </x:row>
    <x:row r="1790" ht="23" customHeight="1">
      <x:c r="A1790" s="8" t="str">
        <x:v>Little Fish Lake</x:v>
      </x:c>
      <x:c r="B1790" s="8" t="str">
        <x:v>5099</x:v>
      </x:c>
      <x:c r="C1790" s="17" t="n">
        <x:v>2021</x:v>
      </x:c>
      <x:c r="D1790" s="18" t="n">
        <x:v>44362</x:v>
      </x:c>
      <x:c r="E1790" s="8" t="str">
        <x:v>NORTHERN PIKE</x:v>
      </x:c>
      <x:c r="F1790" s="13" t="n">
        <x:v>218</x:v>
      </x:c>
      <x:c r="G1790" s="9" t="n">
        <x:v>65</x:v>
      </x:c>
      <x:c r="H1790" s="9" t="str">
        <x:v>Unknown</x:v>
      </x:c>
      <x:c r="I1790" s="8" t="str">
        <x:f>B1790&amp;" / "&amp;C1790&amp;" / "&amp;E1790</x:f>
        <x:v>5099 / 2021 / NORTHERN PIKE</x:v>
      </x:c>
    </x:row>
    <x:row r="1791" ht="23" customHeight="1">
      <x:c r="A1791" s="8" t="str">
        <x:v>Lloydminster Pond</x:v>
      </x:c>
      <x:c r="B1791" s="8" t="str">
        <x:v>6760</x:v>
      </x:c>
      <x:c r="C1791" s="17" t="n">
        <x:v>2026</x:v>
      </x:c>
      <x:c r="D1791" s="18" t="n">
        <x:v>46169</x:v>
      </x:c>
      <x:c r="E1791" s="8" t="str">
        <x:v>RAINBOW TROUT</x:v>
      </x:c>
      <x:c r="F1791" s="13" t="n">
        <x:v>500</x:v>
      </x:c>
      <x:c r="G1791" s="9" t="n">
        <x:v>23.7</x:v>
      </x:c>
      <x:c r="H1791" s="9" t="n">
        <x:v>147.2</x:v>
      </x:c>
      <x:c r="I1791" s="8" t="str">
        <x:f>B1791&amp;" / "&amp;C1791&amp;" / "&amp;E1791</x:f>
        <x:v>6760 / 2026 / RAINBOW TROUT</x:v>
      </x:c>
    </x:row>
    <x:row r="1792" ht="23" customHeight="1">
      <x:c r="A1792" s="8" t="str">
        <x:v>Lloydminster Pond</x:v>
      </x:c>
      <x:c r="B1792" s="8" t="str">
        <x:v>6760</x:v>
      </x:c>
      <x:c r="C1792" s="17" t="n">
        <x:v>2025</x:v>
      </x:c>
      <x:c r="D1792" s="18" t="n">
        <x:v>45775</x:v>
      </x:c>
      <x:c r="E1792" s="8" t="str">
        <x:v>RAINBOW TROUT</x:v>
      </x:c>
      <x:c r="F1792" s="13" t="n">
        <x:v>500</x:v>
      </x:c>
      <x:c r="G1792" s="9" t="n">
        <x:v>23</x:v>
      </x:c>
      <x:c r="H1792" s="9" t="n">
        <x:v>135.2</x:v>
      </x:c>
      <x:c r="I1792" s="8" t="str">
        <x:f>B1792&amp;" / "&amp;C1792&amp;" / "&amp;E1792</x:f>
        <x:v>6760 / 2025 / RAINBOW TROUT</x:v>
      </x:c>
    </x:row>
    <x:row r="1793" ht="23" customHeight="1">
      <x:c r="A1793" s="8" t="str">
        <x:v>Lloydminster Pond</x:v>
      </x:c>
      <x:c r="B1793" s="8" t="str">
        <x:v>6760</x:v>
      </x:c>
      <x:c r="C1793" s="17" t="n">
        <x:v>2024</x:v>
      </x:c>
      <x:c r="D1793" s="18" t="n">
        <x:v>45415</x:v>
      </x:c>
      <x:c r="E1793" s="8" t="str">
        <x:v>RAINBOW TROUT</x:v>
      </x:c>
      <x:c r="F1793" s="13" t="n">
        <x:v>200</x:v>
      </x:c>
      <x:c r="G1793" s="9" t="n">
        <x:v>20</x:v>
      </x:c>
      <x:c r="H1793" s="9" t="n">
        <x:v>86.2</x:v>
      </x:c>
      <x:c r="I1793" s="8" t="str">
        <x:f>B1793&amp;" / "&amp;C1793&amp;" / "&amp;E1793</x:f>
        <x:v>6760 / 2024 / RAINBOW TROUT</x:v>
      </x:c>
    </x:row>
    <x:row r="1794" ht="23" customHeight="1">
      <x:c r="A1794" s="8" t="str">
        <x:v>Lloydminster Pond</x:v>
      </x:c>
      <x:c r="B1794" s="8" t="str">
        <x:v>6760</x:v>
      </x:c>
      <x:c r="C1794" s="17" t="n">
        <x:v>2023</x:v>
      </x:c>
      <x:c r="D1794" s="18" t="n">
        <x:v>45050</x:v>
      </x:c>
      <x:c r="E1794" s="8" t="str">
        <x:v>RAINBOW TROUT</x:v>
      </x:c>
      <x:c r="F1794" s="13" t="n">
        <x:v>200</x:v>
      </x:c>
      <x:c r="G1794" s="9" t="n">
        <x:v>20.1</x:v>
      </x:c>
      <x:c r="H1794" s="9" t="n">
        <x:v>88.1</x:v>
      </x:c>
      <x:c r="I1794" s="8" t="str">
        <x:f>B1794&amp;" / "&amp;C1794&amp;" / "&amp;E1794</x:f>
        <x:v>6760 / 2023 / RAINBOW TROUT</x:v>
      </x:c>
    </x:row>
    <x:row r="1795" ht="23" customHeight="1">
      <x:c r="A1795" s="8" t="str">
        <x:v>Lloydminster Pond</x:v>
      </x:c>
      <x:c r="B1795" s="8" t="str">
        <x:v>6760</x:v>
      </x:c>
      <x:c r="C1795" s="17" t="n">
        <x:v>2022</x:v>
      </x:c>
      <x:c r="D1795" s="18" t="n">
        <x:v>44694</x:v>
      </x:c>
      <x:c r="E1795" s="8" t="str">
        <x:v>RAINBOW TROUT</x:v>
      </x:c>
      <x:c r="F1795" s="13" t="n">
        <x:v>500</x:v>
      </x:c>
      <x:c r="G1795" s="9" t="n">
        <x:v>23</x:v>
      </x:c>
      <x:c r="H1795" s="9" t="n">
        <x:v>134.5</x:v>
      </x:c>
      <x:c r="I1795" s="8" t="str">
        <x:f>B1795&amp;" / "&amp;C1795&amp;" / "&amp;E1795</x:f>
        <x:v>6760 / 2022 / RAINBOW TROUT</x:v>
      </x:c>
    </x:row>
    <x:row r="1796" ht="23" customHeight="1">
      <x:c r="A1796" s="8" t="str">
        <x:v>Lloydminster Pond</x:v>
      </x:c>
      <x:c r="B1796" s="8" t="str">
        <x:v>6760</x:v>
      </x:c>
      <x:c r="C1796" s="17" t="n">
        <x:v>2021</x:v>
      </x:c>
      <x:c r="D1796" s="18" t="n">
        <x:v>44311</x:v>
      </x:c>
      <x:c r="E1796" s="8" t="str">
        <x:v>RAINBOW TROUT</x:v>
      </x:c>
      <x:c r="F1796" s="13" t="n">
        <x:v>500</x:v>
      </x:c>
      <x:c r="G1796" s="9" t="n">
        <x:v>19.9</x:v>
      </x:c>
      <x:c r="H1796" s="9" t="n">
        <x:v>87.4</x:v>
      </x:c>
      <x:c r="I1796" s="8" t="str">
        <x:f>B1796&amp;" / "&amp;C1796&amp;" / "&amp;E1796</x:f>
        <x:v>6760 / 2021 / RAINBOW TROUT</x:v>
      </x:c>
    </x:row>
    <x:row r="1797" ht="23" customHeight="1">
      <x:c r="A1797" s="8" t="str">
        <x:v>Lodgepole Pond</x:v>
      </x:c>
      <x:c r="B1797" s="8" t="str">
        <x:v>395186</x:v>
      </x:c>
      <x:c r="C1797" s="17" t="n">
        <x:v>2026</x:v>
      </x:c>
      <x:c r="D1797" s="18" t="n">
        <x:v>46157</x:v>
      </x:c>
      <x:c r="E1797" s="8" t="str">
        <x:v>RAINBOW TROUT</x:v>
      </x:c>
      <x:c r="F1797" s="13" t="n">
        <x:v>200</x:v>
      </x:c>
      <x:c r="G1797" s="9" t="n">
        <x:v>20.3</x:v>
      </x:c>
      <x:c r="H1797" s="9" t="n">
        <x:v>90.7</x:v>
      </x:c>
      <x:c r="I1797" s="8" t="str">
        <x:f>B1797&amp;" / "&amp;C1797&amp;" / "&amp;E1797</x:f>
        <x:v>395186 / 2026 / RAINBOW TROUT</x:v>
      </x:c>
    </x:row>
    <x:row r="1798" ht="23" customHeight="1">
      <x:c r="A1798" s="8" t="str">
        <x:v>Lodgepole Pond</x:v>
      </x:c>
      <x:c r="B1798" s="8" t="str">
        <x:v>395186</x:v>
      </x:c>
      <x:c r="C1798" s="17" t="n">
        <x:v>2025</x:v>
      </x:c>
      <x:c r="D1798" s="18" t="n">
        <x:v>45803</x:v>
      </x:c>
      <x:c r="E1798" s="8" t="str">
        <x:v>RAINBOW TROUT</x:v>
      </x:c>
      <x:c r="F1798" s="13" t="n">
        <x:v>200</x:v>
      </x:c>
      <x:c r="G1798" s="9" t="n">
        <x:v>20</x:v>
      </x:c>
      <x:c r="H1798" s="9" t="n">
        <x:v>87</x:v>
      </x:c>
      <x:c r="I1798" s="8" t="str">
        <x:f>B1798&amp;" / "&amp;C1798&amp;" / "&amp;E1798</x:f>
        <x:v>395186 / 2025 / RAINBOW TROUT</x:v>
      </x:c>
    </x:row>
    <x:row r="1799" ht="23" customHeight="1">
      <x:c r="A1799" s="8" t="str">
        <x:v>Lodgepole Pond</x:v>
      </x:c>
      <x:c r="B1799" s="8" t="str">
        <x:v>395186</x:v>
      </x:c>
      <x:c r="C1799" s="17" t="n">
        <x:v>2024</x:v>
      </x:c>
      <x:c r="D1799" s="18" t="n">
        <x:v>45436</x:v>
      </x:c>
      <x:c r="E1799" s="8" t="str">
        <x:v>RAINBOW TROUT</x:v>
      </x:c>
      <x:c r="F1799" s="13" t="n">
        <x:v>100</x:v>
      </x:c>
      <x:c r="G1799" s="9" t="n">
        <x:v>20.1</x:v>
      </x:c>
      <x:c r="H1799" s="9" t="n">
        <x:v>88</x:v>
      </x:c>
      <x:c r="I1799" s="8" t="str">
        <x:f>B1799&amp;" / "&amp;C1799&amp;" / "&amp;E1799</x:f>
        <x:v>395186 / 2024 / RAINBOW TROUT</x:v>
      </x:c>
    </x:row>
    <x:row r="1800" ht="23" customHeight="1">
      <x:c r="A1800" s="8" t="str">
        <x:v>Lodgepole Pond</x:v>
      </x:c>
      <x:c r="B1800" s="8" t="str">
        <x:v>395186</x:v>
      </x:c>
      <x:c r="C1800" s="17" t="n">
        <x:v>2023</x:v>
      </x:c>
      <x:c r="D1800" s="18" t="n">
        <x:v>45071</x:v>
      </x:c>
      <x:c r="E1800" s="8" t="str">
        <x:v>RAINBOW TROUT</x:v>
      </x:c>
      <x:c r="F1800" s="13" t="n">
        <x:v>100</x:v>
      </x:c>
      <x:c r="G1800" s="9" t="n">
        <x:v>20</x:v>
      </x:c>
      <x:c r="H1800" s="9" t="n">
        <x:v>85.8</x:v>
      </x:c>
      <x:c r="I1800" s="8" t="str">
        <x:f>B1800&amp;" / "&amp;C1800&amp;" / "&amp;E1800</x:f>
        <x:v>395186 / 2023 / RAINBOW TROUT</x:v>
      </x:c>
    </x:row>
    <x:row r="1801" ht="23" customHeight="1">
      <x:c r="A1801" s="8" t="str">
        <x:v>Lodgepole Pond</x:v>
      </x:c>
      <x:c r="B1801" s="8" t="str">
        <x:v>395186</x:v>
      </x:c>
      <x:c r="C1801" s="17" t="n">
        <x:v>2022</x:v>
      </x:c>
      <x:c r="D1801" s="18" t="n">
        <x:v>44699</x:v>
      </x:c>
      <x:c r="E1801" s="8" t="str">
        <x:v>RAINBOW TROUT</x:v>
      </x:c>
      <x:c r="F1801" s="13" t="n">
        <x:v>200</x:v>
      </x:c>
      <x:c r="G1801" s="9" t="n">
        <x:v>23</x:v>
      </x:c>
      <x:c r="H1801" s="9" t="n">
        <x:v>103.2</x:v>
      </x:c>
      <x:c r="I1801" s="8" t="str">
        <x:f>B1801&amp;" / "&amp;C1801&amp;" / "&amp;E1801</x:f>
        <x:v>395186 / 2022 / RAINBOW TROUT</x:v>
      </x:c>
    </x:row>
    <x:row r="1802" ht="23" customHeight="1">
      <x:c r="A1802" s="8" t="str">
        <x:v>Lodgepole Pond</x:v>
      </x:c>
      <x:c r="B1802" s="8" t="str">
        <x:v>395186</x:v>
      </x:c>
      <x:c r="C1802" s="17" t="n">
        <x:v>2021</x:v>
      </x:c>
      <x:c r="D1802" s="18" t="n">
        <x:v>44327</x:v>
      </x:c>
      <x:c r="E1802" s="8" t="str">
        <x:v>RAINBOW TROUT</x:v>
      </x:c>
      <x:c r="F1802" s="13" t="n">
        <x:v>200</x:v>
      </x:c>
      <x:c r="G1802" s="9" t="n">
        <x:v>22.9</x:v>
      </x:c>
      <x:c r="H1802" s="9" t="n">
        <x:v>133.3</x:v>
      </x:c>
      <x:c r="I1802" s="8" t="str">
        <x:f>B1802&amp;" / "&amp;C1802&amp;" / "&amp;E1802</x:f>
        <x:v>395186 / 2021 / RAINBOW TROUT</x:v>
      </x:c>
    </x:row>
    <x:row r="1803" ht="23" customHeight="1">
      <x:c r="A1803" s="8" t="str">
        <x:v>Loomis Lake</x:v>
      </x:c>
      <x:c r="B1803" s="8" t="str">
        <x:v>5149</x:v>
      </x:c>
      <x:c r="C1803" s="17" t="n">
        <x:v>2021</x:v>
      </x:c>
      <x:c r="D1803" s="18" t="n">
        <x:v>44447</x:v>
      </x:c>
      <x:c r="E1803" s="8" t="str">
        <x:v>CUTTHROAT TROUT</x:v>
      </x:c>
      <x:c r="F1803" s="13" t="n">
        <x:v>350</x:v>
      </x:c>
      <x:c r="G1803" s="9" t="n">
        <x:v>4.9</x:v>
      </x:c>
      <x:c r="H1803" s="9" t="n">
        <x:v>1.3</x:v>
      </x:c>
      <x:c r="I1803" s="8" t="str">
        <x:f>B1803&amp;" / "&amp;C1803&amp;" / "&amp;E1803</x:f>
        <x:v>5149 / 2021 / CUTTHROAT TROUT</x:v>
      </x:c>
    </x:row>
    <x:row r="1804" ht="23" customHeight="1">
      <x:c r="A1804" s="8" t="str">
        <x:v>Lost Guide Lake</x:v>
      </x:c>
      <x:c r="B1804" s="8" t="str">
        <x:v>5158</x:v>
      </x:c>
      <x:c r="C1804" s="17" t="n">
        <x:v>2021</x:v>
      </x:c>
      <x:c r="D1804" s="18" t="n">
        <x:v>44446</x:v>
      </x:c>
      <x:c r="E1804" s="8" t="str">
        <x:v>CUTTHROAT TROUT</x:v>
      </x:c>
      <x:c r="F1804" s="13" t="n">
        <x:v>1200</x:v>
      </x:c>
      <x:c r="G1804" s="9" t="n">
        <x:v>5.5</x:v>
      </x:c>
      <x:c r="H1804" s="9" t="n">
        <x:v>1.9</x:v>
      </x:c>
      <x:c r="I1804" s="8" t="str">
        <x:f>B1804&amp;" / "&amp;C1804&amp;" / "&amp;E1804</x:f>
        <x:v>5158 / 2021 / CUTTHROAT TROUT</x:v>
      </x:c>
    </x:row>
    <x:row r="1805" ht="23" customHeight="1">
      <x:c r="A1805" s="8" t="str">
        <x:v>Lougheed Trout Pond</x:v>
      </x:c>
      <x:c r="B1805" s="8" t="str">
        <x:v>6761</x:v>
      </x:c>
      <x:c r="C1805" s="17" t="n">
        <x:v>2026</x:v>
      </x:c>
      <x:c r="D1805" s="18" t="n">
        <x:v>46155</x:v>
      </x:c>
      <x:c r="E1805" s="8" t="str">
        <x:v>RAINBOW TROUT</x:v>
      </x:c>
      <x:c r="F1805" s="13" t="n">
        <x:v>600</x:v>
      </x:c>
      <x:c r="G1805" s="9" t="n">
        <x:v>20.7</x:v>
      </x:c>
      <x:c r="H1805" s="9" t="n">
        <x:v>93.9</x:v>
      </x:c>
      <x:c r="I1805" s="8" t="str">
        <x:f>B1805&amp;" / "&amp;C1805&amp;" / "&amp;E1805</x:f>
        <x:v>6761 / 2026 / RAINBOW TROUT</x:v>
      </x:c>
    </x:row>
    <x:row r="1806" ht="23" customHeight="1">
      <x:c r="A1806" s="8" t="str">
        <x:v>Lougheed Trout Pond</x:v>
      </x:c>
      <x:c r="B1806" s="8" t="str">
        <x:v>6761</x:v>
      </x:c>
      <x:c r="C1806" s="17" t="n">
        <x:v>2025</x:v>
      </x:c>
      <x:c r="D1806" s="18" t="n">
        <x:v>45789</x:v>
      </x:c>
      <x:c r="E1806" s="8" t="str">
        <x:v>RAINBOW TROUT</x:v>
      </x:c>
      <x:c r="F1806" s="13" t="n">
        <x:v>600</x:v>
      </x:c>
      <x:c r="G1806" s="9" t="n">
        <x:v>21</x:v>
      </x:c>
      <x:c r="H1806" s="9" t="n">
        <x:v>89</x:v>
      </x:c>
      <x:c r="I1806" s="8" t="str">
        <x:f>B1806&amp;" / "&amp;C1806&amp;" / "&amp;E1806</x:f>
        <x:v>6761 / 2025 / RAINBOW TROUT</x:v>
      </x:c>
    </x:row>
    <x:row r="1807" ht="23" customHeight="1">
      <x:c r="A1807" s="8" t="str">
        <x:v>Lougheed Trout Pond</x:v>
      </x:c>
      <x:c r="B1807" s="8" t="str">
        <x:v>6761</x:v>
      </x:c>
      <x:c r="C1807" s="17" t="n">
        <x:v>2024</x:v>
      </x:c>
      <x:c r="D1807" s="18" t="n">
        <x:v>45422</x:v>
      </x:c>
      <x:c r="E1807" s="8" t="str">
        <x:v>RAINBOW TROUT</x:v>
      </x:c>
      <x:c r="F1807" s="13" t="n">
        <x:v>600</x:v>
      </x:c>
      <x:c r="G1807" s="9" t="n">
        <x:v>20.9</x:v>
      </x:c>
      <x:c r="H1807" s="9" t="n">
        <x:v>92.1</x:v>
      </x:c>
      <x:c r="I1807" s="8" t="str">
        <x:f>B1807&amp;" / "&amp;C1807&amp;" / "&amp;E1807</x:f>
        <x:v>6761 / 2024 / RAINBOW TROUT</x:v>
      </x:c>
    </x:row>
    <x:row r="1808" ht="23" customHeight="1">
      <x:c r="A1808" s="8" t="str">
        <x:v>Lougheed Trout Pond</x:v>
      </x:c>
      <x:c r="B1808" s="8" t="str">
        <x:v>6761</x:v>
      </x:c>
      <x:c r="C1808" s="17" t="n">
        <x:v>2023</x:v>
      </x:c>
      <x:c r="D1808" s="18" t="n">
        <x:v>45064</x:v>
      </x:c>
      <x:c r="E1808" s="8" t="str">
        <x:v>RAINBOW TROUT</x:v>
      </x:c>
      <x:c r="F1808" s="13" t="n">
        <x:v>700</x:v>
      </x:c>
      <x:c r="G1808" s="9" t="n">
        <x:v>20.5</x:v>
      </x:c>
      <x:c r="H1808" s="9" t="n">
        <x:v>89.9</x:v>
      </x:c>
      <x:c r="I1808" s="8" t="str">
        <x:f>B1808&amp;" / "&amp;C1808&amp;" / "&amp;E1808</x:f>
        <x:v>6761 / 2023 / RAINBOW TROUT</x:v>
      </x:c>
    </x:row>
    <x:row r="1809" ht="23" customHeight="1">
      <x:c r="A1809" s="8" t="str">
        <x:v>Lougheed Trout Pond</x:v>
      </x:c>
      <x:c r="B1809" s="8" t="str">
        <x:v>6761</x:v>
      </x:c>
      <x:c r="C1809" s="17" t="n">
        <x:v>2022</x:v>
      </x:c>
      <x:c r="D1809" s="18" t="n">
        <x:v>44817</x:v>
      </x:c>
      <x:c r="E1809" s="8" t="str">
        <x:v>RAINBOW TROUT</x:v>
      </x:c>
      <x:c r="F1809" s="13" t="n">
        <x:v>500</x:v>
      </x:c>
      <x:c r="G1809" s="9" t="n">
        <x:v>22.2</x:v>
      </x:c>
      <x:c r="H1809" s="9" t="n">
        <x:v>106.7</x:v>
      </x:c>
      <x:c r="I1809" s="8" t="str">
        <x:f>B1809&amp;" / "&amp;C1809&amp;" / "&amp;E1809</x:f>
        <x:v>6761 / 2022 / RAINBOW TROUT</x:v>
      </x:c>
    </x:row>
    <x:row r="1810" ht="23" customHeight="1">
      <x:c r="A1810" s="8" t="str">
        <x:v>Lougheed Trout Pond</x:v>
      </x:c>
      <x:c r="B1810" s="8" t="str">
        <x:v>6761</x:v>
      </x:c>
      <x:c r="C1810" s="17" t="n">
        <x:v>2022</x:v>
      </x:c>
      <x:c r="D1810" s="18" t="n">
        <x:v>44698</x:v>
      </x:c>
      <x:c r="E1810" s="8" t="str">
        <x:v>RAINBOW TROUT</x:v>
      </x:c>
      <x:c r="F1810" s="13" t="n">
        <x:v>500</x:v>
      </x:c>
      <x:c r="G1810" s="9" t="n">
        <x:v>20.9</x:v>
      </x:c>
      <x:c r="H1810" s="9" t="n">
        <x:v>95.4</x:v>
      </x:c>
      <x:c r="I1810" s="8" t="str">
        <x:f>B1810&amp;" / "&amp;C1810&amp;" / "&amp;E1810</x:f>
        <x:v>6761 / 2022 / RAINBOW TROUT</x:v>
      </x:c>
    </x:row>
    <x:row r="1811" ht="23" customHeight="1">
      <x:c r="A1811" s="8" t="str">
        <x:v>Lougheed Trout Pond</x:v>
      </x:c>
      <x:c r="B1811" s="8" t="str">
        <x:v>6761</x:v>
      </x:c>
      <x:c r="C1811" s="17" t="n">
        <x:v>2021</x:v>
      </x:c>
      <x:c r="D1811" s="18" t="n">
        <x:v>44320</x:v>
      </x:c>
      <x:c r="E1811" s="8" t="str">
        <x:v>RAINBOW TROUT</x:v>
      </x:c>
      <x:c r="F1811" s="13" t="n">
        <x:v>700</x:v>
      </x:c>
      <x:c r="G1811" s="9" t="n">
        <x:v>21</x:v>
      </x:c>
      <x:c r="H1811" s="9" t="n">
        <x:v>96.4</x:v>
      </x:c>
      <x:c r="I1811" s="8" t="str">
        <x:f>B1811&amp;" / "&amp;C1811&amp;" / "&amp;E1811</x:f>
        <x:v>6761 / 2021 / RAINBOW TROUT</x:v>
      </x:c>
    </x:row>
    <x:row r="1812" ht="23" customHeight="1">
      <x:c r="A1812" s="8" t="str">
        <x:v>Lovett Lake</x:v>
      </x:c>
      <x:c r="B1812" s="8" t="str">
        <x:v>6658</x:v>
      </x:c>
      <x:c r="C1812" s="17" t="n">
        <x:v>2026</x:v>
      </x:c>
      <x:c r="D1812" s="18" t="n">
        <x:v>46168</x:v>
      </x:c>
      <x:c r="E1812" s="8" t="str">
        <x:v>RAINBOW TROUT</x:v>
      </x:c>
      <x:c r="F1812" s="13" t="n">
        <x:v>1000</x:v>
      </x:c>
      <x:c r="G1812" s="9" t="n">
        <x:v>20.7</x:v>
      </x:c>
      <x:c r="H1812" s="9" t="n">
        <x:v>95.2</x:v>
      </x:c>
      <x:c r="I1812" s="8" t="str">
        <x:f>B1812&amp;" / "&amp;C1812&amp;" / "&amp;E1812</x:f>
        <x:v>6658 / 2026 / RAINBOW TROUT</x:v>
      </x:c>
    </x:row>
    <x:row r="1813" ht="23" customHeight="1">
      <x:c r="A1813" s="8" t="str">
        <x:v>Lovett Lake</x:v>
      </x:c>
      <x:c r="B1813" s="8" t="str">
        <x:v>6658</x:v>
      </x:c>
      <x:c r="C1813" s="17" t="n">
        <x:v>2025</x:v>
      </x:c>
      <x:c r="D1813" s="18" t="n">
        <x:v>45803</x:v>
      </x:c>
      <x:c r="E1813" s="8" t="str">
        <x:v>RAINBOW TROUT</x:v>
      </x:c>
      <x:c r="F1813" s="13" t="n">
        <x:v>1000</x:v>
      </x:c>
      <x:c r="G1813" s="9" t="n">
        <x:v>21.2</x:v>
      </x:c>
      <x:c r="H1813" s="9" t="n">
        <x:v>102.2</x:v>
      </x:c>
      <x:c r="I1813" s="8" t="str">
        <x:f>B1813&amp;" / "&amp;C1813&amp;" / "&amp;E1813</x:f>
        <x:v>6658 / 2025 / RAINBOW TROUT</x:v>
      </x:c>
    </x:row>
    <x:row r="1814" ht="23" customHeight="1">
      <x:c r="A1814" s="8" t="str">
        <x:v>Lovett Lake</x:v>
      </x:c>
      <x:c r="B1814" s="8" t="str">
        <x:v>6658</x:v>
      </x:c>
      <x:c r="C1814" s="17" t="n">
        <x:v>2024</x:v>
      </x:c>
      <x:c r="D1814" s="18" t="n">
        <x:v>45435</x:v>
      </x:c>
      <x:c r="E1814" s="8" t="str">
        <x:v>RAINBOW TROUT</x:v>
      </x:c>
      <x:c r="F1814" s="13" t="n">
        <x:v>500</x:v>
      </x:c>
      <x:c r="G1814" s="9" t="n">
        <x:v>20.2</x:v>
      </x:c>
      <x:c r="H1814" s="9" t="n">
        <x:v>89.6</x:v>
      </x:c>
      <x:c r="I1814" s="8" t="str">
        <x:f>B1814&amp;" / "&amp;C1814&amp;" / "&amp;E1814</x:f>
        <x:v>6658 / 2024 / RAINBOW TROUT</x:v>
      </x:c>
    </x:row>
    <x:row r="1815" ht="23" customHeight="1">
      <x:c r="A1815" s="8" t="str">
        <x:v>Lovett Lake</x:v>
      </x:c>
      <x:c r="B1815" s="8" t="str">
        <x:v>6658</x:v>
      </x:c>
      <x:c r="C1815" s="17" t="n">
        <x:v>2023</x:v>
      </x:c>
      <x:c r="D1815" s="18" t="n">
        <x:v>45201</x:v>
      </x:c>
      <x:c r="E1815" s="8" t="str">
        <x:v>RAINBOW TROUT</x:v>
      </x:c>
      <x:c r="F1815" s="13" t="n">
        <x:v>502</x:v>
      </x:c>
      <x:c r="G1815" s="9" t="n">
        <x:v>20.3</x:v>
      </x:c>
      <x:c r="H1815" s="9" t="n">
        <x:v>90.8</x:v>
      </x:c>
      <x:c r="I1815" s="8" t="str">
        <x:f>B1815&amp;" / "&amp;C1815&amp;" / "&amp;E1815</x:f>
        <x:v>6658 / 2023 / RAINBOW TROUT</x:v>
      </x:c>
    </x:row>
    <x:row r="1816" ht="23" customHeight="1">
      <x:c r="A1816" s="8" t="str">
        <x:v>Lovett Lake</x:v>
      </x:c>
      <x:c r="B1816" s="8" t="str">
        <x:v>6658</x:v>
      </x:c>
      <x:c r="C1816" s="17" t="n">
        <x:v>2022</x:v>
      </x:c>
      <x:c r="D1816" s="18" t="n">
        <x:v>44706</x:v>
      </x:c>
      <x:c r="E1816" s="8" t="str">
        <x:v>RAINBOW TROUT</x:v>
      </x:c>
      <x:c r="F1816" s="13" t="n">
        <x:v>1000</x:v>
      </x:c>
      <x:c r="G1816" s="9" t="n">
        <x:v>21.3</x:v>
      </x:c>
      <x:c r="H1816" s="9" t="n">
        <x:v>106</x:v>
      </x:c>
      <x:c r="I1816" s="8" t="str">
        <x:f>B1816&amp;" / "&amp;C1816&amp;" / "&amp;E1816</x:f>
        <x:v>6658 / 2022 / RAINBOW TROUT</x:v>
      </x:c>
    </x:row>
    <x:row r="1817" ht="23" customHeight="1">
      <x:c r="A1817" s="8" t="str">
        <x:v>Lovett Lake</x:v>
      </x:c>
      <x:c r="B1817" s="8" t="str">
        <x:v>6658</x:v>
      </x:c>
      <x:c r="C1817" s="17" t="n">
        <x:v>2021</x:v>
      </x:c>
      <x:c r="D1817" s="18" t="n">
        <x:v>44340</x:v>
      </x:c>
      <x:c r="E1817" s="8" t="str">
        <x:v>RAINBOW TROUT</x:v>
      </x:c>
      <x:c r="F1817" s="13" t="n">
        <x:v>1000</x:v>
      </x:c>
      <x:c r="G1817" s="9" t="n">
        <x:v>20.8</x:v>
      </x:c>
      <x:c r="H1817" s="9" t="n">
        <x:v>99</x:v>
      </x:c>
      <x:c r="I1817" s="8" t="str">
        <x:f>B1817&amp;" / "&amp;C1817&amp;" / "&amp;E1817</x:f>
        <x:v>6658 / 2021 / RAINBOW TROUT</x:v>
      </x:c>
    </x:row>
    <x:row r="1818" ht="23" customHeight="1">
      <x:c r="A1818" s="8" t="str">
        <x:v>Lower Burstall Lake</x:v>
      </x:c>
      <x:c r="B1818" s="8" t="str">
        <x:v>6525</x:v>
      </x:c>
      <x:c r="C1818" s="17" t="n">
        <x:v>2025</x:v>
      </x:c>
      <x:c r="D1818" s="18" t="n">
        <x:v>45908</x:v>
      </x:c>
      <x:c r="E1818" s="8" t="str">
        <x:v>CUTTHROAT TROUT</x:v>
      </x:c>
      <x:c r="F1818" s="13" t="n">
        <x:v>1300</x:v>
      </x:c>
      <x:c r="G1818" s="9" t="n">
        <x:v>4.2</x:v>
      </x:c>
      <x:c r="H1818" s="9" t="n">
        <x:v>0.8</x:v>
      </x:c>
      <x:c r="I1818" s="8" t="str">
        <x:f>B1818&amp;" / "&amp;C1818&amp;" / "&amp;E1818</x:f>
        <x:v>6525 / 2025 / CUTTHROAT TROUT</x:v>
      </x:c>
    </x:row>
    <x:row r="1819" ht="23" customHeight="1">
      <x:c r="A1819" s="8" t="str">
        <x:v>Lower Burstall Lake</x:v>
      </x:c>
      <x:c r="B1819" s="8" t="str">
        <x:v>6525</x:v>
      </x:c>
      <x:c r="C1819" s="17" t="n">
        <x:v>2021</x:v>
      </x:c>
      <x:c r="D1819" s="18" t="n">
        <x:v>44447</x:v>
      </x:c>
      <x:c r="E1819" s="8" t="str">
        <x:v>CUTTHROAT TROUT</x:v>
      </x:c>
      <x:c r="F1819" s="13" t="n">
        <x:v>1200</x:v>
      </x:c>
      <x:c r="G1819" s="9" t="n">
        <x:v>4.9</x:v>
      </x:c>
      <x:c r="H1819" s="9" t="n">
        <x:v>1.3</x:v>
      </x:c>
      <x:c r="I1819" s="8" t="str">
        <x:f>B1819&amp;" / "&amp;C1819&amp;" / "&amp;E1819</x:f>
        <x:v>6525 / 2021 / CUTTHROAT TROUT</x:v>
      </x:c>
    </x:row>
    <x:row r="1820" ht="23" customHeight="1">
      <x:c r="A1820" s="8" t="str">
        <x:v>Lower Chain Lake</x:v>
      </x:c>
      <x:c r="B1820" s="8" t="str">
        <x:v>6528</x:v>
      </x:c>
      <x:c r="C1820" s="17" t="n">
        <x:v>2026</x:v>
      </x:c>
      <x:c r="D1820" s="18" t="n">
        <x:v>46155</x:v>
      </x:c>
      <x:c r="E1820" s="8" t="str">
        <x:v>BROWN TROUT</x:v>
      </x:c>
      <x:c r="F1820" s="13" t="n">
        <x:v>1000</x:v>
      </x:c>
      <x:c r="G1820" s="9" t="n">
        <x:v>21.8</x:v>
      </x:c>
      <x:c r="H1820" s="9" t="n">
        <x:v>114.5</x:v>
      </x:c>
      <x:c r="I1820" s="8" t="str">
        <x:f>B1820&amp;" / "&amp;C1820&amp;" / "&amp;E1820</x:f>
        <x:v>6528 / 2026 / BROWN TROUT</x:v>
      </x:c>
    </x:row>
    <x:row r="1821" ht="23" customHeight="1">
      <x:c r="A1821" s="8" t="str">
        <x:v>Lower Chain Lake</x:v>
      </x:c>
      <x:c r="B1821" s="8" t="str">
        <x:v>6528</x:v>
      </x:c>
      <x:c r="C1821" s="17" t="n">
        <x:v>2026</x:v>
      </x:c>
      <x:c r="D1821" s="18" t="n">
        <x:v>46155</x:v>
      </x:c>
      <x:c r="E1821" s="8" t="str">
        <x:v>RAINBOW TROUT</x:v>
      </x:c>
      <x:c r="F1821" s="13" t="n">
        <x:v>8000</x:v>
      </x:c>
      <x:c r="G1821" s="9" t="n">
        <x:v>20.1</x:v>
      </x:c>
      <x:c r="H1821" s="9" t="n">
        <x:v>90.3</x:v>
      </x:c>
      <x:c r="I1821" s="8" t="str">
        <x:f>B1821&amp;" / "&amp;C1821&amp;" / "&amp;E1821</x:f>
        <x:v>6528 / 2026 / RAINBOW TROUT</x:v>
      </x:c>
    </x:row>
    <x:row r="1822" ht="23" customHeight="1">
      <x:c r="A1822" s="8" t="str">
        <x:v>Lower Chain Lake</x:v>
      </x:c>
      <x:c r="B1822" s="8" t="str">
        <x:v>6528</x:v>
      </x:c>
      <x:c r="C1822" s="17" t="n">
        <x:v>2025</x:v>
      </x:c>
      <x:c r="D1822" s="18" t="n">
        <x:v>45798</x:v>
      </x:c>
      <x:c r="E1822" s="8" t="str">
        <x:v>BROWN TROUT</x:v>
      </x:c>
      <x:c r="F1822" s="13" t="n">
        <x:v>1000</x:v>
      </x:c>
      <x:c r="G1822" s="9" t="n">
        <x:v>19.3</x:v>
      </x:c>
      <x:c r="H1822" s="9" t="n">
        <x:v>77.5</x:v>
      </x:c>
      <x:c r="I1822" s="8" t="str">
        <x:f>B1822&amp;" / "&amp;C1822&amp;" / "&amp;E1822</x:f>
        <x:v>6528 / 2025 / BROWN TROUT</x:v>
      </x:c>
    </x:row>
    <x:row r="1823" ht="23" customHeight="1">
      <x:c r="A1823" s="8" t="str">
        <x:v>Lower Chain Lake</x:v>
      </x:c>
      <x:c r="B1823" s="8" t="str">
        <x:v>6528</x:v>
      </x:c>
      <x:c r="C1823" s="17" t="n">
        <x:v>2025</x:v>
      </x:c>
      <x:c r="D1823" s="18" t="n">
        <x:v>45914</x:v>
      </x:c>
      <x:c r="E1823" s="8" t="str">
        <x:v>RAINBOW TROUT</x:v>
      </x:c>
      <x:c r="F1823" s="13" t="n">
        <x:v>3000</x:v>
      </x:c>
      <x:c r="G1823" s="9" t="n">
        <x:v>24.4</x:v>
      </x:c>
      <x:c r="H1823" s="9" t="n">
        <x:v>160.9</x:v>
      </x:c>
      <x:c r="I1823" s="8" t="str">
        <x:f>B1823&amp;" / "&amp;C1823&amp;" / "&amp;E1823</x:f>
        <x:v>6528 / 2025 / RAINBOW TROUT</x:v>
      </x:c>
    </x:row>
    <x:row r="1824" ht="23" customHeight="1">
      <x:c r="A1824" s="8" t="str">
        <x:v>Lower Chain Lake</x:v>
      </x:c>
      <x:c r="B1824" s="8" t="str">
        <x:v>6528</x:v>
      </x:c>
      <x:c r="C1824" s="17" t="n">
        <x:v>2025</x:v>
      </x:c>
      <x:c r="D1824" s="18" t="n">
        <x:v>45914</x:v>
      </x:c>
      <x:c r="E1824" s="8" t="str">
        <x:v>RAINBOW TROUT</x:v>
      </x:c>
      <x:c r="F1824" s="13" t="n">
        <x:v>3000</x:v>
      </x:c>
      <x:c r="G1824" s="9" t="n">
        <x:v>19.9</x:v>
      </x:c>
      <x:c r="H1824" s="9" t="n">
        <x:v>87.6</x:v>
      </x:c>
      <x:c r="I1824" s="8" t="str">
        <x:f>B1824&amp;" / "&amp;C1824&amp;" / "&amp;E1824</x:f>
        <x:v>6528 / 2025 / RAINBOW TROUT</x:v>
      </x:c>
    </x:row>
    <x:row r="1825" ht="23" customHeight="1">
      <x:c r="A1825" s="8" t="str">
        <x:v>Lower Chain Lake</x:v>
      </x:c>
      <x:c r="B1825" s="8" t="str">
        <x:v>6528</x:v>
      </x:c>
      <x:c r="C1825" s="17" t="n">
        <x:v>2025</x:v>
      </x:c>
      <x:c r="D1825" s="18" t="n">
        <x:v>45914</x:v>
      </x:c>
      <x:c r="E1825" s="8" t="str">
        <x:v>RAINBOW TROUT</x:v>
      </x:c>
      <x:c r="F1825" s="13" t="n">
        <x:v>3000</x:v>
      </x:c>
      <x:c r="G1825" s="9" t="n">
        <x:v>18.6</x:v>
      </x:c>
      <x:c r="H1825" s="9" t="n">
        <x:v>71.3</x:v>
      </x:c>
      <x:c r="I1825" s="8" t="str">
        <x:f>B1825&amp;" / "&amp;C1825&amp;" / "&amp;E1825</x:f>
        <x:v>6528 / 2025 / RAINBOW TROUT</x:v>
      </x:c>
    </x:row>
    <x:row r="1826" ht="23" customHeight="1">
      <x:c r="A1826" s="8" t="str">
        <x:v>Lower Chain Lake</x:v>
      </x:c>
      <x:c r="B1826" s="8" t="str">
        <x:v>6528</x:v>
      </x:c>
      <x:c r="C1826" s="17" t="n">
        <x:v>2025</x:v>
      </x:c>
      <x:c r="D1826" s="18" t="n">
        <x:v>45781</x:v>
      </x:c>
      <x:c r="E1826" s="8" t="str">
        <x:v>RAINBOW TROUT</x:v>
      </x:c>
      <x:c r="F1826" s="13" t="n">
        <x:v>6000</x:v>
      </x:c>
      <x:c r="G1826" s="9" t="n">
        <x:v>20.8</x:v>
      </x:c>
      <x:c r="H1826" s="9" t="n">
        <x:v>98.9</x:v>
      </x:c>
      <x:c r="I1826" s="8" t="str">
        <x:f>B1826&amp;" / "&amp;C1826&amp;" / "&amp;E1826</x:f>
        <x:v>6528 / 2025 / RAINBOW TROUT</x:v>
      </x:c>
    </x:row>
    <x:row r="1827" ht="23" customHeight="1">
      <x:c r="A1827" s="8" t="str">
        <x:v>Lower Chain Lake</x:v>
      </x:c>
      <x:c r="B1827" s="8" t="str">
        <x:v>6528</x:v>
      </x:c>
      <x:c r="C1827" s="17" t="n">
        <x:v>2025</x:v>
      </x:c>
      <x:c r="D1827" s="18" t="n">
        <x:v>45778</x:v>
      </x:c>
      <x:c r="E1827" s="8" t="str">
        <x:v>RAINBOW TROUT</x:v>
      </x:c>
      <x:c r="F1827" s="13" t="n">
        <x:v>1600</x:v>
      </x:c>
      <x:c r="G1827" s="9" t="n">
        <x:v>20.7</x:v>
      </x:c>
      <x:c r="H1827" s="9" t="n">
        <x:v>97.4</x:v>
      </x:c>
      <x:c r="I1827" s="8" t="str">
        <x:f>B1827&amp;" / "&amp;C1827&amp;" / "&amp;E1827</x:f>
        <x:v>6528 / 2025 / RAINBOW TROUT</x:v>
      </x:c>
    </x:row>
    <x:row r="1828" ht="23" customHeight="1">
      <x:c r="A1828" s="8" t="str">
        <x:v>Lower Chain Lake</x:v>
      </x:c>
      <x:c r="B1828" s="8" t="str">
        <x:v>6528</x:v>
      </x:c>
      <x:c r="C1828" s="17" t="n">
        <x:v>2025</x:v>
      </x:c>
      <x:c r="D1828" s="18" t="n">
        <x:v>45781</x:v>
      </x:c>
      <x:c r="E1828" s="8" t="str">
        <x:v>TIGER TROUT</x:v>
      </x:c>
      <x:c r="F1828" s="13" t="n">
        <x:v>2000</x:v>
      </x:c>
      <x:c r="G1828" s="9" t="n">
        <x:v>22.9</x:v>
      </x:c>
      <x:c r="H1828" s="9" t="n">
        <x:v>132.5</x:v>
      </x:c>
      <x:c r="I1828" s="8" t="str">
        <x:f>B1828&amp;" / "&amp;C1828&amp;" / "&amp;E1828</x:f>
        <x:v>6528 / 2025 / TIGER TROUT</x:v>
      </x:c>
    </x:row>
    <x:row r="1829" ht="23" customHeight="1">
      <x:c r="A1829" s="8" t="str">
        <x:v>Lower Chain Lake</x:v>
      </x:c>
      <x:c r="B1829" s="8" t="str">
        <x:v>6528</x:v>
      </x:c>
      <x:c r="C1829" s="17" t="n">
        <x:v>2024</x:v>
      </x:c>
      <x:c r="D1829" s="18" t="n">
        <x:v>45422</x:v>
      </x:c>
      <x:c r="E1829" s="8" t="str">
        <x:v>BROWN TROUT</x:v>
      </x:c>
      <x:c r="F1829" s="13" t="n">
        <x:v>1000</x:v>
      </x:c>
      <x:c r="G1829" s="9" t="n">
        <x:v>20.3</x:v>
      </x:c>
      <x:c r="H1829" s="9" t="n">
        <x:v>90</x:v>
      </x:c>
      <x:c r="I1829" s="8" t="str">
        <x:f>B1829&amp;" / "&amp;C1829&amp;" / "&amp;E1829</x:f>
        <x:v>6528 / 2024 / BROWN TROUT</x:v>
      </x:c>
    </x:row>
    <x:row r="1830" ht="23" customHeight="1">
      <x:c r="A1830" s="8" t="str">
        <x:v>Lower Chain Lake</x:v>
      </x:c>
      <x:c r="B1830" s="8" t="str">
        <x:v>6528</x:v>
      </x:c>
      <x:c r="C1830" s="17" t="n">
        <x:v>2024</x:v>
      </x:c>
      <x:c r="D1830" s="18" t="n">
        <x:v>45551</x:v>
      </x:c>
      <x:c r="E1830" s="8" t="str">
        <x:v>RAINBOW TROUT</x:v>
      </x:c>
      <x:c r="F1830" s="13" t="n">
        <x:v>3000</x:v>
      </x:c>
      <x:c r="G1830" s="9" t="n">
        <x:v>20.4</x:v>
      </x:c>
      <x:c r="H1830" s="9" t="n">
        <x:v>94.1</x:v>
      </x:c>
      <x:c r="I1830" s="8" t="str">
        <x:f>B1830&amp;" / "&amp;C1830&amp;" / "&amp;E1830</x:f>
        <x:v>6528 / 2024 / RAINBOW TROUT</x:v>
      </x:c>
    </x:row>
    <x:row r="1831" ht="23" customHeight="1">
      <x:c r="A1831" s="8" t="str">
        <x:v>Lower Chain Lake</x:v>
      </x:c>
      <x:c r="B1831" s="8" t="str">
        <x:v>6528</x:v>
      </x:c>
      <x:c r="C1831" s="17" t="n">
        <x:v>2024</x:v>
      </x:c>
      <x:c r="D1831" s="18" t="n">
        <x:v>45425</x:v>
      </x:c>
      <x:c r="E1831" s="8" t="str">
        <x:v>RAINBOW TROUT</x:v>
      </x:c>
      <x:c r="F1831" s="13" t="n">
        <x:v>5000</x:v>
      </x:c>
      <x:c r="G1831" s="9" t="n">
        <x:v>10.2</x:v>
      </x:c>
      <x:c r="H1831" s="9" t="n">
        <x:v>11.7</x:v>
      </x:c>
      <x:c r="I1831" s="8" t="str">
        <x:f>B1831&amp;" / "&amp;C1831&amp;" / "&amp;E1831</x:f>
        <x:v>6528 / 2024 / RAINBOW TROUT</x:v>
      </x:c>
    </x:row>
    <x:row r="1832" ht="23" customHeight="1">
      <x:c r="A1832" s="8" t="str">
        <x:v>Lower Chain Lake</x:v>
      </x:c>
      <x:c r="B1832" s="8" t="str">
        <x:v>6528</x:v>
      </x:c>
      <x:c r="C1832" s="17" t="n">
        <x:v>2024</x:v>
      </x:c>
      <x:c r="D1832" s="18" t="n">
        <x:v>45422</x:v>
      </x:c>
      <x:c r="E1832" s="8" t="str">
        <x:v>RAINBOW TROUT</x:v>
      </x:c>
      <x:c r="F1832" s="13" t="n">
        <x:v>3200</x:v>
      </x:c>
      <x:c r="G1832" s="9" t="n">
        <x:v>20.3</x:v>
      </x:c>
      <x:c r="H1832" s="9" t="n">
        <x:v>90.1</x:v>
      </x:c>
      <x:c r="I1832" s="8" t="str">
        <x:f>B1832&amp;" / "&amp;C1832&amp;" / "&amp;E1832</x:f>
        <x:v>6528 / 2024 / RAINBOW TROUT</x:v>
      </x:c>
    </x:row>
    <x:row r="1833" ht="23" customHeight="1">
      <x:c r="A1833" s="8" t="str">
        <x:v>Lower Chain Lake</x:v>
      </x:c>
      <x:c r="B1833" s="8" t="str">
        <x:v>6528</x:v>
      </x:c>
      <x:c r="C1833" s="17" t="n">
        <x:v>2023</x:v>
      </x:c>
      <x:c r="D1833" s="18" t="n">
        <x:v>45061</x:v>
      </x:c>
      <x:c r="E1833" s="8" t="str">
        <x:v>BROWN TROUT</x:v>
      </x:c>
      <x:c r="F1833" s="13" t="n">
        <x:v>1000</x:v>
      </x:c>
      <x:c r="G1833" s="9" t="n">
        <x:v>18</x:v>
      </x:c>
      <x:c r="H1833" s="9" t="n">
        <x:v>63.2</x:v>
      </x:c>
      <x:c r="I1833" s="8" t="str">
        <x:f>B1833&amp;" / "&amp;C1833&amp;" / "&amp;E1833</x:f>
        <x:v>6528 / 2023 / BROWN TROUT</x:v>
      </x:c>
    </x:row>
    <x:row r="1834" ht="23" customHeight="1">
      <x:c r="A1834" s="8" t="str">
        <x:v>Lower Chain Lake</x:v>
      </x:c>
      <x:c r="B1834" s="8" t="str">
        <x:v>6528</x:v>
      </x:c>
      <x:c r="C1834" s="17" t="n">
        <x:v>2023</x:v>
      </x:c>
      <x:c r="D1834" s="18" t="n">
        <x:v>45190</x:v>
      </x:c>
      <x:c r="E1834" s="8" t="str">
        <x:v>RAINBOW TROUT</x:v>
      </x:c>
      <x:c r="F1834" s="13" t="n">
        <x:v>1505</x:v>
      </x:c>
      <x:c r="G1834" s="9" t="n">
        <x:v>17.9</x:v>
      </x:c>
      <x:c r="H1834" s="9" t="n">
        <x:v>63.6</x:v>
      </x:c>
      <x:c r="I1834" s="8" t="str">
        <x:f>B1834&amp;" / "&amp;C1834&amp;" / "&amp;E1834</x:f>
        <x:v>6528 / 2023 / RAINBOW TROUT</x:v>
      </x:c>
    </x:row>
    <x:row r="1835" ht="23" customHeight="1">
      <x:c r="A1835" s="8" t="str">
        <x:v>Lower Chain Lake</x:v>
      </x:c>
      <x:c r="B1835" s="8" t="str">
        <x:v>6528</x:v>
      </x:c>
      <x:c r="C1835" s="17" t="n">
        <x:v>2023</x:v>
      </x:c>
      <x:c r="D1835" s="18" t="n">
        <x:v>45061</x:v>
      </x:c>
      <x:c r="E1835" s="8" t="str">
        <x:v>RAINBOW TROUT</x:v>
      </x:c>
      <x:c r="F1835" s="13" t="n">
        <x:v>3192</x:v>
      </x:c>
      <x:c r="G1835" s="9" t="n">
        <x:v>20.2</x:v>
      </x:c>
      <x:c r="H1835" s="9" t="n">
        <x:v>88.8</x:v>
      </x:c>
      <x:c r="I1835" s="8" t="str">
        <x:f>B1835&amp;" / "&amp;C1835&amp;" / "&amp;E1835</x:f>
        <x:v>6528 / 2023 / RAINBOW TROUT</x:v>
      </x:c>
    </x:row>
    <x:row r="1836" ht="23" customHeight="1">
      <x:c r="A1836" s="8" t="str">
        <x:v>Lower Chain Lake</x:v>
      </x:c>
      <x:c r="B1836" s="8" t="str">
        <x:v>6528</x:v>
      </x:c>
      <x:c r="C1836" s="17" t="n">
        <x:v>2023</x:v>
      </x:c>
      <x:c r="D1836" s="18" t="n">
        <x:v>45054</x:v>
      </x:c>
      <x:c r="E1836" s="8" t="str">
        <x:v>RAINBOW TROUT</x:v>
      </x:c>
      <x:c r="F1836" s="13" t="n">
        <x:v>5000</x:v>
      </x:c>
      <x:c r="G1836" s="9" t="n">
        <x:v>8.7</x:v>
      </x:c>
      <x:c r="H1836" s="9" t="n">
        <x:v>7.3</x:v>
      </x:c>
      <x:c r="I1836" s="8" t="str">
        <x:f>B1836&amp;" / "&amp;C1836&amp;" / "&amp;E1836</x:f>
        <x:v>6528 / 2023 / RAINBOW TROUT</x:v>
      </x:c>
    </x:row>
    <x:row r="1837" ht="23" customHeight="1">
      <x:c r="A1837" s="8" t="str">
        <x:v>Lower Chain Lake</x:v>
      </x:c>
      <x:c r="B1837" s="8" t="str">
        <x:v>6528</x:v>
      </x:c>
      <x:c r="C1837" s="17" t="n">
        <x:v>2023</x:v>
      </x:c>
      <x:c r="D1837" s="18" t="n">
        <x:v>45061</x:v>
      </x:c>
      <x:c r="E1837" s="8" t="str">
        <x:v>TIGER TROUT</x:v>
      </x:c>
      <x:c r="F1837" s="13" t="n">
        <x:v>2000</x:v>
      </x:c>
      <x:c r="G1837" s="9" t="n">
        <x:v>19.5</x:v>
      </x:c>
      <x:c r="H1837" s="9" t="n">
        <x:v>80.4</x:v>
      </x:c>
      <x:c r="I1837" s="8" t="str">
        <x:f>B1837&amp;" / "&amp;C1837&amp;" / "&amp;E1837</x:f>
        <x:v>6528 / 2023 / TIGER TROUT</x:v>
      </x:c>
    </x:row>
    <x:row r="1838" ht="23" customHeight="1">
      <x:c r="A1838" s="8" t="str">
        <x:v>Lower Chain Lake</x:v>
      </x:c>
      <x:c r="B1838" s="8" t="str">
        <x:v>6528</x:v>
      </x:c>
      <x:c r="C1838" s="17" t="n">
        <x:v>2022</x:v>
      </x:c>
      <x:c r="D1838" s="18" t="n">
        <x:v>44693</x:v>
      </x:c>
      <x:c r="E1838" s="8" t="str">
        <x:v>BROWN TROUT</x:v>
      </x:c>
      <x:c r="F1838" s="13" t="n">
        <x:v>1000</x:v>
      </x:c>
      <x:c r="G1838" s="9" t="n">
        <x:v>17.6</x:v>
      </x:c>
      <x:c r="H1838" s="9" t="n">
        <x:v>60.3</x:v>
      </x:c>
      <x:c r="I1838" s="8" t="str">
        <x:f>B1838&amp;" / "&amp;C1838&amp;" / "&amp;E1838</x:f>
        <x:v>6528 / 2022 / BROWN TROUT</x:v>
      </x:c>
    </x:row>
    <x:row r="1839" ht="23" customHeight="1">
      <x:c r="A1839" s="8" t="str">
        <x:v>Lower Chain Lake</x:v>
      </x:c>
      <x:c r="B1839" s="8" t="str">
        <x:v>6528</x:v>
      </x:c>
      <x:c r="C1839" s="17" t="n">
        <x:v>2022</x:v>
      </x:c>
      <x:c r="D1839" s="18" t="n">
        <x:v>44822</x:v>
      </x:c>
      <x:c r="E1839" s="8" t="str">
        <x:v>RAINBOW TROUT</x:v>
      </x:c>
      <x:c r="F1839" s="13" t="n">
        <x:v>3000</x:v>
      </x:c>
      <x:c r="G1839" s="9" t="n">
        <x:v>24.9</x:v>
      </x:c>
      <x:c r="H1839" s="9" t="n">
        <x:v>169.9</x:v>
      </x:c>
      <x:c r="I1839" s="8" t="str">
        <x:f>B1839&amp;" / "&amp;C1839&amp;" / "&amp;E1839</x:f>
        <x:v>6528 / 2022 / RAINBOW TROUT</x:v>
      </x:c>
    </x:row>
    <x:row r="1840" ht="23" customHeight="1">
      <x:c r="A1840" s="8" t="str">
        <x:v>Lower Chain Lake</x:v>
      </x:c>
      <x:c r="B1840" s="8" t="str">
        <x:v>6528</x:v>
      </x:c>
      <x:c r="C1840" s="17" t="n">
        <x:v>2022</x:v>
      </x:c>
      <x:c r="D1840" s="18" t="n">
        <x:v>44693</x:v>
      </x:c>
      <x:c r="E1840" s="8" t="str">
        <x:v>RAINBOW TROUT</x:v>
      </x:c>
      <x:c r="F1840" s="13" t="n">
        <x:v>8000</x:v>
      </x:c>
      <x:c r="G1840" s="9" t="n">
        <x:v>23</x:v>
      </x:c>
      <x:c r="H1840" s="9" t="n">
        <x:v>134.5</x:v>
      </x:c>
      <x:c r="I1840" s="8" t="str">
        <x:f>B1840&amp;" / "&amp;C1840&amp;" / "&amp;E1840</x:f>
        <x:v>6528 / 2022 / RAINBOW TROUT</x:v>
      </x:c>
    </x:row>
    <x:row r="1841" ht="23" customHeight="1">
      <x:c r="A1841" s="8" t="str">
        <x:v>Lower Chain Lake</x:v>
      </x:c>
      <x:c r="B1841" s="8" t="str">
        <x:v>6528</x:v>
      </x:c>
      <x:c r="C1841" s="17" t="n">
        <x:v>2022</x:v>
      </x:c>
      <x:c r="D1841" s="18" t="n">
        <x:v>44822</x:v>
      </x:c>
      <x:c r="E1841" s="8" t="str">
        <x:v>TIGER TROUT</x:v>
      </x:c>
      <x:c r="F1841" s="13" t="n">
        <x:v>3000</x:v>
      </x:c>
      <x:c r="G1841" s="9" t="n">
        <x:v>9.3</x:v>
      </x:c>
      <x:c r="H1841" s="9" t="n">
        <x:v>8.8</x:v>
      </x:c>
      <x:c r="I1841" s="8" t="str">
        <x:f>B1841&amp;" / "&amp;C1841&amp;" / "&amp;E1841</x:f>
        <x:v>6528 / 2022 / TIGER TROUT</x:v>
      </x:c>
    </x:row>
    <x:row r="1842" ht="23" customHeight="1">
      <x:c r="A1842" s="8" t="str">
        <x:v>Lower Chain Lake</x:v>
      </x:c>
      <x:c r="B1842" s="8" t="str">
        <x:v>6528</x:v>
      </x:c>
      <x:c r="C1842" s="17" t="n">
        <x:v>2021</x:v>
      </x:c>
      <x:c r="D1842" s="18" t="n">
        <x:v>44346</x:v>
      </x:c>
      <x:c r="E1842" s="8" t="str">
        <x:v>BROWN TROUT</x:v>
      </x:c>
      <x:c r="F1842" s="13" t="n">
        <x:v>1000</x:v>
      </x:c>
      <x:c r="G1842" s="9" t="n">
        <x:v>18.6</x:v>
      </x:c>
      <x:c r="H1842" s="9" t="n">
        <x:v>71.2</x:v>
      </x:c>
      <x:c r="I1842" s="8" t="str">
        <x:f>B1842&amp;" / "&amp;C1842&amp;" / "&amp;E1842</x:f>
        <x:v>6528 / 2021 / BROWN TROUT</x:v>
      </x:c>
    </x:row>
    <x:row r="1843" ht="23" customHeight="1">
      <x:c r="A1843" s="8" t="str">
        <x:v>Lower Chain Lake</x:v>
      </x:c>
      <x:c r="B1843" s="8" t="str">
        <x:v>6528</x:v>
      </x:c>
      <x:c r="C1843" s="17" t="n">
        <x:v>2021</x:v>
      </x:c>
      <x:c r="D1843" s="18" t="n">
        <x:v>44458</x:v>
      </x:c>
      <x:c r="E1843" s="8" t="str">
        <x:v>RAINBOW TROUT</x:v>
      </x:c>
      <x:c r="F1843" s="13" t="n">
        <x:v>3000</x:v>
      </x:c>
      <x:c r="G1843" s="9" t="n">
        <x:v>16.4</x:v>
      </x:c>
      <x:c r="H1843" s="9" t="n">
        <x:v>48.6</x:v>
      </x:c>
      <x:c r="I1843" s="8" t="str">
        <x:f>B1843&amp;" / "&amp;C1843&amp;" / "&amp;E1843</x:f>
        <x:v>6528 / 2021 / RAINBOW TROUT</x:v>
      </x:c>
    </x:row>
    <x:row r="1844" ht="23" customHeight="1">
      <x:c r="A1844" s="8" t="str">
        <x:v>Lower Chain Lake</x:v>
      </x:c>
      <x:c r="B1844" s="8" t="str">
        <x:v>6528</x:v>
      </x:c>
      <x:c r="C1844" s="17" t="n">
        <x:v>2021</x:v>
      </x:c>
      <x:c r="D1844" s="18" t="n">
        <x:v>44346</x:v>
      </x:c>
      <x:c r="E1844" s="8" t="str">
        <x:v>RAINBOW TROUT</x:v>
      </x:c>
      <x:c r="F1844" s="13" t="n">
        <x:v>8000</x:v>
      </x:c>
      <x:c r="G1844" s="9" t="n">
        <x:v>22</x:v>
      </x:c>
      <x:c r="H1844" s="9" t="n">
        <x:v>117.5</x:v>
      </x:c>
      <x:c r="I1844" s="8" t="str">
        <x:f>B1844&amp;" / "&amp;C1844&amp;" / "&amp;E1844</x:f>
        <x:v>6528 / 2021 / RAINBOW TROUT</x:v>
      </x:c>
    </x:row>
    <x:row r="1845" ht="23" customHeight="1">
      <x:c r="A1845" s="8" t="str">
        <x:v>Lower Chain Lake</x:v>
      </x:c>
      <x:c r="B1845" s="8" t="str">
        <x:v>6528</x:v>
      </x:c>
      <x:c r="C1845" s="17" t="n">
        <x:v>2021</x:v>
      </x:c>
      <x:c r="D1845" s="18" t="n">
        <x:v>44458</x:v>
      </x:c>
      <x:c r="E1845" s="8" t="str">
        <x:v>TIGER TROUT</x:v>
      </x:c>
      <x:c r="F1845" s="13" t="n">
        <x:v>2000</x:v>
      </x:c>
      <x:c r="G1845" s="9" t="n">
        <x:v>20.1</x:v>
      </x:c>
      <x:c r="H1845" s="9" t="n">
        <x:v>90.3</x:v>
      </x:c>
      <x:c r="I1845" s="8" t="str">
        <x:f>B1845&amp;" / "&amp;C1845&amp;" / "&amp;E1845</x:f>
        <x:v>6528 / 2021 / TIGER TROUT</x:v>
      </x:c>
    </x:row>
    <x:row r="1846" ht="23" customHeight="1">
      <x:c r="A1846" s="8" t="str">
        <x:v>Lower Champion Lake</x:v>
      </x:c>
      <x:c r="B1846" s="8" t="str">
        <x:v>6608</x:v>
      </x:c>
      <x:c r="C1846" s="17" t="n">
        <x:v>2026</x:v>
      </x:c>
      <x:c r="D1846" s="18" t="n">
        <x:v>46178</x:v>
      </x:c>
      <x:c r="E1846" s="8" t="str">
        <x:v>WESTSLOPE CUTTHROAT TROUT</x:v>
      </x:c>
      <x:c r="F1846" s="13" t="n">
        <x:v>300</x:v>
      </x:c>
      <x:c r="G1846" s="9" t="n">
        <x:v>15.8</x:v>
      </x:c>
      <x:c r="H1846" s="9" t="n">
        <x:v>42.5</x:v>
      </x:c>
      <x:c r="I1846" s="8" t="str">
        <x:f>B1846&amp;" / "&amp;C1846&amp;" / "&amp;E1846</x:f>
        <x:v>6608 / 2026 / WESTSLOPE CUTTHROAT TROUT</x:v>
      </x:c>
    </x:row>
    <x:row r="1847" ht="23" customHeight="1">
      <x:c r="A1847" s="8" t="str">
        <x:v>Lower Champion Lake</x:v>
      </x:c>
      <x:c r="B1847" s="8" t="str">
        <x:v>6608</x:v>
      </x:c>
      <x:c r="C1847" s="17" t="n">
        <x:v>2025</x:v>
      </x:c>
      <x:c r="D1847" s="18" t="n">
        <x:v>45810</x:v>
      </x:c>
      <x:c r="E1847" s="8" t="str">
        <x:v>CUTTHROAT TROUT</x:v>
      </x:c>
      <x:c r="F1847" s="13" t="n">
        <x:v>300</x:v>
      </x:c>
      <x:c r="G1847" s="9" t="n">
        <x:v>14.1</x:v>
      </x:c>
      <x:c r="H1847" s="9" t="n">
        <x:v>30.2</x:v>
      </x:c>
      <x:c r="I1847" s="8" t="str">
        <x:f>B1847&amp;" / "&amp;C1847&amp;" / "&amp;E1847</x:f>
        <x:v>6608 / 2025 / CUTTHROAT TROUT</x:v>
      </x:c>
    </x:row>
    <x:row r="1848" ht="23" customHeight="1">
      <x:c r="A1848" s="8" t="str">
        <x:v>Lower Champion Lake</x:v>
      </x:c>
      <x:c r="B1848" s="8" t="str">
        <x:v>6608</x:v>
      </x:c>
      <x:c r="C1848" s="17" t="n">
        <x:v>2023</x:v>
      </x:c>
      <x:c r="D1848" s="18" t="n">
        <x:v>45089</x:v>
      </x:c>
      <x:c r="E1848" s="8" t="str">
        <x:v>CUTTHROAT TROUT</x:v>
      </x:c>
      <x:c r="F1848" s="13" t="n">
        <x:v>300</x:v>
      </x:c>
      <x:c r="G1848" s="9" t="n">
        <x:v>14.5</x:v>
      </x:c>
      <x:c r="H1848" s="9" t="n">
        <x:v>32.8</x:v>
      </x:c>
      <x:c r="I1848" s="8" t="str">
        <x:f>B1848&amp;" / "&amp;C1848&amp;" / "&amp;E1848</x:f>
        <x:v>6608 / 2023 / CUTTHROAT TROUT</x:v>
      </x:c>
    </x:row>
    <x:row r="1849" ht="23" customHeight="1">
      <x:c r="A1849" s="8" t="str">
        <x:v>Lower Champion Lake</x:v>
      </x:c>
      <x:c r="B1849" s="8" t="str">
        <x:v>6608</x:v>
      </x:c>
      <x:c r="C1849" s="17" t="n">
        <x:v>2022</x:v>
      </x:c>
      <x:c r="D1849" s="18" t="n">
        <x:v>44712</x:v>
      </x:c>
      <x:c r="E1849" s="8" t="str">
        <x:v>CUTTHROAT TROUT</x:v>
      </x:c>
      <x:c r="F1849" s="13" t="n">
        <x:v>300</x:v>
      </x:c>
      <x:c r="G1849" s="9" t="n">
        <x:v>13.8</x:v>
      </x:c>
      <x:c r="H1849" s="9" t="n">
        <x:v>28.7</x:v>
      </x:c>
      <x:c r="I1849" s="8" t="str">
        <x:f>B1849&amp;" / "&amp;C1849&amp;" / "&amp;E1849</x:f>
        <x:v>6608 / 2022 / CUTTHROAT TROUT</x:v>
      </x:c>
    </x:row>
    <x:row r="1850" ht="23" customHeight="1">
      <x:c r="A1850" s="8" t="str">
        <x:v>Lower Champion Lake</x:v>
      </x:c>
      <x:c r="B1850" s="8" t="str">
        <x:v>6608</x:v>
      </x:c>
      <x:c r="C1850" s="17" t="n">
        <x:v>2021</x:v>
      </x:c>
      <x:c r="D1850" s="18" t="n">
        <x:v>44363</x:v>
      </x:c>
      <x:c r="E1850" s="8" t="str">
        <x:v>RAINBOW TROUT</x:v>
      </x:c>
      <x:c r="F1850" s="13" t="n">
        <x:v>300</x:v>
      </x:c>
      <x:c r="G1850" s="9" t="n">
        <x:v>23.1</x:v>
      </x:c>
      <x:c r="H1850" s="9" t="n">
        <x:v>136</x:v>
      </x:c>
      <x:c r="I1850" s="8" t="str">
        <x:f>B1850&amp;" / "&amp;C1850&amp;" / "&amp;E1850</x:f>
        <x:v>6608 / 2021 / RAINBOW TROUT</x:v>
      </x:c>
    </x:row>
    <x:row r="1851" ht="23" customHeight="1">
      <x:c r="A1851" s="8" t="str">
        <x:v>Lower Galatea Lake</x:v>
      </x:c>
      <x:c r="B1851" s="8" t="str">
        <x:v>4642</x:v>
      </x:c>
      <x:c r="C1851" s="17" t="n">
        <x:v>2021</x:v>
      </x:c>
      <x:c r="D1851" s="18" t="n">
        <x:v>44447</x:v>
      </x:c>
      <x:c r="E1851" s="8" t="str">
        <x:v>CUTTHROAT TROUT</x:v>
      </x:c>
      <x:c r="F1851" s="13" t="n">
        <x:v>1200</x:v>
      </x:c>
      <x:c r="G1851" s="9" t="n">
        <x:v>4.9</x:v>
      </x:c>
      <x:c r="H1851" s="9" t="n">
        <x:v>1.3</x:v>
      </x:c>
      <x:c r="I1851" s="8" t="str">
        <x:f>B1851&amp;" / "&amp;C1851&amp;" / "&amp;E1851</x:f>
        <x:v>4642 / 2021 / CUTTHROAT TROUT</x:v>
      </x:c>
    </x:row>
    <x:row r="1852" ht="23" customHeight="1">
      <x:c r="A1852" s="8" t="str">
        <x:v>Lower Headwall Lake</x:v>
      </x:c>
      <x:c r="B1852" s="8" t="str">
        <x:v>6530</x:v>
      </x:c>
      <x:c r="C1852" s="17" t="n">
        <x:v>2021</x:v>
      </x:c>
      <x:c r="D1852" s="18" t="n">
        <x:v>44447</x:v>
      </x:c>
      <x:c r="E1852" s="8" t="str">
        <x:v>CUTTHROAT TROUT</x:v>
      </x:c>
      <x:c r="F1852" s="13" t="n">
        <x:v>500</x:v>
      </x:c>
      <x:c r="G1852" s="9" t="n">
        <x:v>4.9</x:v>
      </x:c>
      <x:c r="H1852" s="9" t="n">
        <x:v>1.3</x:v>
      </x:c>
      <x:c r="I1852" s="8" t="str">
        <x:f>B1852&amp;" / "&amp;C1852&amp;" / "&amp;E1852</x:f>
        <x:v>6530 / 2021 / CUTTHROAT TROUT</x:v>
      </x:c>
    </x:row>
    <x:row r="1853" ht="23" customHeight="1">
      <x:c r="A1853" s="8" t="str">
        <x:v>Lower Hogarth Lake</x:v>
      </x:c>
      <x:c r="B1853" s="8" t="str">
        <x:v>6541</x:v>
      </x:c>
      <x:c r="C1853" s="17" t="n">
        <x:v>2025</x:v>
      </x:c>
      <x:c r="D1853" s="18" t="n">
        <x:v>45908</x:v>
      </x:c>
      <x:c r="E1853" s="8" t="str">
        <x:v>CUTTHROAT TROUT</x:v>
      </x:c>
      <x:c r="F1853" s="13" t="n">
        <x:v>1200</x:v>
      </x:c>
      <x:c r="G1853" s="9" t="n">
        <x:v>4.2</x:v>
      </x:c>
      <x:c r="H1853" s="9" t="n">
        <x:v>0.8</x:v>
      </x:c>
      <x:c r="I1853" s="8" t="str">
        <x:f>B1853&amp;" / "&amp;C1853&amp;" / "&amp;E1853</x:f>
        <x:v>6541 / 2025 / CUTTHROAT TROUT</x:v>
      </x:c>
    </x:row>
    <x:row r="1854" ht="23" customHeight="1">
      <x:c r="A1854" s="8" t="str">
        <x:v>Lower Hogarth Lake</x:v>
      </x:c>
      <x:c r="B1854" s="8" t="str">
        <x:v>6541</x:v>
      </x:c>
      <x:c r="C1854" s="17" t="n">
        <x:v>2021</x:v>
      </x:c>
      <x:c r="D1854" s="18" t="n">
        <x:v>44447</x:v>
      </x:c>
      <x:c r="E1854" s="8" t="str">
        <x:v>CUTTHROAT TROUT</x:v>
      </x:c>
      <x:c r="F1854" s="13" t="n">
        <x:v>250</x:v>
      </x:c>
      <x:c r="G1854" s="9" t="n">
        <x:v>4.9</x:v>
      </x:c>
      <x:c r="H1854" s="9" t="n">
        <x:v>1.3</x:v>
      </x:c>
      <x:c r="I1854" s="8" t="str">
        <x:f>B1854&amp;" / "&amp;C1854&amp;" / "&amp;E1854</x:f>
        <x:v>6541 / 2021 / CUTTHROAT TROUT</x:v>
      </x:c>
    </x:row>
    <x:row r="1855" ht="23" customHeight="1">
      <x:c r="A1855" s="8" t="str">
        <x:v>Lower Kananaskis Lake</x:v>
      </x:c>
      <x:c r="B1855" s="8" t="str">
        <x:v>5179</x:v>
      </x:c>
      <x:c r="C1855" s="17" t="n">
        <x:v>2026</x:v>
      </x:c>
      <x:c r="D1855" s="18" t="n">
        <x:v>46178</x:v>
      </x:c>
      <x:c r="E1855" s="8" t="str">
        <x:v>WESTSLOPE CUTTHROAT TROUT</x:v>
      </x:c>
      <x:c r="F1855" s="13" t="n">
        <x:v>5000</x:v>
      </x:c>
      <x:c r="G1855" s="9" t="n">
        <x:v>15.8</x:v>
      </x:c>
      <x:c r="H1855" s="9" t="n">
        <x:v>42.5</x:v>
      </x:c>
      <x:c r="I1855" s="8" t="str">
        <x:f>B1855&amp;" / "&amp;C1855&amp;" / "&amp;E1855</x:f>
        <x:v>5179 / 2026 / WESTSLOPE CUTTHROAT TROUT</x:v>
      </x:c>
    </x:row>
    <x:row r="1856" ht="23" customHeight="1">
      <x:c r="A1856" s="8" t="str">
        <x:v>Lower Kananaskis Lake</x:v>
      </x:c>
      <x:c r="B1856" s="8" t="str">
        <x:v>5179</x:v>
      </x:c>
      <x:c r="C1856" s="17" t="n">
        <x:v>2025</x:v>
      </x:c>
      <x:c r="D1856" s="18" t="n">
        <x:v>45917</x:v>
      </x:c>
      <x:c r="E1856" s="8" t="str">
        <x:v>CUTTHROAT TROUT</x:v>
      </x:c>
      <x:c r="F1856" s="13" t="n">
        <x:v>8044</x:v>
      </x:c>
      <x:c r="G1856" s="9" t="n">
        <x:v>19.2</x:v>
      </x:c>
      <x:c r="H1856" s="9" t="n">
        <x:v>77</x:v>
      </x:c>
      <x:c r="I1856" s="8" t="str">
        <x:f>B1856&amp;" / "&amp;C1856&amp;" / "&amp;E1856</x:f>
        <x:v>5179 / 2025 / CUTTHROAT TROUT</x:v>
      </x:c>
    </x:row>
    <x:row r="1857" ht="23" customHeight="1">
      <x:c r="A1857" s="8" t="str">
        <x:v>Lower Kananaskis Lake</x:v>
      </x:c>
      <x:c r="B1857" s="8" t="str">
        <x:v>5179</x:v>
      </x:c>
      <x:c r="C1857" s="17" t="n">
        <x:v>2025</x:v>
      </x:c>
      <x:c r="D1857" s="18" t="n">
        <x:v>45832</x:v>
      </x:c>
      <x:c r="E1857" s="8" t="str">
        <x:v>CUTTHROAT TROUT</x:v>
      </x:c>
      <x:c r="F1857" s="13" t="n">
        <x:v>5000</x:v>
      </x:c>
      <x:c r="G1857" s="9" t="n">
        <x:v>15</x:v>
      </x:c>
      <x:c r="H1857" s="9" t="n">
        <x:v>36.8</x:v>
      </x:c>
      <x:c r="I1857" s="8" t="str">
        <x:f>B1857&amp;" / "&amp;C1857&amp;" / "&amp;E1857</x:f>
        <x:v>5179 / 2025 / CUTTHROAT TROUT</x:v>
      </x:c>
    </x:row>
    <x:row r="1858" ht="23" customHeight="1">
      <x:c r="A1858" s="8" t="str">
        <x:v>Lower Kananaskis Lake</x:v>
      </x:c>
      <x:c r="B1858" s="8" t="str">
        <x:v>5179</x:v>
      </x:c>
      <x:c r="C1858" s="17" t="n">
        <x:v>2022</x:v>
      </x:c>
      <x:c r="D1858" s="18" t="n">
        <x:v>44776</x:v>
      </x:c>
      <x:c r="E1858" s="8" t="str">
        <x:v>CUTTHROAT TROUT</x:v>
      </x:c>
      <x:c r="F1858" s="13" t="n">
        <x:v>406</x:v>
      </x:c>
      <x:c r="G1858" s="9" t="n">
        <x:v>50.1</x:v>
      </x:c>
      <x:c r="H1858" s="9" t="n">
        <x:v>1250</x:v>
      </x:c>
      <x:c r="I1858" s="8" t="str">
        <x:f>B1858&amp;" / "&amp;C1858&amp;" / "&amp;E1858</x:f>
        <x:v>5179 / 2022 / CUTTHROAT TROUT</x:v>
      </x:c>
    </x:row>
    <x:row r="1859" ht="23" customHeight="1">
      <x:c r="A1859" s="8" t="str">
        <x:v>Lower Pierre Greys Lake</x:v>
      </x:c>
      <x:c r="B1859" s="8" t="str">
        <x:v>6534</x:v>
      </x:c>
      <x:c r="C1859" s="17" t="n">
        <x:v>2026</x:v>
      </x:c>
      <x:c r="D1859" s="18" t="n">
        <x:v>46174</x:v>
      </x:c>
      <x:c r="E1859" s="8" t="str">
        <x:v>RAINBOW TROUT</x:v>
      </x:c>
      <x:c r="F1859" s="13" t="n">
        <x:v>7000</x:v>
      </x:c>
      <x:c r="G1859" s="9" t="n">
        <x:v>18.5</x:v>
      </x:c>
      <x:c r="H1859" s="9" t="n">
        <x:v>70.1</x:v>
      </x:c>
      <x:c r="I1859" s="8" t="str">
        <x:f>B1859&amp;" / "&amp;C1859&amp;" / "&amp;E1859</x:f>
        <x:v>6534 / 2026 / RAINBOW TROUT</x:v>
      </x:c>
    </x:row>
    <x:row r="1860" ht="23" customHeight="1">
      <x:c r="A1860" s="8" t="str">
        <x:v>Lower Pierre Greys Lake</x:v>
      </x:c>
      <x:c r="B1860" s="8" t="str">
        <x:v>6534</x:v>
      </x:c>
      <x:c r="C1860" s="17" t="n">
        <x:v>2025</x:v>
      </x:c>
      <x:c r="D1860" s="18" t="n">
        <x:v>45791</x:v>
      </x:c>
      <x:c r="E1860" s="8" t="str">
        <x:v>RAINBOW TROUT</x:v>
      </x:c>
      <x:c r="F1860" s="13" t="n">
        <x:v>7000</x:v>
      </x:c>
      <x:c r="G1860" s="9" t="n">
        <x:v>17.7</x:v>
      </x:c>
      <x:c r="H1860" s="9" t="n">
        <x:v>61.6</x:v>
      </x:c>
      <x:c r="I1860" s="8" t="str">
        <x:f>B1860&amp;" / "&amp;C1860&amp;" / "&amp;E1860</x:f>
        <x:v>6534 / 2025 / RAINBOW TROUT</x:v>
      </x:c>
    </x:row>
    <x:row r="1861" ht="23" customHeight="1">
      <x:c r="A1861" s="8" t="str">
        <x:v>Lower Pierre Greys Lake</x:v>
      </x:c>
      <x:c r="B1861" s="8" t="str">
        <x:v>6534</x:v>
      </x:c>
      <x:c r="C1861" s="17" t="n">
        <x:v>2024</x:v>
      </x:c>
      <x:c r="D1861" s="18" t="n">
        <x:v>45552</x:v>
      </x:c>
      <x:c r="E1861" s="8" t="str">
        <x:v>RAINBOW TROUT</x:v>
      </x:c>
      <x:c r="F1861" s="13" t="n">
        <x:v>10000</x:v>
      </x:c>
      <x:c r="G1861" s="9" t="n">
        <x:v>5.2</x:v>
      </x:c>
      <x:c r="H1861" s="9" t="n">
        <x:v>1.5</x:v>
      </x:c>
      <x:c r="I1861" s="8" t="str">
        <x:f>B1861&amp;" / "&amp;C1861&amp;" / "&amp;E1861</x:f>
        <x:v>6534 / 2024 / RAINBOW TROUT</x:v>
      </x:c>
    </x:row>
    <x:row r="1862" ht="23" customHeight="1">
      <x:c r="A1862" s="8" t="str">
        <x:v>Lower Pierre Greys Lake</x:v>
      </x:c>
      <x:c r="B1862" s="8" t="str">
        <x:v>6534</x:v>
      </x:c>
      <x:c r="C1862" s="17" t="n">
        <x:v>2024</x:v>
      </x:c>
      <x:c r="D1862" s="18" t="n">
        <x:v>45421</x:v>
      </x:c>
      <x:c r="E1862" s="8" t="str">
        <x:v>RAINBOW TROUT</x:v>
      </x:c>
      <x:c r="F1862" s="13" t="n">
        <x:v>3500</x:v>
      </x:c>
      <x:c r="G1862" s="9" t="n">
        <x:v>20.2</x:v>
      </x:c>
      <x:c r="H1862" s="9" t="n">
        <x:v>89.3</x:v>
      </x:c>
      <x:c r="I1862" s="8" t="str">
        <x:f>B1862&amp;" / "&amp;C1862&amp;" / "&amp;E1862</x:f>
        <x:v>6534 / 2024 / RAINBOW TROUT</x:v>
      </x:c>
    </x:row>
    <x:row r="1863" ht="23" customHeight="1">
      <x:c r="A1863" s="8" t="str">
        <x:v>Lower Pierre Greys Lake</x:v>
      </x:c>
      <x:c r="B1863" s="8" t="str">
        <x:v>6534</x:v>
      </x:c>
      <x:c r="C1863" s="17" t="n">
        <x:v>2023</x:v>
      </x:c>
      <x:c r="D1863" s="18" t="n">
        <x:v>45070</x:v>
      </x:c>
      <x:c r="E1863" s="8" t="str">
        <x:v>RAINBOW TROUT</x:v>
      </x:c>
      <x:c r="F1863" s="13" t="n">
        <x:v>1953</x:v>
      </x:c>
      <x:c r="G1863" s="9" t="n">
        <x:v>17.8</x:v>
      </x:c>
      <x:c r="H1863" s="9" t="n">
        <x:v>61</x:v>
      </x:c>
      <x:c r="I1863" s="8" t="str">
        <x:f>B1863&amp;" / "&amp;C1863&amp;" / "&amp;E1863</x:f>
        <x:v>6534 / 2023 / RAINBOW TROUT</x:v>
      </x:c>
    </x:row>
    <x:row r="1864" ht="23" customHeight="1">
      <x:c r="A1864" s="8" t="str">
        <x:v>Lower Pierre Greys Lake</x:v>
      </x:c>
      <x:c r="B1864" s="8" t="str">
        <x:v>6534</x:v>
      </x:c>
      <x:c r="C1864" s="17" t="n">
        <x:v>2023</x:v>
      </x:c>
      <x:c r="D1864" s="18" t="n">
        <x:v>45070</x:v>
      </x:c>
      <x:c r="E1864" s="8" t="str">
        <x:v>RAINBOW TROUT</x:v>
      </x:c>
      <x:c r="F1864" s="13" t="n">
        <x:v>1365</x:v>
      </x:c>
      <x:c r="G1864" s="9" t="n">
        <x:v>17.6</x:v>
      </x:c>
      <x:c r="H1864" s="9" t="n">
        <x:v>59.3</x:v>
      </x:c>
      <x:c r="I1864" s="8" t="str">
        <x:f>B1864&amp;" / "&amp;C1864&amp;" / "&amp;E1864</x:f>
        <x:v>6534 / 2023 / RAINBOW TROUT</x:v>
      </x:c>
    </x:row>
    <x:row r="1865" ht="23" customHeight="1">
      <x:c r="A1865" s="8" t="str">
        <x:v>Lower Pierre Greys Lake</x:v>
      </x:c>
      <x:c r="B1865" s="8" t="str">
        <x:v>6534</x:v>
      </x:c>
      <x:c r="C1865" s="17" t="n">
        <x:v>2022</x:v>
      </x:c>
      <x:c r="D1865" s="18" t="n">
        <x:v>44710</x:v>
      </x:c>
      <x:c r="E1865" s="8" t="str">
        <x:v>RAINBOW TROUT</x:v>
      </x:c>
      <x:c r="F1865" s="13" t="n">
        <x:v>7000</x:v>
      </x:c>
      <x:c r="G1865" s="9" t="n">
        <x:v>13.4</x:v>
      </x:c>
      <x:c r="H1865" s="9" t="n">
        <x:v>26.7</x:v>
      </x:c>
      <x:c r="I1865" s="8" t="str">
        <x:f>B1865&amp;" / "&amp;C1865&amp;" / "&amp;E1865</x:f>
        <x:v>6534 / 2022 / RAINBOW TROUT</x:v>
      </x:c>
    </x:row>
    <x:row r="1866" ht="23" customHeight="1">
      <x:c r="A1866" s="8" t="str">
        <x:v>Lower Pierre Greys Lake</x:v>
      </x:c>
      <x:c r="B1866" s="8" t="str">
        <x:v>6534</x:v>
      </x:c>
      <x:c r="C1866" s="17" t="n">
        <x:v>2021</x:v>
      </x:c>
      <x:c r="D1866" s="18" t="n">
        <x:v>44346</x:v>
      </x:c>
      <x:c r="E1866" s="8" t="str">
        <x:v>RAINBOW TROUT</x:v>
      </x:c>
      <x:c r="F1866" s="13" t="n">
        <x:v>7000</x:v>
      </x:c>
      <x:c r="G1866" s="9" t="n">
        <x:v>14.4</x:v>
      </x:c>
      <x:c r="H1866" s="9" t="n">
        <x:v>33.1</x:v>
      </x:c>
      <x:c r="I1866" s="8" t="str">
        <x:f>B1866&amp;" / "&amp;C1866&amp;" / "&amp;E1866</x:f>
        <x:v>6534 / 2021 / RAINBOW TROUT</x:v>
      </x:c>
    </x:row>
    <x:row r="1867" ht="23" customHeight="1">
      <x:c r="A1867" s="8" t="str">
        <x:v>Lower Smuts Lake</x:v>
      </x:c>
      <x:c r="B1867" s="8" t="str">
        <x:v>6605</x:v>
      </x:c>
      <x:c r="C1867" s="17" t="n">
        <x:v>2025</x:v>
      </x:c>
      <x:c r="D1867" s="18" t="n">
        <x:v>45908</x:v>
      </x:c>
      <x:c r="E1867" s="8" t="str">
        <x:v>CUTTHROAT TROUT</x:v>
      </x:c>
      <x:c r="F1867" s="13" t="n">
        <x:v>200</x:v>
      </x:c>
      <x:c r="G1867" s="9" t="n">
        <x:v>4.2</x:v>
      </x:c>
      <x:c r="H1867" s="9" t="n">
        <x:v>0.8</x:v>
      </x:c>
      <x:c r="I1867" s="8" t="str">
        <x:f>B1867&amp;" / "&amp;C1867&amp;" / "&amp;E1867</x:f>
        <x:v>6605 / 2025 / CUTTHROAT TROUT</x:v>
      </x:c>
    </x:row>
    <x:row r="1868" ht="23" customHeight="1">
      <x:c r="A1868" s="8" t="str">
        <x:v>Lower Smuts Lake</x:v>
      </x:c>
      <x:c r="B1868" s="8" t="str">
        <x:v>6605</x:v>
      </x:c>
      <x:c r="C1868" s="17" t="n">
        <x:v>2021</x:v>
      </x:c>
      <x:c r="D1868" s="18" t="n">
        <x:v>44447</x:v>
      </x:c>
      <x:c r="E1868" s="8" t="str">
        <x:v>CUTTHROAT TROUT</x:v>
      </x:c>
      <x:c r="F1868" s="13" t="n">
        <x:v>400</x:v>
      </x:c>
      <x:c r="G1868" s="9" t="n">
        <x:v>4.9</x:v>
      </x:c>
      <x:c r="H1868" s="9" t="n">
        <x:v>1.3</x:v>
      </x:c>
      <x:c r="I1868" s="8" t="str">
        <x:f>B1868&amp;" / "&amp;C1868&amp;" / "&amp;E1868</x:f>
        <x:v>6605 / 2021 / CUTTHROAT TROUT</x:v>
      </x:c>
    </x:row>
    <x:row r="1869" ht="23" customHeight="1">
      <x:c r="A1869" s="8" t="str">
        <x:v>Lower Wildhorse Lake</x:v>
      </x:c>
      <x:c r="B1869" s="8" t="str">
        <x:v>6537</x:v>
      </x:c>
      <x:c r="C1869" s="17" t="n">
        <x:v>2026</x:v>
      </x:c>
      <x:c r="D1869" s="18" t="n">
        <x:v>46150</x:v>
      </x:c>
      <x:c r="E1869" s="8" t="str">
        <x:v>RAINBOW TROUT</x:v>
      </x:c>
      <x:c r="F1869" s="13" t="n">
        <x:v>7500</x:v>
      </x:c>
      <x:c r="G1869" s="9" t="n">
        <x:v>15.8</x:v>
      </x:c>
      <x:c r="H1869" s="9" t="n">
        <x:v>43.9</x:v>
      </x:c>
      <x:c r="I1869" s="8" t="str">
        <x:f>B1869&amp;" / "&amp;C1869&amp;" / "&amp;E1869</x:f>
        <x:v>6537 / 2026 / RAINBOW TROUT</x:v>
      </x:c>
    </x:row>
    <x:row r="1870" ht="23" customHeight="1">
      <x:c r="A1870" s="8" t="str">
        <x:v>Lower Wildhorse Lake</x:v>
      </x:c>
      <x:c r="B1870" s="8" t="str">
        <x:v>6537</x:v>
      </x:c>
      <x:c r="C1870" s="17" t="n">
        <x:v>2025</x:v>
      </x:c>
      <x:c r="D1870" s="18" t="n">
        <x:v>45802</x:v>
      </x:c>
      <x:c r="E1870" s="8" t="str">
        <x:v>RAINBOW TROUT</x:v>
      </x:c>
      <x:c r="F1870" s="13" t="n">
        <x:v>7500</x:v>
      </x:c>
      <x:c r="G1870" s="9" t="n">
        <x:v>17.7</x:v>
      </x:c>
      <x:c r="H1870" s="9" t="n">
        <x:v>60.7</x:v>
      </x:c>
      <x:c r="I1870" s="8" t="str">
        <x:f>B1870&amp;" / "&amp;C1870&amp;" / "&amp;E1870</x:f>
        <x:v>6537 / 2025 / RAINBOW TROUT</x:v>
      </x:c>
    </x:row>
    <x:row r="1871" ht="23" customHeight="1">
      <x:c r="A1871" s="8" t="str">
        <x:v>Lower Wildhorse Lake</x:v>
      </x:c>
      <x:c r="B1871" s="8" t="str">
        <x:v>6537</x:v>
      </x:c>
      <x:c r="C1871" s="17" t="n">
        <x:v>2025</x:v>
      </x:c>
      <x:c r="D1871" s="18" t="n">
        <x:v>45802</x:v>
      </x:c>
      <x:c r="E1871" s="8" t="str">
        <x:v>RAINBOW TROUT</x:v>
      </x:c>
      <x:c r="F1871" s="13" t="n">
        <x:v>7500</x:v>
      </x:c>
      <x:c r="G1871" s="9" t="n">
        <x:v>17.7</x:v>
      </x:c>
      <x:c r="H1871" s="9" t="n">
        <x:v>61.2</x:v>
      </x:c>
      <x:c r="I1871" s="8" t="str">
        <x:f>B1871&amp;" / "&amp;C1871&amp;" / "&amp;E1871</x:f>
        <x:v>6537 / 2025 / RAINBOW TROUT</x:v>
      </x:c>
    </x:row>
    <x:row r="1872" ht="23" customHeight="1">
      <x:c r="A1872" s="8" t="str">
        <x:v>Lower Wildhorse Lake</x:v>
      </x:c>
      <x:c r="B1872" s="8" t="str">
        <x:v>6537</x:v>
      </x:c>
      <x:c r="C1872" s="17" t="n">
        <x:v>2024</x:v>
      </x:c>
      <x:c r="D1872" s="18" t="n">
        <x:v>45552</x:v>
      </x:c>
      <x:c r="E1872" s="8" t="str">
        <x:v>RAINBOW TROUT</x:v>
      </x:c>
      <x:c r="F1872" s="13" t="n">
        <x:v>10000</x:v>
      </x:c>
      <x:c r="G1872" s="9" t="n">
        <x:v>5.2</x:v>
      </x:c>
      <x:c r="H1872" s="9" t="n">
        <x:v>1.5</x:v>
      </x:c>
      <x:c r="I1872" s="8" t="str">
        <x:f>B1872&amp;" / "&amp;C1872&amp;" / "&amp;E1872</x:f>
        <x:v>6537 / 2024 / RAINBOW TROUT</x:v>
      </x:c>
    </x:row>
    <x:row r="1873" ht="23" customHeight="1">
      <x:c r="A1873" s="8" t="str">
        <x:v>Lower Wildhorse Lake</x:v>
      </x:c>
      <x:c r="B1873" s="8" t="str">
        <x:v>6537</x:v>
      </x:c>
      <x:c r="C1873" s="17" t="n">
        <x:v>2024</x:v>
      </x:c>
      <x:c r="D1873" s="18" t="n">
        <x:v>45442</x:v>
      </x:c>
      <x:c r="E1873" s="8" t="str">
        <x:v>RAINBOW TROUT</x:v>
      </x:c>
      <x:c r="F1873" s="13" t="n">
        <x:v>3750</x:v>
      </x:c>
      <x:c r="G1873" s="9" t="n">
        <x:v>20.3</x:v>
      </x:c>
      <x:c r="H1873" s="9" t="n">
        <x:v>89.9</x:v>
      </x:c>
      <x:c r="I1873" s="8" t="str">
        <x:f>B1873&amp;" / "&amp;C1873&amp;" / "&amp;E1873</x:f>
        <x:v>6537 / 2024 / RAINBOW TROUT</x:v>
      </x:c>
    </x:row>
    <x:row r="1874" ht="23" customHeight="1">
      <x:c r="A1874" s="8" t="str">
        <x:v>Lower Wildhorse Lake</x:v>
      </x:c>
      <x:c r="B1874" s="8" t="str">
        <x:v>6537</x:v>
      </x:c>
      <x:c r="C1874" s="17" t="n">
        <x:v>2023</x:v>
      </x:c>
      <x:c r="D1874" s="18" t="n">
        <x:v>45070</x:v>
      </x:c>
      <x:c r="E1874" s="8" t="str">
        <x:v>BROOK TROUT</x:v>
      </x:c>
      <x:c r="F1874" s="13" t="n">
        <x:v>2500</x:v>
      </x:c>
      <x:c r="G1874" s="9" t="n">
        <x:v>5.4</x:v>
      </x:c>
      <x:c r="H1874" s="9" t="n">
        <x:v>1.7</x:v>
      </x:c>
      <x:c r="I1874" s="8" t="str">
        <x:f>B1874&amp;" / "&amp;C1874&amp;" / "&amp;E1874</x:f>
        <x:v>6537 / 2023 / BROOK TROUT</x:v>
      </x:c>
    </x:row>
    <x:row r="1875" ht="23" customHeight="1">
      <x:c r="A1875" s="8" t="str">
        <x:v>Lower Wildhorse Lake</x:v>
      </x:c>
      <x:c r="B1875" s="8" t="str">
        <x:v>6537</x:v>
      </x:c>
      <x:c r="C1875" s="17" t="n">
        <x:v>2023</x:v>
      </x:c>
      <x:c r="D1875" s="18" t="n">
        <x:v>45070</x:v>
      </x:c>
      <x:c r="E1875" s="8" t="str">
        <x:v>RAINBOW TROUT</x:v>
      </x:c>
      <x:c r="F1875" s="13" t="n">
        <x:v>3555</x:v>
      </x:c>
      <x:c r="G1875" s="9" t="n">
        <x:v>17.9</x:v>
      </x:c>
      <x:c r="H1875" s="9" t="n">
        <x:v>62</x:v>
      </x:c>
      <x:c r="I1875" s="8" t="str">
        <x:f>B1875&amp;" / "&amp;C1875&amp;" / "&amp;E1875</x:f>
        <x:v>6537 / 2023 / RAINBOW TROUT</x:v>
      </x:c>
    </x:row>
    <x:row r="1876" ht="23" customHeight="1">
      <x:c r="A1876" s="8" t="str">
        <x:v>Lower Wildhorse Lake</x:v>
      </x:c>
      <x:c r="B1876" s="8" t="str">
        <x:v>6537</x:v>
      </x:c>
      <x:c r="C1876" s="17" t="n">
        <x:v>2022</x:v>
      </x:c>
      <x:c r="D1876" s="18" t="n">
        <x:v>44719</x:v>
      </x:c>
      <x:c r="E1876" s="8" t="str">
        <x:v>RAINBOW TROUT</x:v>
      </x:c>
      <x:c r="F1876" s="13" t="n">
        <x:v>7500</x:v>
      </x:c>
      <x:c r="G1876" s="9" t="n">
        <x:v>13.3</x:v>
      </x:c>
      <x:c r="H1876" s="9" t="n">
        <x:v>25.8</x:v>
      </x:c>
      <x:c r="I1876" s="8" t="str">
        <x:f>B1876&amp;" / "&amp;C1876&amp;" / "&amp;E1876</x:f>
        <x:v>6537 / 2022 / RAINBOW TROUT</x:v>
      </x:c>
    </x:row>
    <x:row r="1877" ht="23" customHeight="1">
      <x:c r="A1877" s="8" t="str">
        <x:v>Lower Wildhorse Lake</x:v>
      </x:c>
      <x:c r="B1877" s="8" t="str">
        <x:v>6537</x:v>
      </x:c>
      <x:c r="C1877" s="17" t="n">
        <x:v>2021</x:v>
      </x:c>
      <x:c r="D1877" s="18" t="n">
        <x:v>44348</x:v>
      </x:c>
      <x:c r="E1877" s="8" t="str">
        <x:v>RAINBOW TROUT</x:v>
      </x:c>
      <x:c r="F1877" s="13" t="n">
        <x:v>7014</x:v>
      </x:c>
      <x:c r="G1877" s="9" t="n">
        <x:v>15.4</x:v>
      </x:c>
      <x:c r="H1877" s="9" t="n">
        <x:v>40.7</x:v>
      </x:c>
      <x:c r="I1877" s="8" t="str">
        <x:f>B1877&amp;" / "&amp;C1877&amp;" / "&amp;E1877</x:f>
        <x:v>6537 / 2021 / RAINBOW TROUT</x:v>
      </x:c>
    </x:row>
    <x:row r="1878" ht="23" customHeight="1">
      <x:c r="A1878" s="8" t="str">
        <x:v>Machesis Lake</x:v>
      </x:c>
      <x:c r="B1878" s="8" t="str">
        <x:v>6750</x:v>
      </x:c>
      <x:c r="C1878" s="17" t="n">
        <x:v>2026</x:v>
      </x:c>
      <x:c r="D1878" s="18" t="n">
        <x:v>46162</x:v>
      </x:c>
      <x:c r="E1878" s="8" t="str">
        <x:v>RAINBOW TROUT</x:v>
      </x:c>
      <x:c r="F1878" s="13" t="n">
        <x:v>4000</x:v>
      </x:c>
      <x:c r="G1878" s="9" t="n">
        <x:v>21.5</x:v>
      </x:c>
      <x:c r="H1878" s="9" t="n">
        <x:v>109</x:v>
      </x:c>
      <x:c r="I1878" s="8" t="str">
        <x:f>B1878&amp;" / "&amp;C1878&amp;" / "&amp;E1878</x:f>
        <x:v>6750 / 2026 / RAINBOW TROUT</x:v>
      </x:c>
    </x:row>
    <x:row r="1879" ht="23" customHeight="1">
      <x:c r="A1879" s="8" t="str">
        <x:v>Machesis Lake</x:v>
      </x:c>
      <x:c r="B1879" s="8" t="str">
        <x:v>6750</x:v>
      </x:c>
      <x:c r="C1879" s="17" t="n">
        <x:v>2025</x:v>
      </x:c>
      <x:c r="D1879" s="18" t="n">
        <x:v>45789</x:v>
      </x:c>
      <x:c r="E1879" s="8" t="str">
        <x:v>RAINBOW TROUT</x:v>
      </x:c>
      <x:c r="F1879" s="13" t="n">
        <x:v>4000</x:v>
      </x:c>
      <x:c r="G1879" s="9" t="n">
        <x:v>20</x:v>
      </x:c>
      <x:c r="H1879" s="9" t="n">
        <x:v>87.9</x:v>
      </x:c>
      <x:c r="I1879" s="8" t="str">
        <x:f>B1879&amp;" / "&amp;C1879&amp;" / "&amp;E1879</x:f>
        <x:v>6750 / 2025 / RAINBOW TROUT</x:v>
      </x:c>
    </x:row>
    <x:row r="1880" ht="23" customHeight="1">
      <x:c r="A1880" s="8" t="str">
        <x:v>Machesis Lake</x:v>
      </x:c>
      <x:c r="B1880" s="8" t="str">
        <x:v>6750</x:v>
      </x:c>
      <x:c r="C1880" s="17" t="n">
        <x:v>2024</x:v>
      </x:c>
      <x:c r="D1880" s="18" t="n">
        <x:v>45426</x:v>
      </x:c>
      <x:c r="E1880" s="8" t="str">
        <x:v>RAINBOW TROUT</x:v>
      </x:c>
      <x:c r="F1880" s="13" t="n">
        <x:v>2000</x:v>
      </x:c>
      <x:c r="G1880" s="9" t="n">
        <x:v>20.7</x:v>
      </x:c>
      <x:c r="H1880" s="9" t="n">
        <x:v>95.1</x:v>
      </x:c>
      <x:c r="I1880" s="8" t="str">
        <x:f>B1880&amp;" / "&amp;C1880&amp;" / "&amp;E1880</x:f>
        <x:v>6750 / 2024 / RAINBOW TROUT</x:v>
      </x:c>
    </x:row>
    <x:row r="1881" ht="23" customHeight="1">
      <x:c r="A1881" s="8" t="str">
        <x:v>Machesis Lake</x:v>
      </x:c>
      <x:c r="B1881" s="8" t="str">
        <x:v>6750</x:v>
      </x:c>
      <x:c r="C1881" s="17" t="n">
        <x:v>2023</x:v>
      </x:c>
      <x:c r="D1881" s="18" t="n">
        <x:v>45069</x:v>
      </x:c>
      <x:c r="E1881" s="8" t="str">
        <x:v>RAINBOW TROUT</x:v>
      </x:c>
      <x:c r="F1881" s="13" t="n">
        <x:v>2008</x:v>
      </x:c>
      <x:c r="G1881" s="9" t="n">
        <x:v>20.4</x:v>
      </x:c>
      <x:c r="H1881" s="9" t="n">
        <x:v>92</x:v>
      </x:c>
      <x:c r="I1881" s="8" t="str">
        <x:f>B1881&amp;" / "&amp;C1881&amp;" / "&amp;E1881</x:f>
        <x:v>6750 / 2023 / RAINBOW TROUT</x:v>
      </x:c>
    </x:row>
    <x:row r="1882" ht="23" customHeight="1">
      <x:c r="A1882" s="8" t="str">
        <x:v>Machesis Lake</x:v>
      </x:c>
      <x:c r="B1882" s="8" t="str">
        <x:v>6750</x:v>
      </x:c>
      <x:c r="C1882" s="17" t="n">
        <x:v>2022</x:v>
      </x:c>
      <x:c r="D1882" s="18" t="n">
        <x:v>44697</x:v>
      </x:c>
      <x:c r="E1882" s="8" t="str">
        <x:v>RAINBOW TROUT</x:v>
      </x:c>
      <x:c r="F1882" s="13" t="n">
        <x:v>4000</x:v>
      </x:c>
      <x:c r="G1882" s="9" t="n">
        <x:v>20.1</x:v>
      </x:c>
      <x:c r="H1882" s="9" t="n">
        <x:v>90.1</x:v>
      </x:c>
      <x:c r="I1882" s="8" t="str">
        <x:f>B1882&amp;" / "&amp;C1882&amp;" / "&amp;E1882</x:f>
        <x:v>6750 / 2022 / RAINBOW TROUT</x:v>
      </x:c>
    </x:row>
    <x:row r="1883" ht="23" customHeight="1">
      <x:c r="A1883" s="8" t="str">
        <x:v>Machesis Lake</x:v>
      </x:c>
      <x:c r="B1883" s="8" t="str">
        <x:v>6750</x:v>
      </x:c>
      <x:c r="C1883" s="17" t="n">
        <x:v>2021</x:v>
      </x:c>
      <x:c r="D1883" s="18" t="n">
        <x:v>44342</x:v>
      </x:c>
      <x:c r="E1883" s="8" t="str">
        <x:v>RAINBOW TROUT</x:v>
      </x:c>
      <x:c r="F1883" s="13" t="n">
        <x:v>4000</x:v>
      </x:c>
      <x:c r="G1883" s="9" t="n">
        <x:v>18.5</x:v>
      </x:c>
      <x:c r="H1883" s="9" t="n">
        <x:v>70.6</x:v>
      </x:c>
      <x:c r="I1883" s="8" t="str">
        <x:f>B1883&amp;" / "&amp;C1883&amp;" / "&amp;E1883</x:f>
        <x:v>6750 / 2021 / RAINBOW TROUT</x:v>
      </x:c>
    </x:row>
    <x:row r="1884" ht="23" customHeight="1">
      <x:c r="A1884" s="8" t="str">
        <x:v>Magrath Childrens Pond</x:v>
      </x:c>
      <x:c r="B1884" s="8" t="str">
        <x:v>317719</x:v>
      </x:c>
      <x:c r="C1884" s="17" t="n">
        <x:v>2026</x:v>
      </x:c>
      <x:c r="D1884" s="18" t="n">
        <x:v>46162</x:v>
      </x:c>
      <x:c r="E1884" s="8" t="str">
        <x:v>RAINBOW TROUT</x:v>
      </x:c>
      <x:c r="F1884" s="13" t="n">
        <x:v>500</x:v>
      </x:c>
      <x:c r="G1884" s="9" t="n">
        <x:v>20.7</x:v>
      </x:c>
      <x:c r="H1884" s="9" t="n">
        <x:v>97.9</x:v>
      </x:c>
      <x:c r="I1884" s="8" t="str">
        <x:f>B1884&amp;" / "&amp;C1884&amp;" / "&amp;E1884</x:f>
        <x:v>317719 / 2026 / RAINBOW TROUT</x:v>
      </x:c>
    </x:row>
    <x:row r="1885" ht="23" customHeight="1">
      <x:c r="A1885" s="8" t="str">
        <x:v>Magrath Childrens Pond</x:v>
      </x:c>
      <x:c r="B1885" s="8" t="str">
        <x:v>317719</x:v>
      </x:c>
      <x:c r="C1885" s="17" t="n">
        <x:v>2025</x:v>
      </x:c>
      <x:c r="D1885" s="18" t="n">
        <x:v>45820</x:v>
      </x:c>
      <x:c r="E1885" s="8" t="str">
        <x:v>RAINBOW TROUT</x:v>
      </x:c>
      <x:c r="F1885" s="13" t="n">
        <x:v>25</x:v>
      </x:c>
      <x:c r="G1885" s="9" t="n">
        <x:v>30</x:v>
      </x:c>
      <x:c r="H1885" s="9" t="n">
        <x:v>365</x:v>
      </x:c>
      <x:c r="I1885" s="8" t="str">
        <x:f>B1885&amp;" / "&amp;C1885&amp;" / "&amp;E1885</x:f>
        <x:v>317719 / 2025 / RAINBOW TROUT</x:v>
      </x:c>
    </x:row>
    <x:row r="1886" ht="23" customHeight="1">
      <x:c r="A1886" s="8" t="str">
        <x:v>Magrath Childrens Pond</x:v>
      </x:c>
      <x:c r="B1886" s="8" t="str">
        <x:v>317719</x:v>
      </x:c>
      <x:c r="C1886" s="17" t="n">
        <x:v>2025</x:v>
      </x:c>
      <x:c r="D1886" s="18" t="n">
        <x:v>45820</x:v>
      </x:c>
      <x:c r="E1886" s="8" t="str">
        <x:v>RAINBOW TROUT</x:v>
      </x:c>
      <x:c r="F1886" s="13" t="n">
        <x:v>300</x:v>
      </x:c>
      <x:c r="G1886" s="9" t="n">
        <x:v>20.3</x:v>
      </x:c>
      <x:c r="H1886" s="9" t="n">
        <x:v>91.7</x:v>
      </x:c>
      <x:c r="I1886" s="8" t="str">
        <x:f>B1886&amp;" / "&amp;C1886&amp;" / "&amp;E1886</x:f>
        <x:v>317719 / 2025 / RAINBOW TROUT</x:v>
      </x:c>
    </x:row>
    <x:row r="1887" ht="23" customHeight="1">
      <x:c r="A1887" s="8" t="str">
        <x:v>Magrath Childrens Pond</x:v>
      </x:c>
      <x:c r="B1887" s="8" t="str">
        <x:v>317719</x:v>
      </x:c>
      <x:c r="C1887" s="17" t="n">
        <x:v>2025</x:v>
      </x:c>
      <x:c r="D1887" s="18" t="n">
        <x:v>45777</x:v>
      </x:c>
      <x:c r="E1887" s="8" t="str">
        <x:v>RAINBOW TROUT</x:v>
      </x:c>
      <x:c r="F1887" s="13" t="n">
        <x:v>500</x:v>
      </x:c>
      <x:c r="G1887" s="9" t="n">
        <x:v>20.3</x:v>
      </x:c>
      <x:c r="H1887" s="9" t="n">
        <x:v>94.3</x:v>
      </x:c>
      <x:c r="I1887" s="8" t="str">
        <x:f>B1887&amp;" / "&amp;C1887&amp;" / "&amp;E1887</x:f>
        <x:v>317719 / 2025 / RAINBOW TROUT</x:v>
      </x:c>
    </x:row>
    <x:row r="1888" ht="23" customHeight="1">
      <x:c r="A1888" s="8" t="str">
        <x:v>Magrath Childrens Pond</x:v>
      </x:c>
      <x:c r="B1888" s="8" t="str">
        <x:v>317719</x:v>
      </x:c>
      <x:c r="C1888" s="17" t="n">
        <x:v>2024</x:v>
      </x:c>
      <x:c r="D1888" s="18" t="n">
        <x:v>45454</x:v>
      </x:c>
      <x:c r="E1888" s="8" t="str">
        <x:v>RAINBOW TROUT</x:v>
      </x:c>
      <x:c r="F1888" s="13" t="n">
        <x:v>25</x:v>
      </x:c>
      <x:c r="G1888" s="9" t="n">
        <x:v>30</x:v>
      </x:c>
      <x:c r="H1888" s="9" t="n">
        <x:v>335</x:v>
      </x:c>
      <x:c r="I1888" s="8" t="str">
        <x:f>B1888&amp;" / "&amp;C1888&amp;" / "&amp;E1888</x:f>
        <x:v>317719 / 2024 / RAINBOW TROUT</x:v>
      </x:c>
    </x:row>
    <x:row r="1889" ht="23" customHeight="1">
      <x:c r="A1889" s="8" t="str">
        <x:v>Magrath Childrens Pond</x:v>
      </x:c>
      <x:c r="B1889" s="8" t="str">
        <x:v>317719</x:v>
      </x:c>
      <x:c r="C1889" s="17" t="n">
        <x:v>2024</x:v>
      </x:c>
      <x:c r="D1889" s="18" t="n">
        <x:v>45454</x:v>
      </x:c>
      <x:c r="E1889" s="8" t="str">
        <x:v>RAINBOW TROUT</x:v>
      </x:c>
      <x:c r="F1889" s="13" t="n">
        <x:v>500</x:v>
      </x:c>
      <x:c r="G1889" s="9" t="n">
        <x:v>21.6</x:v>
      </x:c>
      <x:c r="H1889" s="9" t="n">
        <x:v>88.5</x:v>
      </x:c>
      <x:c r="I1889" s="8" t="str">
        <x:f>B1889&amp;" / "&amp;C1889&amp;" / "&amp;E1889</x:f>
        <x:v>317719 / 2024 / RAINBOW TROUT</x:v>
      </x:c>
    </x:row>
    <x:row r="1890" ht="23" customHeight="1">
      <x:c r="A1890" s="8" t="str">
        <x:v>Magrath Childrens Pond</x:v>
      </x:c>
      <x:c r="B1890" s="8" t="str">
        <x:v>317719</x:v>
      </x:c>
      <x:c r="C1890" s="17" t="n">
        <x:v>2023</x:v>
      </x:c>
      <x:c r="D1890" s="18" t="n">
        <x:v>45039</x:v>
      </x:c>
      <x:c r="E1890" s="8" t="str">
        <x:v>RAINBOW TROUT</x:v>
      </x:c>
      <x:c r="F1890" s="13" t="n">
        <x:v>40</x:v>
      </x:c>
      <x:c r="G1890" s="9" t="n">
        <x:v>30</x:v>
      </x:c>
      <x:c r="H1890" s="9" t="n">
        <x:v>239</x:v>
      </x:c>
      <x:c r="I1890" s="8" t="str">
        <x:f>B1890&amp;" / "&amp;C1890&amp;" / "&amp;E1890</x:f>
        <x:v>317719 / 2023 / RAINBOW TROUT</x:v>
      </x:c>
    </x:row>
    <x:row r="1891" ht="23" customHeight="1">
      <x:c r="A1891" s="8" t="str">
        <x:v>Magrath Childrens Pond</x:v>
      </x:c>
      <x:c r="B1891" s="8" t="str">
        <x:v>317719</x:v>
      </x:c>
      <x:c r="C1891" s="17" t="n">
        <x:v>2023</x:v>
      </x:c>
      <x:c r="D1891" s="18" t="n">
        <x:v>45039</x:v>
      </x:c>
      <x:c r="E1891" s="8" t="str">
        <x:v>RAINBOW TROUT</x:v>
      </x:c>
      <x:c r="F1891" s="13" t="n">
        <x:v>500</x:v>
      </x:c>
      <x:c r="G1891" s="9" t="n">
        <x:v>21.7</x:v>
      </x:c>
      <x:c r="H1891" s="9" t="n">
        <x:v>96.3</x:v>
      </x:c>
      <x:c r="I1891" s="8" t="str">
        <x:f>B1891&amp;" / "&amp;C1891&amp;" / "&amp;E1891</x:f>
        <x:v>317719 / 2023 / RAINBOW TROUT</x:v>
      </x:c>
    </x:row>
    <x:row r="1892" ht="23" customHeight="1">
      <x:c r="A1892" s="8" t="str">
        <x:v>Magrath Childrens Pond</x:v>
      </x:c>
      <x:c r="B1892" s="8" t="str">
        <x:v>317719</x:v>
      </x:c>
      <x:c r="C1892" s="17" t="n">
        <x:v>2022</x:v>
      </x:c>
      <x:c r="D1892" s="18" t="n">
        <x:v>44675</x:v>
      </x:c>
      <x:c r="E1892" s="8" t="str">
        <x:v>RAINBOW TROUT</x:v>
      </x:c>
      <x:c r="F1892" s="13" t="n">
        <x:v>500</x:v>
      </x:c>
      <x:c r="G1892" s="9" t="n">
        <x:v>21.1</x:v>
      </x:c>
      <x:c r="H1892" s="9" t="n">
        <x:v>95.6</x:v>
      </x:c>
      <x:c r="I1892" s="8" t="str">
        <x:f>B1892&amp;" / "&amp;C1892&amp;" / "&amp;E1892</x:f>
        <x:v>317719 / 2022 / RAINBOW TROUT</x:v>
      </x:c>
    </x:row>
    <x:row r="1893" ht="23" customHeight="1">
      <x:c r="A1893" s="8" t="str">
        <x:v>Magrath Childrens Pond</x:v>
      </x:c>
      <x:c r="B1893" s="8" t="str">
        <x:v>317719</x:v>
      </x:c>
      <x:c r="C1893" s="17" t="n">
        <x:v>2021</x:v>
      </x:c>
      <x:c r="D1893" s="18" t="n">
        <x:v>44299</x:v>
      </x:c>
      <x:c r="E1893" s="8" t="str">
        <x:v>RAINBOW TROUT</x:v>
      </x:c>
      <x:c r="F1893" s="13" t="n">
        <x:v>500</x:v>
      </x:c>
      <x:c r="G1893" s="9" t="n">
        <x:v>21.4</x:v>
      </x:c>
      <x:c r="H1893" s="9" t="n">
        <x:v>97.3</x:v>
      </x:c>
      <x:c r="I1893" s="8" t="str">
        <x:f>B1893&amp;" / "&amp;C1893&amp;" / "&amp;E1893</x:f>
        <x:v>317719 / 2021 / RAINBOW TROUT</x:v>
      </x:c>
    </x:row>
    <x:row r="1894" ht="23" customHeight="1">
      <x:c r="A1894" s="8" t="str">
        <x:v>Mami Lake</x:v>
      </x:c>
      <x:c r="B1894" s="8" t="str">
        <x:v>5513</x:v>
      </x:c>
      <x:c r="C1894" s="17" t="n">
        <x:v>2026</x:v>
      </x:c>
      <x:c r="D1894" s="18" t="n">
        <x:v>46168</x:v>
      </x:c>
      <x:c r="E1894" s="8" t="str">
        <x:v>RAINBOW TROUT</x:v>
      </x:c>
      <x:c r="F1894" s="13" t="n">
        <x:v>2028</x:v>
      </x:c>
      <x:c r="G1894" s="9" t="n">
        <x:v>20.9</x:v>
      </x:c>
      <x:c r="H1894" s="9" t="n">
        <x:v>97.9</x:v>
      </x:c>
      <x:c r="I1894" s="8" t="str">
        <x:f>B1894&amp;" / "&amp;C1894&amp;" / "&amp;E1894</x:f>
        <x:v>5513 / 2026 / RAINBOW TROUT</x:v>
      </x:c>
    </x:row>
    <x:row r="1895" ht="23" customHeight="1">
      <x:c r="A1895" s="8" t="str">
        <x:v>Mami Lake</x:v>
      </x:c>
      <x:c r="B1895" s="8" t="str">
        <x:v>5513</x:v>
      </x:c>
      <x:c r="C1895" s="17" t="n">
        <x:v>2026</x:v>
      </x:c>
      <x:c r="D1895" s="18" t="n">
        <x:v>46167</x:v>
      </x:c>
      <x:c r="E1895" s="8" t="str">
        <x:v>RAINBOW TROUT</x:v>
      </x:c>
      <x:c r="F1895" s="13" t="n">
        <x:v>5998</x:v>
      </x:c>
      <x:c r="G1895" s="9" t="n">
        <x:v>20.9</x:v>
      </x:c>
      <x:c r="H1895" s="9" t="n">
        <x:v>97.9</x:v>
      </x:c>
      <x:c r="I1895" s="8" t="str">
        <x:f>B1895&amp;" / "&amp;C1895&amp;" / "&amp;E1895</x:f>
        <x:v>5513 / 2026 / RAINBOW TROUT</x:v>
      </x:c>
    </x:row>
    <x:row r="1896" ht="23" customHeight="1">
      <x:c r="A1896" s="8" t="str">
        <x:v>Mami Lake</x:v>
      </x:c>
      <x:c r="B1896" s="8" t="str">
        <x:v>5513</x:v>
      </x:c>
      <x:c r="C1896" s="17" t="n">
        <x:v>2026</x:v>
      </x:c>
      <x:c r="D1896" s="18" t="n">
        <x:v>46167</x:v>
      </x:c>
      <x:c r="E1896" s="8" t="str">
        <x:v>RAINBOW TROUT</x:v>
      </x:c>
      <x:c r="F1896" s="13" t="n">
        <x:v>6066</x:v>
      </x:c>
      <x:c r="G1896" s="9" t="n">
        <x:v>20.2</x:v>
      </x:c>
      <x:c r="H1896" s="9" t="n">
        <x:v>88.8</x:v>
      </x:c>
      <x:c r="I1896" s="8" t="str">
        <x:f>B1896&amp;" / "&amp;C1896&amp;" / "&amp;E1896</x:f>
        <x:v>5513 / 2026 / RAINBOW TROUT</x:v>
      </x:c>
    </x:row>
    <x:row r="1897" ht="23" customHeight="1">
      <x:c r="A1897" s="8" t="str">
        <x:v>Mami Lake</x:v>
      </x:c>
      <x:c r="B1897" s="8" t="str">
        <x:v>5513</x:v>
      </x:c>
      <x:c r="C1897" s="17" t="n">
        <x:v>2026</x:v>
      </x:c>
      <x:c r="D1897" s="18" t="n">
        <x:v>46133</x:v>
      </x:c>
      <x:c r="E1897" s="8" t="str">
        <x:v>RAINBOW TROUT</x:v>
      </x:c>
      <x:c r="F1897" s="13" t="n">
        <x:v>20000</x:v>
      </x:c>
      <x:c r="G1897" s="9" t="n">
        <x:v>15.8</x:v>
      </x:c>
      <x:c r="H1897" s="9" t="n">
        <x:v>44.3</x:v>
      </x:c>
      <x:c r="I1897" s="8" t="str">
        <x:f>B1897&amp;" / "&amp;C1897&amp;" / "&amp;E1897</x:f>
        <x:v>5513 / 2026 / RAINBOW TROUT</x:v>
      </x:c>
    </x:row>
    <x:row r="1898" ht="23" customHeight="1">
      <x:c r="A1898" s="8" t="str">
        <x:v>Mami Lake</x:v>
      </x:c>
      <x:c r="B1898" s="8" t="str">
        <x:v>5513</x:v>
      </x:c>
      <x:c r="C1898" s="17" t="n">
        <x:v>2026</x:v>
      </x:c>
      <x:c r="D1898" s="18" t="n">
        <x:v>46126</x:v>
      </x:c>
      <x:c r="E1898" s="8" t="str">
        <x:v>RAINBOW TROUT</x:v>
      </x:c>
      <x:c r="F1898" s="13" t="n">
        <x:v>13400</x:v>
      </x:c>
      <x:c r="G1898" s="9" t="n">
        <x:v>20.2</x:v>
      </x:c>
      <x:c r="H1898" s="9" t="n">
        <x:v>89.2</x:v>
      </x:c>
      <x:c r="I1898" s="8" t="str">
        <x:f>B1898&amp;" / "&amp;C1898&amp;" / "&amp;E1898</x:f>
        <x:v>5513 / 2026 / RAINBOW TROUT</x:v>
      </x:c>
    </x:row>
    <x:row r="1899" ht="23" customHeight="1">
      <x:c r="A1899" s="8" t="str">
        <x:v>Mami Lake</x:v>
      </x:c>
      <x:c r="B1899" s="8" t="str">
        <x:v>5513</x:v>
      </x:c>
      <x:c r="C1899" s="17" t="n">
        <x:v>2026</x:v>
      </x:c>
      <x:c r="D1899" s="18" t="n">
        <x:v>46121</x:v>
      </x:c>
      <x:c r="E1899" s="8" t="str">
        <x:v>RAINBOW TROUT</x:v>
      </x:c>
      <x:c r="F1899" s="13" t="n">
        <x:v>77502</x:v>
      </x:c>
      <x:c r="G1899" s="9" t="n">
        <x:v>12.3</x:v>
      </x:c>
      <x:c r="H1899" s="9" t="n">
        <x:v>20.5</x:v>
      </x:c>
      <x:c r="I1899" s="8" t="str">
        <x:f>B1899&amp;" / "&amp;C1899&amp;" / "&amp;E1899</x:f>
        <x:v>5513 / 2026 / RAINBOW TROUT</x:v>
      </x:c>
    </x:row>
    <x:row r="1900" ht="23" customHeight="1">
      <x:c r="A1900" s="8" t="str">
        <x:v>Mami Lake</x:v>
      </x:c>
      <x:c r="B1900" s="8" t="str">
        <x:v>5513</x:v>
      </x:c>
      <x:c r="C1900" s="17" t="n">
        <x:v>2025</x:v>
      </x:c>
      <x:c r="D1900" s="18" t="n">
        <x:v>45936</x:v>
      </x:c>
      <x:c r="E1900" s="8" t="str">
        <x:v>RAINBOW TROUT</x:v>
      </x:c>
      <x:c r="F1900" s="13" t="n">
        <x:v>20047</x:v>
      </x:c>
      <x:c r="G1900" s="9" t="n">
        <x:v>17</x:v>
      </x:c>
      <x:c r="H1900" s="9" t="n">
        <x:v>50.2</x:v>
      </x:c>
      <x:c r="I1900" s="8" t="str">
        <x:f>B1900&amp;" / "&amp;C1900&amp;" / "&amp;E1900</x:f>
        <x:v>5513 / 2025 / RAINBOW TROUT</x:v>
      </x:c>
    </x:row>
    <x:row r="1901" ht="23" customHeight="1">
      <x:c r="A1901" s="8" t="str">
        <x:v>Mami Lake</x:v>
      </x:c>
      <x:c r="B1901" s="8" t="str">
        <x:v>5513</x:v>
      </x:c>
      <x:c r="C1901" s="17" t="n">
        <x:v>2025</x:v>
      </x:c>
      <x:c r="D1901" s="18" t="n">
        <x:v>45935</x:v>
      </x:c>
      <x:c r="E1901" s="8" t="str">
        <x:v>RAINBOW TROUT</x:v>
      </x:c>
      <x:c r="F1901" s="13" t="n">
        <x:v>2207</x:v>
      </x:c>
      <x:c r="G1901" s="9" t="n">
        <x:v>20.1</x:v>
      </x:c>
      <x:c r="H1901" s="9" t="n">
        <x:v>87.4</x:v>
      </x:c>
      <x:c r="I1901" s="8" t="str">
        <x:f>B1901&amp;" / "&amp;C1901&amp;" / "&amp;E1901</x:f>
        <x:v>5513 / 2025 / RAINBOW TROUT</x:v>
      </x:c>
    </x:row>
    <x:row r="1902" ht="23" customHeight="1">
      <x:c r="A1902" s="8" t="str">
        <x:v>Mami Lake</x:v>
      </x:c>
      <x:c r="B1902" s="8" t="str">
        <x:v>5513</x:v>
      </x:c>
      <x:c r="C1902" s="17" t="n">
        <x:v>2025</x:v>
      </x:c>
      <x:c r="D1902" s="18" t="n">
        <x:v>45935</x:v>
      </x:c>
      <x:c r="E1902" s="8" t="str">
        <x:v>RAINBOW TROUT</x:v>
      </x:c>
      <x:c r="F1902" s="13" t="n">
        <x:v>20137</x:v>
      </x:c>
      <x:c r="G1902" s="9" t="n">
        <x:v>16.9</x:v>
      </x:c>
      <x:c r="H1902" s="9" t="n">
        <x:v>49.3</x:v>
      </x:c>
      <x:c r="I1902" s="8" t="str">
        <x:f>B1902&amp;" / "&amp;C1902&amp;" / "&amp;E1902</x:f>
        <x:v>5513 / 2025 / RAINBOW TROUT</x:v>
      </x:c>
    </x:row>
    <x:row r="1903" ht="23" customHeight="1">
      <x:c r="A1903" s="8" t="str">
        <x:v>Mami Lake</x:v>
      </x:c>
      <x:c r="B1903" s="8" t="str">
        <x:v>5513</x:v>
      </x:c>
      <x:c r="C1903" s="17" t="n">
        <x:v>2025</x:v>
      </x:c>
      <x:c r="D1903" s="18" t="n">
        <x:v>45935</x:v>
      </x:c>
      <x:c r="E1903" s="8" t="str">
        <x:v>RAINBOW TROUT</x:v>
      </x:c>
      <x:c r="F1903" s="13" t="n">
        <x:v>12465</x:v>
      </x:c>
      <x:c r="G1903" s="9" t="n">
        <x:v>20.1</x:v>
      </x:c>
      <x:c r="H1903" s="9" t="n">
        <x:v>87.4</x:v>
      </x:c>
      <x:c r="I1903" s="8" t="str">
        <x:f>B1903&amp;" / "&amp;C1903&amp;" / "&amp;E1903</x:f>
        <x:v>5513 / 2025 / RAINBOW TROUT</x:v>
      </x:c>
    </x:row>
    <x:row r="1904" ht="23" customHeight="1">
      <x:c r="A1904" s="8" t="str">
        <x:v>Mami Lake</x:v>
      </x:c>
      <x:c r="B1904" s="8" t="str">
        <x:v>5513</x:v>
      </x:c>
      <x:c r="C1904" s="17" t="n">
        <x:v>2025</x:v>
      </x:c>
      <x:c r="D1904" s="18" t="n">
        <x:v>45921</x:v>
      </x:c>
      <x:c r="E1904" s="8" t="str">
        <x:v>RAINBOW TROUT</x:v>
      </x:c>
      <x:c r="F1904" s="13" t="n">
        <x:v>8362</x:v>
      </x:c>
      <x:c r="G1904" s="9" t="n">
        <x:v>7.9</x:v>
      </x:c>
      <x:c r="H1904" s="9" t="n">
        <x:v>6.2</x:v>
      </x:c>
      <x:c r="I1904" s="8" t="str">
        <x:f>B1904&amp;" / "&amp;C1904&amp;" / "&amp;E1904</x:f>
        <x:v>5513 / 2025 / RAINBOW TROUT</x:v>
      </x:c>
    </x:row>
    <x:row r="1905" ht="23" customHeight="1">
      <x:c r="A1905" s="8" t="str">
        <x:v>Mami Lake</x:v>
      </x:c>
      <x:c r="B1905" s="8" t="str">
        <x:v>5513</x:v>
      </x:c>
      <x:c r="C1905" s="17" t="n">
        <x:v>2025</x:v>
      </x:c>
      <x:c r="D1905" s="18" t="n">
        <x:v>45921</x:v>
      </x:c>
      <x:c r="E1905" s="8" t="str">
        <x:v>RAINBOW TROUT</x:v>
      </x:c>
      <x:c r="F1905" s="13" t="n">
        <x:v>10190</x:v>
      </x:c>
      <x:c r="G1905" s="9" t="n">
        <x:v>16.5</x:v>
      </x:c>
      <x:c r="H1905" s="9" t="n">
        <x:v>62.4</x:v>
      </x:c>
      <x:c r="I1905" s="8" t="str">
        <x:f>B1905&amp;" / "&amp;C1905&amp;" / "&amp;E1905</x:f>
        <x:v>5513 / 2025 / RAINBOW TROUT</x:v>
      </x:c>
    </x:row>
    <x:row r="1906" ht="23" customHeight="1">
      <x:c r="A1906" s="8" t="str">
        <x:v>Mami Lake</x:v>
      </x:c>
      <x:c r="B1906" s="8" t="str">
        <x:v>5513</x:v>
      </x:c>
      <x:c r="C1906" s="17" t="n">
        <x:v>2025</x:v>
      </x:c>
      <x:c r="D1906" s="18" t="n">
        <x:v>45921</x:v>
      </x:c>
      <x:c r="E1906" s="8" t="str">
        <x:v>RAINBOW TROUT</x:v>
      </x:c>
      <x:c r="F1906" s="13" t="n">
        <x:v>7371</x:v>
      </x:c>
      <x:c r="G1906" s="9" t="n">
        <x:v>19.8</x:v>
      </x:c>
      <x:c r="H1906" s="9" t="n">
        <x:v>86.9</x:v>
      </x:c>
      <x:c r="I1906" s="8" t="str">
        <x:f>B1906&amp;" / "&amp;C1906&amp;" / "&amp;E1906</x:f>
        <x:v>5513 / 2025 / RAINBOW TROUT</x:v>
      </x:c>
    </x:row>
    <x:row r="1907" ht="23" customHeight="1">
      <x:c r="A1907" s="8" t="str">
        <x:v>Mami Lake</x:v>
      </x:c>
      <x:c r="B1907" s="8" t="str">
        <x:v>5513</x:v>
      </x:c>
      <x:c r="C1907" s="17" t="n">
        <x:v>2025</x:v>
      </x:c>
      <x:c r="D1907" s="18" t="n">
        <x:v>45921</x:v>
      </x:c>
      <x:c r="E1907" s="8" t="str">
        <x:v>RAINBOW TROUT</x:v>
      </x:c>
      <x:c r="F1907" s="13" t="n">
        <x:v>9288</x:v>
      </x:c>
      <x:c r="G1907" s="9" t="n">
        <x:v>19.7</x:v>
      </x:c>
      <x:c r="H1907" s="9" t="n">
        <x:v>85.6</x:v>
      </x:c>
      <x:c r="I1907" s="8" t="str">
        <x:f>B1907&amp;" / "&amp;C1907&amp;" / "&amp;E1907</x:f>
        <x:v>5513 / 2025 / RAINBOW TROUT</x:v>
      </x:c>
    </x:row>
    <x:row r="1908" ht="23" customHeight="1">
      <x:c r="A1908" s="8" t="str">
        <x:v>Mami Lake</x:v>
      </x:c>
      <x:c r="B1908" s="8" t="str">
        <x:v>5513</x:v>
      </x:c>
      <x:c r="C1908" s="17" t="n">
        <x:v>2025</x:v>
      </x:c>
      <x:c r="D1908" s="18" t="n">
        <x:v>45921</x:v>
      </x:c>
      <x:c r="E1908" s="8" t="str">
        <x:v>RAINBOW TROUT</x:v>
      </x:c>
      <x:c r="F1908" s="13" t="n">
        <x:v>7419</x:v>
      </x:c>
      <x:c r="G1908" s="9" t="n">
        <x:v>19.7</x:v>
      </x:c>
      <x:c r="H1908" s="9" t="n">
        <x:v>85.6</x:v>
      </x:c>
      <x:c r="I1908" s="8" t="str">
        <x:f>B1908&amp;" / "&amp;C1908&amp;" / "&amp;E1908</x:f>
        <x:v>5513 / 2025 / RAINBOW TROUT</x:v>
      </x:c>
    </x:row>
    <x:row r="1909" ht="23" customHeight="1">
      <x:c r="A1909" s="8" t="str">
        <x:v>Mami Lake</x:v>
      </x:c>
      <x:c r="B1909" s="8" t="str">
        <x:v>5513</x:v>
      </x:c>
      <x:c r="C1909" s="17" t="n">
        <x:v>2025</x:v>
      </x:c>
      <x:c r="D1909" s="18" t="n">
        <x:v>45921</x:v>
      </x:c>
      <x:c r="E1909" s="8" t="str">
        <x:v>RAINBOW TROUT</x:v>
      </x:c>
      <x:c r="F1909" s="13" t="n">
        <x:v>7732</x:v>
      </x:c>
      <x:c r="G1909" s="9" t="n">
        <x:v>19.5</x:v>
      </x:c>
      <x:c r="H1909" s="9" t="n">
        <x:v>83</x:v>
      </x:c>
      <x:c r="I1909" s="8" t="str">
        <x:f>B1909&amp;" / "&amp;C1909&amp;" / "&amp;E1909</x:f>
        <x:v>5513 / 2025 / RAINBOW TROUT</x:v>
      </x:c>
    </x:row>
    <x:row r="1910" ht="23" customHeight="1">
      <x:c r="A1910" s="8" t="str">
        <x:v>Mami Lake</x:v>
      </x:c>
      <x:c r="B1910" s="8" t="str">
        <x:v>5513</x:v>
      </x:c>
      <x:c r="C1910" s="17" t="n">
        <x:v>2025</x:v>
      </x:c>
      <x:c r="D1910" s="18" t="n">
        <x:v>45915</x:v>
      </x:c>
      <x:c r="E1910" s="8" t="str">
        <x:v>RAINBOW TROUT</x:v>
      </x:c>
      <x:c r="F1910" s="13" t="n">
        <x:v>24718</x:v>
      </x:c>
      <x:c r="G1910" s="9" t="n">
        <x:v>20</x:v>
      </x:c>
      <x:c r="H1910" s="9" t="n">
        <x:v>87</x:v>
      </x:c>
      <x:c r="I1910" s="8" t="str">
        <x:f>B1910&amp;" / "&amp;C1910&amp;" / "&amp;E1910</x:f>
        <x:v>5513 / 2025 / RAINBOW TROUT</x:v>
      </x:c>
    </x:row>
    <x:row r="1911" ht="23" customHeight="1">
      <x:c r="A1911" s="8" t="str">
        <x:v>Mami Lake</x:v>
      </x:c>
      <x:c r="B1911" s="8" t="str">
        <x:v>5513</x:v>
      </x:c>
      <x:c r="C1911" s="17" t="n">
        <x:v>2025</x:v>
      </x:c>
      <x:c r="D1911" s="18" t="n">
        <x:v>45785</x:v>
      </x:c>
      <x:c r="E1911" s="8" t="str">
        <x:v>RAINBOW TROUT</x:v>
      </x:c>
      <x:c r="F1911" s="13" t="n">
        <x:v>25033</x:v>
      </x:c>
      <x:c r="G1911" s="9" t="n">
        <x:v>15.7</x:v>
      </x:c>
      <x:c r="H1911" s="9" t="n">
        <x:v>38.8</x:v>
      </x:c>
      <x:c r="I1911" s="8" t="str">
        <x:f>B1911&amp;" / "&amp;C1911&amp;" / "&amp;E1911</x:f>
        <x:v>5513 / 2025 / RAINBOW TROUT</x:v>
      </x:c>
    </x:row>
    <x:row r="1912" ht="23" customHeight="1">
      <x:c r="A1912" s="8" t="str">
        <x:v>Mami Lake</x:v>
      </x:c>
      <x:c r="B1912" s="8" t="str">
        <x:v>5513</x:v>
      </x:c>
      <x:c r="C1912" s="17" t="n">
        <x:v>2025</x:v>
      </x:c>
      <x:c r="D1912" s="18" t="n">
        <x:v>45768</x:v>
      </x:c>
      <x:c r="E1912" s="8" t="str">
        <x:v>RAINBOW TROUT</x:v>
      </x:c>
      <x:c r="F1912" s="13" t="n">
        <x:v>32000</x:v>
      </x:c>
      <x:c r="G1912" s="9" t="n">
        <x:v>15.9</x:v>
      </x:c>
      <x:c r="H1912" s="9" t="n">
        <x:v>44.2</x:v>
      </x:c>
      <x:c r="I1912" s="8" t="str">
        <x:f>B1912&amp;" / "&amp;C1912&amp;" / "&amp;E1912</x:f>
        <x:v>5513 / 2025 / RAINBOW TROUT</x:v>
      </x:c>
    </x:row>
    <x:row r="1913" ht="23" customHeight="1">
      <x:c r="A1913" s="8" t="str">
        <x:v>Mami Lake</x:v>
      </x:c>
      <x:c r="B1913" s="8" t="str">
        <x:v>5513</x:v>
      </x:c>
      <x:c r="C1913" s="17" t="n">
        <x:v>2025</x:v>
      </x:c>
      <x:c r="D1913" s="18" t="n">
        <x:v>45761</x:v>
      </x:c>
      <x:c r="E1913" s="8" t="str">
        <x:v>RAINBOW TROUT</x:v>
      </x:c>
      <x:c r="F1913" s="13" t="n">
        <x:v>63037</x:v>
      </x:c>
      <x:c r="G1913" s="9" t="n">
        <x:v>11.2</x:v>
      </x:c>
      <x:c r="H1913" s="9" t="n">
        <x:v>15</x:v>
      </x:c>
      <x:c r="I1913" s="8" t="str">
        <x:f>B1913&amp;" / "&amp;C1913&amp;" / "&amp;E1913</x:f>
        <x:v>5513 / 2025 / RAINBOW TROUT</x:v>
      </x:c>
    </x:row>
    <x:row r="1914" ht="23" customHeight="1">
      <x:c r="A1914" s="8" t="str">
        <x:v>Mami Lake</x:v>
      </x:c>
      <x:c r="B1914" s="8" t="str">
        <x:v>5513</x:v>
      </x:c>
      <x:c r="C1914" s="17" t="n">
        <x:v>2025</x:v>
      </x:c>
      <x:c r="D1914" s="18" t="n">
        <x:v>45761</x:v>
      </x:c>
      <x:c r="E1914" s="8" t="str">
        <x:v>RAINBOW TROUT</x:v>
      </x:c>
      <x:c r="F1914" s="13" t="n">
        <x:v>10913</x:v>
      </x:c>
      <x:c r="G1914" s="9" t="n">
        <x:v>20</x:v>
      </x:c>
      <x:c r="H1914" s="9" t="n">
        <x:v>86.4</x:v>
      </x:c>
      <x:c r="I1914" s="8" t="str">
        <x:f>B1914&amp;" / "&amp;C1914&amp;" / "&amp;E1914</x:f>
        <x:v>5513 / 2025 / RAINBOW TROUT</x:v>
      </x:c>
    </x:row>
    <x:row r="1915" ht="23" customHeight="1">
      <x:c r="A1915" s="8" t="str">
        <x:v>Mami Lake</x:v>
      </x:c>
      <x:c r="B1915" s="8" t="str">
        <x:v>5513</x:v>
      </x:c>
      <x:c r="C1915" s="17" t="n">
        <x:v>2025</x:v>
      </x:c>
      <x:c r="D1915" s="18" t="n">
        <x:v>45760</x:v>
      </x:c>
      <x:c r="E1915" s="8" t="str">
        <x:v>RAINBOW TROUT</x:v>
      </x:c>
      <x:c r="F1915" s="13" t="n">
        <x:v>2487</x:v>
      </x:c>
      <x:c r="G1915" s="9" t="n">
        <x:v>20</x:v>
      </x:c>
      <x:c r="H1915" s="9" t="n">
        <x:v>86.4</x:v>
      </x:c>
      <x:c r="I1915" s="8" t="str">
        <x:f>B1915&amp;" / "&amp;C1915&amp;" / "&amp;E1915</x:f>
        <x:v>5513 / 2025 / RAINBOW TROUT</x:v>
      </x:c>
    </x:row>
    <x:row r="1916" ht="23" customHeight="1">
      <x:c r="A1916" s="8" t="str">
        <x:v>Mami Lake</x:v>
      </x:c>
      <x:c r="B1916" s="8" t="str">
        <x:v>5513</x:v>
      </x:c>
      <x:c r="C1916" s="17" t="n">
        <x:v>2024</x:v>
      </x:c>
      <x:c r="D1916" s="18" t="n">
        <x:v>45580</x:v>
      </x:c>
      <x:c r="E1916" s="8" t="str">
        <x:v>RAINBOW TROUT</x:v>
      </x:c>
      <x:c r="F1916" s="13" t="n">
        <x:v>22054</x:v>
      </x:c>
      <x:c r="G1916" s="9" t="n">
        <x:v>14.5</x:v>
      </x:c>
      <x:c r="H1916" s="9" t="n">
        <x:v>33.1</x:v>
      </x:c>
      <x:c r="I1916" s="8" t="str">
        <x:f>B1916&amp;" / "&amp;C1916&amp;" / "&amp;E1916</x:f>
        <x:v>5513 / 2024 / RAINBOW TROUT</x:v>
      </x:c>
    </x:row>
    <x:row r="1917" ht="23" customHeight="1">
      <x:c r="A1917" s="8" t="str">
        <x:v>Mami Lake</x:v>
      </x:c>
      <x:c r="B1917" s="8" t="str">
        <x:v>5513</x:v>
      </x:c>
      <x:c r="C1917" s="17" t="n">
        <x:v>2024</x:v>
      </x:c>
      <x:c r="D1917" s="18" t="n">
        <x:v>45573</x:v>
      </x:c>
      <x:c r="E1917" s="8" t="str">
        <x:v>RAINBOW TROUT</x:v>
      </x:c>
      <x:c r="F1917" s="13" t="n">
        <x:v>25118</x:v>
      </x:c>
      <x:c r="G1917" s="9" t="n">
        <x:v>13.6</x:v>
      </x:c>
      <x:c r="H1917" s="9" t="n">
        <x:v>36.3</x:v>
      </x:c>
      <x:c r="I1917" s="8" t="str">
        <x:f>B1917&amp;" / "&amp;C1917&amp;" / "&amp;E1917</x:f>
        <x:v>5513 / 2024 / RAINBOW TROUT</x:v>
      </x:c>
    </x:row>
    <x:row r="1918" ht="23" customHeight="1">
      <x:c r="A1918" s="8" t="str">
        <x:v>Mami Lake</x:v>
      </x:c>
      <x:c r="B1918" s="8" t="str">
        <x:v>5513</x:v>
      </x:c>
      <x:c r="C1918" s="17" t="n">
        <x:v>2024</x:v>
      </x:c>
      <x:c r="D1918" s="18" t="n">
        <x:v>45569</x:v>
      </x:c>
      <x:c r="E1918" s="8" t="str">
        <x:v>RAINBOW TROUT</x:v>
      </x:c>
      <x:c r="F1918" s="13" t="n">
        <x:v>15981</x:v>
      </x:c>
      <x:c r="G1918" s="9" t="n">
        <x:v>6.4</x:v>
      </x:c>
      <x:c r="H1918" s="9" t="n">
        <x:v>2.8</x:v>
      </x:c>
      <x:c r="I1918" s="8" t="str">
        <x:f>B1918&amp;" / "&amp;C1918&amp;" / "&amp;E1918</x:f>
        <x:v>5513 / 2024 / RAINBOW TROUT</x:v>
      </x:c>
    </x:row>
    <x:row r="1919" ht="23" customHeight="1">
      <x:c r="A1919" s="8" t="str">
        <x:v>Mami Lake</x:v>
      </x:c>
      <x:c r="B1919" s="8" t="str">
        <x:v>5513</x:v>
      </x:c>
      <x:c r="C1919" s="17" t="n">
        <x:v>2024</x:v>
      </x:c>
      <x:c r="D1919" s="18" t="n">
        <x:v>45559</x:v>
      </x:c>
      <x:c r="E1919" s="8" t="str">
        <x:v>RAINBOW TROUT</x:v>
      </x:c>
      <x:c r="F1919" s="13" t="n">
        <x:v>20067</x:v>
      </x:c>
      <x:c r="G1919" s="9" t="n">
        <x:v>16.3</x:v>
      </x:c>
      <x:c r="H1919" s="9" t="n">
        <x:v>46.8</x:v>
      </x:c>
      <x:c r="I1919" s="8" t="str">
        <x:f>B1919&amp;" / "&amp;C1919&amp;" / "&amp;E1919</x:f>
        <x:v>5513 / 2024 / RAINBOW TROUT</x:v>
      </x:c>
    </x:row>
    <x:row r="1920" ht="23" customHeight="1">
      <x:c r="A1920" s="8" t="str">
        <x:v>Mami Lake</x:v>
      </x:c>
      <x:c r="B1920" s="8" t="str">
        <x:v>5513</x:v>
      </x:c>
      <x:c r="C1920" s="17" t="n">
        <x:v>2024</x:v>
      </x:c>
      <x:c r="D1920" s="18" t="n">
        <x:v>45558</x:v>
      </x:c>
      <x:c r="E1920" s="8" t="str">
        <x:v>RAINBOW TROUT</x:v>
      </x:c>
      <x:c r="F1920" s="13" t="n">
        <x:v>19905</x:v>
      </x:c>
      <x:c r="G1920" s="9" t="n">
        <x:v>16.2</x:v>
      </x:c>
      <x:c r="H1920" s="9" t="n">
        <x:v>46.2</x:v>
      </x:c>
      <x:c r="I1920" s="8" t="str">
        <x:f>B1920&amp;" / "&amp;C1920&amp;" / "&amp;E1920</x:f>
        <x:v>5513 / 2024 / RAINBOW TROUT</x:v>
      </x:c>
    </x:row>
    <x:row r="1921" ht="23" customHeight="1">
      <x:c r="A1921" s="8" t="str">
        <x:v>Mami Lake</x:v>
      </x:c>
      <x:c r="B1921" s="8" t="str">
        <x:v>5513</x:v>
      </x:c>
      <x:c r="C1921" s="17" t="n">
        <x:v>2024</x:v>
      </x:c>
      <x:c r="D1921" s="18" t="n">
        <x:v>45555</x:v>
      </x:c>
      <x:c r="E1921" s="8" t="str">
        <x:v>RAINBOW TROUT</x:v>
      </x:c>
      <x:c r="F1921" s="13" t="n">
        <x:v>14610</x:v>
      </x:c>
      <x:c r="G1921" s="9" t="n">
        <x:v>5.5</x:v>
      </x:c>
      <x:c r="H1921" s="9" t="n">
        <x:v>1.8</x:v>
      </x:c>
      <x:c r="I1921" s="8" t="str">
        <x:f>B1921&amp;" / "&amp;C1921&amp;" / "&amp;E1921</x:f>
        <x:v>5513 / 2024 / RAINBOW TROUT</x:v>
      </x:c>
    </x:row>
    <x:row r="1922" ht="23" customHeight="1">
      <x:c r="A1922" s="8" t="str">
        <x:v>Mami Lake</x:v>
      </x:c>
      <x:c r="B1922" s="8" t="str">
        <x:v>5513</x:v>
      </x:c>
      <x:c r="C1922" s="17" t="n">
        <x:v>2024</x:v>
      </x:c>
      <x:c r="D1922" s="18" t="n">
        <x:v>45435</x:v>
      </x:c>
      <x:c r="E1922" s="8" t="str">
        <x:v>RAINBOW TROUT</x:v>
      </x:c>
      <x:c r="F1922" s="13" t="n">
        <x:v>28358</x:v>
      </x:c>
      <x:c r="G1922" s="9" t="n">
        <x:v>14.1</x:v>
      </x:c>
      <x:c r="H1922" s="9" t="n">
        <x:v>30.9</x:v>
      </x:c>
      <x:c r="I1922" s="8" t="str">
        <x:f>B1922&amp;" / "&amp;C1922&amp;" / "&amp;E1922</x:f>
        <x:v>5513 / 2024 / RAINBOW TROUT</x:v>
      </x:c>
    </x:row>
    <x:row r="1923" ht="23" customHeight="1">
      <x:c r="A1923" s="8" t="str">
        <x:v>Mami Lake</x:v>
      </x:c>
      <x:c r="B1923" s="8" t="str">
        <x:v>5513</x:v>
      </x:c>
      <x:c r="C1923" s="17" t="n">
        <x:v>2024</x:v>
      </x:c>
      <x:c r="D1923" s="18" t="n">
        <x:v>45435</x:v>
      </x:c>
      <x:c r="E1923" s="8" t="str">
        <x:v>RAINBOW TROUT</x:v>
      </x:c>
      <x:c r="F1923" s="13" t="n">
        <x:v>27644</x:v>
      </x:c>
      <x:c r="G1923" s="9" t="n">
        <x:v>14.1</x:v>
      </x:c>
      <x:c r="H1923" s="9" t="n">
        <x:v>31.3</x:v>
      </x:c>
      <x:c r="I1923" s="8" t="str">
        <x:f>B1923&amp;" / "&amp;C1923&amp;" / "&amp;E1923</x:f>
        <x:v>5513 / 2024 / RAINBOW TROUT</x:v>
      </x:c>
    </x:row>
    <x:row r="1924" ht="23" customHeight="1">
      <x:c r="A1924" s="8" t="str">
        <x:v>Mami Lake</x:v>
      </x:c>
      <x:c r="B1924" s="8" t="str">
        <x:v>5513</x:v>
      </x:c>
      <x:c r="C1924" s="17" t="n">
        <x:v>2024</x:v>
      </x:c>
      <x:c r="D1924" s="18" t="n">
        <x:v>45411</x:v>
      </x:c>
      <x:c r="E1924" s="8" t="str">
        <x:v>RAINBOW TROUT</x:v>
      </x:c>
      <x:c r="F1924" s="13" t="n">
        <x:v>54000</x:v>
      </x:c>
      <x:c r="G1924" s="9" t="n">
        <x:v>12.2</x:v>
      </x:c>
      <x:c r="H1924" s="9" t="n">
        <x:v>20.3</x:v>
      </x:c>
      <x:c r="I1924" s="8" t="str">
        <x:f>B1924&amp;" / "&amp;C1924&amp;" / "&amp;E1924</x:f>
        <x:v>5513 / 2024 / RAINBOW TROUT</x:v>
      </x:c>
    </x:row>
    <x:row r="1925" ht="23" customHeight="1">
      <x:c r="A1925" s="8" t="str">
        <x:v>Mami Lake</x:v>
      </x:c>
      <x:c r="B1925" s="8" t="str">
        <x:v>5513</x:v>
      </x:c>
      <x:c r="C1925" s="17" t="n">
        <x:v>2024</x:v>
      </x:c>
      <x:c r="D1925" s="18" t="n">
        <x:v>45393</x:v>
      </x:c>
      <x:c r="E1925" s="8" t="str">
        <x:v>RAINBOW TROUT</x:v>
      </x:c>
      <x:c r="F1925" s="13" t="n">
        <x:v>15000</x:v>
      </x:c>
      <x:c r="G1925" s="9" t="n">
        <x:v>19.8</x:v>
      </x:c>
      <x:c r="H1925" s="9" t="n">
        <x:v>84.4</x:v>
      </x:c>
      <x:c r="I1925" s="8" t="str">
        <x:f>B1925&amp;" / "&amp;C1925&amp;" / "&amp;E1925</x:f>
        <x:v>5513 / 2024 / RAINBOW TROUT</x:v>
      </x:c>
    </x:row>
    <x:row r="1926" ht="23" customHeight="1">
      <x:c r="A1926" s="8" t="str">
        <x:v>Mami Lake</x:v>
      </x:c>
      <x:c r="B1926" s="8" t="str">
        <x:v>5513</x:v>
      </x:c>
      <x:c r="C1926" s="17" t="n">
        <x:v>2023</x:v>
      </x:c>
      <x:c r="D1926" s="18" t="n">
        <x:v>45195</x:v>
      </x:c>
      <x:c r="E1926" s="8" t="str">
        <x:v>RAINBOW TROUT</x:v>
      </x:c>
      <x:c r="F1926" s="13" t="n">
        <x:v>20000</x:v>
      </x:c>
      <x:c r="G1926" s="9" t="n">
        <x:v>15.8</x:v>
      </x:c>
      <x:c r="H1926" s="9" t="n">
        <x:v>47.1</x:v>
      </x:c>
      <x:c r="I1926" s="8" t="str">
        <x:f>B1926&amp;" / "&amp;C1926&amp;" / "&amp;E1926</x:f>
        <x:v>5513 / 2023 / RAINBOW TROUT</x:v>
      </x:c>
    </x:row>
    <x:row r="1927" ht="23" customHeight="1">
      <x:c r="A1927" s="8" t="str">
        <x:v>Mami Lake</x:v>
      </x:c>
      <x:c r="B1927" s="8" t="str">
        <x:v>5513</x:v>
      </x:c>
      <x:c r="C1927" s="17" t="n">
        <x:v>2023</x:v>
      </x:c>
      <x:c r="D1927" s="18" t="n">
        <x:v>45191</x:v>
      </x:c>
      <x:c r="E1927" s="8" t="str">
        <x:v>RAINBOW TROUT</x:v>
      </x:c>
      <x:c r="F1927" s="13" t="n">
        <x:v>2603</x:v>
      </x:c>
      <x:c r="G1927" s="9" t="n">
        <x:v>24.8</x:v>
      </x:c>
      <x:c r="H1927" s="9" t="n">
        <x:v>164.1</x:v>
      </x:c>
      <x:c r="I1927" s="8" t="str">
        <x:f>B1927&amp;" / "&amp;C1927&amp;" / "&amp;E1927</x:f>
        <x:v>5513 / 2023 / RAINBOW TROUT</x:v>
      </x:c>
    </x:row>
    <x:row r="1928" ht="23" customHeight="1">
      <x:c r="A1928" s="8" t="str">
        <x:v>Mami Lake</x:v>
      </x:c>
      <x:c r="B1928" s="8" t="str">
        <x:v>5513</x:v>
      </x:c>
      <x:c r="C1928" s="17" t="n">
        <x:v>2023</x:v>
      </x:c>
      <x:c r="D1928" s="18" t="n">
        <x:v>45191</x:v>
      </x:c>
      <x:c r="E1928" s="8" t="str">
        <x:v>RAINBOW TROUT</x:v>
      </x:c>
      <x:c r="F1928" s="13" t="n">
        <x:v>2930</x:v>
      </x:c>
      <x:c r="G1928" s="9" t="n">
        <x:v>20.5</x:v>
      </x:c>
      <x:c r="H1928" s="9" t="n">
        <x:v>92.9</x:v>
      </x:c>
      <x:c r="I1928" s="8" t="str">
        <x:f>B1928&amp;" / "&amp;C1928&amp;" / "&amp;E1928</x:f>
        <x:v>5513 / 2023 / RAINBOW TROUT</x:v>
      </x:c>
    </x:row>
    <x:row r="1929" ht="23" customHeight="1">
      <x:c r="A1929" s="8" t="str">
        <x:v>Mami Lake</x:v>
      </x:c>
      <x:c r="B1929" s="8" t="str">
        <x:v>5513</x:v>
      </x:c>
      <x:c r="C1929" s="17" t="n">
        <x:v>2023</x:v>
      </x:c>
      <x:c r="D1929" s="18" t="n">
        <x:v>45190</x:v>
      </x:c>
      <x:c r="E1929" s="8" t="str">
        <x:v>RAINBOW TROUT</x:v>
      </x:c>
      <x:c r="F1929" s="13" t="n">
        <x:v>6439</x:v>
      </x:c>
      <x:c r="G1929" s="9" t="n">
        <x:v>20.5</x:v>
      </x:c>
      <x:c r="H1929" s="9" t="n">
        <x:v>93.2</x:v>
      </x:c>
      <x:c r="I1929" s="8" t="str">
        <x:f>B1929&amp;" / "&amp;C1929&amp;" / "&amp;E1929</x:f>
        <x:v>5513 / 2023 / RAINBOW TROUT</x:v>
      </x:c>
    </x:row>
    <x:row r="1930" ht="23" customHeight="1">
      <x:c r="A1930" s="8" t="str">
        <x:v>Mami Lake</x:v>
      </x:c>
      <x:c r="B1930" s="8" t="str">
        <x:v>5513</x:v>
      </x:c>
      <x:c r="C1930" s="17" t="n">
        <x:v>2023</x:v>
      </x:c>
      <x:c r="D1930" s="18" t="n">
        <x:v>45190</x:v>
      </x:c>
      <x:c r="E1930" s="8" t="str">
        <x:v>RAINBOW TROUT</x:v>
      </x:c>
      <x:c r="F1930" s="13" t="n">
        <x:v>11148</x:v>
      </x:c>
      <x:c r="G1930" s="9" t="n">
        <x:v>15.5</x:v>
      </x:c>
      <x:c r="H1930" s="9" t="n">
        <x:v>40.1</x:v>
      </x:c>
      <x:c r="I1930" s="8" t="str">
        <x:f>B1930&amp;" / "&amp;C1930&amp;" / "&amp;E1930</x:f>
        <x:v>5513 / 2023 / RAINBOW TROUT</x:v>
      </x:c>
    </x:row>
    <x:row r="1931" ht="23" customHeight="1">
      <x:c r="A1931" s="8" t="str">
        <x:v>Mami Lake</x:v>
      </x:c>
      <x:c r="B1931" s="8" t="str">
        <x:v>5513</x:v>
      </x:c>
      <x:c r="C1931" s="17" t="n">
        <x:v>2023</x:v>
      </x:c>
      <x:c r="D1931" s="18" t="n">
        <x:v>45190</x:v>
      </x:c>
      <x:c r="E1931" s="8" t="str">
        <x:v>RAINBOW TROUT</x:v>
      </x:c>
      <x:c r="F1931" s="13" t="n">
        <x:v>16773</x:v>
      </x:c>
      <x:c r="G1931" s="9" t="n">
        <x:v>15.5</x:v>
      </x:c>
      <x:c r="H1931" s="9" t="n">
        <x:v>40.1</x:v>
      </x:c>
      <x:c r="I1931" s="8" t="str">
        <x:f>B1931&amp;" / "&amp;C1931&amp;" / "&amp;E1931</x:f>
        <x:v>5513 / 2023 / RAINBOW TROUT</x:v>
      </x:c>
    </x:row>
    <x:row r="1932" ht="23" customHeight="1">
      <x:c r="A1932" s="8" t="str">
        <x:v>Mami Lake</x:v>
      </x:c>
      <x:c r="B1932" s="8" t="str">
        <x:v>5513</x:v>
      </x:c>
      <x:c r="C1932" s="17" t="n">
        <x:v>2023</x:v>
      </x:c>
      <x:c r="D1932" s="18" t="n">
        <x:v>45189</x:v>
      </x:c>
      <x:c r="E1932" s="8" t="str">
        <x:v>RAINBOW TROUT</x:v>
      </x:c>
      <x:c r="F1932" s="13" t="n">
        <x:v>3155</x:v>
      </x:c>
      <x:c r="G1932" s="9" t="n">
        <x:v>15.5</x:v>
      </x:c>
      <x:c r="H1932" s="9" t="n">
        <x:v>40.1</x:v>
      </x:c>
      <x:c r="I1932" s="8" t="str">
        <x:f>B1932&amp;" / "&amp;C1932&amp;" / "&amp;E1932</x:f>
        <x:v>5513 / 2023 / RAINBOW TROUT</x:v>
      </x:c>
    </x:row>
    <x:row r="1933" ht="23" customHeight="1">
      <x:c r="A1933" s="8" t="str">
        <x:v>Mami Lake</x:v>
      </x:c>
      <x:c r="B1933" s="8" t="str">
        <x:v>5513</x:v>
      </x:c>
      <x:c r="C1933" s="17" t="n">
        <x:v>2023</x:v>
      </x:c>
      <x:c r="D1933" s="18" t="n">
        <x:v>45189</x:v>
      </x:c>
      <x:c r="E1933" s="8" t="str">
        <x:v>RAINBOW TROUT</x:v>
      </x:c>
      <x:c r="F1933" s="13" t="n">
        <x:v>22350</x:v>
      </x:c>
      <x:c r="G1933" s="9" t="n">
        <x:v>15.5</x:v>
      </x:c>
      <x:c r="H1933" s="9" t="n">
        <x:v>27.9</x:v>
      </x:c>
      <x:c r="I1933" s="8" t="str">
        <x:f>B1933&amp;" / "&amp;C1933&amp;" / "&amp;E1933</x:f>
        <x:v>5513 / 2023 / RAINBOW TROUT</x:v>
      </x:c>
    </x:row>
    <x:row r="1934" ht="23" customHeight="1">
      <x:c r="A1934" s="8" t="str">
        <x:v>Mami Lake</x:v>
      </x:c>
      <x:c r="B1934" s="8" t="str">
        <x:v>5513</x:v>
      </x:c>
      <x:c r="C1934" s="17" t="n">
        <x:v>2023</x:v>
      </x:c>
      <x:c r="D1934" s="18" t="n">
        <x:v>45083</x:v>
      </x:c>
      <x:c r="E1934" s="8" t="str">
        <x:v>RAINBOW TROUT</x:v>
      </x:c>
      <x:c r="F1934" s="13" t="n">
        <x:v>5000</x:v>
      </x:c>
      <x:c r="G1934" s="9" t="n">
        <x:v>15.6</x:v>
      </x:c>
      <x:c r="H1934" s="9" t="n">
        <x:v>41.1</x:v>
      </x:c>
      <x:c r="I1934" s="8" t="str">
        <x:f>B1934&amp;" / "&amp;C1934&amp;" / "&amp;E1934</x:f>
        <x:v>5513 / 2023 / RAINBOW TROUT</x:v>
      </x:c>
    </x:row>
    <x:row r="1935" ht="23" customHeight="1">
      <x:c r="A1935" s="8" t="str">
        <x:v>Mami Lake</x:v>
      </x:c>
      <x:c r="B1935" s="8" t="str">
        <x:v>5513</x:v>
      </x:c>
      <x:c r="C1935" s="17" t="n">
        <x:v>2023</x:v>
      </x:c>
      <x:c r="D1935" s="18" t="n">
        <x:v>45083</x:v>
      </x:c>
      <x:c r="E1935" s="8" t="str">
        <x:v>RAINBOW TROUT</x:v>
      </x:c>
      <x:c r="F1935" s="13" t="n">
        <x:v>20000</x:v>
      </x:c>
      <x:c r="G1935" s="9" t="n">
        <x:v>13.1</x:v>
      </x:c>
      <x:c r="H1935" s="9" t="n">
        <x:v>24.1</x:v>
      </x:c>
      <x:c r="I1935" s="8" t="str">
        <x:f>B1935&amp;" / "&amp;C1935&amp;" / "&amp;E1935</x:f>
        <x:v>5513 / 2023 / RAINBOW TROUT</x:v>
      </x:c>
    </x:row>
    <x:row r="1936" ht="23" customHeight="1">
      <x:c r="A1936" s="8" t="str">
        <x:v>Mami Lake</x:v>
      </x:c>
      <x:c r="B1936" s="8" t="str">
        <x:v>5513</x:v>
      </x:c>
      <x:c r="C1936" s="17" t="n">
        <x:v>2023</x:v>
      </x:c>
      <x:c r="D1936" s="18" t="n">
        <x:v>45047</x:v>
      </x:c>
      <x:c r="E1936" s="8" t="str">
        <x:v>RAINBOW TROUT</x:v>
      </x:c>
      <x:c r="F1936" s="13" t="n">
        <x:v>90309</x:v>
      </x:c>
      <x:c r="G1936" s="9" t="n">
        <x:v>9.4</x:v>
      </x:c>
      <x:c r="H1936" s="9" t="n">
        <x:v>9.3</x:v>
      </x:c>
      <x:c r="I1936" s="8" t="str">
        <x:f>B1936&amp;" / "&amp;C1936&amp;" / "&amp;E1936</x:f>
        <x:v>5513 / 2023 / RAINBOW TROUT</x:v>
      </x:c>
    </x:row>
    <x:row r="1937" ht="23" customHeight="1">
      <x:c r="A1937" s="8" t="str">
        <x:v>Mami Lake</x:v>
      </x:c>
      <x:c r="B1937" s="8" t="str">
        <x:v>5513</x:v>
      </x:c>
      <x:c r="C1937" s="17" t="n">
        <x:v>2023</x:v>
      </x:c>
      <x:c r="D1937" s="18" t="n">
        <x:v>45040</x:v>
      </x:c>
      <x:c r="E1937" s="8" t="str">
        <x:v>RAINBOW TROUT</x:v>
      </x:c>
      <x:c r="F1937" s="13" t="n">
        <x:v>14220</x:v>
      </x:c>
      <x:c r="G1937" s="9" t="n">
        <x:v>17.3</x:v>
      </x:c>
      <x:c r="H1937" s="9" t="n">
        <x:v>57.4</x:v>
      </x:c>
      <x:c r="I1937" s="8" t="str">
        <x:f>B1937&amp;" / "&amp;C1937&amp;" / "&amp;E1937</x:f>
        <x:v>5513 / 2023 / RAINBOW TROUT</x:v>
      </x:c>
    </x:row>
    <x:row r="1938" ht="23" customHeight="1">
      <x:c r="A1938" s="8" t="str">
        <x:v>Mami Lake</x:v>
      </x:c>
      <x:c r="B1938" s="8" t="str">
        <x:v>5513</x:v>
      </x:c>
      <x:c r="C1938" s="17" t="n">
        <x:v>2023</x:v>
      </x:c>
      <x:c r="D1938" s="18" t="n">
        <x:v>45040</x:v>
      </x:c>
      <x:c r="E1938" s="8" t="str">
        <x:v>RAINBOW TROUT</x:v>
      </x:c>
      <x:c r="F1938" s="13" t="n">
        <x:v>581</x:v>
      </x:c>
      <x:c r="G1938" s="9" t="n">
        <x:v>20</x:v>
      </x:c>
      <x:c r="H1938" s="9" t="n">
        <x:v>89.1</x:v>
      </x:c>
      <x:c r="I1938" s="8" t="str">
        <x:f>B1938&amp;" / "&amp;C1938&amp;" / "&amp;E1938</x:f>
        <x:v>5513 / 2023 / RAINBOW TROUT</x:v>
      </x:c>
    </x:row>
    <x:row r="1939" ht="23" customHeight="1">
      <x:c r="A1939" s="8" t="str">
        <x:v>Mami Lake</x:v>
      </x:c>
      <x:c r="B1939" s="8" t="str">
        <x:v>5513</x:v>
      </x:c>
      <x:c r="C1939" s="17" t="n">
        <x:v>2023</x:v>
      </x:c>
      <x:c r="D1939" s="18" t="n">
        <x:v>45040</x:v>
      </x:c>
      <x:c r="E1939" s="8" t="str">
        <x:v>RAINBOW TROUT</x:v>
      </x:c>
      <x:c r="F1939" s="13" t="n">
        <x:v>8455</x:v>
      </x:c>
      <x:c r="G1939" s="9" t="n">
        <x:v>21.7</x:v>
      </x:c>
      <x:c r="H1939" s="9" t="n">
        <x:v>113.7</x:v>
      </x:c>
      <x:c r="I1939" s="8" t="str">
        <x:f>B1939&amp;" / "&amp;C1939&amp;" / "&amp;E1939</x:f>
        <x:v>5513 / 2023 / RAINBOW TROUT</x:v>
      </x:c>
    </x:row>
    <x:row r="1940" ht="23" customHeight="1">
      <x:c r="A1940" s="8" t="str">
        <x:v>Mami Lake</x:v>
      </x:c>
      <x:c r="B1940" s="8" t="str">
        <x:v>5513</x:v>
      </x:c>
      <x:c r="C1940" s="17" t="n">
        <x:v>2022</x:v>
      </x:c>
      <x:c r="D1940" s="18" t="n">
        <x:v>44831</x:v>
      </x:c>
      <x:c r="E1940" s="8" t="str">
        <x:v>RAINBOW TROUT</x:v>
      </x:c>
      <x:c r="F1940" s="13" t="n">
        <x:v>7999</x:v>
      </x:c>
      <x:c r="G1940" s="9" t="n">
        <x:v>16.1</x:v>
      </x:c>
      <x:c r="H1940" s="9" t="n">
        <x:v>42.7</x:v>
      </x:c>
      <x:c r="I1940" s="8" t="str">
        <x:f>B1940&amp;" / "&amp;C1940&amp;" / "&amp;E1940</x:f>
        <x:v>5513 / 2022 / RAINBOW TROUT</x:v>
      </x:c>
    </x:row>
    <x:row r="1941" ht="23" customHeight="1">
      <x:c r="A1941" s="8" t="str">
        <x:v>Mami Lake</x:v>
      </x:c>
      <x:c r="B1941" s="8" t="str">
        <x:v>5513</x:v>
      </x:c>
      <x:c r="C1941" s="17" t="n">
        <x:v>2022</x:v>
      </x:c>
      <x:c r="D1941" s="18" t="n">
        <x:v>44831</x:v>
      </x:c>
      <x:c r="E1941" s="8" t="str">
        <x:v>RAINBOW TROUT</x:v>
      </x:c>
      <x:c r="F1941" s="13" t="n">
        <x:v>2001</x:v>
      </x:c>
      <x:c r="G1941" s="9" t="n">
        <x:v>20.2</x:v>
      </x:c>
      <x:c r="H1941" s="9" t="n">
        <x:v>86.6</x:v>
      </x:c>
      <x:c r="I1941" s="8" t="str">
        <x:f>B1941&amp;" / "&amp;C1941&amp;" / "&amp;E1941</x:f>
        <x:v>5513 / 2022 / RAINBOW TROUT</x:v>
      </x:c>
    </x:row>
    <x:row r="1942" ht="23" customHeight="1">
      <x:c r="A1942" s="8" t="str">
        <x:v>Mami Lake</x:v>
      </x:c>
      <x:c r="B1942" s="8" t="str">
        <x:v>5513</x:v>
      </x:c>
      <x:c r="C1942" s="17" t="n">
        <x:v>2022</x:v>
      </x:c>
      <x:c r="D1942" s="18" t="n">
        <x:v>44824</x:v>
      </x:c>
      <x:c r="E1942" s="8" t="str">
        <x:v>RAINBOW TROUT</x:v>
      </x:c>
      <x:c r="F1942" s="13" t="n">
        <x:v>38000</x:v>
      </x:c>
      <x:c r="G1942" s="9" t="n">
        <x:v>14.2</x:v>
      </x:c>
      <x:c r="H1942" s="9" t="n">
        <x:v>31.6</x:v>
      </x:c>
      <x:c r="I1942" s="8" t="str">
        <x:f>B1942&amp;" / "&amp;C1942&amp;" / "&amp;E1942</x:f>
        <x:v>5513 / 2022 / RAINBOW TROUT</x:v>
      </x:c>
    </x:row>
    <x:row r="1943" ht="23" customHeight="1">
      <x:c r="A1943" s="8" t="str">
        <x:v>Mami Lake</x:v>
      </x:c>
      <x:c r="B1943" s="8" t="str">
        <x:v>5513</x:v>
      </x:c>
      <x:c r="C1943" s="17" t="n">
        <x:v>2022</x:v>
      </x:c>
      <x:c r="D1943" s="18" t="n">
        <x:v>44822</x:v>
      </x:c>
      <x:c r="E1943" s="8" t="str">
        <x:v>RAINBOW TROUT</x:v>
      </x:c>
      <x:c r="F1943" s="13" t="n">
        <x:v>5494</x:v>
      </x:c>
      <x:c r="G1943" s="9" t="n">
        <x:v>17.6</x:v>
      </x:c>
      <x:c r="H1943" s="9" t="n">
        <x:v>59.7</x:v>
      </x:c>
      <x:c r="I1943" s="8" t="str">
        <x:f>B1943&amp;" / "&amp;C1943&amp;" / "&amp;E1943</x:f>
        <x:v>5513 / 2022 / RAINBOW TROUT</x:v>
      </x:c>
    </x:row>
    <x:row r="1944" ht="23" customHeight="1">
      <x:c r="A1944" s="8" t="str">
        <x:v>Mami Lake</x:v>
      </x:c>
      <x:c r="B1944" s="8" t="str">
        <x:v>5513</x:v>
      </x:c>
      <x:c r="C1944" s="17" t="n">
        <x:v>2022</x:v>
      </x:c>
      <x:c r="D1944" s="18" t="n">
        <x:v>44815</x:v>
      </x:c>
      <x:c r="E1944" s="8" t="str">
        <x:v>RAINBOW TROUT</x:v>
      </x:c>
      <x:c r="F1944" s="13" t="n">
        <x:v>18506</x:v>
      </x:c>
      <x:c r="G1944" s="9" t="n">
        <x:v>17.5</x:v>
      </x:c>
      <x:c r="H1944" s="9" t="n">
        <x:v>58.2</x:v>
      </x:c>
      <x:c r="I1944" s="8" t="str">
        <x:f>B1944&amp;" / "&amp;C1944&amp;" / "&amp;E1944</x:f>
        <x:v>5513 / 2022 / RAINBOW TROUT</x:v>
      </x:c>
    </x:row>
    <x:row r="1945" ht="23" customHeight="1">
      <x:c r="A1945" s="8" t="str">
        <x:v>Mami Lake</x:v>
      </x:c>
      <x:c r="B1945" s="8" t="str">
        <x:v>5513</x:v>
      </x:c>
      <x:c r="C1945" s="17" t="n">
        <x:v>2022</x:v>
      </x:c>
      <x:c r="D1945" s="18" t="n">
        <x:v>44727</x:v>
      </x:c>
      <x:c r="E1945" s="8" t="str">
        <x:v>RAINBOW TROUT</x:v>
      </x:c>
      <x:c r="F1945" s="13" t="n">
        <x:v>3823</x:v>
      </x:c>
      <x:c r="G1945" s="9" t="n">
        <x:v>16.8</x:v>
      </x:c>
      <x:c r="H1945" s="9" t="n">
        <x:v>51.4</x:v>
      </x:c>
      <x:c r="I1945" s="8" t="str">
        <x:f>B1945&amp;" / "&amp;C1945&amp;" / "&amp;E1945</x:f>
        <x:v>5513 / 2022 / RAINBOW TROUT</x:v>
      </x:c>
    </x:row>
    <x:row r="1946" ht="23" customHeight="1">
      <x:c r="A1946" s="8" t="str">
        <x:v>Mami Lake</x:v>
      </x:c>
      <x:c r="B1946" s="8" t="str">
        <x:v>5513</x:v>
      </x:c>
      <x:c r="C1946" s="17" t="n">
        <x:v>2022</x:v>
      </x:c>
      <x:c r="D1946" s="18" t="n">
        <x:v>44727</x:v>
      </x:c>
      <x:c r="E1946" s="8" t="str">
        <x:v>RAINBOW TROUT</x:v>
      </x:c>
      <x:c r="F1946" s="13" t="n">
        <x:v>17799</x:v>
      </x:c>
      <x:c r="G1946" s="9" t="n">
        <x:v>14.8</x:v>
      </x:c>
      <x:c r="H1946" s="9" t="n">
        <x:v>35.3</x:v>
      </x:c>
      <x:c r="I1946" s="8" t="str">
        <x:f>B1946&amp;" / "&amp;C1946&amp;" / "&amp;E1946</x:f>
        <x:v>5513 / 2022 / RAINBOW TROUT</x:v>
      </x:c>
    </x:row>
    <x:row r="1947" ht="23" customHeight="1">
      <x:c r="A1947" s="8" t="str">
        <x:v>Mami Lake</x:v>
      </x:c>
      <x:c r="B1947" s="8" t="str">
        <x:v>5513</x:v>
      </x:c>
      <x:c r="C1947" s="17" t="n">
        <x:v>2022</x:v>
      </x:c>
      <x:c r="D1947" s="18" t="n">
        <x:v>44714</x:v>
      </x:c>
      <x:c r="E1947" s="8" t="str">
        <x:v>RAINBOW TROUT</x:v>
      </x:c>
      <x:c r="F1947" s="13" t="n">
        <x:v>3529</x:v>
      </x:c>
      <x:c r="G1947" s="9" t="n">
        <x:v>18.8</x:v>
      </x:c>
      <x:c r="H1947" s="9" t="n">
        <x:v>72.2</x:v>
      </x:c>
      <x:c r="I1947" s="8" t="str">
        <x:f>B1947&amp;" / "&amp;C1947&amp;" / "&amp;E1947</x:f>
        <x:v>5513 / 2022 / RAINBOW TROUT</x:v>
      </x:c>
    </x:row>
    <x:row r="1948" ht="23" customHeight="1">
      <x:c r="A1948" s="8" t="str">
        <x:v>Mami Lake</x:v>
      </x:c>
      <x:c r="B1948" s="8" t="str">
        <x:v>5513</x:v>
      </x:c>
      <x:c r="C1948" s="17" t="n">
        <x:v>2022</x:v>
      </x:c>
      <x:c r="D1948" s="18" t="n">
        <x:v>44711</x:v>
      </x:c>
      <x:c r="E1948" s="8" t="str">
        <x:v>RAINBOW TROUT</x:v>
      </x:c>
      <x:c r="F1948" s="13" t="n">
        <x:v>747</x:v>
      </x:c>
      <x:c r="G1948" s="9" t="n">
        <x:v>24.7</x:v>
      </x:c>
      <x:c r="H1948" s="9" t="n">
        <x:v>104.4</x:v>
      </x:c>
      <x:c r="I1948" s="8" t="str">
        <x:f>B1948&amp;" / "&amp;C1948&amp;" / "&amp;E1948</x:f>
        <x:v>5513 / 2022 / RAINBOW TROUT</x:v>
      </x:c>
    </x:row>
    <x:row r="1949" ht="23" customHeight="1">
      <x:c r="A1949" s="8" t="str">
        <x:v>Mami Lake</x:v>
      </x:c>
      <x:c r="B1949" s="8" t="str">
        <x:v>5513</x:v>
      </x:c>
      <x:c r="C1949" s="17" t="n">
        <x:v>2022</x:v>
      </x:c>
      <x:c r="D1949" s="18" t="n">
        <x:v>44676</x:v>
      </x:c>
      <x:c r="E1949" s="8" t="str">
        <x:v>RAINBOW TROUT</x:v>
      </x:c>
      <x:c r="F1949" s="13" t="n">
        <x:v>5000</x:v>
      </x:c>
      <x:c r="G1949" s="9" t="n">
        <x:v>17.7</x:v>
      </x:c>
      <x:c r="H1949" s="9" t="n">
        <x:v>60.9</x:v>
      </x:c>
      <x:c r="I1949" s="8" t="str">
        <x:f>B1949&amp;" / "&amp;C1949&amp;" / "&amp;E1949</x:f>
        <x:v>5513 / 2022 / RAINBOW TROUT</x:v>
      </x:c>
    </x:row>
    <x:row r="1950" ht="23" customHeight="1">
      <x:c r="A1950" s="8" t="str">
        <x:v>Mami Lake</x:v>
      </x:c>
      <x:c r="B1950" s="8" t="str">
        <x:v>5513</x:v>
      </x:c>
      <x:c r="C1950" s="17" t="n">
        <x:v>2022</x:v>
      </x:c>
      <x:c r="D1950" s="18" t="n">
        <x:v>44675</x:v>
      </x:c>
      <x:c r="E1950" s="8" t="str">
        <x:v>RAINBOW TROUT</x:v>
      </x:c>
      <x:c r="F1950" s="13" t="n">
        <x:v>50000</x:v>
      </x:c>
      <x:c r="G1950" s="9" t="n">
        <x:v>6</x:v>
      </x:c>
      <x:c r="H1950" s="9" t="n">
        <x:v>2.4</x:v>
      </x:c>
      <x:c r="I1950" s="8" t="str">
        <x:f>B1950&amp;" / "&amp;C1950&amp;" / "&amp;E1950</x:f>
        <x:v>5513 / 2022 / RAINBOW TROUT</x:v>
      </x:c>
    </x:row>
    <x:row r="1951" ht="23" customHeight="1">
      <x:c r="A1951" s="8" t="str">
        <x:v>Mami Lake</x:v>
      </x:c>
      <x:c r="B1951" s="8" t="str">
        <x:v>5513</x:v>
      </x:c>
      <x:c r="C1951" s="17" t="n">
        <x:v>2022</x:v>
      </x:c>
      <x:c r="D1951" s="18" t="n">
        <x:v>44675</x:v>
      </x:c>
      <x:c r="E1951" s="8" t="str">
        <x:v>RAINBOW TROUT</x:v>
      </x:c>
      <x:c r="F1951" s="13" t="n">
        <x:v>15000</x:v>
      </x:c>
      <x:c r="G1951" s="9" t="n">
        <x:v>12.7</x:v>
      </x:c>
      <x:c r="H1951" s="9" t="n">
        <x:v>22.5</x:v>
      </x:c>
      <x:c r="I1951" s="8" t="str">
        <x:f>B1951&amp;" / "&amp;C1951&amp;" / "&amp;E1951</x:f>
        <x:v>5513 / 2022 / RAINBOW TROUT</x:v>
      </x:c>
    </x:row>
    <x:row r="1952" ht="23" customHeight="1">
      <x:c r="A1952" s="8" t="str">
        <x:v>Mami Lake</x:v>
      </x:c>
      <x:c r="B1952" s="8" t="str">
        <x:v>5513</x:v>
      </x:c>
      <x:c r="C1952" s="17" t="n">
        <x:v>2021</x:v>
      </x:c>
      <x:c r="D1952" s="18" t="n">
        <x:v>44480</x:v>
      </x:c>
      <x:c r="E1952" s="8" t="str">
        <x:v>RAINBOW TROUT</x:v>
      </x:c>
      <x:c r="F1952" s="13" t="n">
        <x:v>9760</x:v>
      </x:c>
      <x:c r="G1952" s="9" t="n">
        <x:v>19</x:v>
      </x:c>
      <x:c r="H1952" s="9" t="n">
        <x:v>77.1</x:v>
      </x:c>
      <x:c r="I1952" s="8" t="str">
        <x:f>B1952&amp;" / "&amp;C1952&amp;" / "&amp;E1952</x:f>
        <x:v>5513 / 2021 / RAINBOW TROUT</x:v>
      </x:c>
    </x:row>
    <x:row r="1953" ht="23" customHeight="1">
      <x:c r="A1953" s="8" t="str">
        <x:v>Mami Lake</x:v>
      </x:c>
      <x:c r="B1953" s="8" t="str">
        <x:v>5513</x:v>
      </x:c>
      <x:c r="C1953" s="17" t="n">
        <x:v>2021</x:v>
      </x:c>
      <x:c r="D1953" s="18" t="n">
        <x:v>44469</x:v>
      </x:c>
      <x:c r="E1953" s="8" t="str">
        <x:v>RAINBOW TROUT</x:v>
      </x:c>
      <x:c r="F1953" s="13" t="n">
        <x:v>20906</x:v>
      </x:c>
      <x:c r="G1953" s="9" t="n">
        <x:v>10</x:v>
      </x:c>
      <x:c r="H1953" s="9" t="n">
        <x:v>7.8</x:v>
      </x:c>
      <x:c r="I1953" s="8" t="str">
        <x:f>B1953&amp;" / "&amp;C1953&amp;" / "&amp;E1953</x:f>
        <x:v>5513 / 2021 / RAINBOW TROUT</x:v>
      </x:c>
    </x:row>
    <x:row r="1954" ht="23" customHeight="1">
      <x:c r="A1954" s="8" t="str">
        <x:v>Mami Lake</x:v>
      </x:c>
      <x:c r="B1954" s="8" t="str">
        <x:v>5513</x:v>
      </x:c>
      <x:c r="C1954" s="17" t="n">
        <x:v>2021</x:v>
      </x:c>
      <x:c r="D1954" s="18" t="n">
        <x:v>44458</x:v>
      </x:c>
      <x:c r="E1954" s="8" t="str">
        <x:v>RAINBOW TROUT</x:v>
      </x:c>
      <x:c r="F1954" s="13" t="n">
        <x:v>13500</x:v>
      </x:c>
      <x:c r="G1954" s="9" t="n">
        <x:v>19.6</x:v>
      </x:c>
      <x:c r="H1954" s="9" t="n">
        <x:v>83.4</x:v>
      </x:c>
      <x:c r="I1954" s="8" t="str">
        <x:f>B1954&amp;" / "&amp;C1954&amp;" / "&amp;E1954</x:f>
        <x:v>5513 / 2021 / RAINBOW TROUT</x:v>
      </x:c>
    </x:row>
    <x:row r="1955" ht="23" customHeight="1">
      <x:c r="A1955" s="8" t="str">
        <x:v>Mami Lake</x:v>
      </x:c>
      <x:c r="B1955" s="8" t="str">
        <x:v>5513</x:v>
      </x:c>
      <x:c r="C1955" s="17" t="n">
        <x:v>2021</x:v>
      </x:c>
      <x:c r="D1955" s="18" t="n">
        <x:v>44452</x:v>
      </x:c>
      <x:c r="E1955" s="8" t="str">
        <x:v>RAINBOW TROUT</x:v>
      </x:c>
      <x:c r="F1955" s="13" t="n">
        <x:v>23262</x:v>
      </x:c>
      <x:c r="G1955" s="9" t="n">
        <x:v>17</x:v>
      </x:c>
      <x:c r="H1955" s="9" t="n">
        <x:v>54</x:v>
      </x:c>
      <x:c r="I1955" s="8" t="str">
        <x:f>B1955&amp;" / "&amp;C1955&amp;" / "&amp;E1955</x:f>
        <x:v>5513 / 2021 / RAINBOW TROUT</x:v>
      </x:c>
    </x:row>
    <x:row r="1956" ht="23" customHeight="1">
      <x:c r="A1956" s="8" t="str">
        <x:v>Mami Lake</x:v>
      </x:c>
      <x:c r="B1956" s="8" t="str">
        <x:v>5513</x:v>
      </x:c>
      <x:c r="C1956" s="17" t="n">
        <x:v>2021</x:v>
      </x:c>
      <x:c r="D1956" s="18" t="n">
        <x:v>44451</x:v>
      </x:c>
      <x:c r="E1956" s="8" t="str">
        <x:v>RAINBOW TROUT</x:v>
      </x:c>
      <x:c r="F1956" s="13" t="n">
        <x:v>39964</x:v>
      </x:c>
      <x:c r="G1956" s="9" t="n">
        <x:v>17</x:v>
      </x:c>
      <x:c r="H1956" s="9" t="n">
        <x:v>54</x:v>
      </x:c>
      <x:c r="I1956" s="8" t="str">
        <x:f>B1956&amp;" / "&amp;C1956&amp;" / "&amp;E1956</x:f>
        <x:v>5513 / 2021 / RAINBOW TROUT</x:v>
      </x:c>
    </x:row>
    <x:row r="1957" ht="23" customHeight="1">
      <x:c r="A1957" s="8" t="str">
        <x:v>Mami Lake</x:v>
      </x:c>
      <x:c r="B1957" s="8" t="str">
        <x:v>5513</x:v>
      </x:c>
      <x:c r="C1957" s="17" t="n">
        <x:v>2021</x:v>
      </x:c>
      <x:c r="D1957" s="18" t="n">
        <x:v>44323</x:v>
      </x:c>
      <x:c r="E1957" s="8" t="str">
        <x:v>RAINBOW TROUT</x:v>
      </x:c>
      <x:c r="F1957" s="13" t="n">
        <x:v>42175</x:v>
      </x:c>
      <x:c r="G1957" s="9" t="n">
        <x:v>10.6</x:v>
      </x:c>
      <x:c r="H1957" s="9" t="n">
        <x:v>13.3</x:v>
      </x:c>
      <x:c r="I1957" s="8" t="str">
        <x:f>B1957&amp;" / "&amp;C1957&amp;" / "&amp;E1957</x:f>
        <x:v>5513 / 2021 / RAINBOW TROUT</x:v>
      </x:c>
    </x:row>
    <x:row r="1958" ht="23" customHeight="1">
      <x:c r="A1958" s="8" t="str">
        <x:v>Mami Lake</x:v>
      </x:c>
      <x:c r="B1958" s="8" t="str">
        <x:v>5513</x:v>
      </x:c>
      <x:c r="C1958" s="17" t="n">
        <x:v>2021</x:v>
      </x:c>
      <x:c r="D1958" s="18" t="n">
        <x:v>44298</x:v>
      </x:c>
      <x:c r="E1958" s="8" t="str">
        <x:v>RAINBOW TROUT</x:v>
      </x:c>
      <x:c r="F1958" s="13" t="n">
        <x:v>16990</x:v>
      </x:c>
      <x:c r="G1958" s="9" t="n">
        <x:v>17.5</x:v>
      </x:c>
      <x:c r="H1958" s="9" t="n">
        <x:v>59.1</x:v>
      </x:c>
      <x:c r="I1958" s="8" t="str">
        <x:f>B1958&amp;" / "&amp;C1958&amp;" / "&amp;E1958</x:f>
        <x:v>5513 / 2021 / RAINBOW TROUT</x:v>
      </x:c>
    </x:row>
    <x:row r="1959" ht="23" customHeight="1">
      <x:c r="A1959" s="8" t="str">
        <x:v>Mami Lake</x:v>
      </x:c>
      <x:c r="B1959" s="8" t="str">
        <x:v>5513</x:v>
      </x:c>
      <x:c r="C1959" s="17" t="n">
        <x:v>2021</x:v>
      </x:c>
      <x:c r="D1959" s="18" t="n">
        <x:v>44297</x:v>
      </x:c>
      <x:c r="E1959" s="8" t="str">
        <x:v>RAINBOW TROUT</x:v>
      </x:c>
      <x:c r="F1959" s="13" t="n">
        <x:v>33010</x:v>
      </x:c>
      <x:c r="G1959" s="9" t="n">
        <x:v>17.5</x:v>
      </x:c>
      <x:c r="H1959" s="9" t="n">
        <x:v>59.1</x:v>
      </x:c>
      <x:c r="I1959" s="8" t="str">
        <x:f>B1959&amp;" / "&amp;C1959&amp;" / "&amp;E1959</x:f>
        <x:v>5513 / 2021 / RAINBOW TROUT</x:v>
      </x:c>
    </x:row>
    <x:row r="1960" ht="23" customHeight="1">
      <x:c r="A1960" s="8" t="str">
        <x:v>Margaret Lake</x:v>
      </x:c>
      <x:c r="B1960" s="8" t="str">
        <x:v>5223</x:v>
      </x:c>
      <x:c r="C1960" s="17" t="n">
        <x:v>2026</x:v>
      </x:c>
      <x:c r="D1960" s="18" t="n">
        <x:v>46178</x:v>
      </x:c>
      <x:c r="E1960" s="8" t="str">
        <x:v>RAINBOW TROUT</x:v>
      </x:c>
      <x:c r="F1960" s="13" t="n">
        <x:v>3100</x:v>
      </x:c>
      <x:c r="G1960" s="9" t="n">
        <x:v>14.3</x:v>
      </x:c>
      <x:c r="H1960" s="9" t="n">
        <x:v>31.9</x:v>
      </x:c>
      <x:c r="I1960" s="8" t="str">
        <x:f>B1960&amp;" / "&amp;C1960&amp;" / "&amp;E1960</x:f>
        <x:v>5223 / 2026 / RAINBOW TROUT</x:v>
      </x:c>
    </x:row>
    <x:row r="1961" ht="23" customHeight="1">
      <x:c r="A1961" s="8" t="str">
        <x:v>Margaret Lake</x:v>
      </x:c>
      <x:c r="B1961" s="8" t="str">
        <x:v>5223</x:v>
      </x:c>
      <x:c r="C1961" s="17" t="n">
        <x:v>2025</x:v>
      </x:c>
      <x:c r="D1961" s="18" t="n">
        <x:v>45810</x:v>
      </x:c>
      <x:c r="E1961" s="8" t="str">
        <x:v>RAINBOW TROUT</x:v>
      </x:c>
      <x:c r="F1961" s="13" t="n">
        <x:v>3100</x:v>
      </x:c>
      <x:c r="G1961" s="9" t="n">
        <x:v>12.6</x:v>
      </x:c>
      <x:c r="H1961" s="9" t="n">
        <x:v>21.6</x:v>
      </x:c>
      <x:c r="I1961" s="8" t="str">
        <x:f>B1961&amp;" / "&amp;C1961&amp;" / "&amp;E1961</x:f>
        <x:v>5223 / 2025 / RAINBOW TROUT</x:v>
      </x:c>
    </x:row>
    <x:row r="1962" ht="23" customHeight="1">
      <x:c r="A1962" s="8" t="str">
        <x:v>Margaret Lake</x:v>
      </x:c>
      <x:c r="B1962" s="8" t="str">
        <x:v>5223</x:v>
      </x:c>
      <x:c r="C1962" s="17" t="n">
        <x:v>2023</x:v>
      </x:c>
      <x:c r="D1962" s="18" t="n">
        <x:v>45088</x:v>
      </x:c>
      <x:c r="E1962" s="8" t="str">
        <x:v>CUTTHROAT TROUT</x:v>
      </x:c>
      <x:c r="F1962" s="13" t="n">
        <x:v>3067</x:v>
      </x:c>
      <x:c r="G1962" s="9" t="n">
        <x:v>14.6</x:v>
      </x:c>
      <x:c r="H1962" s="9" t="n">
        <x:v>33.9</x:v>
      </x:c>
      <x:c r="I1962" s="8" t="str">
        <x:f>B1962&amp;" / "&amp;C1962&amp;" / "&amp;E1962</x:f>
        <x:v>5223 / 2023 / CUTTHROAT TROUT</x:v>
      </x:c>
    </x:row>
    <x:row r="1963" ht="23" customHeight="1">
      <x:c r="A1963" s="8" t="str">
        <x:v>Margaret Lake</x:v>
      </x:c>
      <x:c r="B1963" s="8" t="str">
        <x:v>5223</x:v>
      </x:c>
      <x:c r="C1963" s="17" t="n">
        <x:v>2022</x:v>
      </x:c>
      <x:c r="D1963" s="18" t="n">
        <x:v>44713</x:v>
      </x:c>
      <x:c r="E1963" s="8" t="str">
        <x:v>CUTTHROAT TROUT</x:v>
      </x:c>
      <x:c r="F1963" s="13" t="n">
        <x:v>3067</x:v>
      </x:c>
      <x:c r="G1963" s="9" t="n">
        <x:v>14.5</x:v>
      </x:c>
      <x:c r="H1963" s="9" t="n">
        <x:v>33.2</x:v>
      </x:c>
      <x:c r="I1963" s="8" t="str">
        <x:f>B1963&amp;" / "&amp;C1963&amp;" / "&amp;E1963</x:f>
        <x:v>5223 / 2022 / CUTTHROAT TROUT</x:v>
      </x:c>
    </x:row>
    <x:row r="1964" ht="23" customHeight="1">
      <x:c r="A1964" s="8" t="str">
        <x:v>Margaret Lake</x:v>
      </x:c>
      <x:c r="B1964" s="8" t="str">
        <x:v>5223</x:v>
      </x:c>
      <x:c r="C1964" s="17" t="n">
        <x:v>2021</x:v>
      </x:c>
      <x:c r="D1964" s="18" t="n">
        <x:v>44362</x:v>
      </x:c>
      <x:c r="E1964" s="8" t="str">
        <x:v>RAINBOW TROUT</x:v>
      </x:c>
      <x:c r="F1964" s="13" t="n">
        <x:v>3088</x:v>
      </x:c>
      <x:c r="G1964" s="9" t="n">
        <x:v>20.1</x:v>
      </x:c>
      <x:c r="H1964" s="9" t="n">
        <x:v>90.4</x:v>
      </x:c>
      <x:c r="I1964" s="8" t="str">
        <x:f>B1964&amp;" / "&amp;C1964&amp;" / "&amp;E1964</x:f>
        <x:v>5223 / 2021 / RAINBOW TROUT</x:v>
      </x:c>
    </x:row>
    <x:row r="1965" ht="23" customHeight="1">
      <x:c r="A1965" s="8" t="str">
        <x:v>Marigold Lake</x:v>
      </x:c>
      <x:c r="B1965" s="8" t="str">
        <x:v>5232</x:v>
      </x:c>
      <x:c r="C1965" s="17" t="n">
        <x:v>2025</x:v>
      </x:c>
      <x:c r="D1965" s="18" t="n">
        <x:v>45917</x:v>
      </x:c>
      <x:c r="E1965" s="8" t="str">
        <x:v>BROOK TROUT</x:v>
      </x:c>
      <x:c r="F1965" s="13" t="n">
        <x:v>70000</x:v>
      </x:c>
      <x:c r="G1965" s="9" t="n">
        <x:v>11.7</x:v>
      </x:c>
      <x:c r="H1965" s="9" t="n">
        <x:v>17.3</x:v>
      </x:c>
      <x:c r="I1965" s="8" t="str">
        <x:f>B1965&amp;" / "&amp;C1965&amp;" / "&amp;E1965</x:f>
        <x:v>5232 / 2025 / BROOK TROUT</x:v>
      </x:c>
    </x:row>
    <x:row r="1966" ht="23" customHeight="1">
      <x:c r="A1966" s="8" t="str">
        <x:v>Marigold Lake</x:v>
      </x:c>
      <x:c r="B1966" s="8" t="str">
        <x:v>5232</x:v>
      </x:c>
      <x:c r="C1966" s="17" t="n">
        <x:v>2024</x:v>
      </x:c>
      <x:c r="D1966" s="18" t="n">
        <x:v>45568</x:v>
      </x:c>
      <x:c r="E1966" s="8" t="str">
        <x:v>BROOK TROUT</x:v>
      </x:c>
      <x:c r="F1966" s="13" t="n">
        <x:v>7000</x:v>
      </x:c>
      <x:c r="G1966" s="9" t="n">
        <x:v>13.5</x:v>
      </x:c>
      <x:c r="H1966" s="9" t="n">
        <x:v>26.6</x:v>
      </x:c>
      <x:c r="I1966" s="8" t="str">
        <x:f>B1966&amp;" / "&amp;C1966&amp;" / "&amp;E1966</x:f>
        <x:v>5232 / 2024 / BROOK TROUT</x:v>
      </x:c>
    </x:row>
    <x:row r="1967" ht="23" customHeight="1">
      <x:c r="A1967" s="8" t="str">
        <x:v>Marigold Lake</x:v>
      </x:c>
      <x:c r="B1967" s="8" t="str">
        <x:v>5232</x:v>
      </x:c>
      <x:c r="C1967" s="17" t="n">
        <x:v>2023</x:v>
      </x:c>
      <x:c r="D1967" s="18" t="n">
        <x:v>45209</x:v>
      </x:c>
      <x:c r="E1967" s="8" t="str">
        <x:v>BROOK TROUT</x:v>
      </x:c>
      <x:c r="F1967" s="13" t="n">
        <x:v>7000</x:v>
      </x:c>
      <x:c r="G1967" s="9" t="n">
        <x:v>12.1</x:v>
      </x:c>
      <x:c r="H1967" s="9" t="n">
        <x:v>19.3</x:v>
      </x:c>
      <x:c r="I1967" s="8" t="str">
        <x:f>B1967&amp;" / "&amp;C1967&amp;" / "&amp;E1967</x:f>
        <x:v>5232 / 2023 / BROOK TROUT</x:v>
      </x:c>
    </x:row>
    <x:row r="1968" ht="23" customHeight="1">
      <x:c r="A1968" s="8" t="str">
        <x:v>Marigold Lake</x:v>
      </x:c>
      <x:c r="B1968" s="8" t="str">
        <x:v>5232</x:v>
      </x:c>
      <x:c r="C1968" s="17" t="n">
        <x:v>2022</x:v>
      </x:c>
      <x:c r="D1968" s="18" t="n">
        <x:v>44837</x:v>
      </x:c>
      <x:c r="E1968" s="8" t="str">
        <x:v>BROOK TROUT</x:v>
      </x:c>
      <x:c r="F1968" s="13" t="n">
        <x:v>7091</x:v>
      </x:c>
      <x:c r="G1968" s="9" t="n">
        <x:v>11.2</x:v>
      </x:c>
      <x:c r="H1968" s="9" t="n">
        <x:v>15.5</x:v>
      </x:c>
      <x:c r="I1968" s="8" t="str">
        <x:f>B1968&amp;" / "&amp;C1968&amp;" / "&amp;E1968</x:f>
        <x:v>5232 / 2022 / BROOK TROUT</x:v>
      </x:c>
    </x:row>
    <x:row r="1969" ht="23" customHeight="1">
      <x:c r="A1969" s="8" t="str">
        <x:v>Marigold Lake</x:v>
      </x:c>
      <x:c r="B1969" s="8" t="str">
        <x:v>5232</x:v>
      </x:c>
      <x:c r="C1969" s="17" t="n">
        <x:v>2021</x:v>
      </x:c>
      <x:c r="D1969" s="18" t="n">
        <x:v>44482</x:v>
      </x:c>
      <x:c r="E1969" s="8" t="str">
        <x:v>BROOK TROUT</x:v>
      </x:c>
      <x:c r="F1969" s="13" t="n">
        <x:v>7000</x:v>
      </x:c>
      <x:c r="G1969" s="9" t="n">
        <x:v>11.9</x:v>
      </x:c>
      <x:c r="H1969" s="9" t="n">
        <x:v>18.8</x:v>
      </x:c>
      <x:c r="I1969" s="8" t="str">
        <x:f>B1969&amp;" / "&amp;C1969&amp;" / "&amp;E1969</x:f>
        <x:v>5232 / 2021 / BROOK TROUT</x:v>
      </x:c>
    </x:row>
    <x:row r="1970" ht="23" customHeight="1">
      <x:c r="A1970" s="8" t="str">
        <x:v>Mary Gregg Lake</x:v>
      </x:c>
      <x:c r="B1970" s="8" t="str">
        <x:v>5245</x:v>
      </x:c>
      <x:c r="C1970" s="17" t="n">
        <x:v>2026</x:v>
      </x:c>
      <x:c r="D1970" s="18" t="n">
        <x:v>46176</x:v>
      </x:c>
      <x:c r="E1970" s="8" t="str">
        <x:v>RAINBOW TROUT</x:v>
      </x:c>
      <x:c r="F1970" s="13" t="n">
        <x:v>82</x:v>
      </x:c>
      <x:c r="G1970" s="9" t="n">
        <x:v>17.7</x:v>
      </x:c>
      <x:c r="H1970" s="9" t="n">
        <x:v>61.8</x:v>
      </x:c>
      <x:c r="I1970" s="8" t="str">
        <x:f>B1970&amp;" / "&amp;C1970&amp;" / "&amp;E1970</x:f>
        <x:v>5245 / 2026 / RAINBOW TROUT</x:v>
      </x:c>
    </x:row>
    <x:row r="1971" ht="23" customHeight="1">
      <x:c r="A1971" s="8" t="str">
        <x:v>Mary Gregg Lake</x:v>
      </x:c>
      <x:c r="B1971" s="8" t="str">
        <x:v>5245</x:v>
      </x:c>
      <x:c r="C1971" s="17" t="n">
        <x:v>2025</x:v>
      </x:c>
      <x:c r="D1971" s="18" t="n">
        <x:v>45819</x:v>
      </x:c>
      <x:c r="E1971" s="8" t="str">
        <x:v>RAINBOW TROUT</x:v>
      </x:c>
      <x:c r="F1971" s="13" t="n">
        <x:v>4000</x:v>
      </x:c>
      <x:c r="G1971" s="9" t="n">
        <x:v>18.1</x:v>
      </x:c>
      <x:c r="H1971" s="9" t="n">
        <x:v>65.9</x:v>
      </x:c>
      <x:c r="I1971" s="8" t="str">
        <x:f>B1971&amp;" / "&amp;C1971&amp;" / "&amp;E1971</x:f>
        <x:v>5245 / 2025 / RAINBOW TROUT</x:v>
      </x:c>
    </x:row>
    <x:row r="1972" ht="23" customHeight="1">
      <x:c r="A1972" s="8" t="str">
        <x:v>Mary Gregg Lake</x:v>
      </x:c>
      <x:c r="B1972" s="8" t="str">
        <x:v>5245</x:v>
      </x:c>
      <x:c r="C1972" s="17" t="n">
        <x:v>2024</x:v>
      </x:c>
      <x:c r="D1972" s="18" t="n">
        <x:v>45442</x:v>
      </x:c>
      <x:c r="E1972" s="8" t="str">
        <x:v>RAINBOW TROUT</x:v>
      </x:c>
      <x:c r="F1972" s="13" t="n">
        <x:v>2000</x:v>
      </x:c>
      <x:c r="G1972" s="9" t="n">
        <x:v>20.3</x:v>
      </x:c>
      <x:c r="H1972" s="9" t="n">
        <x:v>89.9</x:v>
      </x:c>
      <x:c r="I1972" s="8" t="str">
        <x:f>B1972&amp;" / "&amp;C1972&amp;" / "&amp;E1972</x:f>
        <x:v>5245 / 2024 / RAINBOW TROUT</x:v>
      </x:c>
    </x:row>
    <x:row r="1973" ht="23" customHeight="1">
      <x:c r="A1973" s="8" t="str">
        <x:v>Mary Gregg Lake</x:v>
      </x:c>
      <x:c r="B1973" s="8" t="str">
        <x:v>5245</x:v>
      </x:c>
      <x:c r="C1973" s="17" t="n">
        <x:v>2023</x:v>
      </x:c>
      <x:c r="D1973" s="18" t="n">
        <x:v>45177</x:v>
      </x:c>
      <x:c r="E1973" s="8" t="str">
        <x:v>RAINBOW TROUT</x:v>
      </x:c>
      <x:c r="F1973" s="13" t="n">
        <x:v>1896</x:v>
      </x:c>
      <x:c r="G1973" s="9" t="n">
        <x:v>19.8</x:v>
      </x:c>
      <x:c r="H1973" s="9" t="n">
        <x:v>83.6</x:v>
      </x:c>
      <x:c r="I1973" s="8" t="str">
        <x:f>B1973&amp;" / "&amp;C1973&amp;" / "&amp;E1973</x:f>
        <x:v>5245 / 2023 / RAINBOW TROUT</x:v>
      </x:c>
    </x:row>
    <x:row r="1974" ht="23" customHeight="1">
      <x:c r="A1974" s="8" t="str">
        <x:v>Mary Gregg Lake</x:v>
      </x:c>
      <x:c r="B1974" s="8" t="str">
        <x:v>5245</x:v>
      </x:c>
      <x:c r="C1974" s="17" t="n">
        <x:v>2022</x:v>
      </x:c>
      <x:c r="D1974" s="18" t="n">
        <x:v>44718</x:v>
      </x:c>
      <x:c r="E1974" s="8" t="str">
        <x:v>RAINBOW TROUT</x:v>
      </x:c>
      <x:c r="F1974" s="13" t="n">
        <x:v>4000</x:v>
      </x:c>
      <x:c r="G1974" s="9" t="n">
        <x:v>13.7</x:v>
      </x:c>
      <x:c r="H1974" s="9" t="n">
        <x:v>28.7</x:v>
      </x:c>
      <x:c r="I1974" s="8" t="str">
        <x:f>B1974&amp;" / "&amp;C1974&amp;" / "&amp;E1974</x:f>
        <x:v>5245 / 2022 / RAINBOW TROUT</x:v>
      </x:c>
    </x:row>
    <x:row r="1975" ht="23" customHeight="1">
      <x:c r="A1975" s="8" t="str">
        <x:v>Mary Gregg Lake</x:v>
      </x:c>
      <x:c r="B1975" s="8" t="str">
        <x:v>5245</x:v>
      </x:c>
      <x:c r="C1975" s="17" t="n">
        <x:v>2021</x:v>
      </x:c>
      <x:c r="D1975" s="18" t="n">
        <x:v>44356</x:v>
      </x:c>
      <x:c r="E1975" s="8" t="str">
        <x:v>RAINBOW TROUT</x:v>
      </x:c>
      <x:c r="F1975" s="13" t="n">
        <x:v>4000</x:v>
      </x:c>
      <x:c r="G1975" s="9" t="n">
        <x:v>14.4</x:v>
      </x:c>
      <x:c r="H1975" s="9" t="n">
        <x:v>33.3</x:v>
      </x:c>
      <x:c r="I1975" s="8" t="str">
        <x:f>B1975&amp;" / "&amp;C1975&amp;" / "&amp;E1975</x:f>
        <x:v>5245 / 2021 / RAINBOW TROUT</x:v>
      </x:c>
    </x:row>
    <x:row r="1976" ht="23" customHeight="1">
      <x:c r="A1976" s="8" t="str">
        <x:v>Maude Lake</x:v>
      </x:c>
      <x:c r="B1976" s="8" t="str">
        <x:v>5253</x:v>
      </x:c>
      <x:c r="C1976" s="17" t="n">
        <x:v>2025</x:v>
      </x:c>
      <x:c r="D1976" s="18" t="n">
        <x:v>45908</x:v>
      </x:c>
      <x:c r="E1976" s="8" t="str">
        <x:v>CUTTHROAT TROUT</x:v>
      </x:c>
      <x:c r="F1976" s="13" t="n">
        <x:v>2300</x:v>
      </x:c>
      <x:c r="G1976" s="9" t="n">
        <x:v>4.2</x:v>
      </x:c>
      <x:c r="H1976" s="9" t="n">
        <x:v>0.8</x:v>
      </x:c>
      <x:c r="I1976" s="8" t="str">
        <x:f>B1976&amp;" / "&amp;C1976&amp;" / "&amp;E1976</x:f>
        <x:v>5253 / 2025 / CUTTHROAT TROUT</x:v>
      </x:c>
    </x:row>
    <x:row r="1977" ht="23" customHeight="1">
      <x:c r="A1977" s="8" t="str">
        <x:v>Maude Lake</x:v>
      </x:c>
      <x:c r="B1977" s="8" t="str">
        <x:v>5253</x:v>
      </x:c>
      <x:c r="C1977" s="17" t="n">
        <x:v>2021</x:v>
      </x:c>
      <x:c r="D1977" s="18" t="n">
        <x:v>44447</x:v>
      </x:c>
      <x:c r="E1977" s="8" t="str">
        <x:v>CUTTHROAT TROUT</x:v>
      </x:c>
      <x:c r="F1977" s="13" t="n">
        <x:v>2300</x:v>
      </x:c>
      <x:c r="G1977" s="9" t="n">
        <x:v>4.9</x:v>
      </x:c>
      <x:c r="H1977" s="9" t="n">
        <x:v>1.3</x:v>
      </x:c>
      <x:c r="I1977" s="8" t="str">
        <x:f>B1977&amp;" / "&amp;C1977&amp;" / "&amp;E1977</x:f>
        <x:v>5253 / 2021 / CUTTHROAT TROUT</x:v>
      </x:c>
    </x:row>
    <x:row r="1978" ht="23" customHeight="1">
      <x:c r="A1978" s="8" t="str">
        <x:v>Mayan Lake</x:v>
      </x:c>
      <x:c r="B1978" s="8" t="str">
        <x:v>19525</x:v>
      </x:c>
      <x:c r="C1978" s="17" t="n">
        <x:v>2026</x:v>
      </x:c>
      <x:c r="D1978" s="18" t="n">
        <x:v>46188</x:v>
      </x:c>
      <x:c r="E1978" s="8" t="str">
        <x:v>RAINBOW TROUT</x:v>
      </x:c>
      <x:c r="F1978" s="13" t="n">
        <x:v>2000</x:v>
      </x:c>
      <x:c r="G1978" s="9" t="n">
        <x:v>17.7</x:v>
      </x:c>
      <x:c r="H1978" s="9" t="n">
        <x:v>61.1</x:v>
      </x:c>
      <x:c r="I1978" s="8" t="str">
        <x:f>B1978&amp;" / "&amp;C1978&amp;" / "&amp;E1978</x:f>
        <x:v>19525 / 2026 / RAINBOW TROUT</x:v>
      </x:c>
    </x:row>
    <x:row r="1979" ht="23" customHeight="1">
      <x:c r="A1979" s="8" t="str">
        <x:v>Mayan Lake</x:v>
      </x:c>
      <x:c r="B1979" s="8" t="str">
        <x:v>19525</x:v>
      </x:c>
      <x:c r="C1979" s="17" t="n">
        <x:v>2025</x:v>
      </x:c>
      <x:c r="D1979" s="18" t="n">
        <x:v>45816</x:v>
      </x:c>
      <x:c r="E1979" s="8" t="str">
        <x:v>RAINBOW TROUT</x:v>
      </x:c>
      <x:c r="F1979" s="13" t="n">
        <x:v>2000</x:v>
      </x:c>
      <x:c r="G1979" s="9" t="n">
        <x:v>18.2</x:v>
      </x:c>
      <x:c r="H1979" s="9" t="n">
        <x:v>67.1</x:v>
      </x:c>
      <x:c r="I1979" s="8" t="str">
        <x:f>B1979&amp;" / "&amp;C1979&amp;" / "&amp;E1979</x:f>
        <x:v>19525 / 2025 / RAINBOW TROUT</x:v>
      </x:c>
    </x:row>
    <x:row r="1980" ht="23" customHeight="1">
      <x:c r="A1980" s="8" t="str">
        <x:v>Mayan Lake</x:v>
      </x:c>
      <x:c r="B1980" s="8" t="str">
        <x:v>19525</x:v>
      </x:c>
      <x:c r="C1980" s="17" t="n">
        <x:v>2024</x:v>
      </x:c>
      <x:c r="D1980" s="18" t="n">
        <x:v>45434</x:v>
      </x:c>
      <x:c r="E1980" s="8" t="str">
        <x:v>RAINBOW TROUT</x:v>
      </x:c>
      <x:c r="F1980" s="13" t="n">
        <x:v>1000</x:v>
      </x:c>
      <x:c r="G1980" s="9" t="n">
        <x:v>20.7</x:v>
      </x:c>
      <x:c r="H1980" s="9" t="n">
        <x:v>96</x:v>
      </x:c>
      <x:c r="I1980" s="8" t="str">
        <x:f>B1980&amp;" / "&amp;C1980&amp;" / "&amp;E1980</x:f>
        <x:v>19525 / 2024 / RAINBOW TROUT</x:v>
      </x:c>
    </x:row>
    <x:row r="1981" ht="23" customHeight="1">
      <x:c r="A1981" s="8" t="str">
        <x:v>Mayan Lake</x:v>
      </x:c>
      <x:c r="B1981" s="8" t="str">
        <x:v>19525</x:v>
      </x:c>
      <x:c r="C1981" s="17" t="n">
        <x:v>2023</x:v>
      </x:c>
      <x:c r="D1981" s="18" t="n">
        <x:v>45202</x:v>
      </x:c>
      <x:c r="E1981" s="8" t="str">
        <x:v>RAINBOW TROUT</x:v>
      </x:c>
      <x:c r="F1981" s="13" t="n">
        <x:v>948</x:v>
      </x:c>
      <x:c r="G1981" s="9" t="n">
        <x:v>20.3</x:v>
      </x:c>
      <x:c r="H1981" s="9" t="n">
        <x:v>90.8</x:v>
      </x:c>
      <x:c r="I1981" s="8" t="str">
        <x:f>B1981&amp;" / "&amp;C1981&amp;" / "&amp;E1981</x:f>
        <x:v>19525 / 2023 / RAINBOW TROUT</x:v>
      </x:c>
    </x:row>
    <x:row r="1982" ht="23" customHeight="1">
      <x:c r="A1982" s="8" t="str">
        <x:v>Mayan Lake</x:v>
      </x:c>
      <x:c r="B1982" s="8" t="str">
        <x:v>19525</x:v>
      </x:c>
      <x:c r="C1982" s="17" t="n">
        <x:v>2022</x:v>
      </x:c>
      <x:c r="D1982" s="18" t="n">
        <x:v>44704</x:v>
      </x:c>
      <x:c r="E1982" s="8" t="str">
        <x:v>RAINBOW TROUT</x:v>
      </x:c>
      <x:c r="F1982" s="13" t="n">
        <x:v>2000</x:v>
      </x:c>
      <x:c r="G1982" s="9" t="n">
        <x:v>19.7</x:v>
      </x:c>
      <x:c r="H1982" s="9" t="n">
        <x:v>83</x:v>
      </x:c>
      <x:c r="I1982" s="8" t="str">
        <x:f>B1982&amp;" / "&amp;C1982&amp;" / "&amp;E1982</x:f>
        <x:v>19525 / 2022 / RAINBOW TROUT</x:v>
      </x:c>
    </x:row>
    <x:row r="1983" ht="23" customHeight="1">
      <x:c r="A1983" s="8" t="str">
        <x:v>Mayan Lake</x:v>
      </x:c>
      <x:c r="B1983" s="8" t="str">
        <x:v>19525</x:v>
      </x:c>
      <x:c r="C1983" s="17" t="n">
        <x:v>2021</x:v>
      </x:c>
      <x:c r="D1983" s="18" t="n">
        <x:v>44354</x:v>
      </x:c>
      <x:c r="E1983" s="8" t="str">
        <x:v>RAINBOW TROUT</x:v>
      </x:c>
      <x:c r="F1983" s="13" t="n">
        <x:v>2000</x:v>
      </x:c>
      <x:c r="G1983" s="9" t="n">
        <x:v>22.4</x:v>
      </x:c>
      <x:c r="H1983" s="9" t="n">
        <x:v>124.8</x:v>
      </x:c>
      <x:c r="I1983" s="8" t="str">
        <x:f>B1983&amp;" / "&amp;C1983&amp;" / "&amp;E1983</x:f>
        <x:v>19525 / 2021 / RAINBOW TROUT</x:v>
      </x:c>
    </x:row>
    <x:row r="1984" ht="23" customHeight="1">
      <x:c r="A1984" s="8" t="str">
        <x:v>Mcclennan Reservoir</x:v>
      </x:c>
      <x:c r="B1984" s="8" t="str">
        <x:v>6753</x:v>
      </x:c>
      <x:c r="C1984" s="17" t="n">
        <x:v>2026</x:v>
      </x:c>
      <x:c r="D1984" s="18" t="n">
        <x:v>46161</x:v>
      </x:c>
      <x:c r="E1984" s="8" t="str">
        <x:v>RAINBOW TROUT</x:v>
      </x:c>
      <x:c r="F1984" s="13" t="n">
        <x:v>500</x:v>
      </x:c>
      <x:c r="G1984" s="9" t="n">
        <x:v>23.7</x:v>
      </x:c>
      <x:c r="H1984" s="9" t="n">
        <x:v>147.2</x:v>
      </x:c>
      <x:c r="I1984" s="8" t="str">
        <x:f>B1984&amp;" / "&amp;C1984&amp;" / "&amp;E1984</x:f>
        <x:v>6753 / 2026 / RAINBOW TROUT</x:v>
      </x:c>
    </x:row>
    <x:row r="1985" ht="23" customHeight="1">
      <x:c r="A1985" s="8" t="str">
        <x:v>Mcclennan Reservoir</x:v>
      </x:c>
      <x:c r="B1985" s="8" t="str">
        <x:v>6753</x:v>
      </x:c>
      <x:c r="C1985" s="17" t="n">
        <x:v>2025</x:v>
      </x:c>
      <x:c r="D1985" s="18" t="n">
        <x:v>45788</x:v>
      </x:c>
      <x:c r="E1985" s="8" t="str">
        <x:v>RAINBOW TROUT</x:v>
      </x:c>
      <x:c r="F1985" s="13" t="n">
        <x:v>500</x:v>
      </x:c>
      <x:c r="G1985" s="9" t="n">
        <x:v>23.6</x:v>
      </x:c>
      <x:c r="H1985" s="9" t="n">
        <x:v>144.6</x:v>
      </x:c>
      <x:c r="I1985" s="8" t="str">
        <x:f>B1985&amp;" / "&amp;C1985&amp;" / "&amp;E1985</x:f>
        <x:v>6753 / 2025 / RAINBOW TROUT</x:v>
      </x:c>
    </x:row>
    <x:row r="1986" ht="23" customHeight="1">
      <x:c r="A1986" s="8" t="str">
        <x:v>Mcclennan Reservoir</x:v>
      </x:c>
      <x:c r="B1986" s="8" t="str">
        <x:v>6753</x:v>
      </x:c>
      <x:c r="C1986" s="17" t="n">
        <x:v>2024</x:v>
      </x:c>
      <x:c r="D1986" s="18" t="n">
        <x:v>45441</x:v>
      </x:c>
      <x:c r="E1986" s="8" t="str">
        <x:v>RAINBOW TROUT</x:v>
      </x:c>
      <x:c r="F1986" s="13" t="n">
        <x:v>250</x:v>
      </x:c>
      <x:c r="G1986" s="9" t="n">
        <x:v>20.7</x:v>
      </x:c>
      <x:c r="H1986" s="9" t="n">
        <x:v>95.2</x:v>
      </x:c>
      <x:c r="I1986" s="8" t="str">
        <x:f>B1986&amp;" / "&amp;C1986&amp;" / "&amp;E1986</x:f>
        <x:v>6753 / 2024 / RAINBOW TROUT</x:v>
      </x:c>
    </x:row>
    <x:row r="1987" ht="23" customHeight="1">
      <x:c r="A1987" s="8" t="str">
        <x:v>Mcclennan Reservoir</x:v>
      </x:c>
      <x:c r="B1987" s="8" t="str">
        <x:v>6753</x:v>
      </x:c>
      <x:c r="C1987" s="17" t="n">
        <x:v>2023</x:v>
      </x:c>
      <x:c r="D1987" s="18" t="n">
        <x:v>45068</x:v>
      </x:c>
      <x:c r="E1987" s="8" t="str">
        <x:v>RAINBOW TROUT</x:v>
      </x:c>
      <x:c r="F1987" s="13" t="n">
        <x:v>251</x:v>
      </x:c>
      <x:c r="G1987" s="9" t="n">
        <x:v>21.5</x:v>
      </x:c>
      <x:c r="H1987" s="9" t="n">
        <x:v>108</x:v>
      </x:c>
      <x:c r="I1987" s="8" t="str">
        <x:f>B1987&amp;" / "&amp;C1987&amp;" / "&amp;E1987</x:f>
        <x:v>6753 / 2023 / RAINBOW TROUT</x:v>
      </x:c>
    </x:row>
    <x:row r="1988" ht="23" customHeight="1">
      <x:c r="A1988" s="8" t="str">
        <x:v>Mcclennan Reservoir</x:v>
      </x:c>
      <x:c r="B1988" s="8" t="str">
        <x:v>6753</x:v>
      </x:c>
      <x:c r="C1988" s="17" t="n">
        <x:v>2022</x:v>
      </x:c>
      <x:c r="D1988" s="18" t="n">
        <x:v>44696</x:v>
      </x:c>
      <x:c r="E1988" s="8" t="str">
        <x:v>RAINBOW TROUT</x:v>
      </x:c>
      <x:c r="F1988" s="13" t="n">
        <x:v>500</x:v>
      </x:c>
      <x:c r="G1988" s="9" t="n">
        <x:v>23.1</x:v>
      </x:c>
      <x:c r="H1988" s="9" t="n">
        <x:v>136.8</x:v>
      </x:c>
      <x:c r="I1988" s="8" t="str">
        <x:f>B1988&amp;" / "&amp;C1988&amp;" / "&amp;E1988</x:f>
        <x:v>6753 / 2022 / RAINBOW TROUT</x:v>
      </x:c>
    </x:row>
    <x:row r="1989" ht="23" customHeight="1">
      <x:c r="A1989" s="8" t="str">
        <x:v>Mcclennan Reservoir</x:v>
      </x:c>
      <x:c r="B1989" s="8" t="str">
        <x:v>6753</x:v>
      </x:c>
      <x:c r="C1989" s="17" t="n">
        <x:v>2021</x:v>
      </x:c>
      <x:c r="D1989" s="18" t="n">
        <x:v>44332</x:v>
      </x:c>
      <x:c r="E1989" s="8" t="str">
        <x:v>RAINBOW TROUT</x:v>
      </x:c>
      <x:c r="F1989" s="13" t="n">
        <x:v>500</x:v>
      </x:c>
      <x:c r="G1989" s="9" t="n">
        <x:v>19.1</x:v>
      </x:c>
      <x:c r="H1989" s="9" t="n">
        <x:v>77.4</x:v>
      </x:c>
      <x:c r="I1989" s="8" t="str">
        <x:f>B1989&amp;" / "&amp;C1989&amp;" / "&amp;E1989</x:f>
        <x:v>6753 / 2021 / RAINBOW TROUT</x:v>
      </x:c>
    </x:row>
    <x:row r="1990" ht="23" customHeight="1">
      <x:c r="A1990" s="8" t="str">
        <x:v>Mcgregor Reservoir</x:v>
      </x:c>
      <x:c r="B1990" s="8" t="str">
        <x:v>5275</x:v>
      </x:c>
      <x:c r="C1990" s="17" t="n">
        <x:v>2026</x:v>
      </x:c>
      <x:c r="D1990" s="18" t="n">
        <x:v>46240</x:v>
      </x:c>
      <x:c r="E1990" s="8" t="str">
        <x:v>WALLEYE</x:v>
      </x:c>
      <x:c r="F1990" s="13" t="n">
        <x:v>6378</x:v>
      </x:c>
      <x:c r="G1990" s="9" t="n">
        <x:v>5.1</x:v>
      </x:c>
      <x:c r="H1990" s="9" t="n">
        <x:v>1</x:v>
      </x:c>
      <x:c r="I1990" s="8" t="str">
        <x:f>B1990&amp;" / "&amp;C1990&amp;" / "&amp;E1990</x:f>
        <x:v>5275 / 2026 / WALLEYE</x:v>
      </x:c>
    </x:row>
    <x:row r="1991" ht="23" customHeight="1">
      <x:c r="A1991" s="8" t="str">
        <x:v>Mcgregor Reservoir</x:v>
      </x:c>
      <x:c r="B1991" s="8" t="str">
        <x:v>5275</x:v>
      </x:c>
      <x:c r="C1991" s="17" t="n">
        <x:v>2026</x:v>
      </x:c>
      <x:c r="D1991" s="18" t="n">
        <x:v>46239</x:v>
      </x:c>
      <x:c r="E1991" s="8" t="str">
        <x:v>WALLEYE</x:v>
      </x:c>
      <x:c r="F1991" s="13" t="n">
        <x:v>13327</x:v>
      </x:c>
      <x:c r="G1991" s="9" t="n">
        <x:v>5.2</x:v>
      </x:c>
      <x:c r="H1991" s="9" t="n">
        <x:v>1.1</x:v>
      </x:c>
      <x:c r="I1991" s="8" t="str">
        <x:f>B1991&amp;" / "&amp;C1991&amp;" / "&amp;E1991</x:f>
        <x:v>5275 / 2026 / WALLEYE</x:v>
      </x:c>
    </x:row>
    <x:row r="1992" ht="23" customHeight="1">
      <x:c r="A1992" s="8" t="str">
        <x:v>Mcgregor Reservoir</x:v>
      </x:c>
      <x:c r="B1992" s="8" t="str">
        <x:v>5275</x:v>
      </x:c>
      <x:c r="C1992" s="17" t="n">
        <x:v>2026</x:v>
      </x:c>
      <x:c r="D1992" s="18" t="n">
        <x:v>46237</x:v>
      </x:c>
      <x:c r="E1992" s="8" t="str">
        <x:v>WALLEYE</x:v>
      </x:c>
      <x:c r="F1992" s="13" t="n">
        <x:v>4543</x:v>
      </x:c>
      <x:c r="G1992" s="9" t="n">
        <x:v>5.2</x:v>
      </x:c>
      <x:c r="H1992" s="9" t="n">
        <x:v>1.4</x:v>
      </x:c>
      <x:c r="I1992" s="8" t="str">
        <x:f>B1992&amp;" / "&amp;C1992&amp;" / "&amp;E1992</x:f>
        <x:v>5275 / 2026 / WALLEYE</x:v>
      </x:c>
    </x:row>
    <x:row r="1993" ht="23" customHeight="1">
      <x:c r="A1993" s="8" t="str">
        <x:v>Mcgregor Reservoir</x:v>
      </x:c>
      <x:c r="B1993" s="8" t="str">
        <x:v>5275</x:v>
      </x:c>
      <x:c r="C1993" s="17" t="n">
        <x:v>2026</x:v>
      </x:c>
      <x:c r="D1993" s="18" t="n">
        <x:v>46233</x:v>
      </x:c>
      <x:c r="E1993" s="8" t="str">
        <x:v>WALLEYE</x:v>
      </x:c>
      <x:c r="F1993" s="13" t="n">
        <x:v>5289</x:v>
      </x:c>
      <x:c r="G1993" s="9" t="n">
        <x:v>5.2</x:v>
      </x:c>
      <x:c r="H1993" s="9" t="n">
        <x:v>1.5</x:v>
      </x:c>
      <x:c r="I1993" s="8" t="str">
        <x:f>B1993&amp;" / "&amp;C1993&amp;" / "&amp;E1993</x:f>
        <x:v>5275 / 2026 / WALLEYE</x:v>
      </x:c>
    </x:row>
    <x:row r="1994" ht="23" customHeight="1">
      <x:c r="A1994" s="8" t="str">
        <x:v>Mcgregor Reservoir</x:v>
      </x:c>
      <x:c r="B1994" s="8" t="str">
        <x:v>5275</x:v>
      </x:c>
      <x:c r="C1994" s="17" t="n">
        <x:v>2023</x:v>
      </x:c>
      <x:c r="D1994" s="18" t="n">
        <x:v>45077</x:v>
      </x:c>
      <x:c r="E1994" s="8" t="str">
        <x:v>WALLEYE</x:v>
      </x:c>
      <x:c r="F1994" s="13" t="n">
        <x:v>628700</x:v>
      </x:c>
      <x:c r="G1994" s="9" t="n">
        <x:v>0.4</x:v>
      </x:c>
      <x:c r="H1994" s="9" t="n">
        <x:v>0</x:v>
      </x:c>
      <x:c r="I1994" s="8" t="str">
        <x:f>B1994&amp;" / "&amp;C1994&amp;" / "&amp;E1994</x:f>
        <x:v>5275 / 2023 / WALLEYE</x:v>
      </x:c>
    </x:row>
    <x:row r="1995" ht="23" customHeight="1">
      <x:c r="A1995" s="8" t="str">
        <x:v>Mcgregor Reservoir</x:v>
      </x:c>
      <x:c r="B1995" s="8" t="str">
        <x:v>5275</x:v>
      </x:c>
      <x:c r="C1995" s="17" t="n">
        <x:v>2022</x:v>
      </x:c>
      <x:c r="D1995" s="18" t="n">
        <x:v>44710</x:v>
      </x:c>
      <x:c r="E1995" s="8" t="str">
        <x:v>WALLEYE</x:v>
      </x:c>
      <x:c r="F1995" s="13" t="n">
        <x:v>528700</x:v>
      </x:c>
      <x:c r="G1995" s="9" t="n">
        <x:v>0.4</x:v>
      </x:c>
      <x:c r="H1995" s="9" t="n">
        <x:v>0</x:v>
      </x:c>
      <x:c r="I1995" s="8" t="str">
        <x:f>B1995&amp;" / "&amp;C1995&amp;" / "&amp;E1995</x:f>
        <x:v>5275 / 2022 / WALLEYE</x:v>
      </x:c>
    </x:row>
    <x:row r="1996" ht="23" customHeight="1">
      <x:c r="A1996" s="8" t="str">
        <x:v>Mcgregor Reservoir</x:v>
      </x:c>
      <x:c r="B1996" s="8" t="str">
        <x:v>5275</x:v>
      </x:c>
      <x:c r="C1996" s="17" t="n">
        <x:v>2021</x:v>
      </x:c>
      <x:c r="D1996" s="18" t="n">
        <x:v>44488</x:v>
      </x:c>
      <x:c r="E1996" s="8" t="str">
        <x:v>WALLEYE</x:v>
      </x:c>
      <x:c r="F1996" s="13" t="n">
        <x:v>728</x:v>
      </x:c>
      <x:c r="G1996" s="9" t="n">
        <x:v>15.5</x:v>
      </x:c>
      <x:c r="H1996" s="9" t="n">
        <x:v>39.5</x:v>
      </x:c>
      <x:c r="I1996" s="8" t="str">
        <x:f>B1996&amp;" / "&amp;C1996&amp;" / "&amp;E1996</x:f>
        <x:v>5275 / 2021 / WALLEYE</x:v>
      </x:c>
    </x:row>
    <x:row r="1997" ht="23" customHeight="1">
      <x:c r="A1997" s="8" t="str">
        <x:v>Mcgregor Reservoir</x:v>
      </x:c>
      <x:c r="B1997" s="8" t="str">
        <x:v>5275</x:v>
      </x:c>
      <x:c r="C1997" s="17" t="n">
        <x:v>2021</x:v>
      </x:c>
      <x:c r="D1997" s="18" t="n">
        <x:v>44488</x:v>
      </x:c>
      <x:c r="E1997" s="8" t="str">
        <x:v>WALLEYE</x:v>
      </x:c>
      <x:c r="F1997" s="13" t="n">
        <x:v>151</x:v>
      </x:c>
      <x:c r="G1997" s="9" t="n">
        <x:v>13</x:v>
      </x:c>
      <x:c r="H1997" s="9" t="n">
        <x:v>17</x:v>
      </x:c>
      <x:c r="I1997" s="8" t="str">
        <x:f>B1997&amp;" / "&amp;C1997&amp;" / "&amp;E1997</x:f>
        <x:v>5275 / 2021 / WALLEYE</x:v>
      </x:c>
    </x:row>
    <x:row r="1998" ht="23" customHeight="1">
      <x:c r="A1998" s="8" t="str">
        <x:v>Mcgregor Reservoir</x:v>
      </x:c>
      <x:c r="B1998" s="8" t="str">
        <x:v>5275</x:v>
      </x:c>
      <x:c r="C1998" s="17" t="n">
        <x:v>2021</x:v>
      </x:c>
      <x:c r="D1998" s="18" t="n">
        <x:v>44461</x:v>
      </x:c>
      <x:c r="E1998" s="8" t="str">
        <x:v>WALLEYE</x:v>
      </x:c>
      <x:c r="F1998" s="13" t="n">
        <x:v>1466</x:v>
      </x:c>
      <x:c r="G1998" s="9" t="n">
        <x:v>15.4</x:v>
      </x:c>
      <x:c r="H1998" s="9" t="n">
        <x:v>34.4</x:v>
      </x:c>
      <x:c r="I1998" s="8" t="str">
        <x:f>B1998&amp;" / "&amp;C1998&amp;" / "&amp;E1998</x:f>
        <x:v>5275 / 2021 / WALLEYE</x:v>
      </x:c>
    </x:row>
    <x:row r="1999" ht="23" customHeight="1">
      <x:c r="A1999" s="8" t="str">
        <x:v>Mcgregor Reservoir</x:v>
      </x:c>
      <x:c r="B1999" s="8" t="str">
        <x:v>5275</x:v>
      </x:c>
      <x:c r="C1999" s="17" t="n">
        <x:v>2021</x:v>
      </x:c>
      <x:c r="D1999" s="18" t="n">
        <x:v>44461</x:v>
      </x:c>
      <x:c r="E1999" s="8" t="str">
        <x:v>WALLEYE</x:v>
      </x:c>
      <x:c r="F1999" s="13" t="n">
        <x:v>874</x:v>
      </x:c>
      <x:c r="G1999" s="9" t="n">
        <x:v>13.1</x:v>
      </x:c>
      <x:c r="H1999" s="9" t="n">
        <x:v>11.5</x:v>
      </x:c>
      <x:c r="I1999" s="8" t="str">
        <x:f>B1999&amp;" / "&amp;C1999&amp;" / "&amp;E1999</x:f>
        <x:v>5275 / 2021 / WALLEYE</x:v>
      </x:c>
    </x:row>
    <x:row r="2000" ht="23" customHeight="1">
      <x:c r="A2000" s="8" t="str">
        <x:v>Mcgregor Reservoir</x:v>
      </x:c>
      <x:c r="B2000" s="8" t="str">
        <x:v>5275</x:v>
      </x:c>
      <x:c r="C2000" s="17" t="n">
        <x:v>2021</x:v>
      </x:c>
      <x:c r="D2000" s="18" t="n">
        <x:v>44461</x:v>
      </x:c>
      <x:c r="E2000" s="8" t="str">
        <x:v>WALLEYE</x:v>
      </x:c>
      <x:c r="F2000" s="13" t="n">
        <x:v>874</x:v>
      </x:c>
      <x:c r="G2000" s="9" t="n">
        <x:v>15.3</x:v>
      </x:c>
      <x:c r="H2000" s="9" t="n">
        <x:v>34.4</x:v>
      </x:c>
      <x:c r="I2000" s="8" t="str">
        <x:f>B2000&amp;" / "&amp;C2000&amp;" / "&amp;E2000</x:f>
        <x:v>5275 / 2021 / WALLEYE</x:v>
      </x:c>
    </x:row>
    <x:row r="2001" ht="23" customHeight="1">
      <x:c r="A2001" s="8" t="str">
        <x:v>Mcgregor Reservoir</x:v>
      </x:c>
      <x:c r="B2001" s="8" t="str">
        <x:v>5275</x:v>
      </x:c>
      <x:c r="C2001" s="17" t="n">
        <x:v>2021</x:v>
      </x:c>
      <x:c r="D2001" s="18" t="n">
        <x:v>44461</x:v>
      </x:c>
      <x:c r="E2001" s="8" t="str">
        <x:v>WALLEYE</x:v>
      </x:c>
      <x:c r="F2001" s="13" t="n">
        <x:v>1466</x:v>
      </x:c>
      <x:c r="G2001" s="9" t="n">
        <x:v>12.9</x:v>
      </x:c>
      <x:c r="H2001" s="9" t="n">
        <x:v>11.5</x:v>
      </x:c>
      <x:c r="I2001" s="8" t="str">
        <x:f>B2001&amp;" / "&amp;C2001&amp;" / "&amp;E2001</x:f>
        <x:v>5275 / 2021 / WALLEYE</x:v>
      </x:c>
    </x:row>
    <x:row r="2002" ht="23" customHeight="1">
      <x:c r="A2002" s="8" t="str">
        <x:v>Mcgregor Reservoir</x:v>
      </x:c>
      <x:c r="B2002" s="8" t="str">
        <x:v>5275</x:v>
      </x:c>
      <x:c r="C2002" s="17" t="n">
        <x:v>2021</x:v>
      </x:c>
      <x:c r="D2002" s="18" t="n">
        <x:v>44341</x:v>
      </x:c>
      <x:c r="E2002" s="8" t="str">
        <x:v>WALLEYE</x:v>
      </x:c>
      <x:c r="F2002" s="13" t="n">
        <x:v>634440</x:v>
      </x:c>
      <x:c r="G2002" s="9" t="n">
        <x:v>0.4</x:v>
      </x:c>
      <x:c r="H2002" s="9" t="str">
        <x:v>Unknown</x:v>
      </x:c>
      <x:c r="I2002" s="8" t="str">
        <x:f>B2002&amp;" / "&amp;C2002&amp;" / "&amp;E2002</x:f>
        <x:v>5275 / 2021 / WALLEYE</x:v>
      </x:c>
    </x:row>
    <x:row r="2003" ht="23" customHeight="1">
      <x:c r="A2003" s="8" t="str">
        <x:v>McLaren's Reservoir</x:v>
      </x:c>
      <x:c r="B2003" s="8" t="str">
        <x:v>6755</x:v>
      </x:c>
      <x:c r="C2003" s="17" t="n">
        <x:v>2026</x:v>
      </x:c>
      <x:c r="D2003" s="18" t="n">
        <x:v>46141</x:v>
      </x:c>
      <x:c r="E2003" s="8" t="str">
        <x:v>RAINBOW TROUT</x:v>
      </x:c>
      <x:c r="F2003" s="13" t="n">
        <x:v>1400</x:v>
      </x:c>
      <x:c r="G2003" s="9" t="n">
        <x:v>26.2</x:v>
      </x:c>
      <x:c r="H2003" s="9" t="n">
        <x:v>199.1</x:v>
      </x:c>
      <x:c r="I2003" s="8" t="str">
        <x:f>B2003&amp;" / "&amp;C2003&amp;" / "&amp;E2003</x:f>
        <x:v>6755 / 2026 / RAINBOW TROUT</x:v>
      </x:c>
    </x:row>
    <x:row r="2004" ht="23" customHeight="1">
      <x:c r="A2004" s="8" t="str">
        <x:v>McLaren's Reservoir</x:v>
      </x:c>
      <x:c r="B2004" s="8" t="str">
        <x:v>6755</x:v>
      </x:c>
      <x:c r="C2004" s="17" t="n">
        <x:v>2026</x:v>
      </x:c>
      <x:c r="D2004" s="18" t="n">
        <x:v>46140</x:v>
      </x:c>
      <x:c r="E2004" s="8" t="str">
        <x:v>RAINBOW TROUT</x:v>
      </x:c>
      <x:c r="F2004" s="13" t="n">
        <x:v>4200</x:v>
      </x:c>
      <x:c r="G2004" s="9" t="n">
        <x:v>20.3</x:v>
      </x:c>
      <x:c r="H2004" s="9" t="n">
        <x:v>90.8</x:v>
      </x:c>
      <x:c r="I2004" s="8" t="str">
        <x:f>B2004&amp;" / "&amp;C2004&amp;" / "&amp;E2004</x:f>
        <x:v>6755 / 2026 / RAINBOW TROUT</x:v>
      </x:c>
    </x:row>
    <x:row r="2005" ht="23" customHeight="1">
      <x:c r="A2005" s="8" t="str">
        <x:v>McLaren's Reservoir</x:v>
      </x:c>
      <x:c r="B2005" s="8" t="str">
        <x:v>6755</x:v>
      </x:c>
      <x:c r="C2005" s="17" t="n">
        <x:v>2025</x:v>
      </x:c>
      <x:c r="D2005" s="18" t="n">
        <x:v>45770</x:v>
      </x:c>
      <x:c r="E2005" s="8" t="str">
        <x:v>RAINBOW TROUT</x:v>
      </x:c>
      <x:c r="F2005" s="13" t="n">
        <x:v>1400</x:v>
      </x:c>
      <x:c r="G2005" s="9" t="n">
        <x:v>22.9</x:v>
      </x:c>
      <x:c r="H2005" s="9" t="n">
        <x:v>132.3</x:v>
      </x:c>
      <x:c r="I2005" s="8" t="str">
        <x:f>B2005&amp;" / "&amp;C2005&amp;" / "&amp;E2005</x:f>
        <x:v>6755 / 2025 / RAINBOW TROUT</x:v>
      </x:c>
    </x:row>
    <x:row r="2006" ht="23" customHeight="1">
      <x:c r="A2006" s="8" t="str">
        <x:v>McLaren's Reservoir</x:v>
      </x:c>
      <x:c r="B2006" s="8" t="str">
        <x:v>6755</x:v>
      </x:c>
      <x:c r="C2006" s="17" t="n">
        <x:v>2025</x:v>
      </x:c>
      <x:c r="D2006" s="18" t="n">
        <x:v>45769</x:v>
      </x:c>
      <x:c r="E2006" s="8" t="str">
        <x:v>RAINBOW TROUT</x:v>
      </x:c>
      <x:c r="F2006" s="13" t="n">
        <x:v>4200</x:v>
      </x:c>
      <x:c r="G2006" s="9" t="n">
        <x:v>20.6</x:v>
      </x:c>
      <x:c r="H2006" s="9" t="n">
        <x:v>93.8</x:v>
      </x:c>
      <x:c r="I2006" s="8" t="str">
        <x:f>B2006&amp;" / "&amp;C2006&amp;" / "&amp;E2006</x:f>
        <x:v>6755 / 2025 / RAINBOW TROUT</x:v>
      </x:c>
    </x:row>
    <x:row r="2007" ht="23" customHeight="1">
      <x:c r="A2007" s="8" t="str">
        <x:v>McLaren's Reservoir</x:v>
      </x:c>
      <x:c r="B2007" s="8" t="str">
        <x:v>6755</x:v>
      </x:c>
      <x:c r="C2007" s="17" t="n">
        <x:v>2024</x:v>
      </x:c>
      <x:c r="D2007" s="18" t="n">
        <x:v>45437</x:v>
      </x:c>
      <x:c r="E2007" s="8" t="str">
        <x:v>RAINBOW TROUT</x:v>
      </x:c>
      <x:c r="F2007" s="13" t="n">
        <x:v>1352</x:v>
      </x:c>
      <x:c r="G2007" s="9" t="n">
        <x:v>20.7</x:v>
      </x:c>
      <x:c r="H2007" s="9" t="n">
        <x:v>96</x:v>
      </x:c>
      <x:c r="I2007" s="8" t="str">
        <x:f>B2007&amp;" / "&amp;C2007&amp;" / "&amp;E2007</x:f>
        <x:v>6755 / 2024 / RAINBOW TROUT</x:v>
      </x:c>
    </x:row>
    <x:row r="2008" ht="23" customHeight="1">
      <x:c r="A2008" s="8" t="str">
        <x:v>McLaren's Reservoir</x:v>
      </x:c>
      <x:c r="B2008" s="8" t="str">
        <x:v>6755</x:v>
      </x:c>
      <x:c r="C2008" s="17" t="n">
        <x:v>2024</x:v>
      </x:c>
      <x:c r="D2008" s="18" t="n">
        <x:v>45437</x:v>
      </x:c>
      <x:c r="E2008" s="8" t="str">
        <x:v>RAINBOW TROUT</x:v>
      </x:c>
      <x:c r="F2008" s="13" t="n">
        <x:v>2008</x:v>
      </x:c>
      <x:c r="G2008" s="9" t="n">
        <x:v>20.5</x:v>
      </x:c>
      <x:c r="H2008" s="9" t="n">
        <x:v>92.7</x:v>
      </x:c>
      <x:c r="I2008" s="8" t="str">
        <x:f>B2008&amp;" / "&amp;C2008&amp;" / "&amp;E2008</x:f>
        <x:v>6755 / 2024 / RAINBOW TROUT</x:v>
      </x:c>
    </x:row>
    <x:row r="2009" ht="23" customHeight="1">
      <x:c r="A2009" s="8" t="str">
        <x:v>McLaren's Reservoir</x:v>
      </x:c>
      <x:c r="B2009" s="8" t="str">
        <x:v>6755</x:v>
      </x:c>
      <x:c r="C2009" s="17" t="n">
        <x:v>2023</x:v>
      </x:c>
      <x:c r="D2009" s="18" t="n">
        <x:v>45046</x:v>
      </x:c>
      <x:c r="E2009" s="8" t="str">
        <x:v>RAINBOW TROUT</x:v>
      </x:c>
      <x:c r="F2009" s="13" t="n">
        <x:v>2811</x:v>
      </x:c>
      <x:c r="G2009" s="9" t="n">
        <x:v>20.3</x:v>
      </x:c>
      <x:c r="H2009" s="9" t="n">
        <x:v>90.2</x:v>
      </x:c>
      <x:c r="I2009" s="8" t="str">
        <x:f>B2009&amp;" / "&amp;C2009&amp;" / "&amp;E2009</x:f>
        <x:v>6755 / 2023 / RAINBOW TROUT</x:v>
      </x:c>
    </x:row>
    <x:row r="2010" ht="23" customHeight="1">
      <x:c r="A2010" s="8" t="str">
        <x:v>McLaren's Reservoir</x:v>
      </x:c>
      <x:c r="B2010" s="8" t="str">
        <x:v>6755</x:v>
      </x:c>
      <x:c r="C2010" s="17" t="n">
        <x:v>2022</x:v>
      </x:c>
      <x:c r="D2010" s="18" t="n">
        <x:v>44682</x:v>
      </x:c>
      <x:c r="E2010" s="8" t="str">
        <x:v>RAINBOW TROUT</x:v>
      </x:c>
      <x:c r="F2010" s="13" t="n">
        <x:v>5600</x:v>
      </x:c>
      <x:c r="G2010" s="9" t="n">
        <x:v>20.7</x:v>
      </x:c>
      <x:c r="H2010" s="9" t="n">
        <x:v>97</x:v>
      </x:c>
      <x:c r="I2010" s="8" t="str">
        <x:f>B2010&amp;" / "&amp;C2010&amp;" / "&amp;E2010</x:f>
        <x:v>6755 / 2022 / RAINBOW TROUT</x:v>
      </x:c>
    </x:row>
    <x:row r="2011" ht="23" customHeight="1">
      <x:c r="A2011" s="8" t="str">
        <x:v>McLaren's Reservoir</x:v>
      </x:c>
      <x:c r="B2011" s="8" t="str">
        <x:v>6755</x:v>
      </x:c>
      <x:c r="C2011" s="17" t="n">
        <x:v>2021</x:v>
      </x:c>
      <x:c r="D2011" s="18" t="n">
        <x:v>44312</x:v>
      </x:c>
      <x:c r="E2011" s="8" t="str">
        <x:v>RAINBOW TROUT</x:v>
      </x:c>
      <x:c r="F2011" s="13" t="n">
        <x:v>50</x:v>
      </x:c>
      <x:c r="G2011" s="9" t="n">
        <x:v>30</x:v>
      </x:c>
      <x:c r="H2011" s="9" t="n">
        <x:v>410</x:v>
      </x:c>
      <x:c r="I2011" s="8" t="str">
        <x:f>B2011&amp;" / "&amp;C2011&amp;" / "&amp;E2011</x:f>
        <x:v>6755 / 2021 / RAINBOW TROUT</x:v>
      </x:c>
    </x:row>
    <x:row r="2012" ht="23" customHeight="1">
      <x:c r="A2012" s="8" t="str">
        <x:v>McLaren's Reservoir</x:v>
      </x:c>
      <x:c r="B2012" s="8" t="str">
        <x:v>6755</x:v>
      </x:c>
      <x:c r="C2012" s="17" t="n">
        <x:v>2021</x:v>
      </x:c>
      <x:c r="D2012" s="18" t="n">
        <x:v>44301</x:v>
      </x:c>
      <x:c r="E2012" s="8" t="str">
        <x:v>RAINBOW TROUT</x:v>
      </x:c>
      <x:c r="F2012" s="13" t="n">
        <x:v>5600</x:v>
      </x:c>
      <x:c r="G2012" s="9" t="n">
        <x:v>20.7</x:v>
      </x:c>
      <x:c r="H2012" s="9" t="n">
        <x:v>98.1</x:v>
      </x:c>
      <x:c r="I2012" s="8" t="str">
        <x:f>B2012&amp;" / "&amp;C2012&amp;" / "&amp;E2012</x:f>
        <x:v>6755 / 2021 / RAINBOW TROUT</x:v>
      </x:c>
    </x:row>
    <x:row r="2013" ht="23" customHeight="1">
      <x:c r="A2013" s="8" t="str">
        <x:v>McLean Pond</x:v>
      </x:c>
      <x:c r="B2013" s="8" t="str">
        <x:v>3522</x:v>
      </x:c>
      <x:c r="C2013" s="17" t="n">
        <x:v>2026</x:v>
      </x:c>
      <x:c r="D2013" s="18" t="n">
        <x:v>46225</x:v>
      </x:c>
      <x:c r="E2013" s="8" t="str">
        <x:v>WESTSLOPE CUTTHROAT TROUT</x:v>
      </x:c>
      <x:c r="F2013" s="13" t="n">
        <x:v>2300</x:v>
      </x:c>
      <x:c r="G2013" s="9" t="n">
        <x:v>14.3</x:v>
      </x:c>
      <x:c r="H2013" s="9" t="n">
        <x:v>31.6</x:v>
      </x:c>
      <x:c r="I2013" s="8" t="str">
        <x:f>B2013&amp;" / "&amp;C2013&amp;" / "&amp;E2013</x:f>
        <x:v>3522 / 2026 / WESTSLOPE CUTTHROAT TROUT</x:v>
      </x:c>
    </x:row>
    <x:row r="2014" ht="23" customHeight="1">
      <x:c r="A2014" s="8" t="str">
        <x:v>McLean Pond</x:v>
      </x:c>
      <x:c r="B2014" s="8" t="str">
        <x:v>3522</x:v>
      </x:c>
      <x:c r="C2014" s="17" t="n">
        <x:v>2026</x:v>
      </x:c>
      <x:c r="D2014" s="18" t="n">
        <x:v>46156</x:v>
      </x:c>
      <x:c r="E2014" s="8" t="str">
        <x:v>WESTSLOPE CUTTHROAT TROUT</x:v>
      </x:c>
      <x:c r="F2014" s="13" t="n">
        <x:v>2300</x:v>
      </x:c>
      <x:c r="G2014" s="9" t="n">
        <x:v>14.2</x:v>
      </x:c>
      <x:c r="H2014" s="9" t="n">
        <x:v>31</x:v>
      </x:c>
      <x:c r="I2014" s="8" t="str">
        <x:f>B2014&amp;" / "&amp;C2014&amp;" / "&amp;E2014</x:f>
        <x:v>3522 / 2026 / WESTSLOPE CUTTHROAT TROUT</x:v>
      </x:c>
    </x:row>
    <x:row r="2015" ht="23" customHeight="1">
      <x:c r="A2015" s="8" t="str">
        <x:v>McLean Pond</x:v>
      </x:c>
      <x:c r="B2015" s="8" t="str">
        <x:v>3522</x:v>
      </x:c>
      <x:c r="C2015" s="17" t="n">
        <x:v>2025</x:v>
      </x:c>
      <x:c r="D2015" s="18" t="n">
        <x:v>45868</x:v>
      </x:c>
      <x:c r="E2015" s="8" t="str">
        <x:v>CUTTHROAT TROUT</x:v>
      </x:c>
      <x:c r="F2015" s="13" t="n">
        <x:v>2300</x:v>
      </x:c>
      <x:c r="G2015" s="9" t="n">
        <x:v>17.5</x:v>
      </x:c>
      <x:c r="H2015" s="9" t="n">
        <x:v>57.7</x:v>
      </x:c>
      <x:c r="I2015" s="8" t="str">
        <x:f>B2015&amp;" / "&amp;C2015&amp;" / "&amp;E2015</x:f>
        <x:v>3522 / 2025 / CUTTHROAT TROUT</x:v>
      </x:c>
    </x:row>
    <x:row r="2016" ht="23" customHeight="1">
      <x:c r="A2016" s="8" t="str">
        <x:v>McLean Pond</x:v>
      </x:c>
      <x:c r="B2016" s="8" t="str">
        <x:v>3522</x:v>
      </x:c>
      <x:c r="C2016" s="17" t="n">
        <x:v>2025</x:v>
      </x:c>
      <x:c r="D2016" s="18" t="n">
        <x:v>45831</x:v>
      </x:c>
      <x:c r="E2016" s="8" t="str">
        <x:v>CUTTHROAT TROUT</x:v>
      </x:c>
      <x:c r="F2016" s="13" t="n">
        <x:v>200</x:v>
      </x:c>
      <x:c r="G2016" s="9" t="n">
        <x:v>37.8</x:v>
      </x:c>
      <x:c r="H2016" s="9" t="n">
        <x:v>583</x:v>
      </x:c>
      <x:c r="I2016" s="8" t="str">
        <x:f>B2016&amp;" / "&amp;C2016&amp;" / "&amp;E2016</x:f>
        <x:v>3522 / 2025 / CUTTHROAT TROUT</x:v>
      </x:c>
    </x:row>
    <x:row r="2017" ht="23" customHeight="1">
      <x:c r="A2017" s="8" t="str">
        <x:v>McLean Pond</x:v>
      </x:c>
      <x:c r="B2017" s="8" t="str">
        <x:v>3522</x:v>
      </x:c>
      <x:c r="C2017" s="17" t="n">
        <x:v>2025</x:v>
      </x:c>
      <x:c r="D2017" s="18" t="n">
        <x:v>45792</x:v>
      </x:c>
      <x:c r="E2017" s="8" t="str">
        <x:v>CUTTHROAT TROUT</x:v>
      </x:c>
      <x:c r="F2017" s="13" t="n">
        <x:v>2300</x:v>
      </x:c>
      <x:c r="G2017" s="9" t="n">
        <x:v>13.2</x:v>
      </x:c>
      <x:c r="H2017" s="9" t="n">
        <x:v>24.7</x:v>
      </x:c>
      <x:c r="I2017" s="8" t="str">
        <x:f>B2017&amp;" / "&amp;C2017&amp;" / "&amp;E2017</x:f>
        <x:v>3522 / 2025 / CUTTHROAT TROUT</x:v>
      </x:c>
    </x:row>
    <x:row r="2018" ht="23" customHeight="1">
      <x:c r="A2018" s="8" t="str">
        <x:v>McLean Pond</x:v>
      </x:c>
      <x:c r="B2018" s="8" t="str">
        <x:v>3522</x:v>
      </x:c>
      <x:c r="C2018" s="17" t="n">
        <x:v>2024</x:v>
      </x:c>
      <x:c r="D2018" s="18" t="n">
        <x:v>45457</x:v>
      </x:c>
      <x:c r="E2018" s="8" t="str">
        <x:v>RAINBOW TROUT</x:v>
      </x:c>
      <x:c r="F2018" s="13" t="n">
        <x:v>3500</x:v>
      </x:c>
      <x:c r="G2018" s="9" t="n">
        <x:v>21.5</x:v>
      </x:c>
      <x:c r="H2018" s="9" t="n">
        <x:v>108</x:v>
      </x:c>
      <x:c r="I2018" s="8" t="str">
        <x:f>B2018&amp;" / "&amp;C2018&amp;" / "&amp;E2018</x:f>
        <x:v>3522 / 2024 / RAINBOW TROUT</x:v>
      </x:c>
    </x:row>
    <x:row r="2019" ht="23" customHeight="1">
      <x:c r="A2019" s="8" t="str">
        <x:v>McLean Pond</x:v>
      </x:c>
      <x:c r="B2019" s="8" t="str">
        <x:v>3522</x:v>
      </x:c>
      <x:c r="C2019" s="17" t="n">
        <x:v>2024</x:v>
      </x:c>
      <x:c r="D2019" s="18" t="n">
        <x:v>45425</x:v>
      </x:c>
      <x:c r="E2019" s="8" t="str">
        <x:v>RAINBOW TROUT</x:v>
      </x:c>
      <x:c r="F2019" s="13" t="n">
        <x:v>1807</x:v>
      </x:c>
      <x:c r="G2019" s="9" t="n">
        <x:v>23.2</x:v>
      </x:c>
      <x:c r="H2019" s="9" t="n">
        <x:v>134</x:v>
      </x:c>
      <x:c r="I2019" s="8" t="str">
        <x:f>B2019&amp;" / "&amp;C2019&amp;" / "&amp;E2019</x:f>
        <x:v>3522 / 2024 / RAINBOW TROUT</x:v>
      </x:c>
    </x:row>
    <x:row r="2020" ht="23" customHeight="1">
      <x:c r="A2020" s="8" t="str">
        <x:v>McLean Pond</x:v>
      </x:c>
      <x:c r="B2020" s="8" t="str">
        <x:v>3522</x:v>
      </x:c>
      <x:c r="C2020" s="17" t="n">
        <x:v>2023</x:v>
      </x:c>
      <x:c r="D2020" s="18" t="n">
        <x:v>45089</x:v>
      </x:c>
      <x:c r="E2020" s="8" t="str">
        <x:v>RAINBOW TROUT</x:v>
      </x:c>
      <x:c r="F2020" s="13" t="n">
        <x:v>2750</x:v>
      </x:c>
      <x:c r="G2020" s="9" t="n">
        <x:v>21.3</x:v>
      </x:c>
      <x:c r="H2020" s="9" t="n">
        <x:v>105</x:v>
      </x:c>
      <x:c r="I2020" s="8" t="str">
        <x:f>B2020&amp;" / "&amp;C2020&amp;" / "&amp;E2020</x:f>
        <x:v>3522 / 2023 / RAINBOW TROUT</x:v>
      </x:c>
    </x:row>
    <x:row r="2021" ht="23" customHeight="1">
      <x:c r="A2021" s="8" t="str">
        <x:v>McLean Pond</x:v>
      </x:c>
      <x:c r="B2021" s="8" t="str">
        <x:v>3522</x:v>
      </x:c>
      <x:c r="C2021" s="17" t="n">
        <x:v>2023</x:v>
      </x:c>
      <x:c r="D2021" s="18" t="n">
        <x:v>45064</x:v>
      </x:c>
      <x:c r="E2021" s="8" t="str">
        <x:v>RAINBOW TROUT</x:v>
      </x:c>
      <x:c r="F2021" s="13" t="n">
        <x:v>1807</x:v>
      </x:c>
      <x:c r="G2021" s="9" t="n">
        <x:v>21.8</x:v>
      </x:c>
      <x:c r="H2021" s="9" t="n">
        <x:v>112</x:v>
      </x:c>
      <x:c r="I2021" s="8" t="str">
        <x:f>B2021&amp;" / "&amp;C2021&amp;" / "&amp;E2021</x:f>
        <x:v>3522 / 2023 / RAINBOW TROUT</x:v>
      </x:c>
    </x:row>
    <x:row r="2022" ht="23" customHeight="1">
      <x:c r="A2022" s="8" t="str">
        <x:v>McLean Pond</x:v>
      </x:c>
      <x:c r="B2022" s="8" t="str">
        <x:v>3522</x:v>
      </x:c>
      <x:c r="C2022" s="17" t="n">
        <x:v>2022</x:v>
      </x:c>
      <x:c r="D2022" s="18" t="n">
        <x:v>44732</x:v>
      </x:c>
      <x:c r="E2022" s="8" t="str">
        <x:v>RAINBOW TROUT</x:v>
      </x:c>
      <x:c r="F2022" s="13" t="n">
        <x:v>3500</x:v>
      </x:c>
      <x:c r="G2022" s="9" t="n">
        <x:v>21.8</x:v>
      </x:c>
      <x:c r="H2022" s="9" t="n">
        <x:v>112.9</x:v>
      </x:c>
      <x:c r="I2022" s="8" t="str">
        <x:f>B2022&amp;" / "&amp;C2022&amp;" / "&amp;E2022</x:f>
        <x:v>3522 / 2022 / RAINBOW TROUT</x:v>
      </x:c>
    </x:row>
    <x:row r="2023" ht="23" customHeight="1">
      <x:c r="A2023" s="8" t="str">
        <x:v>McLean Pond</x:v>
      </x:c>
      <x:c r="B2023" s="8" t="str">
        <x:v>3522</x:v>
      </x:c>
      <x:c r="C2023" s="17" t="n">
        <x:v>2022</x:v>
      </x:c>
      <x:c r="D2023" s="18" t="n">
        <x:v>44693</x:v>
      </x:c>
      <x:c r="E2023" s="8" t="str">
        <x:v>RAINBOW TROUT</x:v>
      </x:c>
      <x:c r="F2023" s="13" t="n">
        <x:v>3600</x:v>
      </x:c>
      <x:c r="G2023" s="9" t="n">
        <x:v>21.6</x:v>
      </x:c>
      <x:c r="H2023" s="9" t="n">
        <x:v>110.5</x:v>
      </x:c>
      <x:c r="I2023" s="8" t="str">
        <x:f>B2023&amp;" / "&amp;C2023&amp;" / "&amp;E2023</x:f>
        <x:v>3522 / 2022 / RAINBOW TROUT</x:v>
      </x:c>
    </x:row>
    <x:row r="2024" ht="23" customHeight="1">
      <x:c r="A2024" s="8" t="str">
        <x:v>McLean Pond</x:v>
      </x:c>
      <x:c r="B2024" s="8" t="str">
        <x:v>3522</x:v>
      </x:c>
      <x:c r="C2024" s="17" t="n">
        <x:v>2021</x:v>
      </x:c>
      <x:c r="D2024" s="18" t="n">
        <x:v>44369</x:v>
      </x:c>
      <x:c r="E2024" s="8" t="str">
        <x:v>RAINBOW TROUT</x:v>
      </x:c>
      <x:c r="F2024" s="13" t="n">
        <x:v>3500</x:v>
      </x:c>
      <x:c r="G2024" s="9" t="n">
        <x:v>23.1</x:v>
      </x:c>
      <x:c r="H2024" s="9" t="n">
        <x:v>137.1</x:v>
      </x:c>
      <x:c r="I2024" s="8" t="str">
        <x:f>B2024&amp;" / "&amp;C2024&amp;" / "&amp;E2024</x:f>
        <x:v>3522 / 2021 / RAINBOW TROUT</x:v>
      </x:c>
    </x:row>
    <x:row r="2025" ht="23" customHeight="1">
      <x:c r="A2025" s="8" t="str">
        <x:v>McLean Pond</x:v>
      </x:c>
      <x:c r="B2025" s="8" t="str">
        <x:v>3522</x:v>
      </x:c>
      <x:c r="C2025" s="17" t="n">
        <x:v>2021</x:v>
      </x:c>
      <x:c r="D2025" s="18" t="n">
        <x:v>44328</x:v>
      </x:c>
      <x:c r="E2025" s="8" t="str">
        <x:v>RAINBOW TROUT</x:v>
      </x:c>
      <x:c r="F2025" s="13" t="n">
        <x:v>3600</x:v>
      </x:c>
      <x:c r="G2025" s="9" t="n">
        <x:v>22.5</x:v>
      </x:c>
      <x:c r="H2025" s="9" t="n">
        <x:v>125.9</x:v>
      </x:c>
      <x:c r="I2025" s="8" t="str">
        <x:f>B2025&amp;" / "&amp;C2025&amp;" / "&amp;E2025</x:f>
        <x:v>3522 / 2021 / RAINBOW TROUT</x:v>
      </x:c>
    </x:row>
    <x:row r="2026" ht="23" customHeight="1">
      <x:c r="A2026" s="8" t="str">
        <x:v>McQuillan Reservoir</x:v>
      </x:c>
      <x:c r="B2026" s="8" t="str">
        <x:v>6757</x:v>
      </x:c>
      <x:c r="C2026" s="17" t="n">
        <x:v>2026</x:v>
      </x:c>
      <x:c r="D2026" s="18" t="n">
        <x:v>46133</x:v>
      </x:c>
      <x:c r="E2026" s="8" t="str">
        <x:v>RAINBOW TROUT</x:v>
      </x:c>
      <x:c r="F2026" s="13" t="n">
        <x:v>2000</x:v>
      </x:c>
      <x:c r="G2026" s="9" t="n">
        <x:v>24.5</x:v>
      </x:c>
      <x:c r="H2026" s="9" t="n">
        <x:v>163.2</x:v>
      </x:c>
      <x:c r="I2026" s="8" t="str">
        <x:f>B2026&amp;" / "&amp;C2026&amp;" / "&amp;E2026</x:f>
        <x:v>6757 / 2026 / RAINBOW TROUT</x:v>
      </x:c>
    </x:row>
    <x:row r="2027" ht="23" customHeight="1">
      <x:c r="A2027" s="8" t="str">
        <x:v>McQuillan Reservoir</x:v>
      </x:c>
      <x:c r="B2027" s="8" t="str">
        <x:v>6757</x:v>
      </x:c>
      <x:c r="C2027" s="17" t="n">
        <x:v>2025</x:v>
      </x:c>
      <x:c r="D2027" s="18" t="n">
        <x:v>45811</x:v>
      </x:c>
      <x:c r="E2027" s="8" t="str">
        <x:v>RAINBOW TROUT</x:v>
      </x:c>
      <x:c r="F2027" s="13" t="n">
        <x:v>1400</x:v>
      </x:c>
      <x:c r="G2027" s="9" t="n">
        <x:v>20.6</x:v>
      </x:c>
      <x:c r="H2027" s="9" t="n">
        <x:v>89.1</x:v>
      </x:c>
      <x:c r="I2027" s="8" t="str">
        <x:f>B2027&amp;" / "&amp;C2027&amp;" / "&amp;E2027</x:f>
        <x:v>6757 / 2025 / RAINBOW TROUT</x:v>
      </x:c>
    </x:row>
    <x:row r="2028" ht="23" customHeight="1">
      <x:c r="A2028" s="8" t="str">
        <x:v>McQuillan Reservoir</x:v>
      </x:c>
      <x:c r="B2028" s="8" t="str">
        <x:v>6757</x:v>
      </x:c>
      <x:c r="C2028" s="17" t="n">
        <x:v>2025</x:v>
      </x:c>
      <x:c r="D2028" s="18" t="n">
        <x:v>45761</x:v>
      </x:c>
      <x:c r="E2028" s="8" t="str">
        <x:v>RAINBOW TROUT</x:v>
      </x:c>
      <x:c r="F2028" s="13" t="n">
        <x:v>1900</x:v>
      </x:c>
      <x:c r="G2028" s="9" t="n">
        <x:v>22.7</x:v>
      </x:c>
      <x:c r="H2028" s="9" t="n">
        <x:v>129.1</x:v>
      </x:c>
      <x:c r="I2028" s="8" t="str">
        <x:f>B2028&amp;" / "&amp;C2028&amp;" / "&amp;E2028</x:f>
        <x:v>6757 / 2025 / RAINBOW TROUT</x:v>
      </x:c>
    </x:row>
    <x:row r="2029" ht="23" customHeight="1">
      <x:c r="A2029" s="8" t="str">
        <x:v>McQuillan Reservoir</x:v>
      </x:c>
      <x:c r="B2029" s="8" t="str">
        <x:v>6757</x:v>
      </x:c>
      <x:c r="C2029" s="17" t="n">
        <x:v>2024</x:v>
      </x:c>
      <x:c r="D2029" s="18" t="n">
        <x:v>45453</x:v>
      </x:c>
      <x:c r="E2029" s="8" t="str">
        <x:v>RAINBOW TROUT</x:v>
      </x:c>
      <x:c r="F2029" s="13" t="n">
        <x:v>1400</x:v>
      </x:c>
      <x:c r="G2029" s="9" t="n">
        <x:v>21.6</x:v>
      </x:c>
      <x:c r="H2029" s="9" t="n">
        <x:v>88.5</x:v>
      </x:c>
      <x:c r="I2029" s="8" t="str">
        <x:f>B2029&amp;" / "&amp;C2029&amp;" / "&amp;E2029</x:f>
        <x:v>6757 / 2024 / RAINBOW TROUT</x:v>
      </x:c>
    </x:row>
    <x:row r="2030" ht="23" customHeight="1">
      <x:c r="A2030" s="8" t="str">
        <x:v>McQuillan Reservoir</x:v>
      </x:c>
      <x:c r="B2030" s="8" t="str">
        <x:v>6757</x:v>
      </x:c>
      <x:c r="C2030" s="17" t="n">
        <x:v>2024</x:v>
      </x:c>
      <x:c r="D2030" s="18" t="n">
        <x:v>45392</x:v>
      </x:c>
      <x:c r="E2030" s="8" t="str">
        <x:v>RAINBOW TROUT</x:v>
      </x:c>
      <x:c r="F2030" s="13" t="n">
        <x:v>1900</x:v>
      </x:c>
      <x:c r="G2030" s="9" t="n">
        <x:v>19.9</x:v>
      </x:c>
      <x:c r="H2030" s="9" t="n">
        <x:v>85.6</x:v>
      </x:c>
      <x:c r="I2030" s="8" t="str">
        <x:f>B2030&amp;" / "&amp;C2030&amp;" / "&amp;E2030</x:f>
        <x:v>6757 / 2024 / RAINBOW TROUT</x:v>
      </x:c>
    </x:row>
    <x:row r="2031" ht="23" customHeight="1">
      <x:c r="A2031" s="8" t="str">
        <x:v>McQuillan Reservoir</x:v>
      </x:c>
      <x:c r="B2031" s="8" t="str">
        <x:v>6757</x:v>
      </x:c>
      <x:c r="C2031" s="17" t="n">
        <x:v>2023</x:v>
      </x:c>
      <x:c r="D2031" s="18" t="n">
        <x:v>45076</x:v>
      </x:c>
      <x:c r="E2031" s="8" t="str">
        <x:v>RAINBOW TROUT</x:v>
      </x:c>
      <x:c r="F2031" s="13" t="n">
        <x:v>1575</x:v>
      </x:c>
      <x:c r="G2031" s="9" t="n">
        <x:v>20.2</x:v>
      </x:c>
      <x:c r="H2031" s="9" t="n">
        <x:v>90.9</x:v>
      </x:c>
      <x:c r="I2031" s="8" t="str">
        <x:f>B2031&amp;" / "&amp;C2031&amp;" / "&amp;E2031</x:f>
        <x:v>6757 / 2023 / RAINBOW TROUT</x:v>
      </x:c>
    </x:row>
    <x:row r="2032" ht="23" customHeight="1">
      <x:c r="A2032" s="8" t="str">
        <x:v>McQuillan Reservoir</x:v>
      </x:c>
      <x:c r="B2032" s="8" t="str">
        <x:v>6757</x:v>
      </x:c>
      <x:c r="C2032" s="17" t="n">
        <x:v>2023</x:v>
      </x:c>
      <x:c r="D2032" s="18" t="n">
        <x:v>45036</x:v>
      </x:c>
      <x:c r="E2032" s="8" t="str">
        <x:v>RAINBOW TROUT</x:v>
      </x:c>
      <x:c r="F2032" s="13" t="n">
        <x:v>2225</x:v>
      </x:c>
      <x:c r="G2032" s="9" t="n">
        <x:v>21.6</x:v>
      </x:c>
      <x:c r="H2032" s="9" t="n">
        <x:v>112</x:v>
      </x:c>
      <x:c r="I2032" s="8" t="str">
        <x:f>B2032&amp;" / "&amp;C2032&amp;" / "&amp;E2032</x:f>
        <x:v>6757 / 2023 / RAINBOW TROUT</x:v>
      </x:c>
    </x:row>
    <x:row r="2033" ht="23" customHeight="1">
      <x:c r="A2033" s="8" t="str">
        <x:v>McQuillan Reservoir</x:v>
      </x:c>
      <x:c r="B2033" s="8" t="str">
        <x:v>6757</x:v>
      </x:c>
      <x:c r="C2033" s="17" t="n">
        <x:v>2022</x:v>
      </x:c>
      <x:c r="D2033" s="18" t="n">
        <x:v>44726</x:v>
      </x:c>
      <x:c r="E2033" s="8" t="str">
        <x:v>RAINBOW TROUT</x:v>
      </x:c>
      <x:c r="F2033" s="13" t="n">
        <x:v>2800</x:v>
      </x:c>
      <x:c r="G2033" s="9" t="n">
        <x:v>20.6</x:v>
      </x:c>
      <x:c r="H2033" s="9" t="n">
        <x:v>91.5</x:v>
      </x:c>
      <x:c r="I2033" s="8" t="str">
        <x:f>B2033&amp;" / "&amp;C2033&amp;" / "&amp;E2033</x:f>
        <x:v>6757 / 2022 / RAINBOW TROUT</x:v>
      </x:c>
    </x:row>
    <x:row r="2034" ht="23" customHeight="1">
      <x:c r="A2034" s="8" t="str">
        <x:v>McQuillan Reservoir</x:v>
      </x:c>
      <x:c r="B2034" s="8" t="str">
        <x:v>6757</x:v>
      </x:c>
      <x:c r="C2034" s="17" t="n">
        <x:v>2022</x:v>
      </x:c>
      <x:c r="D2034" s="18" t="n">
        <x:v>44657</x:v>
      </x:c>
      <x:c r="E2034" s="8" t="str">
        <x:v>RAINBOW TROUT</x:v>
      </x:c>
      <x:c r="F2034" s="13" t="n">
        <x:v>1000</x:v>
      </x:c>
      <x:c r="G2034" s="9" t="n">
        <x:v>19.1</x:v>
      </x:c>
      <x:c r="H2034" s="9" t="n">
        <x:v>77.4</x:v>
      </x:c>
      <x:c r="I2034" s="8" t="str">
        <x:f>B2034&amp;" / "&amp;C2034&amp;" / "&amp;E2034</x:f>
        <x:v>6757 / 2022 / RAINBOW TROUT</x:v>
      </x:c>
    </x:row>
    <x:row r="2035" ht="23" customHeight="1">
      <x:c r="A2035" s="8" t="str">
        <x:v>McQuillan Reservoir</x:v>
      </x:c>
      <x:c r="B2035" s="8" t="str">
        <x:v>6757</x:v>
      </x:c>
      <x:c r="C2035" s="17" t="n">
        <x:v>2021</x:v>
      </x:c>
      <x:c r="D2035" s="18" t="n">
        <x:v>44300</x:v>
      </x:c>
      <x:c r="E2035" s="8" t="str">
        <x:v>RAINBOW TROUT</x:v>
      </x:c>
      <x:c r="F2035" s="13" t="n">
        <x:v>1900</x:v>
      </x:c>
      <x:c r="G2035" s="9" t="n">
        <x:v>20.4</x:v>
      </x:c>
      <x:c r="H2035" s="9" t="n">
        <x:v>93.3</x:v>
      </x:c>
      <x:c r="I2035" s="8" t="str">
        <x:f>B2035&amp;" / "&amp;C2035&amp;" / "&amp;E2035</x:f>
        <x:v>6757 / 2021 / RAINBOW TROUT</x:v>
      </x:c>
    </x:row>
    <x:row r="2036" ht="23" customHeight="1">
      <x:c r="A2036" s="8" t="str">
        <x:v>McVinnie Reservoir</x:v>
      </x:c>
      <x:c r="B2036" s="8" t="str">
        <x:v>6758</x:v>
      </x:c>
      <x:c r="C2036" s="17" t="n">
        <x:v>2026</x:v>
      </x:c>
      <x:c r="D2036" s="18" t="n">
        <x:v>46133</x:v>
      </x:c>
      <x:c r="E2036" s="8" t="str">
        <x:v>RAINBOW TROUT</x:v>
      </x:c>
      <x:c r="F2036" s="13" t="n">
        <x:v>1155</x:v>
      </x:c>
      <x:c r="G2036" s="9" t="n">
        <x:v>26.2</x:v>
      </x:c>
      <x:c r="H2036" s="9" t="n">
        <x:v>199.1</x:v>
      </x:c>
      <x:c r="I2036" s="8" t="str">
        <x:f>B2036&amp;" / "&amp;C2036&amp;" / "&amp;E2036</x:f>
        <x:v>6758 / 2026 / RAINBOW TROUT</x:v>
      </x:c>
    </x:row>
    <x:row r="2037" ht="23" customHeight="1">
      <x:c r="A2037" s="8" t="str">
        <x:v>McVinnie Reservoir</x:v>
      </x:c>
      <x:c r="B2037" s="8" t="str">
        <x:v>6758</x:v>
      </x:c>
      <x:c r="C2037" s="17" t="n">
        <x:v>2026</x:v>
      </x:c>
      <x:c r="D2037" s="18" t="n">
        <x:v>46132</x:v>
      </x:c>
      <x:c r="E2037" s="8" t="str">
        <x:v>TIGER TROUT</x:v>
      </x:c>
      <x:c r="F2037" s="13" t="n">
        <x:v>400</x:v>
      </x:c>
      <x:c r="G2037" s="9" t="n">
        <x:v>17</x:v>
      </x:c>
      <x:c r="H2037" s="9" t="n">
        <x:v>53.3</x:v>
      </x:c>
      <x:c r="I2037" s="8" t="str">
        <x:f>B2037&amp;" / "&amp;C2037&amp;" / "&amp;E2037</x:f>
        <x:v>6758 / 2026 / TIGER TROUT</x:v>
      </x:c>
    </x:row>
    <x:row r="2038" ht="23" customHeight="1">
      <x:c r="A2038" s="8" t="str">
        <x:v>McVinnie Reservoir</x:v>
      </x:c>
      <x:c r="B2038" s="8" t="str">
        <x:v>6758</x:v>
      </x:c>
      <x:c r="C2038" s="17" t="n">
        <x:v>2025</x:v>
      </x:c>
      <x:c r="D2038" s="18" t="n">
        <x:v>45811</x:v>
      </x:c>
      <x:c r="E2038" s="8" t="str">
        <x:v>RAINBOW TROUT</x:v>
      </x:c>
      <x:c r="F2038" s="13" t="n">
        <x:v>1645</x:v>
      </x:c>
      <x:c r="G2038" s="9" t="n">
        <x:v>20.6</x:v>
      </x:c>
      <x:c r="H2038" s="9" t="n">
        <x:v>89.1</x:v>
      </x:c>
      <x:c r="I2038" s="8" t="str">
        <x:f>B2038&amp;" / "&amp;C2038&amp;" / "&amp;E2038</x:f>
        <x:v>6758 / 2025 / RAINBOW TROUT</x:v>
      </x:c>
    </x:row>
    <x:row r="2039" ht="23" customHeight="1">
      <x:c r="A2039" s="8" t="str">
        <x:v>McVinnie Reservoir</x:v>
      </x:c>
      <x:c r="B2039" s="8" t="str">
        <x:v>6758</x:v>
      </x:c>
      <x:c r="C2039" s="17" t="n">
        <x:v>2025</x:v>
      </x:c>
      <x:c r="D2039" s="18" t="n">
        <x:v>45761</x:v>
      </x:c>
      <x:c r="E2039" s="8" t="str">
        <x:v>RAINBOW TROUT</x:v>
      </x:c>
      <x:c r="F2039" s="13" t="n">
        <x:v>1155</x:v>
      </x:c>
      <x:c r="G2039" s="9" t="n">
        <x:v>22.7</x:v>
      </x:c>
      <x:c r="H2039" s="9" t="n">
        <x:v>129.1</x:v>
      </x:c>
      <x:c r="I2039" s="8" t="str">
        <x:f>B2039&amp;" / "&amp;C2039&amp;" / "&amp;E2039</x:f>
        <x:v>6758 / 2025 / RAINBOW TROUT</x:v>
      </x:c>
    </x:row>
    <x:row r="2040" ht="23" customHeight="1">
      <x:c r="A2040" s="8" t="str">
        <x:v>McVinnie Reservoir</x:v>
      </x:c>
      <x:c r="B2040" s="8" t="str">
        <x:v>6758</x:v>
      </x:c>
      <x:c r="C2040" s="17" t="n">
        <x:v>2025</x:v>
      </x:c>
      <x:c r="D2040" s="18" t="n">
        <x:v>45757</x:v>
      </x:c>
      <x:c r="E2040" s="8" t="str">
        <x:v>TIGER TROUT</x:v>
      </x:c>
      <x:c r="F2040" s="13" t="n">
        <x:v>400</x:v>
      </x:c>
      <x:c r="G2040" s="9" t="n">
        <x:v>19.9</x:v>
      </x:c>
      <x:c r="H2040" s="9" t="n">
        <x:v>85</x:v>
      </x:c>
      <x:c r="I2040" s="8" t="str">
        <x:f>B2040&amp;" / "&amp;C2040&amp;" / "&amp;E2040</x:f>
        <x:v>6758 / 2025 / TIGER TROUT</x:v>
      </x:c>
    </x:row>
    <x:row r="2041" ht="23" customHeight="1">
      <x:c r="A2041" s="8" t="str">
        <x:v>McVinnie Reservoir</x:v>
      </x:c>
      <x:c r="B2041" s="8" t="str">
        <x:v>6758</x:v>
      </x:c>
      <x:c r="C2041" s="17" t="n">
        <x:v>2024</x:v>
      </x:c>
      <x:c r="D2041" s="18" t="n">
        <x:v>45453</x:v>
      </x:c>
      <x:c r="E2041" s="8" t="str">
        <x:v>RAINBOW TROUT</x:v>
      </x:c>
      <x:c r="F2041" s="13" t="n">
        <x:v>1645</x:v>
      </x:c>
      <x:c r="G2041" s="9" t="n">
        <x:v>21.6</x:v>
      </x:c>
      <x:c r="H2041" s="9" t="n">
        <x:v>88.5</x:v>
      </x:c>
      <x:c r="I2041" s="8" t="str">
        <x:f>B2041&amp;" / "&amp;C2041&amp;" / "&amp;E2041</x:f>
        <x:v>6758 / 2024 / RAINBOW TROUT</x:v>
      </x:c>
    </x:row>
    <x:row r="2042" ht="23" customHeight="1">
      <x:c r="A2042" s="8" t="str">
        <x:v>McVinnie Reservoir</x:v>
      </x:c>
      <x:c r="B2042" s="8" t="str">
        <x:v>6758</x:v>
      </x:c>
      <x:c r="C2042" s="17" t="n">
        <x:v>2024</x:v>
      </x:c>
      <x:c r="D2042" s="18" t="n">
        <x:v>45392</x:v>
      </x:c>
      <x:c r="E2042" s="8" t="str">
        <x:v>RAINBOW TROUT</x:v>
      </x:c>
      <x:c r="F2042" s="13" t="n">
        <x:v>1155</x:v>
      </x:c>
      <x:c r="G2042" s="9" t="n">
        <x:v>20</x:v>
      </x:c>
      <x:c r="H2042" s="9" t="n">
        <x:v>86.8</x:v>
      </x:c>
      <x:c r="I2042" s="8" t="str">
        <x:f>B2042&amp;" / "&amp;C2042&amp;" / "&amp;E2042</x:f>
        <x:v>6758 / 2024 / RAINBOW TROUT</x:v>
      </x:c>
    </x:row>
    <x:row r="2043" ht="23" customHeight="1">
      <x:c r="A2043" s="8" t="str">
        <x:v>McVinnie Reservoir</x:v>
      </x:c>
      <x:c r="B2043" s="8" t="str">
        <x:v>6758</x:v>
      </x:c>
      <x:c r="C2043" s="17" t="n">
        <x:v>2024</x:v>
      </x:c>
      <x:c r="D2043" s="18" t="n">
        <x:v>45392</x:v>
      </x:c>
      <x:c r="E2043" s="8" t="str">
        <x:v>TIGER TROUT</x:v>
      </x:c>
      <x:c r="F2043" s="13" t="n">
        <x:v>400</x:v>
      </x:c>
      <x:c r="G2043" s="9" t="n">
        <x:v>20</x:v>
      </x:c>
      <x:c r="H2043" s="9" t="n">
        <x:v>86</x:v>
      </x:c>
      <x:c r="I2043" s="8" t="str">
        <x:f>B2043&amp;" / "&amp;C2043&amp;" / "&amp;E2043</x:f>
        <x:v>6758 / 2024 / TIGER TROUT</x:v>
      </x:c>
    </x:row>
    <x:row r="2044" ht="23" customHeight="1">
      <x:c r="A2044" s="8" t="str">
        <x:v>McVinnie Reservoir</x:v>
      </x:c>
      <x:c r="B2044" s="8" t="str">
        <x:v>6758</x:v>
      </x:c>
      <x:c r="C2044" s="17" t="n">
        <x:v>2023</x:v>
      </x:c>
      <x:c r="D2044" s="18" t="n">
        <x:v>45074</x:v>
      </x:c>
      <x:c r="E2044" s="8" t="str">
        <x:v>RAINBOW TROUT</x:v>
      </x:c>
      <x:c r="F2044" s="13" t="n">
        <x:v>2945</x:v>
      </x:c>
      <x:c r="G2044" s="9" t="n">
        <x:v>20.2</x:v>
      </x:c>
      <x:c r="H2044" s="9" t="n">
        <x:v>90.9</x:v>
      </x:c>
      <x:c r="I2044" s="8" t="str">
        <x:f>B2044&amp;" / "&amp;C2044&amp;" / "&amp;E2044</x:f>
        <x:v>6758 / 2023 / RAINBOW TROUT</x:v>
      </x:c>
    </x:row>
    <x:row r="2045" ht="23" customHeight="1">
      <x:c r="A2045" s="8" t="str">
        <x:v>McVinnie Reservoir</x:v>
      </x:c>
      <x:c r="B2045" s="8" t="str">
        <x:v>6758</x:v>
      </x:c>
      <x:c r="C2045" s="17" t="n">
        <x:v>2023</x:v>
      </x:c>
      <x:c r="D2045" s="18" t="n">
        <x:v>45036</x:v>
      </x:c>
      <x:c r="E2045" s="8" t="str">
        <x:v>RAINBOW TROUT</x:v>
      </x:c>
      <x:c r="F2045" s="13" t="n">
        <x:v>1155</x:v>
      </x:c>
      <x:c r="G2045" s="9" t="n">
        <x:v>21.6</x:v>
      </x:c>
      <x:c r="H2045" s="9" t="n">
        <x:v>112</x:v>
      </x:c>
      <x:c r="I2045" s="8" t="str">
        <x:f>B2045&amp;" / "&amp;C2045&amp;" / "&amp;E2045</x:f>
        <x:v>6758 / 2023 / RAINBOW TROUT</x:v>
      </x:c>
    </x:row>
    <x:row r="2046" ht="23" customHeight="1">
      <x:c r="A2046" s="8" t="str">
        <x:v>McVinnie Reservoir</x:v>
      </x:c>
      <x:c r="B2046" s="8" t="str">
        <x:v>6758</x:v>
      </x:c>
      <x:c r="C2046" s="17" t="n">
        <x:v>2023</x:v>
      </x:c>
      <x:c r="D2046" s="18" t="n">
        <x:v>45036</x:v>
      </x:c>
      <x:c r="E2046" s="8" t="str">
        <x:v>TIGER TROUT</x:v>
      </x:c>
      <x:c r="F2046" s="13" t="n">
        <x:v>400</x:v>
      </x:c>
      <x:c r="G2046" s="9" t="n">
        <x:v>19.3</x:v>
      </x:c>
      <x:c r="H2046" s="9" t="n">
        <x:v>80</x:v>
      </x:c>
      <x:c r="I2046" s="8" t="str">
        <x:f>B2046&amp;" / "&amp;C2046&amp;" / "&amp;E2046</x:f>
        <x:v>6758 / 2023 / TIGER TROUT</x:v>
      </x:c>
    </x:row>
    <x:row r="2047" ht="23" customHeight="1">
      <x:c r="A2047" s="8" t="str">
        <x:v>McVinnie Reservoir</x:v>
      </x:c>
      <x:c r="B2047" s="8" t="str">
        <x:v>6758</x:v>
      </x:c>
      <x:c r="C2047" s="17" t="n">
        <x:v>2022</x:v>
      </x:c>
      <x:c r="D2047" s="18" t="n">
        <x:v>44726</x:v>
      </x:c>
      <x:c r="E2047" s="8" t="str">
        <x:v>RAINBOW TROUT</x:v>
      </x:c>
      <x:c r="F2047" s="13" t="n">
        <x:v>2945</x:v>
      </x:c>
      <x:c r="G2047" s="9" t="n">
        <x:v>20.6</x:v>
      </x:c>
      <x:c r="H2047" s="9" t="n">
        <x:v>91.5</x:v>
      </x:c>
      <x:c r="I2047" s="8" t="str">
        <x:f>B2047&amp;" / "&amp;C2047&amp;" / "&amp;E2047</x:f>
        <x:v>6758 / 2022 / RAINBOW TROUT</x:v>
      </x:c>
    </x:row>
    <x:row r="2048" ht="23" customHeight="1">
      <x:c r="A2048" s="8" t="str">
        <x:v>McVinnie Reservoir</x:v>
      </x:c>
      <x:c r="B2048" s="8" t="str">
        <x:v>6758</x:v>
      </x:c>
      <x:c r="C2048" s="17" t="n">
        <x:v>2022</x:v>
      </x:c>
      <x:c r="D2048" s="18" t="n">
        <x:v>44657</x:v>
      </x:c>
      <x:c r="E2048" s="8" t="str">
        <x:v>RAINBOW TROUT</x:v>
      </x:c>
      <x:c r="F2048" s="13" t="n">
        <x:v>1155</x:v>
      </x:c>
      <x:c r="G2048" s="9" t="n">
        <x:v>19.1</x:v>
      </x:c>
      <x:c r="H2048" s="9" t="n">
        <x:v>77.4</x:v>
      </x:c>
      <x:c r="I2048" s="8" t="str">
        <x:f>B2048&amp;" / "&amp;C2048&amp;" / "&amp;E2048</x:f>
        <x:v>6758 / 2022 / RAINBOW TROUT</x:v>
      </x:c>
    </x:row>
    <x:row r="2049" ht="23" customHeight="1">
      <x:c r="A2049" s="8" t="str">
        <x:v>McVinnie Reservoir</x:v>
      </x:c>
      <x:c r="B2049" s="8" t="str">
        <x:v>6758</x:v>
      </x:c>
      <x:c r="C2049" s="17" t="n">
        <x:v>2022</x:v>
      </x:c>
      <x:c r="D2049" s="18" t="n">
        <x:v>44657</x:v>
      </x:c>
      <x:c r="E2049" s="8" t="str">
        <x:v>TIGER TROUT</x:v>
      </x:c>
      <x:c r="F2049" s="13" t="n">
        <x:v>400</x:v>
      </x:c>
      <x:c r="G2049" s="9" t="n">
        <x:v>15.3</x:v>
      </x:c>
      <x:c r="H2049" s="9" t="n">
        <x:v>39.5</x:v>
      </x:c>
      <x:c r="I2049" s="8" t="str">
        <x:f>B2049&amp;" / "&amp;C2049&amp;" / "&amp;E2049</x:f>
        <x:v>6758 / 2022 / TIGER TROUT</x:v>
      </x:c>
    </x:row>
    <x:row r="2050" ht="23" customHeight="1">
      <x:c r="A2050" s="8" t="str">
        <x:v>McVinnie Reservoir</x:v>
      </x:c>
      <x:c r="B2050" s="8" t="str">
        <x:v>6758</x:v>
      </x:c>
      <x:c r="C2050" s="17" t="n">
        <x:v>2021</x:v>
      </x:c>
      <x:c r="D2050" s="18" t="n">
        <x:v>44453</x:v>
      </x:c>
      <x:c r="E2050" s="8" t="str">
        <x:v>RAINBOW TROUT</x:v>
      </x:c>
      <x:c r="F2050" s="13" t="n">
        <x:v>1000</x:v>
      </x:c>
      <x:c r="G2050" s="9" t="n">
        <x:v>20.3</x:v>
      </x:c>
      <x:c r="H2050" s="9" t="n">
        <x:v>89.7</x:v>
      </x:c>
      <x:c r="I2050" s="8" t="str">
        <x:f>B2050&amp;" / "&amp;C2050&amp;" / "&amp;E2050</x:f>
        <x:v>6758 / 2021 / RAINBOW TROUT</x:v>
      </x:c>
    </x:row>
    <x:row r="2051" ht="23" customHeight="1">
      <x:c r="A2051" s="8" t="str">
        <x:v>McVinnie Reservoir</x:v>
      </x:c>
      <x:c r="B2051" s="8" t="str">
        <x:v>6758</x:v>
      </x:c>
      <x:c r="C2051" s="17" t="n">
        <x:v>2021</x:v>
      </x:c>
      <x:c r="D2051" s="18" t="n">
        <x:v>44300</x:v>
      </x:c>
      <x:c r="E2051" s="8" t="str">
        <x:v>RAINBOW TROUT</x:v>
      </x:c>
      <x:c r="F2051" s="13" t="n">
        <x:v>1155</x:v>
      </x:c>
      <x:c r="G2051" s="9" t="n">
        <x:v>20.4</x:v>
      </x:c>
      <x:c r="H2051" s="9" t="n">
        <x:v>93.3</x:v>
      </x:c>
      <x:c r="I2051" s="8" t="str">
        <x:f>B2051&amp;" / "&amp;C2051&amp;" / "&amp;E2051</x:f>
        <x:v>6758 / 2021 / RAINBOW TROUT</x:v>
      </x:c>
    </x:row>
    <x:row r="2052" ht="23" customHeight="1">
      <x:c r="A2052" s="8" t="str">
        <x:v>McVinnie Reservoir</x:v>
      </x:c>
      <x:c r="B2052" s="8" t="str">
        <x:v>6758</x:v>
      </x:c>
      <x:c r="C2052" s="17" t="n">
        <x:v>2021</x:v>
      </x:c>
      <x:c r="D2052" s="18" t="n">
        <x:v>44300</x:v>
      </x:c>
      <x:c r="E2052" s="8" t="str">
        <x:v>TIGER TROUT</x:v>
      </x:c>
      <x:c r="F2052" s="13" t="n">
        <x:v>400</x:v>
      </x:c>
      <x:c r="G2052" s="9" t="n">
        <x:v>16.3</x:v>
      </x:c>
      <x:c r="H2052" s="9" t="n">
        <x:v>47.8</x:v>
      </x:c>
      <x:c r="I2052" s="8" t="str">
        <x:f>B2052&amp;" / "&amp;C2052&amp;" / "&amp;E2052</x:f>
        <x:v>6758 / 2021 / TIGER TROUT</x:v>
      </x:c>
    </x:row>
    <x:row r="2053" ht="23" customHeight="1">
      <x:c r="A2053" s="8" t="str">
        <x:v>MD Peace Pond #1</x:v>
      </x:c>
      <x:c r="B2053" s="8" t="str">
        <x:v>6721</x:v>
      </x:c>
      <x:c r="C2053" s="17" t="n">
        <x:v>2026</x:v>
      </x:c>
      <x:c r="D2053" s="18" t="n">
        <x:v>46162</x:v>
      </x:c>
      <x:c r="E2053" s="8" t="str">
        <x:v>RAINBOW TROUT</x:v>
      </x:c>
      <x:c r="F2053" s="13" t="n">
        <x:v>1000</x:v>
      </x:c>
      <x:c r="G2053" s="9" t="n">
        <x:v>23.7</x:v>
      </x:c>
      <x:c r="H2053" s="9" t="n">
        <x:v>147.2</x:v>
      </x:c>
      <x:c r="I2053" s="8" t="str">
        <x:f>B2053&amp;" / "&amp;C2053&amp;" / "&amp;E2053</x:f>
        <x:v>6721 / 2026 / RAINBOW TROUT</x:v>
      </x:c>
    </x:row>
    <x:row r="2054" ht="23" customHeight="1">
      <x:c r="A2054" s="8" t="str">
        <x:v>MD Peace Pond #1</x:v>
      </x:c>
      <x:c r="B2054" s="8" t="str">
        <x:v>6721</x:v>
      </x:c>
      <x:c r="C2054" s="17" t="n">
        <x:v>2025</x:v>
      </x:c>
      <x:c r="D2054" s="18" t="n">
        <x:v>45789</x:v>
      </x:c>
      <x:c r="E2054" s="8" t="str">
        <x:v>RAINBOW TROUT</x:v>
      </x:c>
      <x:c r="F2054" s="13" t="n">
        <x:v>1000</x:v>
      </x:c>
      <x:c r="G2054" s="9" t="n">
        <x:v>23.6</x:v>
      </x:c>
      <x:c r="H2054" s="9" t="n">
        <x:v>144.6</x:v>
      </x:c>
      <x:c r="I2054" s="8" t="str">
        <x:f>B2054&amp;" / "&amp;C2054&amp;" / "&amp;E2054</x:f>
        <x:v>6721 / 2025 / RAINBOW TROUT</x:v>
      </x:c>
    </x:row>
    <x:row r="2055" ht="23" customHeight="1">
      <x:c r="A2055" s="8" t="str">
        <x:v>MD Peace Pond #1</x:v>
      </x:c>
      <x:c r="B2055" s="8" t="str">
        <x:v>6721</x:v>
      </x:c>
      <x:c r="C2055" s="17" t="n">
        <x:v>2024</x:v>
      </x:c>
      <x:c r="D2055" s="18" t="n">
        <x:v>45426</x:v>
      </x:c>
      <x:c r="E2055" s="8" t="str">
        <x:v>RAINBOW TROUT</x:v>
      </x:c>
      <x:c r="F2055" s="13" t="n">
        <x:v>500</x:v>
      </x:c>
      <x:c r="G2055" s="9" t="n">
        <x:v>20.7</x:v>
      </x:c>
      <x:c r="H2055" s="9" t="n">
        <x:v>95.1</x:v>
      </x:c>
      <x:c r="I2055" s="8" t="str">
        <x:f>B2055&amp;" / "&amp;C2055&amp;" / "&amp;E2055</x:f>
        <x:v>6721 / 2024 / RAINBOW TROUT</x:v>
      </x:c>
    </x:row>
    <x:row r="2056" ht="23" customHeight="1">
      <x:c r="A2056" s="8" t="str">
        <x:v>MD Peace Pond #1</x:v>
      </x:c>
      <x:c r="B2056" s="8" t="str">
        <x:v>6721</x:v>
      </x:c>
      <x:c r="C2056" s="17" t="n">
        <x:v>2023</x:v>
      </x:c>
      <x:c r="D2056" s="18" t="n">
        <x:v>45069</x:v>
      </x:c>
      <x:c r="E2056" s="8" t="str">
        <x:v>RAINBOW TROUT</x:v>
      </x:c>
      <x:c r="F2056" s="13" t="n">
        <x:v>502</x:v>
      </x:c>
      <x:c r="G2056" s="9" t="n">
        <x:v>21.2</x:v>
      </x:c>
      <x:c r="H2056" s="9" t="n">
        <x:v>101.5</x:v>
      </x:c>
      <x:c r="I2056" s="8" t="str">
        <x:f>B2056&amp;" / "&amp;C2056&amp;" / "&amp;E2056</x:f>
        <x:v>6721 / 2023 / RAINBOW TROUT</x:v>
      </x:c>
    </x:row>
    <x:row r="2057" ht="23" customHeight="1">
      <x:c r="A2057" s="8" t="str">
        <x:v>MD Peace Pond #1</x:v>
      </x:c>
      <x:c r="B2057" s="8" t="str">
        <x:v>6721</x:v>
      </x:c>
      <x:c r="C2057" s="17" t="n">
        <x:v>2022</x:v>
      </x:c>
      <x:c r="D2057" s="18" t="n">
        <x:v>44697</x:v>
      </x:c>
      <x:c r="E2057" s="8" t="str">
        <x:v>RAINBOW TROUT</x:v>
      </x:c>
      <x:c r="F2057" s="13" t="n">
        <x:v>1000</x:v>
      </x:c>
      <x:c r="G2057" s="9" t="n">
        <x:v>21.9</x:v>
      </x:c>
      <x:c r="H2057" s="9" t="n">
        <x:v>116.9</x:v>
      </x:c>
      <x:c r="I2057" s="8" t="str">
        <x:f>B2057&amp;" / "&amp;C2057&amp;" / "&amp;E2057</x:f>
        <x:v>6721 / 2022 / RAINBOW TROUT</x:v>
      </x:c>
    </x:row>
    <x:row r="2058" ht="23" customHeight="1">
      <x:c r="A2058" s="8" t="str">
        <x:v>MD Peace Pond #1</x:v>
      </x:c>
      <x:c r="B2058" s="8" t="str">
        <x:v>6721</x:v>
      </x:c>
      <x:c r="C2058" s="17" t="n">
        <x:v>2021</x:v>
      </x:c>
      <x:c r="D2058" s="18" t="n">
        <x:v>44328</x:v>
      </x:c>
      <x:c r="E2058" s="8" t="str">
        <x:v>RAINBOW TROUT</x:v>
      </x:c>
      <x:c r="F2058" s="13" t="n">
        <x:v>1000</x:v>
      </x:c>
      <x:c r="G2058" s="9" t="n">
        <x:v>19.1</x:v>
      </x:c>
      <x:c r="H2058" s="9" t="n">
        <x:v>77.4</x:v>
      </x:c>
      <x:c r="I2058" s="8" t="str">
        <x:f>B2058&amp;" / "&amp;C2058&amp;" / "&amp;E2058</x:f>
        <x:v>6721 / 2021 / RAINBOW TROUT</x:v>
      </x:c>
    </x:row>
    <x:row r="2059" ht="23" customHeight="1">
      <x:c r="A2059" s="8" t="str">
        <x:v>MD Peace Pond #2</x:v>
      </x:c>
      <x:c r="B2059" s="8" t="str">
        <x:v>22995</x:v>
      </x:c>
      <x:c r="C2059" s="17" t="n">
        <x:v>2026</x:v>
      </x:c>
      <x:c r="D2059" s="18" t="n">
        <x:v>46162</x:v>
      </x:c>
      <x:c r="E2059" s="8" t="str">
        <x:v>RAINBOW TROUT</x:v>
      </x:c>
      <x:c r="F2059" s="13" t="n">
        <x:v>1000</x:v>
      </x:c>
      <x:c r="G2059" s="9" t="n">
        <x:v>23.7</x:v>
      </x:c>
      <x:c r="H2059" s="9" t="n">
        <x:v>147.2</x:v>
      </x:c>
      <x:c r="I2059" s="8" t="str">
        <x:f>B2059&amp;" / "&amp;C2059&amp;" / "&amp;E2059</x:f>
        <x:v>22995 / 2026 / RAINBOW TROUT</x:v>
      </x:c>
    </x:row>
    <x:row r="2060" ht="23" customHeight="1">
      <x:c r="A2060" s="8" t="str">
        <x:v>MD Peace Pond #2</x:v>
      </x:c>
      <x:c r="B2060" s="8" t="str">
        <x:v>22995</x:v>
      </x:c>
      <x:c r="C2060" s="17" t="n">
        <x:v>2025</x:v>
      </x:c>
      <x:c r="D2060" s="18" t="n">
        <x:v>45789</x:v>
      </x:c>
      <x:c r="E2060" s="8" t="str">
        <x:v>RAINBOW TROUT</x:v>
      </x:c>
      <x:c r="F2060" s="13" t="n">
        <x:v>1000</x:v>
      </x:c>
      <x:c r="G2060" s="9" t="n">
        <x:v>23.6</x:v>
      </x:c>
      <x:c r="H2060" s="9" t="n">
        <x:v>144.6</x:v>
      </x:c>
      <x:c r="I2060" s="8" t="str">
        <x:f>B2060&amp;" / "&amp;C2060&amp;" / "&amp;E2060</x:f>
        <x:v>22995 / 2025 / RAINBOW TROUT</x:v>
      </x:c>
    </x:row>
    <x:row r="2061" ht="23" customHeight="1">
      <x:c r="A2061" s="8" t="str">
        <x:v>MD Peace Pond #2</x:v>
      </x:c>
      <x:c r="B2061" s="8" t="str">
        <x:v>22995</x:v>
      </x:c>
      <x:c r="C2061" s="17" t="n">
        <x:v>2024</x:v>
      </x:c>
      <x:c r="D2061" s="18" t="n">
        <x:v>45426</x:v>
      </x:c>
      <x:c r="E2061" s="8" t="str">
        <x:v>RAINBOW TROUT</x:v>
      </x:c>
      <x:c r="F2061" s="13" t="n">
        <x:v>500</x:v>
      </x:c>
      <x:c r="G2061" s="9" t="n">
        <x:v>20.7</x:v>
      </x:c>
      <x:c r="H2061" s="9" t="n">
        <x:v>95.1</x:v>
      </x:c>
      <x:c r="I2061" s="8" t="str">
        <x:f>B2061&amp;" / "&amp;C2061&amp;" / "&amp;E2061</x:f>
        <x:v>22995 / 2024 / RAINBOW TROUT</x:v>
      </x:c>
    </x:row>
    <x:row r="2062" ht="23" customHeight="1">
      <x:c r="A2062" s="8" t="str">
        <x:v>MD Peace Pond #2</x:v>
      </x:c>
      <x:c r="B2062" s="8" t="str">
        <x:v>22995</x:v>
      </x:c>
      <x:c r="C2062" s="17" t="n">
        <x:v>2023</x:v>
      </x:c>
      <x:c r="D2062" s="18" t="n">
        <x:v>45069</x:v>
      </x:c>
      <x:c r="E2062" s="8" t="str">
        <x:v>RAINBOW TROUT</x:v>
      </x:c>
      <x:c r="F2062" s="13" t="n">
        <x:v>502</x:v>
      </x:c>
      <x:c r="G2062" s="9" t="n">
        <x:v>21.2</x:v>
      </x:c>
      <x:c r="H2062" s="9" t="n">
        <x:v>101.5</x:v>
      </x:c>
      <x:c r="I2062" s="8" t="str">
        <x:f>B2062&amp;" / "&amp;C2062&amp;" / "&amp;E2062</x:f>
        <x:v>22995 / 2023 / RAINBOW TROUT</x:v>
      </x:c>
    </x:row>
    <x:row r="2063" ht="23" customHeight="1">
      <x:c r="A2063" s="8" t="str">
        <x:v>MD Peace Pond #2</x:v>
      </x:c>
      <x:c r="B2063" s="8" t="str">
        <x:v>22995</x:v>
      </x:c>
      <x:c r="C2063" s="17" t="n">
        <x:v>2022</x:v>
      </x:c>
      <x:c r="D2063" s="18" t="n">
        <x:v>44697</x:v>
      </x:c>
      <x:c r="E2063" s="8" t="str">
        <x:v>RAINBOW TROUT</x:v>
      </x:c>
      <x:c r="F2063" s="13" t="n">
        <x:v>1000</x:v>
      </x:c>
      <x:c r="G2063" s="9" t="n">
        <x:v>21.9</x:v>
      </x:c>
      <x:c r="H2063" s="9" t="n">
        <x:v>116.9</x:v>
      </x:c>
      <x:c r="I2063" s="8" t="str">
        <x:f>B2063&amp;" / "&amp;C2063&amp;" / "&amp;E2063</x:f>
        <x:v>22995 / 2022 / RAINBOW TROUT</x:v>
      </x:c>
    </x:row>
    <x:row r="2064" ht="23" customHeight="1">
      <x:c r="A2064" s="8" t="str">
        <x:v>MD Peace Pond #2</x:v>
      </x:c>
      <x:c r="B2064" s="8" t="str">
        <x:v>22995</x:v>
      </x:c>
      <x:c r="C2064" s="17" t="n">
        <x:v>2021</x:v>
      </x:c>
      <x:c r="D2064" s="18" t="n">
        <x:v>44328</x:v>
      </x:c>
      <x:c r="E2064" s="8" t="str">
        <x:v>RAINBOW TROUT</x:v>
      </x:c>
      <x:c r="F2064" s="13" t="n">
        <x:v>1000</x:v>
      </x:c>
      <x:c r="G2064" s="9" t="n">
        <x:v>19.1</x:v>
      </x:c>
      <x:c r="H2064" s="9" t="n">
        <x:v>77.4</x:v>
      </x:c>
      <x:c r="I2064" s="8" t="str">
        <x:f>B2064&amp;" / "&amp;C2064&amp;" / "&amp;E2064</x:f>
        <x:v>22995 / 2021 / RAINBOW TROUT</x:v>
      </x:c>
    </x:row>
    <x:row r="2065" ht="23" customHeight="1">
      <x:c r="A2065" s="8" t="str">
        <x:v>Medley River</x:v>
      </x:c>
      <x:c r="B2065" s="8" t="str">
        <x:v>2129</x:v>
      </x:c>
      <x:c r="C2065" s="17" t="n">
        <x:v>2025</x:v>
      </x:c>
      <x:c r="D2065" s="18" t="n">
        <x:v>45819</x:v>
      </x:c>
      <x:c r="E2065" s="8" t="str">
        <x:v>RAINBOW TROUT</x:v>
      </x:c>
      <x:c r="F2065" s="13" t="n">
        <x:v>1500</x:v>
      </x:c>
      <x:c r="G2065" s="9" t="n">
        <x:v>22.1</x:v>
      </x:c>
      <x:c r="H2065" s="9" t="n">
        <x:v>118.6</x:v>
      </x:c>
      <x:c r="I2065" s="8" t="str">
        <x:f>B2065&amp;" / "&amp;C2065&amp;" / "&amp;E2065</x:f>
        <x:v>2129 / 2025 / RAINBOW TROUT</x:v>
      </x:c>
    </x:row>
    <x:row r="2066" ht="23" customHeight="1">
      <x:c r="A2066" s="8" t="str">
        <x:v>Medley River</x:v>
      </x:c>
      <x:c r="B2066" s="8" t="str">
        <x:v>2129</x:v>
      </x:c>
      <x:c r="C2066" s="17" t="n">
        <x:v>2024</x:v>
      </x:c>
      <x:c r="D2066" s="18" t="n">
        <x:v>45454</x:v>
      </x:c>
      <x:c r="E2066" s="8" t="str">
        <x:v>RAINBOW TROUT</x:v>
      </x:c>
      <x:c r="F2066" s="13" t="n">
        <x:v>250</x:v>
      </x:c>
      <x:c r="G2066" s="9" t="n">
        <x:v>21.5</x:v>
      </x:c>
      <x:c r="H2066" s="9" t="n">
        <x:v>107.2</x:v>
      </x:c>
      <x:c r="I2066" s="8" t="str">
        <x:f>B2066&amp;" / "&amp;C2066&amp;" / "&amp;E2066</x:f>
        <x:v>2129 / 2024 / RAINBOW TROUT</x:v>
      </x:c>
    </x:row>
    <x:row r="2067" ht="23" customHeight="1">
      <x:c r="A2067" s="8" t="str">
        <x:v>Medley River</x:v>
      </x:c>
      <x:c r="B2067" s="8" t="str">
        <x:v>2129</x:v>
      </x:c>
      <x:c r="C2067" s="17" t="n">
        <x:v>2023</x:v>
      </x:c>
      <x:c r="D2067" s="18" t="n">
        <x:v>45070</x:v>
      </x:c>
      <x:c r="E2067" s="8" t="str">
        <x:v>RAINBOW TROUT</x:v>
      </x:c>
      <x:c r="F2067" s="13" t="n">
        <x:v>753</x:v>
      </x:c>
      <x:c r="G2067" s="9" t="n">
        <x:v>21.3</x:v>
      </x:c>
      <x:c r="H2067" s="9" t="n">
        <x:v>104.1</x:v>
      </x:c>
      <x:c r="I2067" s="8" t="str">
        <x:f>B2067&amp;" / "&amp;C2067&amp;" / "&amp;E2067</x:f>
        <x:v>2129 / 2023 / RAINBOW TROUT</x:v>
      </x:c>
    </x:row>
    <x:row r="2068" ht="23" customHeight="1">
      <x:c r="A2068" s="8" t="str">
        <x:v>Medley River</x:v>
      </x:c>
      <x:c r="B2068" s="8" t="str">
        <x:v>2129</x:v>
      </x:c>
      <x:c r="C2068" s="17" t="n">
        <x:v>2022</x:v>
      </x:c>
      <x:c r="D2068" s="18" t="n">
        <x:v>44817</x:v>
      </x:c>
      <x:c r="E2068" s="8" t="str">
        <x:v>RAINBOW TROUT</x:v>
      </x:c>
      <x:c r="F2068" s="13" t="n">
        <x:v>200</x:v>
      </x:c>
      <x:c r="G2068" s="9" t="n">
        <x:v>24.8</x:v>
      </x:c>
      <x:c r="H2068" s="9" t="n">
        <x:v>168.8</x:v>
      </x:c>
      <x:c r="I2068" s="8" t="str">
        <x:f>B2068&amp;" / "&amp;C2068&amp;" / "&amp;E2068</x:f>
        <x:v>2129 / 2022 / RAINBOW TROUT</x:v>
      </x:c>
    </x:row>
    <x:row r="2069" ht="23" customHeight="1">
      <x:c r="A2069" s="8" t="str">
        <x:v>Medley River</x:v>
      </x:c>
      <x:c r="B2069" s="8" t="str">
        <x:v>2129</x:v>
      </x:c>
      <x:c r="C2069" s="17" t="n">
        <x:v>2022</x:v>
      </x:c>
      <x:c r="D2069" s="18" t="n">
        <x:v>44775</x:v>
      </x:c>
      <x:c r="E2069" s="8" t="str">
        <x:v>RAINBOW TROUT</x:v>
      </x:c>
      <x:c r="F2069" s="13" t="n">
        <x:v>500</x:v>
      </x:c>
      <x:c r="G2069" s="9" t="n">
        <x:v>23.5</x:v>
      </x:c>
      <x:c r="H2069" s="9" t="n">
        <x:v>142.8</x:v>
      </x:c>
      <x:c r="I2069" s="8" t="str">
        <x:f>B2069&amp;" / "&amp;C2069&amp;" / "&amp;E2069</x:f>
        <x:v>2129 / 2022 / RAINBOW TROUT</x:v>
      </x:c>
    </x:row>
    <x:row r="2070" ht="23" customHeight="1">
      <x:c r="A2070" s="8" t="str">
        <x:v>Medley River</x:v>
      </x:c>
      <x:c r="B2070" s="8" t="str">
        <x:v>2129</x:v>
      </x:c>
      <x:c r="C2070" s="17" t="n">
        <x:v>2022</x:v>
      </x:c>
      <x:c r="D2070" s="18" t="n">
        <x:v>44724</x:v>
      </x:c>
      <x:c r="E2070" s="8" t="str">
        <x:v>RAINBOW TROUT</x:v>
      </x:c>
      <x:c r="F2070" s="13" t="n">
        <x:v>500</x:v>
      </x:c>
      <x:c r="G2070" s="9" t="n">
        <x:v>21.1</x:v>
      </x:c>
      <x:c r="H2070" s="9" t="n">
        <x:v>104.6</x:v>
      </x:c>
      <x:c r="I2070" s="8" t="str">
        <x:f>B2070&amp;" / "&amp;C2070&amp;" / "&amp;E2070</x:f>
        <x:v>2129 / 2022 / RAINBOW TROUT</x:v>
      </x:c>
    </x:row>
    <x:row r="2071" ht="23" customHeight="1">
      <x:c r="A2071" s="8" t="str">
        <x:v>Michel Creek Reservoir</x:v>
      </x:c>
      <x:c r="B2071" s="8" t="str">
        <x:v>3523</x:v>
      </x:c>
      <x:c r="C2071" s="17" t="n">
        <x:v>2026</x:v>
      </x:c>
      <x:c r="D2071" s="18" t="n">
        <x:v>46134</x:v>
      </x:c>
      <x:c r="E2071" s="8" t="str">
        <x:v>BROWN TROUT</x:v>
      </x:c>
      <x:c r="F2071" s="13" t="n">
        <x:v>1500</x:v>
      </x:c>
      <x:c r="G2071" s="9" t="n">
        <x:v>17.2</x:v>
      </x:c>
      <x:c r="H2071" s="9" t="n">
        <x:v>54.5</x:v>
      </x:c>
      <x:c r="I2071" s="8" t="str">
        <x:f>B2071&amp;" / "&amp;C2071&amp;" / "&amp;E2071</x:f>
        <x:v>3523 / 2026 / BROWN TROUT</x:v>
      </x:c>
    </x:row>
    <x:row r="2072" ht="23" customHeight="1">
      <x:c r="A2072" s="8" t="str">
        <x:v>Michel Creek Reservoir</x:v>
      </x:c>
      <x:c r="B2072" s="8" t="str">
        <x:v>3523</x:v>
      </x:c>
      <x:c r="C2072" s="17" t="n">
        <x:v>2026</x:v>
      </x:c>
      <x:c r="D2072" s="18" t="n">
        <x:v>46134</x:v>
      </x:c>
      <x:c r="E2072" s="8" t="str">
        <x:v>RAINBOW TROUT</x:v>
      </x:c>
      <x:c r="F2072" s="13" t="n">
        <x:v>7500</x:v>
      </x:c>
      <x:c r="G2072" s="9" t="n">
        <x:v>20</x:v>
      </x:c>
      <x:c r="H2072" s="9" t="n">
        <x:v>86.6</x:v>
      </x:c>
      <x:c r="I2072" s="8" t="str">
        <x:f>B2072&amp;" / "&amp;C2072&amp;" / "&amp;E2072</x:f>
        <x:v>3523 / 2026 / RAINBOW TROUT</x:v>
      </x:c>
    </x:row>
    <x:row r="2073" ht="23" customHeight="1">
      <x:c r="A2073" s="8" t="str">
        <x:v>Michel Creek Reservoir</x:v>
      </x:c>
      <x:c r="B2073" s="8" t="str">
        <x:v>3523</x:v>
      </x:c>
      <x:c r="C2073" s="17" t="n">
        <x:v>2025</x:v>
      </x:c>
      <x:c r="D2073" s="18" t="n">
        <x:v>45784</x:v>
      </x:c>
      <x:c r="E2073" s="8" t="str">
        <x:v>BROWN TROUT</x:v>
      </x:c>
      <x:c r="F2073" s="13" t="n">
        <x:v>1500</x:v>
      </x:c>
      <x:c r="G2073" s="9" t="n">
        <x:v>19.4</x:v>
      </x:c>
      <x:c r="H2073" s="9" t="n">
        <x:v>78.7</x:v>
      </x:c>
      <x:c r="I2073" s="8" t="str">
        <x:f>B2073&amp;" / "&amp;C2073&amp;" / "&amp;E2073</x:f>
        <x:v>3523 / 2025 / BROWN TROUT</x:v>
      </x:c>
    </x:row>
    <x:row r="2074" ht="23" customHeight="1">
      <x:c r="A2074" s="8" t="str">
        <x:v>Michel Creek Reservoir</x:v>
      </x:c>
      <x:c r="B2074" s="8" t="str">
        <x:v>3523</x:v>
      </x:c>
      <x:c r="C2074" s="17" t="n">
        <x:v>2025</x:v>
      </x:c>
      <x:c r="D2074" s="18" t="n">
        <x:v>45784</x:v>
      </x:c>
      <x:c r="E2074" s="8" t="str">
        <x:v>RAINBOW TROUT</x:v>
      </x:c>
      <x:c r="F2074" s="13" t="n">
        <x:v>7500</x:v>
      </x:c>
      <x:c r="G2074" s="9" t="n">
        <x:v>20.3</x:v>
      </x:c>
      <x:c r="H2074" s="9" t="n">
        <x:v>90.7</x:v>
      </x:c>
      <x:c r="I2074" s="8" t="str">
        <x:f>B2074&amp;" / "&amp;C2074&amp;" / "&amp;E2074</x:f>
        <x:v>3523 / 2025 / RAINBOW TROUT</x:v>
      </x:c>
    </x:row>
    <x:row r="2075" ht="23" customHeight="1">
      <x:c r="A2075" s="8" t="str">
        <x:v>Michel Creek Reservoir</x:v>
      </x:c>
      <x:c r="B2075" s="8" t="str">
        <x:v>3523</x:v>
      </x:c>
      <x:c r="C2075" s="17" t="n">
        <x:v>2024</x:v>
      </x:c>
      <x:c r="D2075" s="18" t="n">
        <x:v>45407</x:v>
      </x:c>
      <x:c r="E2075" s="8" t="str">
        <x:v>BROWN TROUT</x:v>
      </x:c>
      <x:c r="F2075" s="13" t="n">
        <x:v>1500</x:v>
      </x:c>
      <x:c r="G2075" s="9" t="n">
        <x:v>19.5</x:v>
      </x:c>
      <x:c r="H2075" s="9" t="n">
        <x:v>80</x:v>
      </x:c>
      <x:c r="I2075" s="8" t="str">
        <x:f>B2075&amp;" / "&amp;C2075&amp;" / "&amp;E2075</x:f>
        <x:v>3523 / 2024 / BROWN TROUT</x:v>
      </x:c>
    </x:row>
    <x:row r="2076" ht="23" customHeight="1">
      <x:c r="A2076" s="8" t="str">
        <x:v>Michel Creek Reservoir</x:v>
      </x:c>
      <x:c r="B2076" s="8" t="str">
        <x:v>3523</x:v>
      </x:c>
      <x:c r="C2076" s="17" t="n">
        <x:v>2024</x:v>
      </x:c>
      <x:c r="D2076" s="18" t="n">
        <x:v>45570</x:v>
      </x:c>
      <x:c r="E2076" s="8" t="str">
        <x:v>RAINBOW TROUT</x:v>
      </x:c>
      <x:c r="F2076" s="13" t="n">
        <x:v>14991</x:v>
      </x:c>
      <x:c r="G2076" s="9" t="n">
        <x:v>10.3</x:v>
      </x:c>
      <x:c r="H2076" s="9" t="n">
        <x:v>11.7</x:v>
      </x:c>
      <x:c r="I2076" s="8" t="str">
        <x:f>B2076&amp;" / "&amp;C2076&amp;" / "&amp;E2076</x:f>
        <x:v>3523 / 2024 / RAINBOW TROUT</x:v>
      </x:c>
    </x:row>
    <x:row r="2077" ht="23" customHeight="1">
      <x:c r="A2077" s="8" t="str">
        <x:v>Michel Creek Reservoir</x:v>
      </x:c>
      <x:c r="B2077" s="8" t="str">
        <x:v>3523</x:v>
      </x:c>
      <x:c r="C2077" s="17" t="n">
        <x:v>2024</x:v>
      </x:c>
      <x:c r="D2077" s="18" t="n">
        <x:v>45562</x:v>
      </x:c>
      <x:c r="E2077" s="8" t="str">
        <x:v>RAINBOW TROUT</x:v>
      </x:c>
      <x:c r="F2077" s="13" t="n">
        <x:v>6500</x:v>
      </x:c>
      <x:c r="G2077" s="9" t="n">
        <x:v>18.6</x:v>
      </x:c>
      <x:c r="H2077" s="9" t="n">
        <x:v>69</x:v>
      </x:c>
      <x:c r="I2077" s="8" t="str">
        <x:f>B2077&amp;" / "&amp;C2077&amp;" / "&amp;E2077</x:f>
        <x:v>3523 / 2024 / RAINBOW TROUT</x:v>
      </x:c>
    </x:row>
    <x:row r="2078" ht="23" customHeight="1">
      <x:c r="A2078" s="8" t="str">
        <x:v>Michel Creek Reservoir</x:v>
      </x:c>
      <x:c r="B2078" s="8" t="str">
        <x:v>3523</x:v>
      </x:c>
      <x:c r="C2078" s="17" t="n">
        <x:v>2024</x:v>
      </x:c>
      <x:c r="D2078" s="18" t="n">
        <x:v>45407</x:v>
      </x:c>
      <x:c r="E2078" s="8" t="str">
        <x:v>RAINBOW TROUT</x:v>
      </x:c>
      <x:c r="F2078" s="13" t="n">
        <x:v>3000</x:v>
      </x:c>
      <x:c r="G2078" s="9" t="n">
        <x:v>20.2</x:v>
      </x:c>
      <x:c r="H2078" s="9" t="n">
        <x:v>89</x:v>
      </x:c>
      <x:c r="I2078" s="8" t="str">
        <x:f>B2078&amp;" / "&amp;C2078&amp;" / "&amp;E2078</x:f>
        <x:v>3523 / 2024 / RAINBOW TROUT</x:v>
      </x:c>
    </x:row>
    <x:row r="2079" ht="23" customHeight="1">
      <x:c r="A2079" s="8" t="str">
        <x:v>Michel Creek Reservoir</x:v>
      </x:c>
      <x:c r="B2079" s="8" t="str">
        <x:v>3523</x:v>
      </x:c>
      <x:c r="C2079" s="17" t="n">
        <x:v>2023</x:v>
      </x:c>
      <x:c r="D2079" s="18" t="n">
        <x:v>45191</x:v>
      </x:c>
      <x:c r="E2079" s="8" t="str">
        <x:v>BROWN TROUT</x:v>
      </x:c>
      <x:c r="F2079" s="13" t="n">
        <x:v>325</x:v>
      </x:c>
      <x:c r="G2079" s="9" t="n">
        <x:v>31.5</x:v>
      </x:c>
      <x:c r="H2079" s="9" t="n">
        <x:v>479</x:v>
      </x:c>
      <x:c r="I2079" s="8" t="str">
        <x:f>B2079&amp;" / "&amp;C2079&amp;" / "&amp;E2079</x:f>
        <x:v>3523 / 2023 / BROWN TROUT</x:v>
      </x:c>
    </x:row>
    <x:row r="2080" ht="23" customHeight="1">
      <x:c r="A2080" s="8" t="str">
        <x:v>Michel Creek Reservoir</x:v>
      </x:c>
      <x:c r="B2080" s="8" t="str">
        <x:v>3523</x:v>
      </x:c>
      <x:c r="C2080" s="17" t="n">
        <x:v>2023</x:v>
      </x:c>
      <x:c r="D2080" s="18" t="n">
        <x:v>45191</x:v>
      </x:c>
      <x:c r="E2080" s="8" t="str">
        <x:v>BROWN TROUT</x:v>
      </x:c>
      <x:c r="F2080" s="13" t="n">
        <x:v>4625</x:v>
      </x:c>
      <x:c r="G2080" s="9" t="n">
        <x:v>10.1</x:v>
      </x:c>
      <x:c r="H2080" s="9" t="n">
        <x:v>10.6</x:v>
      </x:c>
      <x:c r="I2080" s="8" t="str">
        <x:f>B2080&amp;" / "&amp;C2080&amp;" / "&amp;E2080</x:f>
        <x:v>3523 / 2023 / BROWN TROUT</x:v>
      </x:c>
    </x:row>
    <x:row r="2081" ht="23" customHeight="1">
      <x:c r="A2081" s="8" t="str">
        <x:v>Michel Creek Reservoir</x:v>
      </x:c>
      <x:c r="B2081" s="8" t="str">
        <x:v>3523</x:v>
      </x:c>
      <x:c r="C2081" s="17" t="n">
        <x:v>2023</x:v>
      </x:c>
      <x:c r="D2081" s="18" t="n">
        <x:v>45053</x:v>
      </x:c>
      <x:c r="E2081" s="8" t="str">
        <x:v>BROWN TROUT</x:v>
      </x:c>
      <x:c r="F2081" s="13" t="n">
        <x:v>1500</x:v>
      </x:c>
      <x:c r="G2081" s="9" t="n">
        <x:v>18.3</x:v>
      </x:c>
      <x:c r="H2081" s="9" t="n">
        <x:v>67.3</x:v>
      </x:c>
      <x:c r="I2081" s="8" t="str">
        <x:f>B2081&amp;" / "&amp;C2081&amp;" / "&amp;E2081</x:f>
        <x:v>3523 / 2023 / BROWN TROUT</x:v>
      </x:c>
    </x:row>
    <x:row r="2082" ht="23" customHeight="1">
      <x:c r="A2082" s="8" t="str">
        <x:v>Michel Creek Reservoir</x:v>
      </x:c>
      <x:c r="B2082" s="8" t="str">
        <x:v>3523</x:v>
      </x:c>
      <x:c r="C2082" s="17" t="n">
        <x:v>2023</x:v>
      </x:c>
      <x:c r="D2082" s="18" t="n">
        <x:v>45053</x:v>
      </x:c>
      <x:c r="E2082" s="8" t="str">
        <x:v>RAINBOW TROUT</x:v>
      </x:c>
      <x:c r="F2082" s="13" t="n">
        <x:v>2933</x:v>
      </x:c>
      <x:c r="G2082" s="9" t="n">
        <x:v>20.1</x:v>
      </x:c>
      <x:c r="H2082" s="9" t="n">
        <x:v>90.3</x:v>
      </x:c>
      <x:c r="I2082" s="8" t="str">
        <x:f>B2082&amp;" / "&amp;C2082&amp;" / "&amp;E2082</x:f>
        <x:v>3523 / 2023 / RAINBOW TROUT</x:v>
      </x:c>
    </x:row>
    <x:row r="2083" ht="23" customHeight="1">
      <x:c r="A2083" s="8" t="str">
        <x:v>Michel Creek Reservoir</x:v>
      </x:c>
      <x:c r="B2083" s="8" t="str">
        <x:v>3523</x:v>
      </x:c>
      <x:c r="C2083" s="17" t="n">
        <x:v>2022</x:v>
      </x:c>
      <x:c r="D2083" s="18" t="n">
        <x:v>44710</x:v>
      </x:c>
      <x:c r="E2083" s="8" t="str">
        <x:v>BROWN TROUT</x:v>
      </x:c>
      <x:c r="F2083" s="13" t="n">
        <x:v>1500</x:v>
      </x:c>
      <x:c r="G2083" s="9" t="n">
        <x:v>17.7</x:v>
      </x:c>
      <x:c r="H2083" s="9" t="n">
        <x:v>61.3</x:v>
      </x:c>
      <x:c r="I2083" s="8" t="str">
        <x:f>B2083&amp;" / "&amp;C2083&amp;" / "&amp;E2083</x:f>
        <x:v>3523 / 2022 / BROWN TROUT</x:v>
      </x:c>
    </x:row>
    <x:row r="2084" ht="23" customHeight="1">
      <x:c r="A2084" s="8" t="str">
        <x:v>Michel Creek Reservoir</x:v>
      </x:c>
      <x:c r="B2084" s="8" t="str">
        <x:v>3523</x:v>
      </x:c>
      <x:c r="C2084" s="17" t="n">
        <x:v>2022</x:v>
      </x:c>
      <x:c r="D2084" s="18" t="n">
        <x:v>44684</x:v>
      </x:c>
      <x:c r="E2084" s="8" t="str">
        <x:v>RAINBOW TROUT</x:v>
      </x:c>
      <x:c r="F2084" s="13" t="n">
        <x:v>7500</x:v>
      </x:c>
      <x:c r="G2084" s="9" t="n">
        <x:v>20.7</x:v>
      </x:c>
      <x:c r="H2084" s="9" t="n">
        <x:v>96.3</x:v>
      </x:c>
      <x:c r="I2084" s="8" t="str">
        <x:f>B2084&amp;" / "&amp;C2084&amp;" / "&amp;E2084</x:f>
        <x:v>3523 / 2022 / RAINBOW TROUT</x:v>
      </x:c>
    </x:row>
    <x:row r="2085" ht="23" customHeight="1">
      <x:c r="A2085" s="8" t="str">
        <x:v>Michel Creek Reservoir</x:v>
      </x:c>
      <x:c r="B2085" s="8" t="str">
        <x:v>3523</x:v>
      </x:c>
      <x:c r="C2085" s="17" t="n">
        <x:v>2021</x:v>
      </x:c>
      <x:c r="D2085" s="18" t="n">
        <x:v>44482</x:v>
      </x:c>
      <x:c r="E2085" s="8" t="str">
        <x:v>BROWN TROUT</x:v>
      </x:c>
      <x:c r="F2085" s="13" t="n">
        <x:v>283</x:v>
      </x:c>
      <x:c r="G2085" s="9" t="n">
        <x:v>40</x:v>
      </x:c>
      <x:c r="H2085" s="9" t="n">
        <x:v>500</x:v>
      </x:c>
      <x:c r="I2085" s="8" t="str">
        <x:f>B2085&amp;" / "&amp;C2085&amp;" / "&amp;E2085</x:f>
        <x:v>3523 / 2021 / BROWN TROUT</x:v>
      </x:c>
    </x:row>
    <x:row r="2086" ht="23" customHeight="1">
      <x:c r="A2086" s="8" t="str">
        <x:v>Michel Creek Reservoir</x:v>
      </x:c>
      <x:c r="B2086" s="8" t="str">
        <x:v>3523</x:v>
      </x:c>
      <x:c r="C2086" s="17" t="n">
        <x:v>2021</x:v>
      </x:c>
      <x:c r="D2086" s="18" t="n">
        <x:v>44481</x:v>
      </x:c>
      <x:c r="E2086" s="8" t="str">
        <x:v>BROWN TROUT</x:v>
      </x:c>
      <x:c r="F2086" s="13" t="n">
        <x:v>283</x:v>
      </x:c>
      <x:c r="G2086" s="9" t="n">
        <x:v>40</x:v>
      </x:c>
      <x:c r="H2086" s="9" t="n">
        <x:v>500</x:v>
      </x:c>
      <x:c r="I2086" s="8" t="str">
        <x:f>B2086&amp;" / "&amp;C2086&amp;" / "&amp;E2086</x:f>
        <x:v>3523 / 2021 / BROWN TROUT</x:v>
      </x:c>
    </x:row>
    <x:row r="2087" ht="23" customHeight="1">
      <x:c r="A2087" s="8" t="str">
        <x:v>Michel Creek Reservoir</x:v>
      </x:c>
      <x:c r="B2087" s="8" t="str">
        <x:v>3523</x:v>
      </x:c>
      <x:c r="C2087" s="17" t="n">
        <x:v>2021</x:v>
      </x:c>
      <x:c r="D2087" s="18" t="n">
        <x:v>44480</x:v>
      </x:c>
      <x:c r="E2087" s="8" t="str">
        <x:v>BROWN TROUT</x:v>
      </x:c>
      <x:c r="F2087" s="13" t="n">
        <x:v>1500</x:v>
      </x:c>
      <x:c r="G2087" s="9" t="n">
        <x:v>23.5</x:v>
      </x:c>
      <x:c r="H2087" s="9" t="n">
        <x:v>142.8</x:v>
      </x:c>
      <x:c r="I2087" s="8" t="str">
        <x:f>B2087&amp;" / "&amp;C2087&amp;" / "&amp;E2087</x:f>
        <x:v>3523 / 2021 / BROWN TROUT</x:v>
      </x:c>
    </x:row>
    <x:row r="2088" ht="23" customHeight="1">
      <x:c r="A2088" s="8" t="str">
        <x:v>Michel Creek Reservoir</x:v>
      </x:c>
      <x:c r="B2088" s="8" t="str">
        <x:v>3523</x:v>
      </x:c>
      <x:c r="C2088" s="17" t="n">
        <x:v>2021</x:v>
      </x:c>
      <x:c r="D2088" s="18" t="n">
        <x:v>44321</x:v>
      </x:c>
      <x:c r="E2088" s="8" t="str">
        <x:v>RAINBOW TROUT</x:v>
      </x:c>
      <x:c r="F2088" s="13" t="n">
        <x:v>5000</x:v>
      </x:c>
      <x:c r="G2088" s="9" t="n">
        <x:v>20</x:v>
      </x:c>
      <x:c r="H2088" s="9" t="n">
        <x:v>88.2</x:v>
      </x:c>
      <x:c r="I2088" s="8" t="str">
        <x:f>B2088&amp;" / "&amp;C2088&amp;" / "&amp;E2088</x:f>
        <x:v>3523 / 2021 / RAINBOW TROUT</x:v>
      </x:c>
    </x:row>
    <x:row r="2089" ht="23" customHeight="1">
      <x:c r="A2089" s="8" t="str">
        <x:v>Michichi Reservoir</x:v>
      </x:c>
      <x:c r="B2089" s="8" t="str">
        <x:v>3524</x:v>
      </x:c>
      <x:c r="C2089" s="17" t="n">
        <x:v>2026</x:v>
      </x:c>
      <x:c r="D2089" s="18" t="n">
        <x:v>46141</x:v>
      </x:c>
      <x:c r="E2089" s="8" t="str">
        <x:v>RAINBOW TROUT</x:v>
      </x:c>
      <x:c r="F2089" s="13" t="n">
        <x:v>1400</x:v>
      </x:c>
      <x:c r="G2089" s="9" t="n">
        <x:v>26.2</x:v>
      </x:c>
      <x:c r="H2089" s="9" t="n">
        <x:v>199.1</x:v>
      </x:c>
      <x:c r="I2089" s="8" t="str">
        <x:f>B2089&amp;" / "&amp;C2089&amp;" / "&amp;E2089</x:f>
        <x:v>3524 / 2026 / RAINBOW TROUT</x:v>
      </x:c>
    </x:row>
    <x:row r="2090" ht="23" customHeight="1">
      <x:c r="A2090" s="8" t="str">
        <x:v>Michichi Reservoir</x:v>
      </x:c>
      <x:c r="B2090" s="8" t="str">
        <x:v>3524</x:v>
      </x:c>
      <x:c r="C2090" s="17" t="n">
        <x:v>2026</x:v>
      </x:c>
      <x:c r="D2090" s="18" t="n">
        <x:v>46140</x:v>
      </x:c>
      <x:c r="E2090" s="8" t="str">
        <x:v>RAINBOW TROUT</x:v>
      </x:c>
      <x:c r="F2090" s="13" t="n">
        <x:v>4200</x:v>
      </x:c>
      <x:c r="G2090" s="9" t="n">
        <x:v>20</x:v>
      </x:c>
      <x:c r="H2090" s="9" t="n">
        <x:v>87</x:v>
      </x:c>
      <x:c r="I2090" s="8" t="str">
        <x:f>B2090&amp;" / "&amp;C2090&amp;" / "&amp;E2090</x:f>
        <x:v>3524 / 2026 / RAINBOW TROUT</x:v>
      </x:c>
    </x:row>
    <x:row r="2091" ht="23" customHeight="1">
      <x:c r="A2091" s="8" t="str">
        <x:v>Michichi Reservoir</x:v>
      </x:c>
      <x:c r="B2091" s="8" t="str">
        <x:v>3524</x:v>
      </x:c>
      <x:c r="C2091" s="17" t="n">
        <x:v>2025</x:v>
      </x:c>
      <x:c r="D2091" s="18" t="n">
        <x:v>45770</x:v>
      </x:c>
      <x:c r="E2091" s="8" t="str">
        <x:v>RAINBOW TROUT</x:v>
      </x:c>
      <x:c r="F2091" s="13" t="n">
        <x:v>1400</x:v>
      </x:c>
      <x:c r="G2091" s="9" t="n">
        <x:v>22.9</x:v>
      </x:c>
      <x:c r="H2091" s="9" t="n">
        <x:v>132.3</x:v>
      </x:c>
      <x:c r="I2091" s="8" t="str">
        <x:f>B2091&amp;" / "&amp;C2091&amp;" / "&amp;E2091</x:f>
        <x:v>3524 / 2025 / RAINBOW TROUT</x:v>
      </x:c>
    </x:row>
    <x:row r="2092" ht="23" customHeight="1">
      <x:c r="A2092" s="8" t="str">
        <x:v>Michichi Reservoir</x:v>
      </x:c>
      <x:c r="B2092" s="8" t="str">
        <x:v>3524</x:v>
      </x:c>
      <x:c r="C2092" s="17" t="n">
        <x:v>2025</x:v>
      </x:c>
      <x:c r="D2092" s="18" t="n">
        <x:v>45769</x:v>
      </x:c>
      <x:c r="E2092" s="8" t="str">
        <x:v>RAINBOW TROUT</x:v>
      </x:c>
      <x:c r="F2092" s="13" t="n">
        <x:v>4200</x:v>
      </x:c>
      <x:c r="G2092" s="9" t="n">
        <x:v>20.1</x:v>
      </x:c>
      <x:c r="H2092" s="9" t="n">
        <x:v>88</x:v>
      </x:c>
      <x:c r="I2092" s="8" t="str">
        <x:f>B2092&amp;" / "&amp;C2092&amp;" / "&amp;E2092</x:f>
        <x:v>3524 / 2025 / RAINBOW TROUT</x:v>
      </x:c>
    </x:row>
    <x:row r="2093" ht="23" customHeight="1">
      <x:c r="A2093" s="8" t="str">
        <x:v>Michichi Reservoir</x:v>
      </x:c>
      <x:c r="B2093" s="8" t="str">
        <x:v>3524</x:v>
      </x:c>
      <x:c r="C2093" s="17" t="n">
        <x:v>2024</x:v>
      </x:c>
      <x:c r="D2093" s="18" t="n">
        <x:v>45407</x:v>
      </x:c>
      <x:c r="E2093" s="8" t="str">
        <x:v>RAINBOW TROUT</x:v>
      </x:c>
      <x:c r="F2093" s="13" t="n">
        <x:v>3360</x:v>
      </x:c>
      <x:c r="G2093" s="9" t="n">
        <x:v>20.7</x:v>
      </x:c>
      <x:c r="H2093" s="9" t="n">
        <x:v>95.8</x:v>
      </x:c>
      <x:c r="I2093" s="8" t="str">
        <x:f>B2093&amp;" / "&amp;C2093&amp;" / "&amp;E2093</x:f>
        <x:v>3524 / 2024 / RAINBOW TROUT</x:v>
      </x:c>
    </x:row>
    <x:row r="2094" ht="23" customHeight="1">
      <x:c r="A2094" s="8" t="str">
        <x:v>Michichi Reservoir</x:v>
      </x:c>
      <x:c r="B2094" s="8" t="str">
        <x:v>3524</x:v>
      </x:c>
      <x:c r="C2094" s="17" t="n">
        <x:v>2023</x:v>
      </x:c>
      <x:c r="D2094" s="18" t="n">
        <x:v>45046</x:v>
      </x:c>
      <x:c r="E2094" s="8" t="str">
        <x:v>RAINBOW TROUT</x:v>
      </x:c>
      <x:c r="F2094" s="13" t="n">
        <x:v>2811</x:v>
      </x:c>
      <x:c r="G2094" s="9" t="n">
        <x:v>20.3</x:v>
      </x:c>
      <x:c r="H2094" s="9" t="n">
        <x:v>90.2</x:v>
      </x:c>
      <x:c r="I2094" s="8" t="str">
        <x:f>B2094&amp;" / "&amp;C2094&amp;" / "&amp;E2094</x:f>
        <x:v>3524 / 2023 / RAINBOW TROUT</x:v>
      </x:c>
    </x:row>
    <x:row r="2095" ht="23" customHeight="1">
      <x:c r="A2095" s="8" t="str">
        <x:v>Michichi Reservoir</x:v>
      </x:c>
      <x:c r="B2095" s="8" t="str">
        <x:v>3524</x:v>
      </x:c>
      <x:c r="C2095" s="17" t="n">
        <x:v>2022</x:v>
      </x:c>
      <x:c r="D2095" s="18" t="n">
        <x:v>44682</x:v>
      </x:c>
      <x:c r="E2095" s="8" t="str">
        <x:v>RAINBOW TROUT</x:v>
      </x:c>
      <x:c r="F2095" s="13" t="n">
        <x:v>5600</x:v>
      </x:c>
      <x:c r="G2095" s="9" t="n">
        <x:v>20.7</x:v>
      </x:c>
      <x:c r="H2095" s="9" t="n">
        <x:v>97</x:v>
      </x:c>
      <x:c r="I2095" s="8" t="str">
        <x:f>B2095&amp;" / "&amp;C2095&amp;" / "&amp;E2095</x:f>
        <x:v>3524 / 2022 / RAINBOW TROUT</x:v>
      </x:c>
    </x:row>
    <x:row r="2096" ht="23" customHeight="1">
      <x:c r="A2096" s="8" t="str">
        <x:v>Michichi Reservoir</x:v>
      </x:c>
      <x:c r="B2096" s="8" t="str">
        <x:v>3524</x:v>
      </x:c>
      <x:c r="C2096" s="17" t="n">
        <x:v>2021</x:v>
      </x:c>
      <x:c r="D2096" s="18" t="n">
        <x:v>44462</x:v>
      </x:c>
      <x:c r="E2096" s="8" t="str">
        <x:v>RAINBOW TROUT</x:v>
      </x:c>
      <x:c r="F2096" s="13" t="n">
        <x:v>48</x:v>
      </x:c>
      <x:c r="G2096" s="9" t="n">
        <x:v>50</x:v>
      </x:c>
      <x:c r="H2096" s="9" t="n">
        <x:v>3455</x:v>
      </x:c>
      <x:c r="I2096" s="8" t="str">
        <x:f>B2096&amp;" / "&amp;C2096&amp;" / "&amp;E2096</x:f>
        <x:v>3524 / 2021 / RAINBOW TROUT</x:v>
      </x:c>
    </x:row>
    <x:row r="2097" ht="23" customHeight="1">
      <x:c r="A2097" s="8" t="str">
        <x:v>Michichi Reservoir</x:v>
      </x:c>
      <x:c r="B2097" s="8" t="str">
        <x:v>3524</x:v>
      </x:c>
      <x:c r="C2097" s="17" t="n">
        <x:v>2021</x:v>
      </x:c>
      <x:c r="D2097" s="18" t="n">
        <x:v>44461</x:v>
      </x:c>
      <x:c r="E2097" s="8" t="str">
        <x:v>RAINBOW TROUT</x:v>
      </x:c>
      <x:c r="F2097" s="13" t="n">
        <x:v>56</x:v>
      </x:c>
      <x:c r="G2097" s="9" t="n">
        <x:v>55</x:v>
      </x:c>
      <x:c r="H2097" s="9" t="n">
        <x:v>3455</x:v>
      </x:c>
      <x:c r="I2097" s="8" t="str">
        <x:f>B2097&amp;" / "&amp;C2097&amp;" / "&amp;E2097</x:f>
        <x:v>3524 / 2021 / RAINBOW TROUT</x:v>
      </x:c>
    </x:row>
    <x:row r="2098" ht="23" customHeight="1">
      <x:c r="A2098" s="8" t="str">
        <x:v>Michichi Reservoir</x:v>
      </x:c>
      <x:c r="B2098" s="8" t="str">
        <x:v>3524</x:v>
      </x:c>
      <x:c r="C2098" s="17" t="n">
        <x:v>2021</x:v>
      </x:c>
      <x:c r="D2098" s="18" t="n">
        <x:v>44461</x:v>
      </x:c>
      <x:c r="E2098" s="8" t="str">
        <x:v>RAINBOW TROUT</x:v>
      </x:c>
      <x:c r="F2098" s="13" t="n">
        <x:v>48</x:v>
      </x:c>
      <x:c r="G2098" s="9" t="n">
        <x:v>50</x:v>
      </x:c>
      <x:c r="H2098" s="9" t="n">
        <x:v>3455</x:v>
      </x:c>
      <x:c r="I2098" s="8" t="str">
        <x:f>B2098&amp;" / "&amp;C2098&amp;" / "&amp;E2098</x:f>
        <x:v>3524 / 2021 / RAINBOW TROUT</x:v>
      </x:c>
    </x:row>
    <x:row r="2099" ht="23" customHeight="1">
      <x:c r="A2099" s="8" t="str">
        <x:v>Michichi Reservoir</x:v>
      </x:c>
      <x:c r="B2099" s="8" t="str">
        <x:v>3524</x:v>
      </x:c>
      <x:c r="C2099" s="17" t="n">
        <x:v>2021</x:v>
      </x:c>
      <x:c r="D2099" s="18" t="n">
        <x:v>44460</x:v>
      </x:c>
      <x:c r="E2099" s="8" t="str">
        <x:v>RAINBOW TROUT</x:v>
      </x:c>
      <x:c r="F2099" s="13" t="n">
        <x:v>55</x:v>
      </x:c>
      <x:c r="G2099" s="9" t="n">
        <x:v>55</x:v>
      </x:c>
      <x:c r="H2099" s="9" t="n">
        <x:v>3455</x:v>
      </x:c>
      <x:c r="I2099" s="8" t="str">
        <x:f>B2099&amp;" / "&amp;C2099&amp;" / "&amp;E2099</x:f>
        <x:v>3524 / 2021 / RAINBOW TROUT</x:v>
      </x:c>
    </x:row>
    <x:row r="2100" ht="23" customHeight="1">
      <x:c r="A2100" s="8" t="str">
        <x:v>Michichi Reservoir</x:v>
      </x:c>
      <x:c r="B2100" s="8" t="str">
        <x:v>3524</x:v>
      </x:c>
      <x:c r="C2100" s="17" t="n">
        <x:v>2021</x:v>
      </x:c>
      <x:c r="D2100" s="18" t="n">
        <x:v>44460</x:v>
      </x:c>
      <x:c r="E2100" s="8" t="str">
        <x:v>RAINBOW TROUT</x:v>
      </x:c>
      <x:c r="F2100" s="13" t="n">
        <x:v>48</x:v>
      </x:c>
      <x:c r="G2100" s="9" t="n">
        <x:v>50</x:v>
      </x:c>
      <x:c r="H2100" s="9" t="n">
        <x:v>3455</x:v>
      </x:c>
      <x:c r="I2100" s="8" t="str">
        <x:f>B2100&amp;" / "&amp;C2100&amp;" / "&amp;E2100</x:f>
        <x:v>3524 / 2021 / RAINBOW TROUT</x:v>
      </x:c>
    </x:row>
    <x:row r="2101" ht="23" customHeight="1">
      <x:c r="A2101" s="8" t="str">
        <x:v>Michichi Reservoir</x:v>
      </x:c>
      <x:c r="B2101" s="8" t="str">
        <x:v>3524</x:v>
      </x:c>
      <x:c r="C2101" s="17" t="n">
        <x:v>2021</x:v>
      </x:c>
      <x:c r="D2101" s="18" t="n">
        <x:v>44459</x:v>
      </x:c>
      <x:c r="E2101" s="8" t="str">
        <x:v>RAINBOW TROUT</x:v>
      </x:c>
      <x:c r="F2101" s="13" t="n">
        <x:v>55</x:v>
      </x:c>
      <x:c r="G2101" s="9" t="n">
        <x:v>55</x:v>
      </x:c>
      <x:c r="H2101" s="9" t="n">
        <x:v>3455</x:v>
      </x:c>
      <x:c r="I2101" s="8" t="str">
        <x:f>B2101&amp;" / "&amp;C2101&amp;" / "&amp;E2101</x:f>
        <x:v>3524 / 2021 / RAINBOW TROUT</x:v>
      </x:c>
    </x:row>
    <x:row r="2102" ht="23" customHeight="1">
      <x:c r="A2102" s="8" t="str">
        <x:v>Michichi Reservoir</x:v>
      </x:c>
      <x:c r="B2102" s="8" t="str">
        <x:v>3524</x:v>
      </x:c>
      <x:c r="C2102" s="17" t="n">
        <x:v>2021</x:v>
      </x:c>
      <x:c r="D2102" s="18" t="n">
        <x:v>44459</x:v>
      </x:c>
      <x:c r="E2102" s="8" t="str">
        <x:v>RAINBOW TROUT</x:v>
      </x:c>
      <x:c r="F2102" s="13" t="n">
        <x:v>48</x:v>
      </x:c>
      <x:c r="G2102" s="9" t="n">
        <x:v>50</x:v>
      </x:c>
      <x:c r="H2102" s="9" t="n">
        <x:v>3455</x:v>
      </x:c>
      <x:c r="I2102" s="8" t="str">
        <x:f>B2102&amp;" / "&amp;C2102&amp;" / "&amp;E2102</x:f>
        <x:v>3524 / 2021 / RAINBOW TROUT</x:v>
      </x:c>
    </x:row>
    <x:row r="2103" ht="23" customHeight="1">
      <x:c r="A2103" s="8" t="str">
        <x:v>Michichi Reservoir</x:v>
      </x:c>
      <x:c r="B2103" s="8" t="str">
        <x:v>3524</x:v>
      </x:c>
      <x:c r="C2103" s="17" t="n">
        <x:v>2021</x:v>
      </x:c>
      <x:c r="D2103" s="18" t="n">
        <x:v>44312</x:v>
      </x:c>
      <x:c r="E2103" s="8" t="str">
        <x:v>RAINBOW TROUT</x:v>
      </x:c>
      <x:c r="F2103" s="13" t="n">
        <x:v>40</x:v>
      </x:c>
      <x:c r="G2103" s="9" t="n">
        <x:v>50</x:v>
      </x:c>
      <x:c r="H2103" s="9" t="n">
        <x:v>2660</x:v>
      </x:c>
      <x:c r="I2103" s="8" t="str">
        <x:f>B2103&amp;" / "&amp;C2103&amp;" / "&amp;E2103</x:f>
        <x:v>3524 / 2021 / RAINBOW TROUT</x:v>
      </x:c>
    </x:row>
    <x:row r="2104" ht="23" customHeight="1">
      <x:c r="A2104" s="8" t="str">
        <x:v>Michichi Reservoir</x:v>
      </x:c>
      <x:c r="B2104" s="8" t="str">
        <x:v>3524</x:v>
      </x:c>
      <x:c r="C2104" s="17" t="n">
        <x:v>2021</x:v>
      </x:c>
      <x:c r="D2104" s="18" t="n">
        <x:v>44312</x:v>
      </x:c>
      <x:c r="E2104" s="8" t="str">
        <x:v>RAINBOW TROUT</x:v>
      </x:c>
      <x:c r="F2104" s="13" t="n">
        <x:v>50</x:v>
      </x:c>
      <x:c r="G2104" s="9" t="n">
        <x:v>30</x:v>
      </x:c>
      <x:c r="H2104" s="9" t="n">
        <x:v>410</x:v>
      </x:c>
      <x:c r="I2104" s="8" t="str">
        <x:f>B2104&amp;" / "&amp;C2104&amp;" / "&amp;E2104</x:f>
        <x:v>3524 / 2021 / RAINBOW TROUT</x:v>
      </x:c>
    </x:row>
    <x:row r="2105" ht="23" customHeight="1">
      <x:c r="A2105" s="8" t="str">
        <x:v>Michichi Reservoir</x:v>
      </x:c>
      <x:c r="B2105" s="8" t="str">
        <x:v>3524</x:v>
      </x:c>
      <x:c r="C2105" s="17" t="n">
        <x:v>2021</x:v>
      </x:c>
      <x:c r="D2105" s="18" t="n">
        <x:v>44301</x:v>
      </x:c>
      <x:c r="E2105" s="8" t="str">
        <x:v>RAINBOW TROUT</x:v>
      </x:c>
      <x:c r="F2105" s="13" t="n">
        <x:v>5600</x:v>
      </x:c>
      <x:c r="G2105" s="9" t="n">
        <x:v>20.7</x:v>
      </x:c>
      <x:c r="H2105" s="9" t="n">
        <x:v>98.1</x:v>
      </x:c>
      <x:c r="I2105" s="8" t="str">
        <x:f>B2105&amp;" / "&amp;C2105&amp;" / "&amp;E2105</x:f>
        <x:v>3524 / 2021 / RAINBOW TROUT</x:v>
      </x:c>
    </x:row>
    <x:row r="2106" ht="23" customHeight="1">
      <x:c r="A2106" s="8" t="str">
        <x:v>Middle Pierre Greys Lake</x:v>
      </x:c>
      <x:c r="B2106" s="8" t="str">
        <x:v>6533</x:v>
      </x:c>
      <x:c r="C2106" s="17" t="n">
        <x:v>2026</x:v>
      </x:c>
      <x:c r="D2106" s="18" t="n">
        <x:v>46174</x:v>
      </x:c>
      <x:c r="E2106" s="8" t="str">
        <x:v>RAINBOW TROUT</x:v>
      </x:c>
      <x:c r="F2106" s="13" t="n">
        <x:v>15000</x:v>
      </x:c>
      <x:c r="G2106" s="9" t="n">
        <x:v>17.8</x:v>
      </x:c>
      <x:c r="H2106" s="9" t="n">
        <x:v>62.6</x:v>
      </x:c>
      <x:c r="I2106" s="8" t="str">
        <x:f>B2106&amp;" / "&amp;C2106&amp;" / "&amp;E2106</x:f>
        <x:v>6533 / 2026 / RAINBOW TROUT</x:v>
      </x:c>
    </x:row>
    <x:row r="2107" ht="23" customHeight="1">
      <x:c r="A2107" s="8" t="str">
        <x:v>Middle Pierre Greys Lake</x:v>
      </x:c>
      <x:c r="B2107" s="8" t="str">
        <x:v>6533</x:v>
      </x:c>
      <x:c r="C2107" s="17" t="n">
        <x:v>2025</x:v>
      </x:c>
      <x:c r="D2107" s="18" t="n">
        <x:v>45802</x:v>
      </x:c>
      <x:c r="E2107" s="8" t="str">
        <x:v>RAINBOW TROUT</x:v>
      </x:c>
      <x:c r="F2107" s="13" t="n">
        <x:v>15000</x:v>
      </x:c>
      <x:c r="G2107" s="9" t="n">
        <x:v>19.6</x:v>
      </x:c>
      <x:c r="H2107" s="9" t="n">
        <x:v>83.5</x:v>
      </x:c>
      <x:c r="I2107" s="8" t="str">
        <x:f>B2107&amp;" / "&amp;C2107&amp;" / "&amp;E2107</x:f>
        <x:v>6533 / 2025 / RAINBOW TROUT</x:v>
      </x:c>
    </x:row>
    <x:row r="2108" ht="23" customHeight="1">
      <x:c r="A2108" s="8" t="str">
        <x:v>Middle Pierre Greys Lake</x:v>
      </x:c>
      <x:c r="B2108" s="8" t="str">
        <x:v>6533</x:v>
      </x:c>
      <x:c r="C2108" s="17" t="n">
        <x:v>2024</x:v>
      </x:c>
      <x:c r="D2108" s="18" t="n">
        <x:v>45552</x:v>
      </x:c>
      <x:c r="E2108" s="8" t="str">
        <x:v>RAINBOW TROUT</x:v>
      </x:c>
      <x:c r="F2108" s="13" t="n">
        <x:v>10000</x:v>
      </x:c>
      <x:c r="G2108" s="9" t="n">
        <x:v>5.2</x:v>
      </x:c>
      <x:c r="H2108" s="9" t="n">
        <x:v>1.5</x:v>
      </x:c>
      <x:c r="I2108" s="8" t="str">
        <x:f>B2108&amp;" / "&amp;C2108&amp;" / "&amp;E2108</x:f>
        <x:v>6533 / 2024 / RAINBOW TROUT</x:v>
      </x:c>
    </x:row>
    <x:row r="2109" ht="23" customHeight="1">
      <x:c r="A2109" s="8" t="str">
        <x:v>Middle Pierre Greys Lake</x:v>
      </x:c>
      <x:c r="B2109" s="8" t="str">
        <x:v>6533</x:v>
      </x:c>
      <x:c r="C2109" s="17" t="n">
        <x:v>2024</x:v>
      </x:c>
      <x:c r="D2109" s="18" t="n">
        <x:v>45421</x:v>
      </x:c>
      <x:c r="E2109" s="8" t="str">
        <x:v>RAINBOW TROUT</x:v>
      </x:c>
      <x:c r="F2109" s="13" t="n">
        <x:v>7500</x:v>
      </x:c>
      <x:c r="G2109" s="9" t="n">
        <x:v>20.4</x:v>
      </x:c>
      <x:c r="H2109" s="9" t="n">
        <x:v>91.3</x:v>
      </x:c>
      <x:c r="I2109" s="8" t="str">
        <x:f>B2109&amp;" / "&amp;C2109&amp;" / "&amp;E2109</x:f>
        <x:v>6533 / 2024 / RAINBOW TROUT</x:v>
      </x:c>
    </x:row>
    <x:row r="2110" ht="23" customHeight="1">
      <x:c r="A2110" s="8" t="str">
        <x:v>Middle Pierre Greys Lake</x:v>
      </x:c>
      <x:c r="B2110" s="8" t="str">
        <x:v>6533</x:v>
      </x:c>
      <x:c r="C2110" s="17" t="n">
        <x:v>2023</x:v>
      </x:c>
      <x:c r="D2110" s="18" t="n">
        <x:v>45070</x:v>
      </x:c>
      <x:c r="E2110" s="8" t="str">
        <x:v>RAINBOW TROUT</x:v>
      </x:c>
      <x:c r="F2110" s="13" t="n">
        <x:v>7110</x:v>
      </x:c>
      <x:c r="G2110" s="9" t="n">
        <x:v>17.5</x:v>
      </x:c>
      <x:c r="H2110" s="9" t="n">
        <x:v>57.5</x:v>
      </x:c>
      <x:c r="I2110" s="8" t="str">
        <x:f>B2110&amp;" / "&amp;C2110&amp;" / "&amp;E2110</x:f>
        <x:v>6533 / 2023 / RAINBOW TROUT</x:v>
      </x:c>
    </x:row>
    <x:row r="2111" ht="23" customHeight="1">
      <x:c r="A2111" s="8" t="str">
        <x:v>Middle Pierre Greys Lake</x:v>
      </x:c>
      <x:c r="B2111" s="8" t="str">
        <x:v>6533</x:v>
      </x:c>
      <x:c r="C2111" s="17" t="n">
        <x:v>2022</x:v>
      </x:c>
      <x:c r="D2111" s="18" t="n">
        <x:v>44718</x:v>
      </x:c>
      <x:c r="E2111" s="8" t="str">
        <x:v>RAINBOW TROUT</x:v>
      </x:c>
      <x:c r="F2111" s="13" t="n">
        <x:v>15000</x:v>
      </x:c>
      <x:c r="G2111" s="9" t="n">
        <x:v>13.9</x:v>
      </x:c>
      <x:c r="H2111" s="9" t="n">
        <x:v>29.6</x:v>
      </x:c>
      <x:c r="I2111" s="8" t="str">
        <x:f>B2111&amp;" / "&amp;C2111&amp;" / "&amp;E2111</x:f>
        <x:v>6533 / 2022 / RAINBOW TROUT</x:v>
      </x:c>
    </x:row>
    <x:row r="2112" ht="23" customHeight="1">
      <x:c r="A2112" s="8" t="str">
        <x:v>Middle Pierre Greys Lake</x:v>
      </x:c>
      <x:c r="B2112" s="8" t="str">
        <x:v>6533</x:v>
      </x:c>
      <x:c r="C2112" s="17" t="n">
        <x:v>2021</x:v>
      </x:c>
      <x:c r="D2112" s="18" t="n">
        <x:v>44350</x:v>
      </x:c>
      <x:c r="E2112" s="8" t="str">
        <x:v>RAINBOW TROUT</x:v>
      </x:c>
      <x:c r="F2112" s="13" t="n">
        <x:v>15000</x:v>
      </x:c>
      <x:c r="G2112" s="9" t="n">
        <x:v>15.4</x:v>
      </x:c>
      <x:c r="H2112" s="9" t="n">
        <x:v>40.6</x:v>
      </x:c>
      <x:c r="I2112" s="8" t="str">
        <x:f>B2112&amp;" / "&amp;C2112&amp;" / "&amp;E2112</x:f>
        <x:v>6533 / 2021 / RAINBOW TROUT</x:v>
      </x:c>
    </x:row>
    <x:row r="2113" ht="23" customHeight="1">
      <x:c r="A2113" s="8" t="str">
        <x:v>Midway Reservoir</x:v>
      </x:c>
      <x:c r="B2113" s="8" t="str">
        <x:v>6741</x:v>
      </x:c>
      <x:c r="C2113" s="17" t="n">
        <x:v>2025</x:v>
      </x:c>
      <x:c r="D2113" s="18" t="n">
        <x:v>45764</x:v>
      </x:c>
      <x:c r="E2113" s="8" t="str">
        <x:v>RAINBOW TROUT</x:v>
      </x:c>
      <x:c r="F2113" s="13" t="n">
        <x:v>1800</x:v>
      </x:c>
      <x:c r="G2113" s="9" t="n">
        <x:v>20.3</x:v>
      </x:c>
      <x:c r="H2113" s="9" t="n">
        <x:v>94.3</x:v>
      </x:c>
      <x:c r="I2113" s="8" t="str">
        <x:f>B2113&amp;" / "&amp;C2113&amp;" / "&amp;E2113</x:f>
        <x:v>6741 / 2025 / RAINBOW TROUT</x:v>
      </x:c>
    </x:row>
    <x:row r="2114" ht="23" customHeight="1">
      <x:c r="A2114" s="8" t="str">
        <x:v>Midway Reservoir</x:v>
      </x:c>
      <x:c r="B2114" s="8" t="str">
        <x:v>6741</x:v>
      </x:c>
      <x:c r="C2114" s="17" t="n">
        <x:v>2024</x:v>
      </x:c>
      <x:c r="D2114" s="18" t="n">
        <x:v>45404</x:v>
      </x:c>
      <x:c r="E2114" s="8" t="str">
        <x:v>RAINBOW TROUT</x:v>
      </x:c>
      <x:c r="F2114" s="13" t="n">
        <x:v>2000</x:v>
      </x:c>
      <x:c r="G2114" s="9" t="n">
        <x:v>20.5</x:v>
      </x:c>
      <x:c r="H2114" s="9" t="n">
        <x:v>93.1</x:v>
      </x:c>
      <x:c r="I2114" s="8" t="str">
        <x:f>B2114&amp;" / "&amp;C2114&amp;" / "&amp;E2114</x:f>
        <x:v>6741 / 2024 / RAINBOW TROUT</x:v>
      </x:c>
    </x:row>
    <x:row r="2115" ht="23" customHeight="1">
      <x:c r="A2115" s="8" t="str">
        <x:v>Midway Reservoir</x:v>
      </x:c>
      <x:c r="B2115" s="8" t="str">
        <x:v>6741</x:v>
      </x:c>
      <x:c r="C2115" s="17" t="n">
        <x:v>2023</x:v>
      </x:c>
      <x:c r="D2115" s="18" t="n">
        <x:v>45046</x:v>
      </x:c>
      <x:c r="E2115" s="8" t="str">
        <x:v>RAINBOW TROUT</x:v>
      </x:c>
      <x:c r="F2115" s="13" t="n">
        <x:v>2000</x:v>
      </x:c>
      <x:c r="G2115" s="9" t="n">
        <x:v>20.5</x:v>
      </x:c>
      <x:c r="H2115" s="9" t="n">
        <x:v>89.9</x:v>
      </x:c>
      <x:c r="I2115" s="8" t="str">
        <x:f>B2115&amp;" / "&amp;C2115&amp;" / "&amp;E2115</x:f>
        <x:v>6741 / 2023 / RAINBOW TROUT</x:v>
      </x:c>
    </x:row>
    <x:row r="2116" ht="23" customHeight="1">
      <x:c r="A2116" s="8" t="str">
        <x:v>Midway Reservoir</x:v>
      </x:c>
      <x:c r="B2116" s="8" t="str">
        <x:v>6741</x:v>
      </x:c>
      <x:c r="C2116" s="17" t="n">
        <x:v>2021</x:v>
      </x:c>
      <x:c r="D2116" s="18" t="n">
        <x:v>44354</x:v>
      </x:c>
      <x:c r="E2116" s="8" t="str">
        <x:v>RAINBOW TROUT</x:v>
      </x:c>
      <x:c r="F2116" s="13" t="n">
        <x:v>1000</x:v>
      </x:c>
      <x:c r="G2116" s="9" t="n">
        <x:v>21.3</x:v>
      </x:c>
      <x:c r="H2116" s="9" t="n">
        <x:v>99.4</x:v>
      </x:c>
      <x:c r="I2116" s="8" t="str">
        <x:f>B2116&amp;" / "&amp;C2116&amp;" / "&amp;E2116</x:f>
        <x:v>6741 / 2021 / RAINBOW TROUT</x:v>
      </x:c>
    </x:row>
    <x:row r="2117" ht="23" customHeight="1">
      <x:c r="A2117" s="8" t="str">
        <x:v>Midway Reservoir</x:v>
      </x:c>
      <x:c r="B2117" s="8" t="str">
        <x:v>6741</x:v>
      </x:c>
      <x:c r="C2117" s="17" t="n">
        <x:v>2021</x:v>
      </x:c>
      <x:c r="D2117" s="18" t="n">
        <x:v>44301</x:v>
      </x:c>
      <x:c r="E2117" s="8" t="str">
        <x:v>RAINBOW TROUT</x:v>
      </x:c>
      <x:c r="F2117" s="13" t="n">
        <x:v>1215</x:v>
      </x:c>
      <x:c r="G2117" s="9" t="n">
        <x:v>21.1</x:v>
      </x:c>
      <x:c r="H2117" s="9" t="n">
        <x:v>93.1</x:v>
      </x:c>
      <x:c r="I2117" s="8" t="str">
        <x:f>B2117&amp;" / "&amp;C2117&amp;" / "&amp;E2117</x:f>
        <x:v>6741 / 2021 / RAINBOW TROUT</x:v>
      </x:c>
    </x:row>
    <x:row r="2118" ht="23" customHeight="1">
      <x:c r="A2118" s="8" t="str">
        <x:v>Mile 07 Lake</x:v>
      </x:c>
      <x:c r="B2118" s="8" t="str">
        <x:v>6642</x:v>
      </x:c>
      <x:c r="C2118" s="17" t="n">
        <x:v>2026</x:v>
      </x:c>
      <x:c r="D2118" s="18" t="n">
        <x:v>46170</x:v>
      </x:c>
      <x:c r="E2118" s="8" t="str">
        <x:v>RAINBOW TROUT</x:v>
      </x:c>
      <x:c r="F2118" s="13" t="n">
        <x:v>11000</x:v>
      </x:c>
      <x:c r="G2118" s="9" t="n">
        <x:v>21.7</x:v>
      </x:c>
      <x:c r="H2118" s="9" t="n">
        <x:v>113.1</x:v>
      </x:c>
      <x:c r="I2118" s="8" t="str">
        <x:f>B2118&amp;" / "&amp;C2118&amp;" / "&amp;E2118</x:f>
        <x:v>6642 / 2026 / RAINBOW TROUT</x:v>
      </x:c>
    </x:row>
    <x:row r="2119" ht="23" customHeight="1">
      <x:c r="A2119" s="8" t="str">
        <x:v>Mile 07 Lake</x:v>
      </x:c>
      <x:c r="B2119" s="8" t="str">
        <x:v>6642</x:v>
      </x:c>
      <x:c r="C2119" s="17" t="n">
        <x:v>2025</x:v>
      </x:c>
      <x:c r="D2119" s="18" t="n">
        <x:v>45781</x:v>
      </x:c>
      <x:c r="E2119" s="8" t="str">
        <x:v>RAINBOW TROUT</x:v>
      </x:c>
      <x:c r="F2119" s="13" t="n">
        <x:v>11000</x:v>
      </x:c>
      <x:c r="G2119" s="9" t="n">
        <x:v>20</x:v>
      </x:c>
      <x:c r="H2119" s="9" t="n">
        <x:v>88.9</x:v>
      </x:c>
      <x:c r="I2119" s="8" t="str">
        <x:f>B2119&amp;" / "&amp;C2119&amp;" / "&amp;E2119</x:f>
        <x:v>6642 / 2025 / RAINBOW TROUT</x:v>
      </x:c>
    </x:row>
    <x:row r="2120" ht="23" customHeight="1">
      <x:c r="A2120" s="8" t="str">
        <x:v>Mile 07 Lake</x:v>
      </x:c>
      <x:c r="B2120" s="8" t="str">
        <x:v>6642</x:v>
      </x:c>
      <x:c r="C2120" s="17" t="n">
        <x:v>2024</x:v>
      </x:c>
      <x:c r="D2120" s="18" t="n">
        <x:v>45422</x:v>
      </x:c>
      <x:c r="E2120" s="8" t="str">
        <x:v>RAINBOW TROUT</x:v>
      </x:c>
      <x:c r="F2120" s="13" t="n">
        <x:v>4400</x:v>
      </x:c>
      <x:c r="G2120" s="9" t="n">
        <x:v>20.1</x:v>
      </x:c>
      <x:c r="H2120" s="9" t="n">
        <x:v>87.7</x:v>
      </x:c>
      <x:c r="I2120" s="8" t="str">
        <x:f>B2120&amp;" / "&amp;C2120&amp;" / "&amp;E2120</x:f>
        <x:v>6642 / 2024 / RAINBOW TROUT</x:v>
      </x:c>
    </x:row>
    <x:row r="2121" ht="23" customHeight="1">
      <x:c r="A2121" s="8" t="str">
        <x:v>Mile 07 Lake</x:v>
      </x:c>
      <x:c r="B2121" s="8" t="str">
        <x:v>6642</x:v>
      </x:c>
      <x:c r="C2121" s="17" t="n">
        <x:v>2023</x:v>
      </x:c>
      <x:c r="D2121" s="18" t="n">
        <x:v>45057</x:v>
      </x:c>
      <x:c r="E2121" s="8" t="str">
        <x:v>RAINBOW TROUT</x:v>
      </x:c>
      <x:c r="F2121" s="13" t="n">
        <x:v>1860</x:v>
      </x:c>
      <x:c r="G2121" s="9" t="n">
        <x:v>16</x:v>
      </x:c>
      <x:c r="H2121" s="9" t="n">
        <x:v>45.1</x:v>
      </x:c>
      <x:c r="I2121" s="8" t="str">
        <x:f>B2121&amp;" / "&amp;C2121&amp;" / "&amp;E2121</x:f>
        <x:v>6642 / 2023 / RAINBOW TROUT</x:v>
      </x:c>
    </x:row>
    <x:row r="2122" ht="23" customHeight="1">
      <x:c r="A2122" s="8" t="str">
        <x:v>Mile 07 Lake</x:v>
      </x:c>
      <x:c r="B2122" s="8" t="str">
        <x:v>6642</x:v>
      </x:c>
      <x:c r="C2122" s="17" t="n">
        <x:v>2023</x:v>
      </x:c>
      <x:c r="D2122" s="18" t="n">
        <x:v>45057</x:v>
      </x:c>
      <x:c r="E2122" s="8" t="str">
        <x:v>RAINBOW TROUT</x:v>
      </x:c>
      <x:c r="F2122" s="13" t="n">
        <x:v>1131</x:v>
      </x:c>
      <x:c r="G2122" s="9" t="n">
        <x:v>20.1</x:v>
      </x:c>
      <x:c r="H2122" s="9" t="n">
        <x:v>89.7</x:v>
      </x:c>
      <x:c r="I2122" s="8" t="str">
        <x:f>B2122&amp;" / "&amp;C2122&amp;" / "&amp;E2122</x:f>
        <x:v>6642 / 2023 / RAINBOW TROUT</x:v>
      </x:c>
    </x:row>
    <x:row r="2123" ht="23" customHeight="1">
      <x:c r="A2123" s="8" t="str">
        <x:v>Mile 07 Lake</x:v>
      </x:c>
      <x:c r="B2123" s="8" t="str">
        <x:v>6642</x:v>
      </x:c>
      <x:c r="C2123" s="17" t="n">
        <x:v>2023</x:v>
      </x:c>
      <x:c r="D2123" s="18" t="n">
        <x:v>45057</x:v>
      </x:c>
      <x:c r="E2123" s="8" t="str">
        <x:v>RAINBOW TROUT</x:v>
      </x:c>
      <x:c r="F2123" s="13" t="n">
        <x:v>1263</x:v>
      </x:c>
      <x:c r="G2123" s="9" t="n">
        <x:v>20</x:v>
      </x:c>
      <x:c r="H2123" s="9" t="n">
        <x:v>88</x:v>
      </x:c>
      <x:c r="I2123" s="8" t="str">
        <x:f>B2123&amp;" / "&amp;C2123&amp;" / "&amp;E2123</x:f>
        <x:v>6642 / 2023 / RAINBOW TROUT</x:v>
      </x:c>
    </x:row>
    <x:row r="2124" ht="23" customHeight="1">
      <x:c r="A2124" s="8" t="str">
        <x:v>Mile 07 Lake</x:v>
      </x:c>
      <x:c r="B2124" s="8" t="str">
        <x:v>6642</x:v>
      </x:c>
      <x:c r="C2124" s="17" t="n">
        <x:v>2022</x:v>
      </x:c>
      <x:c r="D2124" s="18" t="n">
        <x:v>44704</x:v>
      </x:c>
      <x:c r="E2124" s="8" t="str">
        <x:v>RAINBOW TROUT</x:v>
      </x:c>
      <x:c r="F2124" s="13" t="n">
        <x:v>6000</x:v>
      </x:c>
      <x:c r="G2124" s="9" t="n">
        <x:v>20.2</x:v>
      </x:c>
      <x:c r="H2124" s="9" t="n">
        <x:v>91.4</x:v>
      </x:c>
      <x:c r="I2124" s="8" t="str">
        <x:f>B2124&amp;" / "&amp;C2124&amp;" / "&amp;E2124</x:f>
        <x:v>6642 / 2022 / RAINBOW TROUT</x:v>
      </x:c>
    </x:row>
    <x:row r="2125" ht="23" customHeight="1">
      <x:c r="A2125" s="8" t="str">
        <x:v>Mile 07 Lake</x:v>
      </x:c>
      <x:c r="B2125" s="8" t="str">
        <x:v>6642</x:v>
      </x:c>
      <x:c r="C2125" s="17" t="n">
        <x:v>2022</x:v>
      </x:c>
      <x:c r="D2125" s="18" t="n">
        <x:v>44704</x:v>
      </x:c>
      <x:c r="E2125" s="8" t="str">
        <x:v>RAINBOW TROUT</x:v>
      </x:c>
      <x:c r="F2125" s="13" t="n">
        <x:v>4000</x:v>
      </x:c>
      <x:c r="G2125" s="9" t="n">
        <x:v>17.3</x:v>
      </x:c>
      <x:c r="H2125" s="9" t="n">
        <x:v>57</x:v>
      </x:c>
      <x:c r="I2125" s="8" t="str">
        <x:f>B2125&amp;" / "&amp;C2125&amp;" / "&amp;E2125</x:f>
        <x:v>6642 / 2022 / RAINBOW TROUT</x:v>
      </x:c>
    </x:row>
    <x:row r="2126" ht="23" customHeight="1">
      <x:c r="A2126" s="8" t="str">
        <x:v>Mile 07 Lake</x:v>
      </x:c>
      <x:c r="B2126" s="8" t="str">
        <x:v>6642</x:v>
      </x:c>
      <x:c r="C2126" s="17" t="n">
        <x:v>2021</x:v>
      </x:c>
      <x:c r="D2126" s="18" t="n">
        <x:v>44325</x:v>
      </x:c>
      <x:c r="E2126" s="8" t="str">
        <x:v>RAINBOW TROUT</x:v>
      </x:c>
      <x:c r="F2126" s="13" t="n">
        <x:v>10000</x:v>
      </x:c>
      <x:c r="G2126" s="9" t="n">
        <x:v>20.4</x:v>
      </x:c>
      <x:c r="H2126" s="9" t="n">
        <x:v>95.6</x:v>
      </x:c>
      <x:c r="I2126" s="8" t="str">
        <x:f>B2126&amp;" / "&amp;C2126&amp;" / "&amp;E2126</x:f>
        <x:v>6642 / 2021 / RAINBOW TROUT</x:v>
      </x:c>
    </x:row>
    <x:row r="2127" ht="23" customHeight="1">
      <x:c r="A2127" s="8" t="str">
        <x:v>Milk River Ridge Reservoir</x:v>
      </x:c>
      <x:c r="B2127" s="8" t="str">
        <x:v>3526</x:v>
      </x:c>
      <x:c r="C2127" s="17" t="n">
        <x:v>2022</x:v>
      </x:c>
      <x:c r="D2127" s="18" t="n">
        <x:v>44707</x:v>
      </x:c>
      <x:c r="E2127" s="8" t="str">
        <x:v>WALLEYE</x:v>
      </x:c>
      <x:c r="F2127" s="13" t="n">
        <x:v>229742</x:v>
      </x:c>
      <x:c r="G2127" s="9" t="n">
        <x:v>0.4</x:v>
      </x:c>
      <x:c r="H2127" s="9" t="n">
        <x:v>0</x:v>
      </x:c>
      <x:c r="I2127" s="8" t="str">
        <x:f>B2127&amp;" / "&amp;C2127&amp;" / "&amp;E2127</x:f>
        <x:v>3526 / 2022 / WALLEYE</x:v>
      </x:c>
    </x:row>
    <x:row r="2128" ht="23" customHeight="1">
      <x:c r="A2128" s="8" t="str">
        <x:v>Milk River Ridge Reservoir</x:v>
      </x:c>
      <x:c r="B2128" s="8" t="str">
        <x:v>3526</x:v>
      </x:c>
      <x:c r="C2128" s="17" t="n">
        <x:v>2021</x:v>
      </x:c>
      <x:c r="D2128" s="18" t="n">
        <x:v>44430</x:v>
      </x:c>
      <x:c r="E2128" s="8" t="str">
        <x:v>WALLEYE</x:v>
      </x:c>
      <x:c r="F2128" s="13" t="n">
        <x:v>22175</x:v>
      </x:c>
      <x:c r="G2128" s="9" t="n">
        <x:v>7.5</x:v>
      </x:c>
      <x:c r="H2128" s="9" t="n">
        <x:v>2.4</x:v>
      </x:c>
      <x:c r="I2128" s="8" t="str">
        <x:f>B2128&amp;" / "&amp;C2128&amp;" / "&amp;E2128</x:f>
        <x:v>3526 / 2021 / WALLEYE</x:v>
      </x:c>
    </x:row>
    <x:row r="2129" ht="23" customHeight="1">
      <x:c r="A2129" s="8" t="str">
        <x:v>Milk River Ridge Reservoir</x:v>
      </x:c>
      <x:c r="B2129" s="8" t="str">
        <x:v>3526</x:v>
      </x:c>
      <x:c r="C2129" s="17" t="n">
        <x:v>2021</x:v>
      </x:c>
      <x:c r="D2129" s="18" t="n">
        <x:v>44343</x:v>
      </x:c>
      <x:c r="E2129" s="8" t="str">
        <x:v>WALLEYE</x:v>
      </x:c>
      <x:c r="F2129" s="13" t="n">
        <x:v>183840</x:v>
      </x:c>
      <x:c r="G2129" s="9" t="n">
        <x:v>0.4</x:v>
      </x:c>
      <x:c r="H2129" s="9" t="str">
        <x:v>Unknown</x:v>
      </x:c>
      <x:c r="I2129" s="8" t="str">
        <x:f>B2129&amp;" / "&amp;C2129&amp;" / "&amp;E2129</x:f>
        <x:v>3526 / 2021 / WALLEYE</x:v>
      </x:c>
    </x:row>
    <x:row r="2130" ht="23" customHeight="1">
      <x:c r="A2130" s="8" t="str">
        <x:v>Millers Lake</x:v>
      </x:c>
      <x:c r="B2130" s="8" t="str">
        <x:v>5324</x:v>
      </x:c>
      <x:c r="C2130" s="17" t="n">
        <x:v>2026</x:v>
      </x:c>
      <x:c r="D2130" s="18" t="n">
        <x:v>46147</x:v>
      </x:c>
      <x:c r="E2130" s="8" t="str">
        <x:v>BROWN TROUT</x:v>
      </x:c>
      <x:c r="F2130" s="13" t="n">
        <x:v>2500</x:v>
      </x:c>
      <x:c r="G2130" s="9" t="n">
        <x:v>20.3</x:v>
      </x:c>
      <x:c r="H2130" s="9" t="n">
        <x:v>92.1</x:v>
      </x:c>
      <x:c r="I2130" s="8" t="str">
        <x:f>B2130&amp;" / "&amp;C2130&amp;" / "&amp;E2130</x:f>
        <x:v>5324 / 2026 / BROWN TROUT</x:v>
      </x:c>
    </x:row>
    <x:row r="2131" ht="23" customHeight="1">
      <x:c r="A2131" s="8" t="str">
        <x:v>Millers Lake</x:v>
      </x:c>
      <x:c r="B2131" s="8" t="str">
        <x:v>5324</x:v>
      </x:c>
      <x:c r="C2131" s="17" t="n">
        <x:v>2026</x:v>
      </x:c>
      <x:c r="D2131" s="18" t="n">
        <x:v>46175</x:v>
      </x:c>
      <x:c r="E2131" s="8" t="str">
        <x:v>RAINBOW TROUT</x:v>
      </x:c>
      <x:c r="F2131" s="13" t="n">
        <x:v>85</x:v>
      </x:c>
      <x:c r="G2131" s="9" t="n">
        <x:v>48.1</x:v>
      </x:c>
      <x:c r="H2131" s="9" t="n">
        <x:v>1700</x:v>
      </x:c>
      <x:c r="I2131" s="8" t="str">
        <x:f>B2131&amp;" / "&amp;C2131&amp;" / "&amp;E2131</x:f>
        <x:v>5324 / 2026 / RAINBOW TROUT</x:v>
      </x:c>
    </x:row>
    <x:row r="2132" ht="23" customHeight="1">
      <x:c r="A2132" s="8" t="str">
        <x:v>Millers Lake</x:v>
      </x:c>
      <x:c r="B2132" s="8" t="str">
        <x:v>5324</x:v>
      </x:c>
      <x:c r="C2132" s="17" t="n">
        <x:v>2026</x:v>
      </x:c>
      <x:c r="D2132" s="18" t="n">
        <x:v>46168</x:v>
      </x:c>
      <x:c r="E2132" s="8" t="str">
        <x:v>RAINBOW TROUT</x:v>
      </x:c>
      <x:c r="F2132" s="13" t="n">
        <x:v>80</x:v>
      </x:c>
      <x:c r="G2132" s="9" t="n">
        <x:v>48.1</x:v>
      </x:c>
      <x:c r="H2132" s="9" t="n">
        <x:v>1700</x:v>
      </x:c>
      <x:c r="I2132" s="8" t="str">
        <x:f>B2132&amp;" / "&amp;C2132&amp;" / "&amp;E2132</x:f>
        <x:v>5324 / 2026 / RAINBOW TROUT</x:v>
      </x:c>
    </x:row>
    <x:row r="2133" ht="23" customHeight="1">
      <x:c r="A2133" s="8" t="str">
        <x:v>Millers Lake</x:v>
      </x:c>
      <x:c r="B2133" s="8" t="str">
        <x:v>5324</x:v>
      </x:c>
      <x:c r="C2133" s="17" t="n">
        <x:v>2026</x:v>
      </x:c>
      <x:c r="D2133" s="18" t="n">
        <x:v>46147</x:v>
      </x:c>
      <x:c r="E2133" s="8" t="str">
        <x:v>RAINBOW TROUT</x:v>
      </x:c>
      <x:c r="F2133" s="13" t="n">
        <x:v>14199</x:v>
      </x:c>
      <x:c r="G2133" s="9" t="n">
        <x:v>20.8</x:v>
      </x:c>
      <x:c r="H2133" s="9" t="n">
        <x:v>100.3</x:v>
      </x:c>
      <x:c r="I2133" s="8" t="str">
        <x:f>B2133&amp;" / "&amp;C2133&amp;" / "&amp;E2133</x:f>
        <x:v>5324 / 2026 / RAINBOW TROUT</x:v>
      </x:c>
    </x:row>
    <x:row r="2134" ht="23" customHeight="1">
      <x:c r="A2134" s="8" t="str">
        <x:v>Millers Lake</x:v>
      </x:c>
      <x:c r="B2134" s="8" t="str">
        <x:v>5324</x:v>
      </x:c>
      <x:c r="C2134" s="17" t="n">
        <x:v>2025</x:v>
      </x:c>
      <x:c r="D2134" s="18" t="n">
        <x:v>45785</x:v>
      </x:c>
      <x:c r="E2134" s="8" t="str">
        <x:v>RAINBOW TROUT</x:v>
      </x:c>
      <x:c r="F2134" s="13" t="n">
        <x:v>2479</x:v>
      </x:c>
      <x:c r="G2134" s="9" t="n">
        <x:v>20.5</x:v>
      </x:c>
      <x:c r="H2134" s="9" t="n">
        <x:v>94.9</x:v>
      </x:c>
      <x:c r="I2134" s="8" t="str">
        <x:f>B2134&amp;" / "&amp;C2134&amp;" / "&amp;E2134</x:f>
        <x:v>5324 / 2025 / RAINBOW TROUT</x:v>
      </x:c>
    </x:row>
    <x:row r="2135" ht="23" customHeight="1">
      <x:c r="A2135" s="8" t="str">
        <x:v>Millers Lake</x:v>
      </x:c>
      <x:c r="B2135" s="8" t="str">
        <x:v>5324</x:v>
      </x:c>
      <x:c r="C2135" s="17" t="n">
        <x:v>2025</x:v>
      </x:c>
      <x:c r="D2135" s="18" t="n">
        <x:v>45785</x:v>
      </x:c>
      <x:c r="E2135" s="8" t="str">
        <x:v>RAINBOW TROUT</x:v>
      </x:c>
      <x:c r="F2135" s="13" t="n">
        <x:v>3350</x:v>
      </x:c>
      <x:c r="G2135" s="9" t="n">
        <x:v>21.7</x:v>
      </x:c>
      <x:c r="H2135" s="9" t="n">
        <x:v>112.8</x:v>
      </x:c>
      <x:c r="I2135" s="8" t="str">
        <x:f>B2135&amp;" / "&amp;C2135&amp;" / "&amp;E2135</x:f>
        <x:v>5324 / 2025 / RAINBOW TROUT</x:v>
      </x:c>
    </x:row>
    <x:row r="2136" ht="23" customHeight="1">
      <x:c r="A2136" s="8" t="str">
        <x:v>Millers Lake</x:v>
      </x:c>
      <x:c r="B2136" s="8" t="str">
        <x:v>5324</x:v>
      </x:c>
      <x:c r="C2136" s="17" t="n">
        <x:v>2025</x:v>
      </x:c>
      <x:c r="D2136" s="18" t="n">
        <x:v>45785</x:v>
      </x:c>
      <x:c r="E2136" s="8" t="str">
        <x:v>RAINBOW TROUT</x:v>
      </x:c>
      <x:c r="F2136" s="13" t="n">
        <x:v>7671</x:v>
      </x:c>
      <x:c r="G2136" s="9" t="n">
        <x:v>20.5</x:v>
      </x:c>
      <x:c r="H2136" s="9" t="n">
        <x:v>94.9</x:v>
      </x:c>
      <x:c r="I2136" s="8" t="str">
        <x:f>B2136&amp;" / "&amp;C2136&amp;" / "&amp;E2136</x:f>
        <x:v>5324 / 2025 / RAINBOW TROUT</x:v>
      </x:c>
    </x:row>
    <x:row r="2137" ht="23" customHeight="1">
      <x:c r="A2137" s="8" t="str">
        <x:v>Millers Lake</x:v>
      </x:c>
      <x:c r="B2137" s="8" t="str">
        <x:v>5324</x:v>
      </x:c>
      <x:c r="C2137" s="17" t="n">
        <x:v>2025</x:v>
      </x:c>
      <x:c r="D2137" s="18" t="n">
        <x:v>45803</x:v>
      </x:c>
      <x:c r="E2137" s="8" t="str">
        <x:v>TIGER TROUT</x:v>
      </x:c>
      <x:c r="F2137" s="13" t="n">
        <x:v>1450</x:v>
      </x:c>
      <x:c r="G2137" s="9" t="n">
        <x:v>21.2</x:v>
      </x:c>
      <x:c r="H2137" s="9" t="n">
        <x:v>102.5</x:v>
      </x:c>
      <x:c r="I2137" s="8" t="str">
        <x:f>B2137&amp;" / "&amp;C2137&amp;" / "&amp;E2137</x:f>
        <x:v>5324 / 2025 / TIGER TROUT</x:v>
      </x:c>
    </x:row>
    <x:row r="2138" ht="23" customHeight="1">
      <x:c r="A2138" s="8" t="str">
        <x:v>Millers Lake</x:v>
      </x:c>
      <x:c r="B2138" s="8" t="str">
        <x:v>5324</x:v>
      </x:c>
      <x:c r="C2138" s="17" t="n">
        <x:v>2024</x:v>
      </x:c>
      <x:c r="D2138" s="18" t="n">
        <x:v>45559</x:v>
      </x:c>
      <x:c r="E2138" s="8" t="str">
        <x:v>RAINBOW TROUT</x:v>
      </x:c>
      <x:c r="F2138" s="13" t="n">
        <x:v>6484</x:v>
      </x:c>
      <x:c r="G2138" s="9" t="n">
        <x:v>20.5</x:v>
      </x:c>
      <x:c r="H2138" s="9" t="n">
        <x:v>95.2</x:v>
      </x:c>
      <x:c r="I2138" s="8" t="str">
        <x:f>B2138&amp;" / "&amp;C2138&amp;" / "&amp;E2138</x:f>
        <x:v>5324 / 2024 / RAINBOW TROUT</x:v>
      </x:c>
    </x:row>
    <x:row r="2139" ht="23" customHeight="1">
      <x:c r="A2139" s="8" t="str">
        <x:v>Millers Lake</x:v>
      </x:c>
      <x:c r="B2139" s="8" t="str">
        <x:v>5324</x:v>
      </x:c>
      <x:c r="C2139" s="17" t="n">
        <x:v>2024</x:v>
      </x:c>
      <x:c r="D2139" s="18" t="n">
        <x:v>45559</x:v>
      </x:c>
      <x:c r="E2139" s="8" t="str">
        <x:v>RAINBOW TROUT</x:v>
      </x:c>
      <x:c r="F2139" s="13" t="n">
        <x:v>6516</x:v>
      </x:c>
      <x:c r="G2139" s="9" t="n">
        <x:v>20.2</x:v>
      </x:c>
      <x:c r="H2139" s="9" t="n">
        <x:v>91.8</x:v>
      </x:c>
      <x:c r="I2139" s="8" t="str">
        <x:f>B2139&amp;" / "&amp;C2139&amp;" / "&amp;E2139</x:f>
        <x:v>5324 / 2024 / RAINBOW TROUT</x:v>
      </x:c>
    </x:row>
    <x:row r="2140" ht="23" customHeight="1">
      <x:c r="A2140" s="8" t="str">
        <x:v>Millers Lake</x:v>
      </x:c>
      <x:c r="B2140" s="8" t="str">
        <x:v>5324</x:v>
      </x:c>
      <x:c r="C2140" s="17" t="n">
        <x:v>2024</x:v>
      </x:c>
      <x:c r="D2140" s="18" t="n">
        <x:v>45428</x:v>
      </x:c>
      <x:c r="E2140" s="8" t="str">
        <x:v>RAINBOW TROUT</x:v>
      </x:c>
      <x:c r="F2140" s="13" t="n">
        <x:v>5275</x:v>
      </x:c>
      <x:c r="G2140" s="9" t="n">
        <x:v>20</x:v>
      </x:c>
      <x:c r="H2140" s="9" t="n">
        <x:v>85.9</x:v>
      </x:c>
      <x:c r="I2140" s="8" t="str">
        <x:f>B2140&amp;" / "&amp;C2140&amp;" / "&amp;E2140</x:f>
        <x:v>5324 / 2024 / RAINBOW TROUT</x:v>
      </x:c>
    </x:row>
    <x:row r="2141" ht="23" customHeight="1">
      <x:c r="A2141" s="8" t="str">
        <x:v>Millers Lake</x:v>
      </x:c>
      <x:c r="B2141" s="8" t="str">
        <x:v>5324</x:v>
      </x:c>
      <x:c r="C2141" s="17" t="n">
        <x:v>2023</x:v>
      </x:c>
      <x:c r="D2141" s="18" t="n">
        <x:v>45068</x:v>
      </x:c>
      <x:c r="E2141" s="8" t="str">
        <x:v>RAINBOW TROUT</x:v>
      </x:c>
      <x:c r="F2141" s="13" t="n">
        <x:v>5296</x:v>
      </x:c>
      <x:c r="G2141" s="9" t="n">
        <x:v>20.7</x:v>
      </x:c>
      <x:c r="H2141" s="9" t="n">
        <x:v>96</x:v>
      </x:c>
      <x:c r="I2141" s="8" t="str">
        <x:f>B2141&amp;" / "&amp;C2141&amp;" / "&amp;E2141</x:f>
        <x:v>5324 / 2023 / RAINBOW TROUT</x:v>
      </x:c>
    </x:row>
    <x:row r="2142" ht="23" customHeight="1">
      <x:c r="A2142" s="8" t="str">
        <x:v>Millers Lake</x:v>
      </x:c>
      <x:c r="B2142" s="8" t="str">
        <x:v>5324</x:v>
      </x:c>
      <x:c r="C2142" s="17" t="n">
        <x:v>2023</x:v>
      </x:c>
      <x:c r="D2142" s="18" t="n">
        <x:v>45061</x:v>
      </x:c>
      <x:c r="E2142" s="8" t="str">
        <x:v>RAINBOW TROUT</x:v>
      </x:c>
      <x:c r="F2142" s="13" t="n">
        <x:v>5000</x:v>
      </x:c>
      <x:c r="G2142" s="9" t="n">
        <x:v>8.8</x:v>
      </x:c>
      <x:c r="H2142" s="9" t="n">
        <x:v>7.4</x:v>
      </x:c>
      <x:c r="I2142" s="8" t="str">
        <x:f>B2142&amp;" / "&amp;C2142&amp;" / "&amp;E2142</x:f>
        <x:v>5324 / 2023 / RAINBOW TROUT</x:v>
      </x:c>
    </x:row>
    <x:row r="2143" ht="23" customHeight="1">
      <x:c r="A2143" s="8" t="str">
        <x:v>Millers Lake</x:v>
      </x:c>
      <x:c r="B2143" s="8" t="str">
        <x:v>5324</x:v>
      </x:c>
      <x:c r="C2143" s="17" t="n">
        <x:v>2023</x:v>
      </x:c>
      <x:c r="D2143" s="18" t="n">
        <x:v>45193</x:v>
      </x:c>
      <x:c r="E2143" s="8" t="str">
        <x:v>TIGER TROUT</x:v>
      </x:c>
      <x:c r="F2143" s="13" t="n">
        <x:v>1683</x:v>
      </x:c>
      <x:c r="G2143" s="9" t="n">
        <x:v>23.4</x:v>
      </x:c>
      <x:c r="H2143" s="9" t="n">
        <x:v>138.3</x:v>
      </x:c>
      <x:c r="I2143" s="8" t="str">
        <x:f>B2143&amp;" / "&amp;C2143&amp;" / "&amp;E2143</x:f>
        <x:v>5324 / 2023 / TIGER TROUT</x:v>
      </x:c>
    </x:row>
    <x:row r="2144" ht="23" customHeight="1">
      <x:c r="A2144" s="8" t="str">
        <x:v>Millers Lake</x:v>
      </x:c>
      <x:c r="B2144" s="8" t="str">
        <x:v>5324</x:v>
      </x:c>
      <x:c r="C2144" s="17" t="n">
        <x:v>2022</x:v>
      </x:c>
      <x:c r="D2144" s="18" t="n">
        <x:v>44693</x:v>
      </x:c>
      <x:c r="E2144" s="8" t="str">
        <x:v>RAINBOW TROUT</x:v>
      </x:c>
      <x:c r="F2144" s="13" t="n">
        <x:v>10550</x:v>
      </x:c>
      <x:c r="G2144" s="9" t="n">
        <x:v>20.6</x:v>
      </x:c>
      <x:c r="H2144" s="9" t="n">
        <x:v>96.9</x:v>
      </x:c>
      <x:c r="I2144" s="8" t="str">
        <x:f>B2144&amp;" / "&amp;C2144&amp;" / "&amp;E2144</x:f>
        <x:v>5324 / 2022 / RAINBOW TROUT</x:v>
      </x:c>
    </x:row>
    <x:row r="2145" ht="23" customHeight="1">
      <x:c r="A2145" s="8" t="str">
        <x:v>Millers Lake</x:v>
      </x:c>
      <x:c r="B2145" s="8" t="str">
        <x:v>5324</x:v>
      </x:c>
      <x:c r="C2145" s="17" t="n">
        <x:v>2022</x:v>
      </x:c>
      <x:c r="D2145" s="18" t="n">
        <x:v>44816</x:v>
      </x:c>
      <x:c r="E2145" s="8" t="str">
        <x:v>TIGER TROUT</x:v>
      </x:c>
      <x:c r="F2145" s="13" t="n">
        <x:v>1450</x:v>
      </x:c>
      <x:c r="G2145" s="9" t="n">
        <x:v>22.4</x:v>
      </x:c>
      <x:c r="H2145" s="9" t="n">
        <x:v>123.9</x:v>
      </x:c>
      <x:c r="I2145" s="8" t="str">
        <x:f>B2145&amp;" / "&amp;C2145&amp;" / "&amp;E2145</x:f>
        <x:v>5324 / 2022 / TIGER TROUT</x:v>
      </x:c>
    </x:row>
    <x:row r="2146" ht="23" customHeight="1">
      <x:c r="A2146" s="8" t="str">
        <x:v>Millers Lake</x:v>
      </x:c>
      <x:c r="B2146" s="8" t="str">
        <x:v>5324</x:v>
      </x:c>
      <x:c r="C2146" s="17" t="n">
        <x:v>2022</x:v>
      </x:c>
      <x:c r="D2146" s="18" t="n">
        <x:v>44816</x:v>
      </x:c>
      <x:c r="E2146" s="8" t="str">
        <x:v>TIGER TROUT</x:v>
      </x:c>
      <x:c r="F2146" s="13" t="n">
        <x:v>3000</x:v>
      </x:c>
      <x:c r="G2146" s="9" t="n">
        <x:v>9.1</x:v>
      </x:c>
      <x:c r="H2146" s="9" t="n">
        <x:v>8.3</x:v>
      </x:c>
      <x:c r="I2146" s="8" t="str">
        <x:f>B2146&amp;" / "&amp;C2146&amp;" / "&amp;E2146</x:f>
        <x:v>5324 / 2022 / TIGER TROUT</x:v>
      </x:c>
    </x:row>
    <x:row r="2147" ht="23" customHeight="1">
      <x:c r="A2147" s="8" t="str">
        <x:v>Millers Lake</x:v>
      </x:c>
      <x:c r="B2147" s="8" t="str">
        <x:v>5324</x:v>
      </x:c>
      <x:c r="C2147" s="17" t="n">
        <x:v>2021</x:v>
      </x:c>
      <x:c r="D2147" s="18" t="n">
        <x:v>44327</x:v>
      </x:c>
      <x:c r="E2147" s="8" t="str">
        <x:v>RAINBOW TROUT</x:v>
      </x:c>
      <x:c r="F2147" s="13" t="n">
        <x:v>10550</x:v>
      </x:c>
      <x:c r="G2147" s="9" t="n">
        <x:v>20.7</x:v>
      </x:c>
      <x:c r="H2147" s="9" t="n">
        <x:v>97.6</x:v>
      </x:c>
      <x:c r="I2147" s="8" t="str">
        <x:f>B2147&amp;" / "&amp;C2147&amp;" / "&amp;E2147</x:f>
        <x:v>5324 / 2021 / RAINBOW TROUT</x:v>
      </x:c>
    </x:row>
    <x:row r="2148" ht="23" customHeight="1">
      <x:c r="A2148" s="8" t="str">
        <x:v>Millers Lake</x:v>
      </x:c>
      <x:c r="B2148" s="8" t="str">
        <x:v>5324</x:v>
      </x:c>
      <x:c r="C2148" s="17" t="n">
        <x:v>2021</x:v>
      </x:c>
      <x:c r="D2148" s="18" t="n">
        <x:v>44453</x:v>
      </x:c>
      <x:c r="E2148" s="8" t="str">
        <x:v>TIGER TROUT</x:v>
      </x:c>
      <x:c r="F2148" s="13" t="n">
        <x:v>1450</x:v>
      </x:c>
      <x:c r="G2148" s="9" t="n">
        <x:v>20.1</x:v>
      </x:c>
      <x:c r="H2148" s="9" t="n">
        <x:v>90.3</x:v>
      </x:c>
      <x:c r="I2148" s="8" t="str">
        <x:f>B2148&amp;" / "&amp;C2148&amp;" / "&amp;E2148</x:f>
        <x:v>5324 / 2021 / TIGER TROUT</x:v>
      </x:c>
    </x:row>
    <x:row r="2149" ht="23" customHeight="1">
      <x:c r="A2149" s="8" t="str">
        <x:v>Minnow Lake</x:v>
      </x:c>
      <x:c r="B2149" s="8" t="str">
        <x:v>5336</x:v>
      </x:c>
      <x:c r="C2149" s="17" t="n">
        <x:v>2025</x:v>
      </x:c>
      <x:c r="D2149" s="18" t="n">
        <x:v>45811</x:v>
      </x:c>
      <x:c r="E2149" s="8" t="str">
        <x:v>WALLEYE</x:v>
      </x:c>
      <x:c r="F2149" s="13" t="n">
        <x:v>187000</x:v>
      </x:c>
      <x:c r="G2149" s="9" t="n">
        <x:v>0.4</x:v>
      </x:c>
      <x:c r="H2149" s="9" t="str">
        <x:v>Unknown</x:v>
      </x:c>
      <x:c r="I2149" s="8" t="str">
        <x:f>B2149&amp;" / "&amp;C2149&amp;" / "&amp;E2149</x:f>
        <x:v>5336 / 2025 / WALLEYE</x:v>
      </x:c>
    </x:row>
    <x:row r="2150" ht="23" customHeight="1">
      <x:c r="A2150" s="8" t="str">
        <x:v>Minnow Lake</x:v>
      </x:c>
      <x:c r="B2150" s="8" t="str">
        <x:v>5336</x:v>
      </x:c>
      <x:c r="C2150" s="17" t="n">
        <x:v>2024</x:v>
      </x:c>
      <x:c r="D2150" s="18" t="n">
        <x:v>45447</x:v>
      </x:c>
      <x:c r="E2150" s="8" t="str">
        <x:v>WALLEYE</x:v>
      </x:c>
      <x:c r="F2150" s="13" t="n">
        <x:v>236065</x:v>
      </x:c>
      <x:c r="G2150" s="9" t="n">
        <x:v>0</x:v>
      </x:c>
      <x:c r="H2150" s="9" t="str">
        <x:v>Unknown</x:v>
      </x:c>
      <x:c r="I2150" s="8" t="str">
        <x:f>B2150&amp;" / "&amp;C2150&amp;" / "&amp;E2150</x:f>
        <x:v>5336 / 2024 / WALLEYE</x:v>
      </x:c>
    </x:row>
    <x:row r="2151" ht="23" customHeight="1">
      <x:c r="A2151" s="8" t="str">
        <x:v>Minnow Lake</x:v>
      </x:c>
      <x:c r="B2151" s="8" t="str">
        <x:v>5336</x:v>
      </x:c>
      <x:c r="C2151" s="17" t="n">
        <x:v>2023</x:v>
      </x:c>
      <x:c r="D2151" s="18" t="n">
        <x:v>45077</x:v>
      </x:c>
      <x:c r="E2151" s="8" t="str">
        <x:v>WALLEYE</x:v>
      </x:c>
      <x:c r="F2151" s="13" t="n">
        <x:v>72471</x:v>
      </x:c>
      <x:c r="G2151" s="9" t="n">
        <x:v>0.4</x:v>
      </x:c>
      <x:c r="H2151" s="9" t="n">
        <x:v>0</x:v>
      </x:c>
      <x:c r="I2151" s="8" t="str">
        <x:f>B2151&amp;" / "&amp;C2151&amp;" / "&amp;E2151</x:f>
        <x:v>5336 / 2023 / WALLEYE</x:v>
      </x:c>
    </x:row>
    <x:row r="2152" ht="23" customHeight="1">
      <x:c r="A2152" s="8" t="str">
        <x:v>Mirage Lake</x:v>
      </x:c>
      <x:c r="B2152" s="8" t="str">
        <x:v>5360</x:v>
      </x:c>
      <x:c r="C2152" s="17" t="n">
        <x:v>2026</x:v>
      </x:c>
      <x:c r="D2152" s="18" t="n">
        <x:v>46168</x:v>
      </x:c>
      <x:c r="E2152" s="8" t="str">
        <x:v>BROWN TROUT</x:v>
      </x:c>
      <x:c r="F2152" s="13" t="n">
        <x:v>500</x:v>
      </x:c>
      <x:c r="G2152" s="9" t="n">
        <x:v>20</x:v>
      </x:c>
      <x:c r="H2152" s="9" t="n">
        <x:v>88.2</x:v>
      </x:c>
      <x:c r="I2152" s="8" t="str">
        <x:f>B2152&amp;" / "&amp;C2152&amp;" / "&amp;E2152</x:f>
        <x:v>5360 / 2026 / BROWN TROUT</x:v>
      </x:c>
    </x:row>
    <x:row r="2153" ht="23" customHeight="1">
      <x:c r="A2153" s="8" t="str">
        <x:v>Mirage Lake</x:v>
      </x:c>
      <x:c r="B2153" s="8" t="str">
        <x:v>5360</x:v>
      </x:c>
      <x:c r="C2153" s="17" t="n">
        <x:v>2026</x:v>
      </x:c>
      <x:c r="D2153" s="18" t="n">
        <x:v>46168</x:v>
      </x:c>
      <x:c r="E2153" s="8" t="str">
        <x:v>RAINBOW TROUT</x:v>
      </x:c>
      <x:c r="F2153" s="13" t="n">
        <x:v>9300</x:v>
      </x:c>
      <x:c r="G2153" s="9" t="n">
        <x:v>17</x:v>
      </x:c>
      <x:c r="H2153" s="9" t="n">
        <x:v>54.1</x:v>
      </x:c>
      <x:c r="I2153" s="8" t="str">
        <x:f>B2153&amp;" / "&amp;C2153&amp;" / "&amp;E2153</x:f>
        <x:v>5360 / 2026 / RAINBOW TROUT</x:v>
      </x:c>
    </x:row>
    <x:row r="2154" ht="23" customHeight="1">
      <x:c r="A2154" s="8" t="str">
        <x:v>Mirage Lake</x:v>
      </x:c>
      <x:c r="B2154" s="8" t="str">
        <x:v>5360</x:v>
      </x:c>
      <x:c r="C2154" s="17" t="n">
        <x:v>2025</x:v>
      </x:c>
      <x:c r="D2154" s="18" t="n">
        <x:v>45796</x:v>
      </x:c>
      <x:c r="E2154" s="8" t="str">
        <x:v>BROWN TROUT</x:v>
      </x:c>
      <x:c r="F2154" s="13" t="n">
        <x:v>1000</x:v>
      </x:c>
      <x:c r="G2154" s="9" t="n">
        <x:v>19.7</x:v>
      </x:c>
      <x:c r="H2154" s="9" t="n">
        <x:v>83</x:v>
      </x:c>
      <x:c r="I2154" s="8" t="str">
        <x:f>B2154&amp;" / "&amp;C2154&amp;" / "&amp;E2154</x:f>
        <x:v>5360 / 2025 / BROWN TROUT</x:v>
      </x:c>
    </x:row>
    <x:row r="2155" ht="23" customHeight="1">
      <x:c r="A2155" s="8" t="str">
        <x:v>Mirage Lake</x:v>
      </x:c>
      <x:c r="B2155" s="8" t="str">
        <x:v>5360</x:v>
      </x:c>
      <x:c r="C2155" s="17" t="n">
        <x:v>2025</x:v>
      </x:c>
      <x:c r="D2155" s="18" t="n">
        <x:v>45797</x:v>
      </x:c>
      <x:c r="E2155" s="8" t="str">
        <x:v>RAINBOW TROUT</x:v>
      </x:c>
      <x:c r="F2155" s="13" t="n">
        <x:v>9300</x:v>
      </x:c>
      <x:c r="G2155" s="9" t="n">
        <x:v>17.3</x:v>
      </x:c>
      <x:c r="H2155" s="9" t="n">
        <x:v>57.1</x:v>
      </x:c>
      <x:c r="I2155" s="8" t="str">
        <x:f>B2155&amp;" / "&amp;C2155&amp;" / "&amp;E2155</x:f>
        <x:v>5360 / 2025 / RAINBOW TROUT</x:v>
      </x:c>
    </x:row>
    <x:row r="2156" ht="23" customHeight="1">
      <x:c r="A2156" s="8" t="str">
        <x:v>Mirage Lake</x:v>
      </x:c>
      <x:c r="B2156" s="8" t="str">
        <x:v>5360</x:v>
      </x:c>
      <x:c r="C2156" s="17" t="n">
        <x:v>2025</x:v>
      </x:c>
      <x:c r="D2156" s="18" t="n">
        <x:v>45914</x:v>
      </x:c>
      <x:c r="E2156" s="8" t="str">
        <x:v>TIGER TROUT</x:v>
      </x:c>
      <x:c r="F2156" s="13" t="n">
        <x:v>2350</x:v>
      </x:c>
      <x:c r="G2156" s="9" t="n">
        <x:v>30.9</x:v>
      </x:c>
      <x:c r="H2156" s="9" t="n">
        <x:v>327.4</x:v>
      </x:c>
      <x:c r="I2156" s="8" t="str">
        <x:f>B2156&amp;" / "&amp;C2156&amp;" / "&amp;E2156</x:f>
        <x:v>5360 / 2025 / TIGER TROUT</x:v>
      </x:c>
    </x:row>
    <x:row r="2157" ht="23" customHeight="1">
      <x:c r="A2157" s="8" t="str">
        <x:v>Mirage Lake</x:v>
      </x:c>
      <x:c r="B2157" s="8" t="str">
        <x:v>5360</x:v>
      </x:c>
      <x:c r="C2157" s="17" t="n">
        <x:v>2024</x:v>
      </x:c>
      <x:c r="D2157" s="18" t="n">
        <x:v>45559</x:v>
      </x:c>
      <x:c r="E2157" s="8" t="str">
        <x:v>BROWN TROUT</x:v>
      </x:c>
      <x:c r="F2157" s="13" t="n">
        <x:v>1496</x:v>
      </x:c>
      <x:c r="G2157" s="9" t="n">
        <x:v>25.4</x:v>
      </x:c>
      <x:c r="H2157" s="9" t="n">
        <x:v>177.6</x:v>
      </x:c>
      <x:c r="I2157" s="8" t="str">
        <x:f>B2157&amp;" / "&amp;C2157&amp;" / "&amp;E2157</x:f>
        <x:v>5360 / 2024 / BROWN TROUT</x:v>
      </x:c>
    </x:row>
    <x:row r="2158" ht="23" customHeight="1">
      <x:c r="A2158" s="8" t="str">
        <x:v>Mirage Lake</x:v>
      </x:c>
      <x:c r="B2158" s="8" t="str">
        <x:v>5360</x:v>
      </x:c>
      <x:c r="C2158" s="17" t="n">
        <x:v>2024</x:v>
      </x:c>
      <x:c r="D2158" s="18" t="n">
        <x:v>45420</x:v>
      </x:c>
      <x:c r="E2158" s="8" t="str">
        <x:v>BROWN TROUT</x:v>
      </x:c>
      <x:c r="F2158" s="13" t="n">
        <x:v>500</x:v>
      </x:c>
      <x:c r="G2158" s="9" t="n">
        <x:v>20.4</x:v>
      </x:c>
      <x:c r="H2158" s="9" t="n">
        <x:v>91.2</x:v>
      </x:c>
      <x:c r="I2158" s="8" t="str">
        <x:f>B2158&amp;" / "&amp;C2158&amp;" / "&amp;E2158</x:f>
        <x:v>5360 / 2024 / BROWN TROUT</x:v>
      </x:c>
    </x:row>
    <x:row r="2159" ht="23" customHeight="1">
      <x:c r="A2159" s="8" t="str">
        <x:v>Mirage Lake</x:v>
      </x:c>
      <x:c r="B2159" s="8" t="str">
        <x:v>5360</x:v>
      </x:c>
      <x:c r="C2159" s="17" t="n">
        <x:v>2024</x:v>
      </x:c>
      <x:c r="D2159" s="18" t="n">
        <x:v>45559</x:v>
      </x:c>
      <x:c r="E2159" s="8" t="str">
        <x:v>RAINBOW TROUT</x:v>
      </x:c>
      <x:c r="F2159" s="13" t="n">
        <x:v>4500</x:v>
      </x:c>
      <x:c r="G2159" s="9" t="n">
        <x:v>23.6</x:v>
      </x:c>
      <x:c r="H2159" s="9" t="n">
        <x:v>146.1</x:v>
      </x:c>
      <x:c r="I2159" s="8" t="str">
        <x:f>B2159&amp;" / "&amp;C2159&amp;" / "&amp;E2159</x:f>
        <x:v>5360 / 2024 / RAINBOW TROUT</x:v>
      </x:c>
    </x:row>
    <x:row r="2160" ht="23" customHeight="1">
      <x:c r="A2160" s="8" t="str">
        <x:v>Mirage Lake</x:v>
      </x:c>
      <x:c r="B2160" s="8" t="str">
        <x:v>5360</x:v>
      </x:c>
      <x:c r="C2160" s="17" t="n">
        <x:v>2024</x:v>
      </x:c>
      <x:c r="D2160" s="18" t="n">
        <x:v>45420</x:v>
      </x:c>
      <x:c r="E2160" s="8" t="str">
        <x:v>RAINBOW TROUT</x:v>
      </x:c>
      <x:c r="F2160" s="13" t="n">
        <x:v>2615</x:v>
      </x:c>
      <x:c r="G2160" s="9" t="n">
        <x:v>20.1</x:v>
      </x:c>
      <x:c r="H2160" s="9" t="n">
        <x:v>87.5</x:v>
      </x:c>
      <x:c r="I2160" s="8" t="str">
        <x:f>B2160&amp;" / "&amp;C2160&amp;" / "&amp;E2160</x:f>
        <x:v>5360 / 2024 / RAINBOW TROUT</x:v>
      </x:c>
    </x:row>
    <x:row r="2161" ht="23" customHeight="1">
      <x:c r="A2161" s="8" t="str">
        <x:v>Mirage Lake</x:v>
      </x:c>
      <x:c r="B2161" s="8" t="str">
        <x:v>5360</x:v>
      </x:c>
      <x:c r="C2161" s="17" t="n">
        <x:v>2024</x:v>
      </x:c>
      <x:c r="D2161" s="18" t="n">
        <x:v>45420</x:v>
      </x:c>
      <x:c r="E2161" s="8" t="str">
        <x:v>RAINBOW TROUT</x:v>
      </x:c>
      <x:c r="F2161" s="13" t="n">
        <x:v>2035</x:v>
      </x:c>
      <x:c r="G2161" s="9" t="n">
        <x:v>20.7</x:v>
      </x:c>
      <x:c r="H2161" s="9" t="n">
        <x:v>95.5</x:v>
      </x:c>
      <x:c r="I2161" s="8" t="str">
        <x:f>B2161&amp;" / "&amp;C2161&amp;" / "&amp;E2161</x:f>
        <x:v>5360 / 2024 / RAINBOW TROUT</x:v>
      </x:c>
    </x:row>
    <x:row r="2162" ht="23" customHeight="1">
      <x:c r="A2162" s="8" t="str">
        <x:v>Mirage Lake</x:v>
      </x:c>
      <x:c r="B2162" s="8" t="str">
        <x:v>5360</x:v>
      </x:c>
      <x:c r="C2162" s="17" t="n">
        <x:v>2023</x:v>
      </x:c>
      <x:c r="D2162" s="18" t="n">
        <x:v>45194</x:v>
      </x:c>
      <x:c r="E2162" s="8" t="str">
        <x:v>BROWN TROUT</x:v>
      </x:c>
      <x:c r="F2162" s="13" t="n">
        <x:v>500</x:v>
      </x:c>
      <x:c r="G2162" s="9" t="n">
        <x:v>20.8</x:v>
      </x:c>
      <x:c r="H2162" s="9" t="n">
        <x:v>97.7</x:v>
      </x:c>
      <x:c r="I2162" s="8" t="str">
        <x:f>B2162&amp;" / "&amp;C2162&amp;" / "&amp;E2162</x:f>
        <x:v>5360 / 2023 / BROWN TROUT</x:v>
      </x:c>
    </x:row>
    <x:row r="2163" ht="23" customHeight="1">
      <x:c r="A2163" s="8" t="str">
        <x:v>Mirage Lake</x:v>
      </x:c>
      <x:c r="B2163" s="8" t="str">
        <x:v>5360</x:v>
      </x:c>
      <x:c r="C2163" s="17" t="n">
        <x:v>2023</x:v>
      </x:c>
      <x:c r="D2163" s="18" t="n">
        <x:v>45055</x:v>
      </x:c>
      <x:c r="E2163" s="8" t="str">
        <x:v>BROWN TROUT</x:v>
      </x:c>
      <x:c r="F2163" s="13" t="n">
        <x:v>500</x:v>
      </x:c>
      <x:c r="G2163" s="9" t="n">
        <x:v>18</x:v>
      </x:c>
      <x:c r="H2163" s="9" t="n">
        <x:v>64.8</x:v>
      </x:c>
      <x:c r="I2163" s="8" t="str">
        <x:f>B2163&amp;" / "&amp;C2163&amp;" / "&amp;E2163</x:f>
        <x:v>5360 / 2023 / BROWN TROUT</x:v>
      </x:c>
    </x:row>
    <x:row r="2164" ht="23" customHeight="1">
      <x:c r="A2164" s="8" t="str">
        <x:v>Mirage Lake</x:v>
      </x:c>
      <x:c r="B2164" s="8" t="str">
        <x:v>5360</x:v>
      </x:c>
      <x:c r="C2164" s="17" t="n">
        <x:v>2023</x:v>
      </x:c>
      <x:c r="D2164" s="18" t="n">
        <x:v>45055</x:v>
      </x:c>
      <x:c r="E2164" s="8" t="str">
        <x:v>RAINBOW TROUT</x:v>
      </x:c>
      <x:c r="F2164" s="13" t="n">
        <x:v>4408</x:v>
      </x:c>
      <x:c r="G2164" s="9" t="n">
        <x:v>17.5</x:v>
      </x:c>
      <x:c r="H2164" s="9" t="n">
        <x:v>59.2</x:v>
      </x:c>
      <x:c r="I2164" s="8" t="str">
        <x:f>B2164&amp;" / "&amp;C2164&amp;" / "&amp;E2164</x:f>
        <x:v>5360 / 2023 / RAINBOW TROUT</x:v>
      </x:c>
    </x:row>
    <x:row r="2165" ht="23" customHeight="1">
      <x:c r="A2165" s="8" t="str">
        <x:v>Mirage Lake</x:v>
      </x:c>
      <x:c r="B2165" s="8" t="str">
        <x:v>5360</x:v>
      </x:c>
      <x:c r="C2165" s="17" t="n">
        <x:v>2023</x:v>
      </x:c>
      <x:c r="D2165" s="18" t="n">
        <x:v>45194</x:v>
      </x:c>
      <x:c r="E2165" s="8" t="str">
        <x:v>TIGER TROUT</x:v>
      </x:c>
      <x:c r="F2165" s="13" t="n">
        <x:v>1794</x:v>
      </x:c>
      <x:c r="G2165" s="9" t="n">
        <x:v>23.4</x:v>
      </x:c>
      <x:c r="H2165" s="9" t="n">
        <x:v>137.9</x:v>
      </x:c>
      <x:c r="I2165" s="8" t="str">
        <x:f>B2165&amp;" / "&amp;C2165&amp;" / "&amp;E2165</x:f>
        <x:v>5360 / 2023 / TIGER TROUT</x:v>
      </x:c>
    </x:row>
    <x:row r="2166" ht="23" customHeight="1">
      <x:c r="A2166" s="8" t="str">
        <x:v>Mirage Lake</x:v>
      </x:c>
      <x:c r="B2166" s="8" t="str">
        <x:v>5360</x:v>
      </x:c>
      <x:c r="C2166" s="17" t="n">
        <x:v>2022</x:v>
      </x:c>
      <x:c r="D2166" s="18" t="n">
        <x:v>44822</x:v>
      </x:c>
      <x:c r="E2166" s="8" t="str">
        <x:v>BROWN TROUT</x:v>
      </x:c>
      <x:c r="F2166" s="13" t="n">
        <x:v>500</x:v>
      </x:c>
      <x:c r="G2166" s="9" t="n">
        <x:v>22.3</x:v>
      </x:c>
      <x:c r="H2166" s="9" t="n">
        <x:v>122.5</x:v>
      </x:c>
      <x:c r="I2166" s="8" t="str">
        <x:f>B2166&amp;" / "&amp;C2166&amp;" / "&amp;E2166</x:f>
        <x:v>5360 / 2022 / BROWN TROUT</x:v>
      </x:c>
    </x:row>
    <x:row r="2167" ht="23" customHeight="1">
      <x:c r="A2167" s="8" t="str">
        <x:v>Mirage Lake</x:v>
      </x:c>
      <x:c r="B2167" s="8" t="str">
        <x:v>5360</x:v>
      </x:c>
      <x:c r="C2167" s="17" t="n">
        <x:v>2022</x:v>
      </x:c>
      <x:c r="D2167" s="18" t="n">
        <x:v>44704</x:v>
      </x:c>
      <x:c r="E2167" s="8" t="str">
        <x:v>BROWN TROUT</x:v>
      </x:c>
      <x:c r="F2167" s="13" t="n">
        <x:v>500</x:v>
      </x:c>
      <x:c r="G2167" s="9" t="n">
        <x:v>17.6</x:v>
      </x:c>
      <x:c r="H2167" s="9" t="n">
        <x:v>61.3</x:v>
      </x:c>
      <x:c r="I2167" s="8" t="str">
        <x:f>B2167&amp;" / "&amp;C2167&amp;" / "&amp;E2167</x:f>
        <x:v>5360 / 2022 / BROWN TROUT</x:v>
      </x:c>
    </x:row>
    <x:row r="2168" ht="23" customHeight="1">
      <x:c r="A2168" s="8" t="str">
        <x:v>Mirage Lake</x:v>
      </x:c>
      <x:c r="B2168" s="8" t="str">
        <x:v>5360</x:v>
      </x:c>
      <x:c r="C2168" s="17" t="n">
        <x:v>2022</x:v>
      </x:c>
      <x:c r="D2168" s="18" t="n">
        <x:v>44707</x:v>
      </x:c>
      <x:c r="E2168" s="8" t="str">
        <x:v>RAINBOW TROUT</x:v>
      </x:c>
      <x:c r="F2168" s="13" t="n">
        <x:v>9300</x:v>
      </x:c>
      <x:c r="G2168" s="9" t="n">
        <x:v>13.5</x:v>
      </x:c>
      <x:c r="H2168" s="9" t="n">
        <x:v>24.7</x:v>
      </x:c>
      <x:c r="I2168" s="8" t="str">
        <x:f>B2168&amp;" / "&amp;C2168&amp;" / "&amp;E2168</x:f>
        <x:v>5360 / 2022 / RAINBOW TROUT</x:v>
      </x:c>
    </x:row>
    <x:row r="2169" ht="23" customHeight="1">
      <x:c r="A2169" s="8" t="str">
        <x:v>Mirage Lake</x:v>
      </x:c>
      <x:c r="B2169" s="8" t="str">
        <x:v>5360</x:v>
      </x:c>
      <x:c r="C2169" s="17" t="n">
        <x:v>2022</x:v>
      </x:c>
      <x:c r="D2169" s="18" t="n">
        <x:v>44822</x:v>
      </x:c>
      <x:c r="E2169" s="8" t="str">
        <x:v>TIGER TROUT</x:v>
      </x:c>
      <x:c r="F2169" s="13" t="n">
        <x:v>1500</x:v>
      </x:c>
      <x:c r="G2169" s="9" t="n">
        <x:v>23.2</x:v>
      </x:c>
      <x:c r="H2169" s="9" t="n">
        <x:v>137.8</x:v>
      </x:c>
      <x:c r="I2169" s="8" t="str">
        <x:f>B2169&amp;" / "&amp;C2169&amp;" / "&amp;E2169</x:f>
        <x:v>5360 / 2022 / TIGER TROUT</x:v>
      </x:c>
    </x:row>
    <x:row r="2170" ht="23" customHeight="1">
      <x:c r="A2170" s="8" t="str">
        <x:v>Mirage Lake</x:v>
      </x:c>
      <x:c r="B2170" s="8" t="str">
        <x:v>5360</x:v>
      </x:c>
      <x:c r="C2170" s="17" t="n">
        <x:v>2021</x:v>
      </x:c>
      <x:c r="D2170" s="18" t="n">
        <x:v>44458</x:v>
      </x:c>
      <x:c r="E2170" s="8" t="str">
        <x:v>BROWN TROUT</x:v>
      </x:c>
      <x:c r="F2170" s="13" t="n">
        <x:v>500</x:v>
      </x:c>
      <x:c r="G2170" s="9" t="n">
        <x:v>22</x:v>
      </x:c>
      <x:c r="H2170" s="9" t="n">
        <x:v>117</x:v>
      </x:c>
      <x:c r="I2170" s="8" t="str">
        <x:f>B2170&amp;" / "&amp;C2170&amp;" / "&amp;E2170</x:f>
        <x:v>5360 / 2021 / BROWN TROUT</x:v>
      </x:c>
    </x:row>
    <x:row r="2171" ht="23" customHeight="1">
      <x:c r="A2171" s="8" t="str">
        <x:v>Mirage Lake</x:v>
      </x:c>
      <x:c r="B2171" s="8" t="str">
        <x:v>5360</x:v>
      </x:c>
      <x:c r="C2171" s="17" t="n">
        <x:v>2021</x:v>
      </x:c>
      <x:c r="D2171" s="18" t="n">
        <x:v>44336</x:v>
      </x:c>
      <x:c r="E2171" s="8" t="str">
        <x:v>BROWN TROUT</x:v>
      </x:c>
      <x:c r="F2171" s="13" t="n">
        <x:v>500</x:v>
      </x:c>
      <x:c r="G2171" s="9" t="n">
        <x:v>18.6</x:v>
      </x:c>
      <x:c r="H2171" s="9" t="n">
        <x:v>71.2</x:v>
      </x:c>
      <x:c r="I2171" s="8" t="str">
        <x:f>B2171&amp;" / "&amp;C2171&amp;" / "&amp;E2171</x:f>
        <x:v>5360 / 2021 / BROWN TROUT</x:v>
      </x:c>
    </x:row>
    <x:row r="2172" ht="23" customHeight="1">
      <x:c r="A2172" s="8" t="str">
        <x:v>Mirage Lake</x:v>
      </x:c>
      <x:c r="B2172" s="8" t="str">
        <x:v>5360</x:v>
      </x:c>
      <x:c r="C2172" s="17" t="n">
        <x:v>2021</x:v>
      </x:c>
      <x:c r="D2172" s="18" t="n">
        <x:v>44336</x:v>
      </x:c>
      <x:c r="E2172" s="8" t="str">
        <x:v>RAINBOW TROUT</x:v>
      </x:c>
      <x:c r="F2172" s="13" t="n">
        <x:v>9300</x:v>
      </x:c>
      <x:c r="G2172" s="9" t="n">
        <x:v>14</x:v>
      </x:c>
      <x:c r="H2172" s="9" t="n">
        <x:v>30</x:v>
      </x:c>
      <x:c r="I2172" s="8" t="str">
        <x:f>B2172&amp;" / "&amp;C2172&amp;" / "&amp;E2172</x:f>
        <x:v>5360 / 2021 / RAINBOW TROUT</x:v>
      </x:c>
    </x:row>
    <x:row r="2173" ht="23" customHeight="1">
      <x:c r="A2173" s="8" t="str">
        <x:v>Mirage Lake</x:v>
      </x:c>
      <x:c r="B2173" s="8" t="str">
        <x:v>5360</x:v>
      </x:c>
      <x:c r="C2173" s="17" t="n">
        <x:v>2021</x:v>
      </x:c>
      <x:c r="D2173" s="18" t="n">
        <x:v>44458</x:v>
      </x:c>
      <x:c r="E2173" s="8" t="str">
        <x:v>TIGER TROUT</x:v>
      </x:c>
      <x:c r="F2173" s="13" t="n">
        <x:v>1500</x:v>
      </x:c>
      <x:c r="G2173" s="9" t="n">
        <x:v>21.8</x:v>
      </x:c>
      <x:c r="H2173" s="9" t="n">
        <x:v>115.3</x:v>
      </x:c>
      <x:c r="I2173" s="8" t="str">
        <x:f>B2173&amp;" / "&amp;C2173&amp;" / "&amp;E2173</x:f>
        <x:v>5360 / 2021 / TIGER TROUT</x:v>
      </x:c>
    </x:row>
    <x:row r="2174" ht="23" customHeight="1">
      <x:c r="A2174" s="8" t="str">
        <x:v>Mirror Reservoir</x:v>
      </x:c>
      <x:c r="B2174" s="8" t="str">
        <x:v>6746</x:v>
      </x:c>
      <x:c r="C2174" s="17" t="n">
        <x:v>2023</x:v>
      </x:c>
      <x:c r="D2174" s="18" t="n">
        <x:v>45048</x:v>
      </x:c>
      <x:c r="E2174" s="8" t="str">
        <x:v>BROWN TROUT</x:v>
      </x:c>
      <x:c r="F2174" s="13" t="n">
        <x:v>245</x:v>
      </x:c>
      <x:c r="G2174" s="9" t="n">
        <x:v>18.9</x:v>
      </x:c>
      <x:c r="H2174" s="9" t="n">
        <x:v>73.5</x:v>
      </x:c>
      <x:c r="I2174" s="8" t="str">
        <x:f>B2174&amp;" / "&amp;C2174&amp;" / "&amp;E2174</x:f>
        <x:v>6746 / 2023 / BROWN TROUT</x:v>
      </x:c>
    </x:row>
    <x:row r="2175" ht="23" customHeight="1">
      <x:c r="A2175" s="8" t="str">
        <x:v>Mirror Reservoir</x:v>
      </x:c>
      <x:c r="B2175" s="8" t="str">
        <x:v>6746</x:v>
      </x:c>
      <x:c r="C2175" s="17" t="n">
        <x:v>2022</x:v>
      </x:c>
      <x:c r="D2175" s="18" t="n">
        <x:v>44696</x:v>
      </x:c>
      <x:c r="E2175" s="8" t="str">
        <x:v>BROWN TROUT</x:v>
      </x:c>
      <x:c r="F2175" s="13" t="n">
        <x:v>245</x:v>
      </x:c>
      <x:c r="G2175" s="9" t="n">
        <x:v>17.9</x:v>
      </x:c>
      <x:c r="H2175" s="9" t="n">
        <x:v>63</x:v>
      </x:c>
      <x:c r="I2175" s="8" t="str">
        <x:f>B2175&amp;" / "&amp;C2175&amp;" / "&amp;E2175</x:f>
        <x:v>6746 / 2022 / BROWN TROUT</x:v>
      </x:c>
    </x:row>
    <x:row r="2176" ht="23" customHeight="1">
      <x:c r="A2176" s="8" t="str">
        <x:v>Mirror Reservoir</x:v>
      </x:c>
      <x:c r="B2176" s="8" t="str">
        <x:v>6746</x:v>
      </x:c>
      <x:c r="C2176" s="17" t="n">
        <x:v>2021</x:v>
      </x:c>
      <x:c r="D2176" s="18" t="n">
        <x:v>44325</x:v>
      </x:c>
      <x:c r="E2176" s="8" t="str">
        <x:v>BROWN TROUT</x:v>
      </x:c>
      <x:c r="F2176" s="13" t="n">
        <x:v>245</x:v>
      </x:c>
      <x:c r="G2176" s="9" t="n">
        <x:v>18.8</x:v>
      </x:c>
      <x:c r="H2176" s="9" t="n">
        <x:v>73.9</x:v>
      </x:c>
      <x:c r="I2176" s="8" t="str">
        <x:f>B2176&amp;" / "&amp;C2176&amp;" / "&amp;E2176</x:f>
        <x:v>6746 / 2021 / BROWN TROUT</x:v>
      </x:c>
    </x:row>
    <x:row r="2177" ht="23" customHeight="1">
      <x:c r="A2177" s="8" t="str">
        <x:v>Mirror Reservoir</x:v>
      </x:c>
      <x:c r="B2177" s="8" t="str">
        <x:v>6746</x:v>
      </x:c>
      <x:c r="C2177" s="17" t="n">
        <x:v>2021</x:v>
      </x:c>
      <x:c r="D2177" s="18" t="n">
        <x:v>44462</x:v>
      </x:c>
      <x:c r="E2177" s="8" t="str">
        <x:v>RAINBOW TROUT</x:v>
      </x:c>
      <x:c r="F2177" s="13" t="n">
        <x:v>2800</x:v>
      </x:c>
      <x:c r="G2177" s="9" t="n">
        <x:v>20.9</x:v>
      </x:c>
      <x:c r="H2177" s="9" t="n">
        <x:v>99.3</x:v>
      </x:c>
      <x:c r="I2177" s="8" t="str">
        <x:f>B2177&amp;" / "&amp;C2177&amp;" / "&amp;E2177</x:f>
        <x:v>6746 / 2021 / RAINBOW TROUT</x:v>
      </x:c>
    </x:row>
    <x:row r="2178" ht="23" customHeight="1">
      <x:c r="A2178" s="8" t="str">
        <x:v>Mitchell Lake</x:v>
      </x:c>
      <x:c r="B2178" s="8" t="str">
        <x:v>5348</x:v>
      </x:c>
      <x:c r="C2178" s="17" t="n">
        <x:v>2026</x:v>
      </x:c>
      <x:c r="D2178" s="18" t="n">
        <x:v>46155</x:v>
      </x:c>
      <x:c r="E2178" s="8" t="str">
        <x:v>BROWN TROUT</x:v>
      </x:c>
      <x:c r="F2178" s="13" t="n">
        <x:v>500</x:v>
      </x:c>
      <x:c r="G2178" s="9" t="n">
        <x:v>18.5</x:v>
      </x:c>
      <x:c r="H2178" s="9" t="n">
        <x:v>68</x:v>
      </x:c>
      <x:c r="I2178" s="8" t="str">
        <x:f>B2178&amp;" / "&amp;C2178&amp;" / "&amp;E2178</x:f>
        <x:v>5348 / 2026 / BROWN TROUT</x:v>
      </x:c>
    </x:row>
    <x:row r="2179" ht="23" customHeight="1">
      <x:c r="A2179" s="8" t="str">
        <x:v>Mitchell Lake</x:v>
      </x:c>
      <x:c r="B2179" s="8" t="str">
        <x:v>5348</x:v>
      </x:c>
      <x:c r="C2179" s="17" t="n">
        <x:v>2026</x:v>
      </x:c>
      <x:c r="D2179" s="18" t="n">
        <x:v>46155</x:v>
      </x:c>
      <x:c r="E2179" s="8" t="str">
        <x:v>RAINBOW TROUT</x:v>
      </x:c>
      <x:c r="F2179" s="13" t="n">
        <x:v>2000</x:v>
      </x:c>
      <x:c r="G2179" s="9" t="n">
        <x:v>20.9</x:v>
      </x:c>
      <x:c r="H2179" s="9" t="n">
        <x:v>99.1</x:v>
      </x:c>
      <x:c r="I2179" s="8" t="str">
        <x:f>B2179&amp;" / "&amp;C2179&amp;" / "&amp;E2179</x:f>
        <x:v>5348 / 2026 / RAINBOW TROUT</x:v>
      </x:c>
    </x:row>
    <x:row r="2180" ht="23" customHeight="1">
      <x:c r="A2180" s="8" t="str">
        <x:v>Mitchell Lake</x:v>
      </x:c>
      <x:c r="B2180" s="8" t="str">
        <x:v>5348</x:v>
      </x:c>
      <x:c r="C2180" s="17" t="n">
        <x:v>2025</x:v>
      </x:c>
      <x:c r="D2180" s="18" t="n">
        <x:v>45782</x:v>
      </x:c>
      <x:c r="E2180" s="8" t="str">
        <x:v>BROWN TROUT</x:v>
      </x:c>
      <x:c r="F2180" s="13" t="n">
        <x:v>500</x:v>
      </x:c>
      <x:c r="G2180" s="9" t="n">
        <x:v>18.8</x:v>
      </x:c>
      <x:c r="H2180" s="9" t="n">
        <x:v>71.8</x:v>
      </x:c>
      <x:c r="I2180" s="8" t="str">
        <x:f>B2180&amp;" / "&amp;C2180&amp;" / "&amp;E2180</x:f>
        <x:v>5348 / 2025 / BROWN TROUT</x:v>
      </x:c>
    </x:row>
    <x:row r="2181" ht="23" customHeight="1">
      <x:c r="A2181" s="8" t="str">
        <x:v>Mitchell Lake</x:v>
      </x:c>
      <x:c r="B2181" s="8" t="str">
        <x:v>5348</x:v>
      </x:c>
      <x:c r="C2181" s="17" t="n">
        <x:v>2025</x:v>
      </x:c>
      <x:c r="D2181" s="18" t="n">
        <x:v>45782</x:v>
      </x:c>
      <x:c r="E2181" s="8" t="str">
        <x:v>RAINBOW TROUT</x:v>
      </x:c>
      <x:c r="F2181" s="13" t="n">
        <x:v>2000</x:v>
      </x:c>
      <x:c r="G2181" s="9" t="n">
        <x:v>20.1</x:v>
      </x:c>
      <x:c r="H2181" s="9" t="n">
        <x:v>87.5</x:v>
      </x:c>
      <x:c r="I2181" s="8" t="str">
        <x:f>B2181&amp;" / "&amp;C2181&amp;" / "&amp;E2181</x:f>
        <x:v>5348 / 2025 / RAINBOW TROUT</x:v>
      </x:c>
    </x:row>
    <x:row r="2182" ht="23" customHeight="1">
      <x:c r="A2182" s="8" t="str">
        <x:v>Mitchell Lake</x:v>
      </x:c>
      <x:c r="B2182" s="8" t="str">
        <x:v>5348</x:v>
      </x:c>
      <x:c r="C2182" s="17" t="n">
        <x:v>2025</x:v>
      </x:c>
      <x:c r="D2182" s="18" t="n">
        <x:v>45915</x:v>
      </x:c>
      <x:c r="E2182" s="8" t="str">
        <x:v>TIGER TROUT</x:v>
      </x:c>
      <x:c r="F2182" s="13" t="n">
        <x:v>1000</x:v>
      </x:c>
      <x:c r="G2182" s="9" t="n">
        <x:v>10.9</x:v>
      </x:c>
      <x:c r="H2182" s="9" t="n">
        <x:v>14.6</x:v>
      </x:c>
      <x:c r="I2182" s="8" t="str">
        <x:f>B2182&amp;" / "&amp;C2182&amp;" / "&amp;E2182</x:f>
        <x:v>5348 / 2025 / TIGER TROUT</x:v>
      </x:c>
    </x:row>
    <x:row r="2183" ht="23" customHeight="1">
      <x:c r="A2183" s="8" t="str">
        <x:v>Mitchell Lake</x:v>
      </x:c>
      <x:c r="B2183" s="8" t="str">
        <x:v>5348</x:v>
      </x:c>
      <x:c r="C2183" s="17" t="n">
        <x:v>2025</x:v>
      </x:c>
      <x:c r="D2183" s="18" t="n">
        <x:v>45915</x:v>
      </x:c>
      <x:c r="E2183" s="8" t="str">
        <x:v>TIGER TROUT</x:v>
      </x:c>
      <x:c r="F2183" s="13" t="n">
        <x:v>1200</x:v>
      </x:c>
      <x:c r="G2183" s="9" t="n">
        <x:v>30.6</x:v>
      </x:c>
      <x:c r="H2183" s="9" t="n">
        <x:v>318.1</x:v>
      </x:c>
      <x:c r="I2183" s="8" t="str">
        <x:f>B2183&amp;" / "&amp;C2183&amp;" / "&amp;E2183</x:f>
        <x:v>5348 / 2025 / TIGER TROUT</x:v>
      </x:c>
    </x:row>
    <x:row r="2184" ht="23" customHeight="1">
      <x:c r="A2184" s="8" t="str">
        <x:v>Mitchell Lake</x:v>
      </x:c>
      <x:c r="B2184" s="8" t="str">
        <x:v>5348</x:v>
      </x:c>
      <x:c r="C2184" s="17" t="n">
        <x:v>2024</x:v>
      </x:c>
      <x:c r="D2184" s="18" t="n">
        <x:v>45418</x:v>
      </x:c>
      <x:c r="E2184" s="8" t="str">
        <x:v>BROWN TROUT</x:v>
      </x:c>
      <x:c r="F2184" s="13" t="n">
        <x:v>500</x:v>
      </x:c>
      <x:c r="G2184" s="9" t="n">
        <x:v>20.5</x:v>
      </x:c>
      <x:c r="H2184" s="9" t="n">
        <x:v>93</x:v>
      </x:c>
      <x:c r="I2184" s="8" t="str">
        <x:f>B2184&amp;" / "&amp;C2184&amp;" / "&amp;E2184</x:f>
        <x:v>5348 / 2024 / BROWN TROUT</x:v>
      </x:c>
    </x:row>
    <x:row r="2185" ht="23" customHeight="1">
      <x:c r="A2185" s="8" t="str">
        <x:v>Mitchell Lake</x:v>
      </x:c>
      <x:c r="B2185" s="8" t="str">
        <x:v>5348</x:v>
      </x:c>
      <x:c r="C2185" s="17" t="n">
        <x:v>2024</x:v>
      </x:c>
      <x:c r="D2185" s="18" t="n">
        <x:v>45418</x:v>
      </x:c>
      <x:c r="E2185" s="8" t="str">
        <x:v>RAINBOW TROUT</x:v>
      </x:c>
      <x:c r="F2185" s="13" t="n">
        <x:v>1000</x:v>
      </x:c>
      <x:c r="G2185" s="9" t="n">
        <x:v>20.3</x:v>
      </x:c>
      <x:c r="H2185" s="9" t="n">
        <x:v>89.7</x:v>
      </x:c>
      <x:c r="I2185" s="8" t="str">
        <x:f>B2185&amp;" / "&amp;C2185&amp;" / "&amp;E2185</x:f>
        <x:v>5348 / 2024 / RAINBOW TROUT</x:v>
      </x:c>
    </x:row>
    <x:row r="2186" ht="23" customHeight="1">
      <x:c r="A2186" s="8" t="str">
        <x:v>Mitchell Lake</x:v>
      </x:c>
      <x:c r="B2186" s="8" t="str">
        <x:v>5348</x:v>
      </x:c>
      <x:c r="C2186" s="17" t="n">
        <x:v>2024</x:v>
      </x:c>
      <x:c r="D2186" s="18" t="n">
        <x:v>45551</x:v>
      </x:c>
      <x:c r="E2186" s="8" t="str">
        <x:v>TIGER TROUT</x:v>
      </x:c>
      <x:c r="F2186" s="13" t="n">
        <x:v>1200</x:v>
      </x:c>
      <x:c r="G2186" s="9" t="n">
        <x:v>23.6</x:v>
      </x:c>
      <x:c r="H2186" s="9" t="n">
        <x:v>141.6</x:v>
      </x:c>
      <x:c r="I2186" s="8" t="str">
        <x:f>B2186&amp;" / "&amp;C2186&amp;" / "&amp;E2186</x:f>
        <x:v>5348 / 2024 / TIGER TROUT</x:v>
      </x:c>
    </x:row>
    <x:row r="2187" ht="23" customHeight="1">
      <x:c r="A2187" s="8" t="str">
        <x:v>Mitchell Lake</x:v>
      </x:c>
      <x:c r="B2187" s="8" t="str">
        <x:v>5348</x:v>
      </x:c>
      <x:c r="C2187" s="17" t="n">
        <x:v>2023</x:v>
      </x:c>
      <x:c r="D2187" s="18" t="n">
        <x:v>45062</x:v>
      </x:c>
      <x:c r="E2187" s="8" t="str">
        <x:v>BROWN TROUT</x:v>
      </x:c>
      <x:c r="F2187" s="13" t="n">
        <x:v>500</x:v>
      </x:c>
      <x:c r="G2187" s="9" t="n">
        <x:v>17.9</x:v>
      </x:c>
      <x:c r="H2187" s="9" t="n">
        <x:v>62</x:v>
      </x:c>
      <x:c r="I2187" s="8" t="str">
        <x:f>B2187&amp;" / "&amp;C2187&amp;" / "&amp;E2187</x:f>
        <x:v>5348 / 2023 / BROWN TROUT</x:v>
      </x:c>
    </x:row>
    <x:row r="2188" ht="23" customHeight="1">
      <x:c r="A2188" s="8" t="str">
        <x:v>Mitchell Lake</x:v>
      </x:c>
      <x:c r="B2188" s="8" t="str">
        <x:v>5348</x:v>
      </x:c>
      <x:c r="C2188" s="17" t="n">
        <x:v>2023</x:v>
      </x:c>
      <x:c r="D2188" s="18" t="n">
        <x:v>45184</x:v>
      </x:c>
      <x:c r="E2188" s="8" t="str">
        <x:v>RAINBOW TROUT</x:v>
      </x:c>
      <x:c r="F2188" s="13" t="n">
        <x:v>1000</x:v>
      </x:c>
      <x:c r="G2188" s="9" t="n">
        <x:v>14.6</x:v>
      </x:c>
      <x:c r="H2188" s="9" t="n">
        <x:v>33.8</x:v>
      </x:c>
      <x:c r="I2188" s="8" t="str">
        <x:f>B2188&amp;" / "&amp;C2188&amp;" / "&amp;E2188</x:f>
        <x:v>5348 / 2023 / RAINBOW TROUT</x:v>
      </x:c>
    </x:row>
    <x:row r="2189" ht="23" customHeight="1">
      <x:c r="A2189" s="8" t="str">
        <x:v>Mitchell Lake</x:v>
      </x:c>
      <x:c r="B2189" s="8" t="str">
        <x:v>5348</x:v>
      </x:c>
      <x:c r="C2189" s="17" t="n">
        <x:v>2023</x:v>
      </x:c>
      <x:c r="D2189" s="18" t="n">
        <x:v>45062</x:v>
      </x:c>
      <x:c r="E2189" s="8" t="str">
        <x:v>RAINBOW TROUT</x:v>
      </x:c>
      <x:c r="F2189" s="13" t="n">
        <x:v>810</x:v>
      </x:c>
      <x:c r="G2189" s="9" t="n">
        <x:v>19.9</x:v>
      </x:c>
      <x:c r="H2189" s="9" t="n">
        <x:v>84.8</x:v>
      </x:c>
      <x:c r="I2189" s="8" t="str">
        <x:f>B2189&amp;" / "&amp;C2189&amp;" / "&amp;E2189</x:f>
        <x:v>5348 / 2023 / RAINBOW TROUT</x:v>
      </x:c>
    </x:row>
    <x:row r="2190" ht="23" customHeight="1">
      <x:c r="A2190" s="8" t="str">
        <x:v>Mitchell Lake</x:v>
      </x:c>
      <x:c r="B2190" s="8" t="str">
        <x:v>5348</x:v>
      </x:c>
      <x:c r="C2190" s="17" t="n">
        <x:v>2023</x:v>
      </x:c>
      <x:c r="D2190" s="18" t="n">
        <x:v>45184</x:v>
      </x:c>
      <x:c r="E2190" s="8" t="str">
        <x:v>TIGER TROUT</x:v>
      </x:c>
      <x:c r="F2190" s="13" t="n">
        <x:v>400</x:v>
      </x:c>
      <x:c r="G2190" s="9" t="n">
        <x:v>9.8</x:v>
      </x:c>
      <x:c r="H2190" s="9" t="n">
        <x:v>10.2</x:v>
      </x:c>
      <x:c r="I2190" s="8" t="str">
        <x:f>B2190&amp;" / "&amp;C2190&amp;" / "&amp;E2190</x:f>
        <x:v>5348 / 2023 / TIGER TROUT</x:v>
      </x:c>
    </x:row>
    <x:row r="2191" ht="23" customHeight="1">
      <x:c r="A2191" s="8" t="str">
        <x:v>Mitchell Lake</x:v>
      </x:c>
      <x:c r="B2191" s="8" t="str">
        <x:v>5348</x:v>
      </x:c>
      <x:c r="C2191" s="17" t="n">
        <x:v>2023</x:v>
      </x:c>
      <x:c r="D2191" s="18" t="n">
        <x:v>45184</x:v>
      </x:c>
      <x:c r="E2191" s="8" t="str">
        <x:v>TIGER TROUT</x:v>
      </x:c>
      <x:c r="F2191" s="13" t="n">
        <x:v>1000</x:v>
      </x:c>
      <x:c r="G2191" s="9" t="n">
        <x:v>24.1</x:v>
      </x:c>
      <x:c r="H2191" s="9" t="n">
        <x:v>151.5</x:v>
      </x:c>
      <x:c r="I2191" s="8" t="str">
        <x:f>B2191&amp;" / "&amp;C2191&amp;" / "&amp;E2191</x:f>
        <x:v>5348 / 2023 / TIGER TROUT</x:v>
      </x:c>
    </x:row>
    <x:row r="2192" ht="23" customHeight="1">
      <x:c r="A2192" s="8" t="str">
        <x:v>Mitchell Lake</x:v>
      </x:c>
      <x:c r="B2192" s="8" t="str">
        <x:v>5348</x:v>
      </x:c>
      <x:c r="C2192" s="17" t="n">
        <x:v>2022</x:v>
      </x:c>
      <x:c r="D2192" s="18" t="n">
        <x:v>44705</x:v>
      </x:c>
      <x:c r="E2192" s="8" t="str">
        <x:v>BROWN TROUT</x:v>
      </x:c>
      <x:c r="F2192" s="13" t="n">
        <x:v>500</x:v>
      </x:c>
      <x:c r="G2192" s="9" t="n">
        <x:v>17.7</x:v>
      </x:c>
      <x:c r="H2192" s="9" t="n">
        <x:v>61.3</x:v>
      </x:c>
      <x:c r="I2192" s="8" t="str">
        <x:f>B2192&amp;" / "&amp;C2192&amp;" / "&amp;E2192</x:f>
        <x:v>5348 / 2022 / BROWN TROUT</x:v>
      </x:c>
    </x:row>
    <x:row r="2193" ht="23" customHeight="1">
      <x:c r="A2193" s="8" t="str">
        <x:v>Mitchell Lake</x:v>
      </x:c>
      <x:c r="B2193" s="8" t="str">
        <x:v>5348</x:v>
      </x:c>
      <x:c r="C2193" s="17" t="n">
        <x:v>2022</x:v>
      </x:c>
      <x:c r="D2193" s="18" t="n">
        <x:v>44696</x:v>
      </x:c>
      <x:c r="E2193" s="8" t="str">
        <x:v>RAINBOW TROUT</x:v>
      </x:c>
      <x:c r="F2193" s="13" t="n">
        <x:v>2000</x:v>
      </x:c>
      <x:c r="G2193" s="9" t="n">
        <x:v>22.1</x:v>
      </x:c>
      <x:c r="H2193" s="9" t="n">
        <x:v>117.6</x:v>
      </x:c>
      <x:c r="I2193" s="8" t="str">
        <x:f>B2193&amp;" / "&amp;C2193&amp;" / "&amp;E2193</x:f>
        <x:v>5348 / 2022 / RAINBOW TROUT</x:v>
      </x:c>
    </x:row>
    <x:row r="2194" ht="23" customHeight="1">
      <x:c r="A2194" s="8" t="str">
        <x:v>Mitchell Lake</x:v>
      </x:c>
      <x:c r="B2194" s="8" t="str">
        <x:v>5348</x:v>
      </x:c>
      <x:c r="C2194" s="17" t="n">
        <x:v>2022</x:v>
      </x:c>
      <x:c r="D2194" s="18" t="n">
        <x:v>44823</x:v>
      </x:c>
      <x:c r="E2194" s="8" t="str">
        <x:v>TIGER TROUT</x:v>
      </x:c>
      <x:c r="F2194" s="13" t="n">
        <x:v>396</x:v>
      </x:c>
      <x:c r="G2194" s="9" t="n">
        <x:v>21.3</x:v>
      </x:c>
      <x:c r="H2194" s="9" t="n">
        <x:v>106.2</x:v>
      </x:c>
      <x:c r="I2194" s="8" t="str">
        <x:f>B2194&amp;" / "&amp;C2194&amp;" / "&amp;E2194</x:f>
        <x:v>5348 / 2022 / TIGER TROUT</x:v>
      </x:c>
    </x:row>
    <x:row r="2195" ht="23" customHeight="1">
      <x:c r="A2195" s="8" t="str">
        <x:v>Mitchell Lake</x:v>
      </x:c>
      <x:c r="B2195" s="8" t="str">
        <x:v>5348</x:v>
      </x:c>
      <x:c r="C2195" s="17" t="n">
        <x:v>2022</x:v>
      </x:c>
      <x:c r="D2195" s="18" t="n">
        <x:v>44823</x:v>
      </x:c>
      <x:c r="E2195" s="8" t="str">
        <x:v>TIGER TROUT</x:v>
      </x:c>
      <x:c r="F2195" s="13" t="n">
        <x:v>804</x:v>
      </x:c>
      <x:c r="G2195" s="9" t="n">
        <x:v>23.5</x:v>
      </x:c>
      <x:c r="H2195" s="9" t="n">
        <x:v>143.4</x:v>
      </x:c>
      <x:c r="I2195" s="8" t="str">
        <x:f>B2195&amp;" / "&amp;C2195&amp;" / "&amp;E2195</x:f>
        <x:v>5348 / 2022 / TIGER TROUT</x:v>
      </x:c>
    </x:row>
    <x:row r="2196" ht="23" customHeight="1">
      <x:c r="A2196" s="8" t="str">
        <x:v>Mitchell Lake</x:v>
      </x:c>
      <x:c r="B2196" s="8" t="str">
        <x:v>5348</x:v>
      </x:c>
      <x:c r="C2196" s="17" t="n">
        <x:v>2021</x:v>
      </x:c>
      <x:c r="D2196" s="18" t="n">
        <x:v>44325</x:v>
      </x:c>
      <x:c r="E2196" s="8" t="str">
        <x:v>BROWN TROUT</x:v>
      </x:c>
      <x:c r="F2196" s="13" t="n">
        <x:v>500</x:v>
      </x:c>
      <x:c r="G2196" s="9" t="n">
        <x:v>15.8</x:v>
      </x:c>
      <x:c r="H2196" s="9" t="n">
        <x:v>43.4</x:v>
      </x:c>
      <x:c r="I2196" s="8" t="str">
        <x:f>B2196&amp;" / "&amp;C2196&amp;" / "&amp;E2196</x:f>
        <x:v>5348 / 2021 / BROWN TROUT</x:v>
      </x:c>
    </x:row>
    <x:row r="2197" ht="23" customHeight="1">
      <x:c r="A2197" s="8" t="str">
        <x:v>Mitchell Lake</x:v>
      </x:c>
      <x:c r="B2197" s="8" t="str">
        <x:v>5348</x:v>
      </x:c>
      <x:c r="C2197" s="17" t="n">
        <x:v>2021</x:v>
      </x:c>
      <x:c r="D2197" s="18" t="n">
        <x:v>44325</x:v>
      </x:c>
      <x:c r="E2197" s="8" t="str">
        <x:v>RAINBOW TROUT</x:v>
      </x:c>
      <x:c r="F2197" s="13" t="n">
        <x:v>2000</x:v>
      </x:c>
      <x:c r="G2197" s="9" t="n">
        <x:v>17.5</x:v>
      </x:c>
      <x:c r="H2197" s="9" t="n">
        <x:v>58</x:v>
      </x:c>
      <x:c r="I2197" s="8" t="str">
        <x:f>B2197&amp;" / "&amp;C2197&amp;" / "&amp;E2197</x:f>
        <x:v>5348 / 2021 / RAINBOW TROUT</x:v>
      </x:c>
    </x:row>
    <x:row r="2198" ht="23" customHeight="1">
      <x:c r="A2198" s="8" t="str">
        <x:v>Mitchell Lake</x:v>
      </x:c>
      <x:c r="B2198" s="8" t="str">
        <x:v>5348</x:v>
      </x:c>
      <x:c r="C2198" s="17" t="n">
        <x:v>2021</x:v>
      </x:c>
      <x:c r="D2198" s="18" t="n">
        <x:v>44465</x:v>
      </x:c>
      <x:c r="E2198" s="8" t="str">
        <x:v>TIGER TROUT</x:v>
      </x:c>
      <x:c r="F2198" s="13" t="n">
        <x:v>1200</x:v>
      </x:c>
      <x:c r="G2198" s="9" t="n">
        <x:v>19.6</x:v>
      </x:c>
      <x:c r="H2198" s="9" t="n">
        <x:v>83.8</x:v>
      </x:c>
      <x:c r="I2198" s="8" t="str">
        <x:f>B2198&amp;" / "&amp;C2198&amp;" / "&amp;E2198</x:f>
        <x:v>5348 / 2021 / TIGER TROUT</x:v>
      </x:c>
    </x:row>
    <x:row r="2199" ht="23" customHeight="1">
      <x:c r="A2199" s="8" t="str">
        <x:v>Mitford Ponds</x:v>
      </x:c>
      <x:c r="B2199" s="8" t="str">
        <x:v>395196</x:v>
      </x:c>
      <x:c r="C2199" s="17" t="n">
        <x:v>2026</x:v>
      </x:c>
      <x:c r="D2199" s="18" t="n">
        <x:v>46142</x:v>
      </x:c>
      <x:c r="E2199" s="8" t="str">
        <x:v>BROWN TROUT</x:v>
      </x:c>
      <x:c r="F2199" s="13" t="n">
        <x:v>61</x:v>
      </x:c>
      <x:c r="G2199" s="9" t="n">
        <x:v>18.2</x:v>
      </x:c>
      <x:c r="H2199" s="9" t="n">
        <x:v>65.5</x:v>
      </x:c>
      <x:c r="I2199" s="8" t="str">
        <x:f>B2199&amp;" / "&amp;C2199&amp;" / "&amp;E2199</x:f>
        <x:v>395196 / 2026 / BROWN TROUT</x:v>
      </x:c>
    </x:row>
    <x:row r="2200" ht="23" customHeight="1">
      <x:c r="A2200" s="8" t="str">
        <x:v>Mitford Ponds</x:v>
      </x:c>
      <x:c r="B2200" s="8" t="str">
        <x:v>395196</x:v>
      </x:c>
      <x:c r="C2200" s="17" t="n">
        <x:v>2026</x:v>
      </x:c>
      <x:c r="D2200" s="18" t="n">
        <x:v>46183</x:v>
      </x:c>
      <x:c r="E2200" s="8" t="str">
        <x:v>RAINBOW TROUT</x:v>
      </x:c>
      <x:c r="F2200" s="13" t="n">
        <x:v>289</x:v>
      </x:c>
      <x:c r="G2200" s="9" t="n">
        <x:v>21.1</x:v>
      </x:c>
      <x:c r="H2200" s="9" t="n">
        <x:v>91.6</x:v>
      </x:c>
      <x:c r="I2200" s="8" t="str">
        <x:f>B2200&amp;" / "&amp;C2200&amp;" / "&amp;E2200</x:f>
        <x:v>395196 / 2026 / RAINBOW TROUT</x:v>
      </x:c>
    </x:row>
    <x:row r="2201" ht="23" customHeight="1">
      <x:c r="A2201" s="8" t="str">
        <x:v>Mitford Ponds</x:v>
      </x:c>
      <x:c r="B2201" s="8" t="str">
        <x:v>395196</x:v>
      </x:c>
      <x:c r="C2201" s="17" t="n">
        <x:v>2026</x:v>
      </x:c>
      <x:c r="D2201" s="18" t="n">
        <x:v>46142</x:v>
      </x:c>
      <x:c r="E2201" s="8" t="str">
        <x:v>RAINBOW TROUT</x:v>
      </x:c>
      <x:c r="F2201" s="13" t="n">
        <x:v>350</x:v>
      </x:c>
      <x:c r="G2201" s="9" t="n">
        <x:v>23</x:v>
      </x:c>
      <x:c r="H2201" s="9" t="n">
        <x:v>131.4</x:v>
      </x:c>
      <x:c r="I2201" s="8" t="str">
        <x:f>B2201&amp;" / "&amp;C2201&amp;" / "&amp;E2201</x:f>
        <x:v>395196 / 2026 / RAINBOW TROUT</x:v>
      </x:c>
    </x:row>
    <x:row r="2202" ht="23" customHeight="1">
      <x:c r="A2202" s="8" t="str">
        <x:v>Mitford Ponds</x:v>
      </x:c>
      <x:c r="B2202" s="8" t="str">
        <x:v>395196</x:v>
      </x:c>
      <x:c r="C2202" s="17" t="n">
        <x:v>2025</x:v>
      </x:c>
      <x:c r="D2202" s="18" t="n">
        <x:v>45791</x:v>
      </x:c>
      <x:c r="E2202" s="8" t="str">
        <x:v>BROWN TROUT</x:v>
      </x:c>
      <x:c r="F2202" s="13" t="n">
        <x:v>61</x:v>
      </x:c>
      <x:c r="G2202" s="9" t="n">
        <x:v>19.1</x:v>
      </x:c>
      <x:c r="H2202" s="9" t="n">
        <x:v>75.2</x:v>
      </x:c>
      <x:c r="I2202" s="8" t="str">
        <x:f>B2202&amp;" / "&amp;C2202&amp;" / "&amp;E2202</x:f>
        <x:v>395196 / 2025 / BROWN TROUT</x:v>
      </x:c>
    </x:row>
    <x:row r="2203" ht="23" customHeight="1">
      <x:c r="A2203" s="8" t="str">
        <x:v>Mitford Ponds</x:v>
      </x:c>
      <x:c r="B2203" s="8" t="str">
        <x:v>395196</x:v>
      </x:c>
      <x:c r="C2203" s="17" t="n">
        <x:v>2025</x:v>
      </x:c>
      <x:c r="D2203" s="18" t="n">
        <x:v>45791</x:v>
      </x:c>
      <x:c r="E2203" s="8" t="str">
        <x:v>RAINBOW TROUT</x:v>
      </x:c>
      <x:c r="F2203" s="13" t="n">
        <x:v>350</x:v>
      </x:c>
      <x:c r="G2203" s="9" t="n">
        <x:v>20.1</x:v>
      </x:c>
      <x:c r="H2203" s="9" t="n">
        <x:v>87.6</x:v>
      </x:c>
      <x:c r="I2203" s="8" t="str">
        <x:f>B2203&amp;" / "&amp;C2203&amp;" / "&amp;E2203</x:f>
        <x:v>395196 / 2025 / RAINBOW TROUT</x:v>
      </x:c>
    </x:row>
    <x:row r="2204" ht="23" customHeight="1">
      <x:c r="A2204" s="8" t="str">
        <x:v>Mitford Ponds</x:v>
      </x:c>
      <x:c r="B2204" s="8" t="str">
        <x:v>395196</x:v>
      </x:c>
      <x:c r="C2204" s="17" t="n">
        <x:v>2024</x:v>
      </x:c>
      <x:c r="D2204" s="18" t="n">
        <x:v>45415</x:v>
      </x:c>
      <x:c r="E2204" s="8" t="str">
        <x:v>BROWN TROUT</x:v>
      </x:c>
      <x:c r="F2204" s="13" t="n">
        <x:v>61</x:v>
      </x:c>
      <x:c r="G2204" s="9" t="n">
        <x:v>19.4</x:v>
      </x:c>
      <x:c r="H2204" s="9" t="n">
        <x:v>78.7</x:v>
      </x:c>
      <x:c r="I2204" s="8" t="str">
        <x:f>B2204&amp;" / "&amp;C2204&amp;" / "&amp;E2204</x:f>
        <x:v>395196 / 2024 / BROWN TROUT</x:v>
      </x:c>
    </x:row>
    <x:row r="2205" ht="23" customHeight="1">
      <x:c r="A2205" s="8" t="str">
        <x:v>Mitford Ponds</x:v>
      </x:c>
      <x:c r="B2205" s="8" t="str">
        <x:v>395196</x:v>
      </x:c>
      <x:c r="C2205" s="17" t="n">
        <x:v>2024</x:v>
      </x:c>
      <x:c r="D2205" s="18" t="n">
        <x:v>45456</x:v>
      </x:c>
      <x:c r="E2205" s="8" t="str">
        <x:v>RAINBOW TROUT</x:v>
      </x:c>
      <x:c r="F2205" s="13" t="n">
        <x:v>25</x:v>
      </x:c>
      <x:c r="G2205" s="9" t="n">
        <x:v>30</x:v>
      </x:c>
      <x:c r="H2205" s="9" t="n">
        <x:v>335</x:v>
      </x:c>
      <x:c r="I2205" s="8" t="str">
        <x:f>B2205&amp;" / "&amp;C2205&amp;" / "&amp;E2205</x:f>
        <x:v>395196 / 2024 / RAINBOW TROUT</x:v>
      </x:c>
    </x:row>
    <x:row r="2206" ht="23" customHeight="1">
      <x:c r="A2206" s="8" t="str">
        <x:v>Mitford Ponds</x:v>
      </x:c>
      <x:c r="B2206" s="8" t="str">
        <x:v>395196</x:v>
      </x:c>
      <x:c r="C2206" s="17" t="n">
        <x:v>2024</x:v>
      </x:c>
      <x:c r="D2206" s="18" t="n">
        <x:v>45456</x:v>
      </x:c>
      <x:c r="E2206" s="8" t="str">
        <x:v>RAINBOW TROUT</x:v>
      </x:c>
      <x:c r="F2206" s="13" t="n">
        <x:v>263</x:v>
      </x:c>
      <x:c r="G2206" s="9" t="n">
        <x:v>20.4</x:v>
      </x:c>
      <x:c r="H2206" s="9" t="n">
        <x:v>87</x:v>
      </x:c>
      <x:c r="I2206" s="8" t="str">
        <x:f>B2206&amp;" / "&amp;C2206&amp;" / "&amp;E2206</x:f>
        <x:v>395196 / 2024 / RAINBOW TROUT</x:v>
      </x:c>
    </x:row>
    <x:row r="2207" ht="23" customHeight="1">
      <x:c r="A2207" s="8" t="str">
        <x:v>Mitford Ponds</x:v>
      </x:c>
      <x:c r="B2207" s="8" t="str">
        <x:v>395196</x:v>
      </x:c>
      <x:c r="C2207" s="17" t="n">
        <x:v>2024</x:v>
      </x:c>
      <x:c r="D2207" s="18" t="n">
        <x:v>45415</x:v>
      </x:c>
      <x:c r="E2207" s="8" t="str">
        <x:v>RAINBOW TROUT</x:v>
      </x:c>
      <x:c r="F2207" s="13" t="n">
        <x:v>350</x:v>
      </x:c>
      <x:c r="G2207" s="9" t="n">
        <x:v>20.9</x:v>
      </x:c>
      <x:c r="H2207" s="9" t="n">
        <x:v>98.9</x:v>
      </x:c>
      <x:c r="I2207" s="8" t="str">
        <x:f>B2207&amp;" / "&amp;C2207&amp;" / "&amp;E2207</x:f>
        <x:v>395196 / 2024 / RAINBOW TROUT</x:v>
      </x:c>
    </x:row>
    <x:row r="2208" ht="23" customHeight="1">
      <x:c r="A2208" s="8" t="str">
        <x:v>Mitford Ponds</x:v>
      </x:c>
      <x:c r="B2208" s="8" t="str">
        <x:v>395196</x:v>
      </x:c>
      <x:c r="C2208" s="17" t="n">
        <x:v>2023</x:v>
      </x:c>
      <x:c r="D2208" s="18" t="n">
        <x:v>45048</x:v>
      </x:c>
      <x:c r="E2208" s="8" t="str">
        <x:v>BROWN TROUT</x:v>
      </x:c>
      <x:c r="F2208" s="13" t="n">
        <x:v>61</x:v>
      </x:c>
      <x:c r="G2208" s="9" t="n">
        <x:v>19.1</x:v>
      </x:c>
      <x:c r="H2208" s="9" t="n">
        <x:v>75.4</x:v>
      </x:c>
      <x:c r="I2208" s="8" t="str">
        <x:f>B2208&amp;" / "&amp;C2208&amp;" / "&amp;E2208</x:f>
        <x:v>395196 / 2023 / BROWN TROUT</x:v>
      </x:c>
    </x:row>
    <x:row r="2209" ht="23" customHeight="1">
      <x:c r="A2209" s="8" t="str">
        <x:v>Mitford Ponds</x:v>
      </x:c>
      <x:c r="B2209" s="8" t="str">
        <x:v>395196</x:v>
      </x:c>
      <x:c r="C2209" s="17" t="n">
        <x:v>2023</x:v>
      </x:c>
      <x:c r="D2209" s="18" t="n">
        <x:v>45089</x:v>
      </x:c>
      <x:c r="E2209" s="8" t="str">
        <x:v>RAINBOW TROUT</x:v>
      </x:c>
      <x:c r="F2209" s="13" t="n">
        <x:v>385</x:v>
      </x:c>
      <x:c r="G2209" s="9" t="n">
        <x:v>20.3</x:v>
      </x:c>
      <x:c r="H2209" s="9" t="n">
        <x:v>90.9</x:v>
      </x:c>
      <x:c r="I2209" s="8" t="str">
        <x:f>B2209&amp;" / "&amp;C2209&amp;" / "&amp;E2209</x:f>
        <x:v>395196 / 2023 / RAINBOW TROUT</x:v>
      </x:c>
    </x:row>
    <x:row r="2210" ht="23" customHeight="1">
      <x:c r="A2210" s="8" t="str">
        <x:v>Mitford Ponds</x:v>
      </x:c>
      <x:c r="B2210" s="8" t="str">
        <x:v>395196</x:v>
      </x:c>
      <x:c r="C2210" s="17" t="n">
        <x:v>2023</x:v>
      </x:c>
      <x:c r="D2210" s="18" t="n">
        <x:v>45048</x:v>
      </x:c>
      <x:c r="E2210" s="8" t="str">
        <x:v>RAINBOW TROUT</x:v>
      </x:c>
      <x:c r="F2210" s="13" t="n">
        <x:v>250</x:v>
      </x:c>
      <x:c r="G2210" s="9" t="n">
        <x:v>20.5</x:v>
      </x:c>
      <x:c r="H2210" s="9" t="n">
        <x:v>93.1</x:v>
      </x:c>
      <x:c r="I2210" s="8" t="str">
        <x:f>B2210&amp;" / "&amp;C2210&amp;" / "&amp;E2210</x:f>
        <x:v>395196 / 2023 / RAINBOW TROUT</x:v>
      </x:c>
    </x:row>
    <x:row r="2211" ht="23" customHeight="1">
      <x:c r="A2211" s="8" t="str">
        <x:v>Mitford Ponds</x:v>
      </x:c>
      <x:c r="B2211" s="8" t="str">
        <x:v>395196</x:v>
      </x:c>
      <x:c r="C2211" s="17" t="n">
        <x:v>2022</x:v>
      </x:c>
      <x:c r="D2211" s="18" t="n">
        <x:v>44677</x:v>
      </x:c>
      <x:c r="E2211" s="8" t="str">
        <x:v>BROWN TROUT</x:v>
      </x:c>
      <x:c r="F2211" s="13" t="n">
        <x:v>61</x:v>
      </x:c>
      <x:c r="G2211" s="9" t="n">
        <x:v>18.2</x:v>
      </x:c>
      <x:c r="H2211" s="9" t="n">
        <x:v>66.5</x:v>
      </x:c>
      <x:c r="I2211" s="8" t="str">
        <x:f>B2211&amp;" / "&amp;C2211&amp;" / "&amp;E2211</x:f>
        <x:v>395196 / 2022 / BROWN TROUT</x:v>
      </x:c>
    </x:row>
    <x:row r="2212" ht="23" customHeight="1">
      <x:c r="A2212" s="8" t="str">
        <x:v>Mitford Ponds</x:v>
      </x:c>
      <x:c r="B2212" s="8" t="str">
        <x:v>395196</x:v>
      </x:c>
      <x:c r="C2212" s="17" t="n">
        <x:v>2022</x:v>
      </x:c>
      <x:c r="D2212" s="18" t="n">
        <x:v>44721</x:v>
      </x:c>
      <x:c r="E2212" s="8" t="str">
        <x:v>RAINBOW TROUT</x:v>
      </x:c>
      <x:c r="F2212" s="13" t="n">
        <x:v>35</x:v>
      </x:c>
      <x:c r="G2212" s="9" t="n">
        <x:v>30.1</x:v>
      </x:c>
      <x:c r="H2212" s="9" t="n">
        <x:v>175.1</x:v>
      </x:c>
      <x:c r="I2212" s="8" t="str">
        <x:f>B2212&amp;" / "&amp;C2212&amp;" / "&amp;E2212</x:f>
        <x:v>395196 / 2022 / RAINBOW TROUT</x:v>
      </x:c>
    </x:row>
    <x:row r="2213" ht="23" customHeight="1">
      <x:c r="A2213" s="8" t="str">
        <x:v>Mitford Ponds</x:v>
      </x:c>
      <x:c r="B2213" s="8" t="str">
        <x:v>395196</x:v>
      </x:c>
      <x:c r="C2213" s="17" t="n">
        <x:v>2022</x:v>
      </x:c>
      <x:c r="D2213" s="18" t="n">
        <x:v>44721</x:v>
      </x:c>
      <x:c r="E2213" s="8" t="str">
        <x:v>RAINBOW TROUT</x:v>
      </x:c>
      <x:c r="F2213" s="13" t="n">
        <x:v>315</x:v>
      </x:c>
      <x:c r="G2213" s="9" t="n">
        <x:v>20.1</x:v>
      </x:c>
      <x:c r="H2213" s="9" t="n">
        <x:v>90.6</x:v>
      </x:c>
      <x:c r="I2213" s="8" t="str">
        <x:f>B2213&amp;" / "&amp;C2213&amp;" / "&amp;E2213</x:f>
        <x:v>395196 / 2022 / RAINBOW TROUT</x:v>
      </x:c>
    </x:row>
    <x:row r="2214" ht="23" customHeight="1">
      <x:c r="A2214" s="8" t="str">
        <x:v>Mitford Ponds</x:v>
      </x:c>
      <x:c r="B2214" s="8" t="str">
        <x:v>395196</x:v>
      </x:c>
      <x:c r="C2214" s="17" t="n">
        <x:v>2022</x:v>
      </x:c>
      <x:c r="D2214" s="18" t="n">
        <x:v>44677</x:v>
      </x:c>
      <x:c r="E2214" s="8" t="str">
        <x:v>RAINBOW TROUT</x:v>
      </x:c>
      <x:c r="F2214" s="13" t="n">
        <x:v>350</x:v>
      </x:c>
      <x:c r="G2214" s="9" t="n">
        <x:v>21.3</x:v>
      </x:c>
      <x:c r="H2214" s="9" t="n">
        <x:v>106.4</x:v>
      </x:c>
      <x:c r="I2214" s="8" t="str">
        <x:f>B2214&amp;" / "&amp;C2214&amp;" / "&amp;E2214</x:f>
        <x:v>395196 / 2022 / RAINBOW TROUT</x:v>
      </x:c>
    </x:row>
    <x:row r="2215" ht="23" customHeight="1">
      <x:c r="A2215" s="8" t="str">
        <x:v>Mitford Ponds</x:v>
      </x:c>
      <x:c r="B2215" s="8" t="str">
        <x:v>395196</x:v>
      </x:c>
      <x:c r="C2215" s="17" t="n">
        <x:v>2021</x:v>
      </x:c>
      <x:c r="D2215" s="18" t="n">
        <x:v>44305</x:v>
      </x:c>
      <x:c r="E2215" s="8" t="str">
        <x:v>BROWN TROUT</x:v>
      </x:c>
      <x:c r="F2215" s="13" t="n">
        <x:v>61</x:v>
      </x:c>
      <x:c r="G2215" s="9" t="n">
        <x:v>16.8</x:v>
      </x:c>
      <x:c r="H2215" s="9" t="n">
        <x:v>52.3</x:v>
      </x:c>
      <x:c r="I2215" s="8" t="str">
        <x:f>B2215&amp;" / "&amp;C2215&amp;" / "&amp;E2215</x:f>
        <x:v>395196 / 2021 / BROWN TROUT</x:v>
      </x:c>
    </x:row>
    <x:row r="2216" ht="23" customHeight="1">
      <x:c r="A2216" s="8" t="str">
        <x:v>Mitford Ponds</x:v>
      </x:c>
      <x:c r="B2216" s="8" t="str">
        <x:v>395196</x:v>
      </x:c>
      <x:c r="C2216" s="17" t="n">
        <x:v>2021</x:v>
      </x:c>
      <x:c r="D2216" s="18" t="n">
        <x:v>44453</x:v>
      </x:c>
      <x:c r="E2216" s="8" t="str">
        <x:v>RAINBOW TROUT</x:v>
      </x:c>
      <x:c r="F2216" s="13" t="n">
        <x:v>500</x:v>
      </x:c>
      <x:c r="G2216" s="9" t="n">
        <x:v>20.3</x:v>
      </x:c>
      <x:c r="H2216" s="9" t="n">
        <x:v>89.7</x:v>
      </x:c>
      <x:c r="I2216" s="8" t="str">
        <x:f>B2216&amp;" / "&amp;C2216&amp;" / "&amp;E2216</x:f>
        <x:v>395196 / 2021 / RAINBOW TROUT</x:v>
      </x:c>
    </x:row>
    <x:row r="2217" ht="23" customHeight="1">
      <x:c r="A2217" s="8" t="str">
        <x:v>Mitford Ponds</x:v>
      </x:c>
      <x:c r="B2217" s="8" t="str">
        <x:v>395196</x:v>
      </x:c>
      <x:c r="C2217" s="17" t="n">
        <x:v>2021</x:v>
      </x:c>
      <x:c r="D2217" s="18" t="n">
        <x:v>44365</x:v>
      </x:c>
      <x:c r="E2217" s="8" t="str">
        <x:v>RAINBOW TROUT</x:v>
      </x:c>
      <x:c r="F2217" s="13" t="n">
        <x:v>350</x:v>
      </x:c>
      <x:c r="G2217" s="9" t="n">
        <x:v>20.1</x:v>
      </x:c>
      <x:c r="H2217" s="9" t="n">
        <x:v>87.6</x:v>
      </x:c>
      <x:c r="I2217" s="8" t="str">
        <x:f>B2217&amp;" / "&amp;C2217&amp;" / "&amp;E2217</x:f>
        <x:v>395196 / 2021 / RAINBOW TROUT</x:v>
      </x:c>
    </x:row>
    <x:row r="2218" ht="23" customHeight="1">
      <x:c r="A2218" s="8" t="str">
        <x:v>Mitford Ponds</x:v>
      </x:c>
      <x:c r="B2218" s="8" t="str">
        <x:v>395196</x:v>
      </x:c>
      <x:c r="C2218" s="17" t="n">
        <x:v>2021</x:v>
      </x:c>
      <x:c r="D2218" s="18" t="n">
        <x:v>44305</x:v>
      </x:c>
      <x:c r="E2218" s="8" t="str">
        <x:v>RAINBOW TROUT</x:v>
      </x:c>
      <x:c r="F2218" s="13" t="n">
        <x:v>350</x:v>
      </x:c>
      <x:c r="G2218" s="9" t="n">
        <x:v>20.4</x:v>
      </x:c>
      <x:c r="H2218" s="9" t="n">
        <x:v>94.3</x:v>
      </x:c>
      <x:c r="I2218" s="8" t="str">
        <x:f>B2218&amp;" / "&amp;C2218&amp;" / "&amp;E2218</x:f>
        <x:v>395196 / 2021 / RAINBOW TROUT</x:v>
      </x:c>
    </x:row>
    <x:row r="2219" ht="23" customHeight="1">
      <x:c r="A2219" s="8" t="str">
        <x:v>Moore Lake</x:v>
      </x:c>
      <x:c r="B2219" s="8" t="str">
        <x:v>4351</x:v>
      </x:c>
      <x:c r="C2219" s="17" t="n">
        <x:v>2024</x:v>
      </x:c>
      <x:c r="D2219" s="18" t="n">
        <x:v>45445</x:v>
      </x:c>
      <x:c r="E2219" s="8" t="str">
        <x:v>WALLEYE</x:v>
      </x:c>
      <x:c r="F2219" s="13" t="n">
        <x:v>60370</x:v>
      </x:c>
      <x:c r="G2219" s="9" t="n">
        <x:v>0</x:v>
      </x:c>
      <x:c r="H2219" s="9" t="str">
        <x:v>Unknown</x:v>
      </x:c>
      <x:c r="I2219" s="8" t="str">
        <x:f>B2219&amp;" / "&amp;C2219&amp;" / "&amp;E2219</x:f>
        <x:v>4351 / 2024 / WALLEYE</x:v>
      </x:c>
    </x:row>
    <x:row r="2220" ht="23" customHeight="1">
      <x:c r="A2220" s="8" t="str">
        <x:v>Moore Lake</x:v>
      </x:c>
      <x:c r="B2220" s="8" t="str">
        <x:v>4351</x:v>
      </x:c>
      <x:c r="C2220" s="17" t="n">
        <x:v>2024</x:v>
      </x:c>
      <x:c r="D2220" s="18" t="n">
        <x:v>45442</x:v>
      </x:c>
      <x:c r="E2220" s="8" t="str">
        <x:v>WALLEYE</x:v>
      </x:c>
      <x:c r="F2220" s="13" t="n">
        <x:v>282720</x:v>
      </x:c>
      <x:c r="G2220" s="9" t="n">
        <x:v>0</x:v>
      </x:c>
      <x:c r="H2220" s="9" t="str">
        <x:v>Unknown</x:v>
      </x:c>
      <x:c r="I2220" s="8" t="str">
        <x:f>B2220&amp;" / "&amp;C2220&amp;" / "&amp;E2220</x:f>
        <x:v>4351 / 2024 / WALLEYE</x:v>
      </x:c>
    </x:row>
    <x:row r="2221" ht="23" customHeight="1">
      <x:c r="A2221" s="8" t="str">
        <x:v>Moore Lake</x:v>
      </x:c>
      <x:c r="B2221" s="8" t="str">
        <x:v>4351</x:v>
      </x:c>
      <x:c r="C2221" s="17" t="n">
        <x:v>2023</x:v>
      </x:c>
      <x:c r="D2221" s="18" t="n">
        <x:v>45074</x:v>
      </x:c>
      <x:c r="E2221" s="8" t="str">
        <x:v>WALLEYE</x:v>
      </x:c>
      <x:c r="F2221" s="13" t="n">
        <x:v>82593</x:v>
      </x:c>
      <x:c r="G2221" s="9" t="n">
        <x:v>0.4</x:v>
      </x:c>
      <x:c r="H2221" s="9" t="n">
        <x:v>0</x:v>
      </x:c>
      <x:c r="I2221" s="8" t="str">
        <x:f>B2221&amp;" / "&amp;C2221&amp;" / "&amp;E2221</x:f>
        <x:v>4351 / 2023 / WALLEYE</x:v>
      </x:c>
    </x:row>
    <x:row r="2222" ht="23" customHeight="1">
      <x:c r="A2222" s="8" t="str">
        <x:v>Morinville Fish and Game Pond</x:v>
      </x:c>
      <x:c r="B2222" s="8" t="str">
        <x:v>6736</x:v>
      </x:c>
      <x:c r="C2222" s="17" t="n">
        <x:v>2026</x:v>
      </x:c>
      <x:c r="D2222" s="18" t="n">
        <x:v>46147</x:v>
      </x:c>
      <x:c r="E2222" s="8" t="str">
        <x:v>BROWN TROUT</x:v>
      </x:c>
      <x:c r="F2222" s="13" t="n">
        <x:v>100</x:v>
      </x:c>
      <x:c r="G2222" s="9" t="n">
        <x:v>17.9</x:v>
      </x:c>
      <x:c r="H2222" s="9" t="n">
        <x:v>62</x:v>
      </x:c>
      <x:c r="I2222" s="8" t="str">
        <x:f>B2222&amp;" / "&amp;C2222&amp;" / "&amp;E2222</x:f>
        <x:v>6736 / 2026 / BROWN TROUT</x:v>
      </x:c>
    </x:row>
    <x:row r="2223" ht="23" customHeight="1">
      <x:c r="A2223" s="8" t="str">
        <x:v>Morinville Fish and Game Pond</x:v>
      </x:c>
      <x:c r="B2223" s="8" t="str">
        <x:v>6736</x:v>
      </x:c>
      <x:c r="C2223" s="17" t="n">
        <x:v>2026</x:v>
      </x:c>
      <x:c r="D2223" s="18" t="n">
        <x:v>46147</x:v>
      </x:c>
      <x:c r="E2223" s="8" t="str">
        <x:v>RAINBOW TROUT</x:v>
      </x:c>
      <x:c r="F2223" s="13" t="n">
        <x:v>1425</x:v>
      </x:c>
      <x:c r="G2223" s="9" t="n">
        <x:v>22.2</x:v>
      </x:c>
      <x:c r="H2223" s="9" t="n">
        <x:v>118.3</x:v>
      </x:c>
      <x:c r="I2223" s="8" t="str">
        <x:f>B2223&amp;" / "&amp;C2223&amp;" / "&amp;E2223</x:f>
        <x:v>6736 / 2026 / RAINBOW TROUT</x:v>
      </x:c>
    </x:row>
    <x:row r="2224" ht="23" customHeight="1">
      <x:c r="A2224" s="8" t="str">
        <x:v>Morinville Fish and Game Pond</x:v>
      </x:c>
      <x:c r="B2224" s="8" t="str">
        <x:v>6736</x:v>
      </x:c>
      <x:c r="C2224" s="17" t="n">
        <x:v>2025</x:v>
      </x:c>
      <x:c r="D2224" s="18" t="n">
        <x:v>45775</x:v>
      </x:c>
      <x:c r="E2224" s="8" t="str">
        <x:v>BROWN TROUT</x:v>
      </x:c>
      <x:c r="F2224" s="13" t="n">
        <x:v>100</x:v>
      </x:c>
      <x:c r="G2224" s="9" t="n">
        <x:v>19</x:v>
      </x:c>
      <x:c r="H2224" s="9" t="n">
        <x:v>74</x:v>
      </x:c>
      <x:c r="I2224" s="8" t="str">
        <x:f>B2224&amp;" / "&amp;C2224&amp;" / "&amp;E2224</x:f>
        <x:v>6736 / 2025 / BROWN TROUT</x:v>
      </x:c>
    </x:row>
    <x:row r="2225" ht="23" customHeight="1">
      <x:c r="A2225" s="8" t="str">
        <x:v>Morinville Fish and Game Pond</x:v>
      </x:c>
      <x:c r="B2225" s="8" t="str">
        <x:v>6736</x:v>
      </x:c>
      <x:c r="C2225" s="17" t="n">
        <x:v>2025</x:v>
      </x:c>
      <x:c r="D2225" s="18" t="n">
        <x:v>45932</x:v>
      </x:c>
      <x:c r="E2225" s="8" t="str">
        <x:v>RAINBOW TROUT</x:v>
      </x:c>
      <x:c r="F2225" s="13" t="n">
        <x:v>1100</x:v>
      </x:c>
      <x:c r="G2225" s="9" t="n">
        <x:v>29.1</x:v>
      </x:c>
      <x:c r="H2225" s="9" t="n">
        <x:v>265.7</x:v>
      </x:c>
      <x:c r="I2225" s="8" t="str">
        <x:f>B2225&amp;" / "&amp;C2225&amp;" / "&amp;E2225</x:f>
        <x:v>6736 / 2025 / RAINBOW TROUT</x:v>
      </x:c>
    </x:row>
    <x:row r="2226" ht="23" customHeight="1">
      <x:c r="A2226" s="8" t="str">
        <x:v>Morinville Fish and Game Pond</x:v>
      </x:c>
      <x:c r="B2226" s="8" t="str">
        <x:v>6736</x:v>
      </x:c>
      <x:c r="C2226" s="17" t="n">
        <x:v>2025</x:v>
      </x:c>
      <x:c r="D2226" s="18" t="n">
        <x:v>45775</x:v>
      </x:c>
      <x:c r="E2226" s="8" t="str">
        <x:v>RAINBOW TROUT</x:v>
      </x:c>
      <x:c r="F2226" s="13" t="n">
        <x:v>1425</x:v>
      </x:c>
      <x:c r="G2226" s="9" t="n">
        <x:v>20.2</x:v>
      </x:c>
      <x:c r="H2226" s="9" t="n">
        <x:v>89.4</x:v>
      </x:c>
      <x:c r="I2226" s="8" t="str">
        <x:f>B2226&amp;" / "&amp;C2226&amp;" / "&amp;E2226</x:f>
        <x:v>6736 / 2025 / RAINBOW TROUT</x:v>
      </x:c>
    </x:row>
    <x:row r="2227" ht="23" customHeight="1">
      <x:c r="A2227" s="8" t="str">
        <x:v>Morinville Fish and Game Pond</x:v>
      </x:c>
      <x:c r="B2227" s="8" t="str">
        <x:v>6736</x:v>
      </x:c>
      <x:c r="C2227" s="17" t="n">
        <x:v>2024</x:v>
      </x:c>
      <x:c r="D2227" s="18" t="n">
        <x:v>45411</x:v>
      </x:c>
      <x:c r="E2227" s="8" t="str">
        <x:v>BROWN TROUT</x:v>
      </x:c>
      <x:c r="F2227" s="13" t="n">
        <x:v>222</x:v>
      </x:c>
      <x:c r="G2227" s="9" t="n">
        <x:v>20.8</x:v>
      </x:c>
      <x:c r="H2227" s="9" t="n">
        <x:v>97.1</x:v>
      </x:c>
      <x:c r="I2227" s="8" t="str">
        <x:f>B2227&amp;" / "&amp;C2227&amp;" / "&amp;E2227</x:f>
        <x:v>6736 / 2024 / BROWN TROUT</x:v>
      </x:c>
    </x:row>
    <x:row r="2228" ht="23" customHeight="1">
      <x:c r="A2228" s="8" t="str">
        <x:v>Morinville Fish and Game Pond</x:v>
      </x:c>
      <x:c r="B2228" s="8" t="str">
        <x:v>6736</x:v>
      </x:c>
      <x:c r="C2228" s="17" t="n">
        <x:v>2024</x:v>
      </x:c>
      <x:c r="D2228" s="18" t="n">
        <x:v>45565</x:v>
      </x:c>
      <x:c r="E2228" s="8" t="str">
        <x:v>RAINBOW TROUT</x:v>
      </x:c>
      <x:c r="F2228" s="13" t="n">
        <x:v>1000</x:v>
      </x:c>
      <x:c r="G2228" s="9" t="n">
        <x:v>21.5</x:v>
      </x:c>
      <x:c r="H2228" s="9" t="n">
        <x:v>109.4</x:v>
      </x:c>
      <x:c r="I2228" s="8" t="str">
        <x:f>B2228&amp;" / "&amp;C2228&amp;" / "&amp;E2228</x:f>
        <x:v>6736 / 2024 / RAINBOW TROUT</x:v>
      </x:c>
    </x:row>
    <x:row r="2229" ht="23" customHeight="1">
      <x:c r="A2229" s="8" t="str">
        <x:v>Morinville Fish and Game Pond</x:v>
      </x:c>
      <x:c r="B2229" s="8" t="str">
        <x:v>6736</x:v>
      </x:c>
      <x:c r="C2229" s="17" t="n">
        <x:v>2024</x:v>
      </x:c>
      <x:c r="D2229" s="18" t="n">
        <x:v>45411</x:v>
      </x:c>
      <x:c r="E2229" s="8" t="str">
        <x:v>RAINBOW TROUT</x:v>
      </x:c>
      <x:c r="F2229" s="13" t="n">
        <x:v>1425</x:v>
      </x:c>
      <x:c r="G2229" s="9" t="n">
        <x:v>20.2</x:v>
      </x:c>
      <x:c r="H2229" s="9" t="n">
        <x:v>89.2</x:v>
      </x:c>
      <x:c r="I2229" s="8" t="str">
        <x:f>B2229&amp;" / "&amp;C2229&amp;" / "&amp;E2229</x:f>
        <x:v>6736 / 2024 / RAINBOW TROUT</x:v>
      </x:c>
    </x:row>
    <x:row r="2230" ht="23" customHeight="1">
      <x:c r="A2230" s="8" t="str">
        <x:v>Morinville Fish and Game Pond</x:v>
      </x:c>
      <x:c r="B2230" s="8" t="str">
        <x:v>6736</x:v>
      </x:c>
      <x:c r="C2230" s="17" t="n">
        <x:v>2023</x:v>
      </x:c>
      <x:c r="D2230" s="18" t="n">
        <x:v>45047</x:v>
      </x:c>
      <x:c r="E2230" s="8" t="str">
        <x:v>BROWN TROUT</x:v>
      </x:c>
      <x:c r="F2230" s="13" t="n">
        <x:v>100</x:v>
      </x:c>
      <x:c r="G2230" s="9" t="n">
        <x:v>18.8</x:v>
      </x:c>
      <x:c r="H2230" s="9" t="n">
        <x:v>71.9</x:v>
      </x:c>
      <x:c r="I2230" s="8" t="str">
        <x:f>B2230&amp;" / "&amp;C2230&amp;" / "&amp;E2230</x:f>
        <x:v>6736 / 2023 / BROWN TROUT</x:v>
      </x:c>
    </x:row>
    <x:row r="2231" ht="23" customHeight="1">
      <x:c r="A2231" s="8" t="str">
        <x:v>Morinville Fish and Game Pond</x:v>
      </x:c>
      <x:c r="B2231" s="8" t="str">
        <x:v>6736</x:v>
      </x:c>
      <x:c r="C2231" s="17" t="n">
        <x:v>2023</x:v>
      </x:c>
      <x:c r="D2231" s="18" t="n">
        <x:v>45188</x:v>
      </x:c>
      <x:c r="E2231" s="8" t="str">
        <x:v>RAINBOW TROUT</x:v>
      </x:c>
      <x:c r="F2231" s="13" t="n">
        <x:v>512</x:v>
      </x:c>
      <x:c r="G2231" s="9" t="n">
        <x:v>21.1</x:v>
      </x:c>
      <x:c r="H2231" s="9" t="n">
        <x:v>94.5</x:v>
      </x:c>
      <x:c r="I2231" s="8" t="str">
        <x:f>B2231&amp;" / "&amp;C2231&amp;" / "&amp;E2231</x:f>
        <x:v>6736 / 2023 / RAINBOW TROUT</x:v>
      </x:c>
    </x:row>
    <x:row r="2232" ht="23" customHeight="1">
      <x:c r="A2232" s="8" t="str">
        <x:v>Morinville Fish and Game Pond</x:v>
      </x:c>
      <x:c r="B2232" s="8" t="str">
        <x:v>6736</x:v>
      </x:c>
      <x:c r="C2232" s="17" t="n">
        <x:v>2023</x:v>
      </x:c>
      <x:c r="D2232" s="18" t="n">
        <x:v>45047</x:v>
      </x:c>
      <x:c r="E2232" s="8" t="str">
        <x:v>RAINBOW TROUT</x:v>
      </x:c>
      <x:c r="F2232" s="13" t="n">
        <x:v>1425</x:v>
      </x:c>
      <x:c r="G2232" s="9" t="n">
        <x:v>20.1</x:v>
      </x:c>
      <x:c r="H2232" s="9" t="n">
        <x:v>86.4</x:v>
      </x:c>
      <x:c r="I2232" s="8" t="str">
        <x:f>B2232&amp;" / "&amp;C2232&amp;" / "&amp;E2232</x:f>
        <x:v>6736 / 2023 / RAINBOW TROUT</x:v>
      </x:c>
    </x:row>
    <x:row r="2233" ht="23" customHeight="1">
      <x:c r="A2233" s="8" t="str">
        <x:v>Morinville Fish and Game Pond</x:v>
      </x:c>
      <x:c r="B2233" s="8" t="str">
        <x:v>6736</x:v>
      </x:c>
      <x:c r="C2233" s="17" t="n">
        <x:v>2022</x:v>
      </x:c>
      <x:c r="D2233" s="18" t="n">
        <x:v>44687</x:v>
      </x:c>
      <x:c r="E2233" s="8" t="str">
        <x:v>BROWN TROUT</x:v>
      </x:c>
      <x:c r="F2233" s="13" t="n">
        <x:v>100</x:v>
      </x:c>
      <x:c r="G2233" s="9" t="n">
        <x:v>18.8</x:v>
      </x:c>
      <x:c r="H2233" s="9" t="n">
        <x:v>73</x:v>
      </x:c>
      <x:c r="I2233" s="8" t="str">
        <x:f>B2233&amp;" / "&amp;C2233&amp;" / "&amp;E2233</x:f>
        <x:v>6736 / 2022 / BROWN TROUT</x:v>
      </x:c>
    </x:row>
    <x:row r="2234" ht="23" customHeight="1">
      <x:c r="A2234" s="8" t="str">
        <x:v>Morinville Fish and Game Pond</x:v>
      </x:c>
      <x:c r="B2234" s="8" t="str">
        <x:v>6736</x:v>
      </x:c>
      <x:c r="C2234" s="17" t="n">
        <x:v>2022</x:v>
      </x:c>
      <x:c r="D2234" s="18" t="n">
        <x:v>44817</x:v>
      </x:c>
      <x:c r="E2234" s="8" t="str">
        <x:v>RAINBOW TROUT</x:v>
      </x:c>
      <x:c r="F2234" s="13" t="n">
        <x:v>1000</x:v>
      </x:c>
      <x:c r="G2234" s="9" t="n">
        <x:v>26.3</x:v>
      </x:c>
      <x:c r="H2234" s="9" t="n">
        <x:v>197.2</x:v>
      </x:c>
      <x:c r="I2234" s="8" t="str">
        <x:f>B2234&amp;" / "&amp;C2234&amp;" / "&amp;E2234</x:f>
        <x:v>6736 / 2022 / RAINBOW TROUT</x:v>
      </x:c>
    </x:row>
    <x:row r="2235" ht="23" customHeight="1">
      <x:c r="A2235" s="8" t="str">
        <x:v>Morinville Fish and Game Pond</x:v>
      </x:c>
      <x:c r="B2235" s="8" t="str">
        <x:v>6736</x:v>
      </x:c>
      <x:c r="C2235" s="17" t="n">
        <x:v>2022</x:v>
      </x:c>
      <x:c r="D2235" s="18" t="n">
        <x:v>44687</x:v>
      </x:c>
      <x:c r="E2235" s="8" t="str">
        <x:v>RAINBOW TROUT</x:v>
      </x:c>
      <x:c r="F2235" s="13" t="n">
        <x:v>1425</x:v>
      </x:c>
      <x:c r="G2235" s="9" t="n">
        <x:v>21</x:v>
      </x:c>
      <x:c r="H2235" s="9" t="n">
        <x:v>102.4</x:v>
      </x:c>
      <x:c r="I2235" s="8" t="str">
        <x:f>B2235&amp;" / "&amp;C2235&amp;" / "&amp;E2235</x:f>
        <x:v>6736 / 2022 / RAINBOW TROUT</x:v>
      </x:c>
    </x:row>
    <x:row r="2236" ht="23" customHeight="1">
      <x:c r="A2236" s="8" t="str">
        <x:v>Morinville Fish and Game Pond</x:v>
      </x:c>
      <x:c r="B2236" s="8" t="str">
        <x:v>6736</x:v>
      </x:c>
      <x:c r="C2236" s="17" t="n">
        <x:v>2021</x:v>
      </x:c>
      <x:c r="D2236" s="18" t="n">
        <x:v>44313</x:v>
      </x:c>
      <x:c r="E2236" s="8" t="str">
        <x:v>BROWN TROUT</x:v>
      </x:c>
      <x:c r="F2236" s="13" t="n">
        <x:v>100</x:v>
      </x:c>
      <x:c r="G2236" s="9" t="n">
        <x:v>17</x:v>
      </x:c>
      <x:c r="H2236" s="9" t="n">
        <x:v>54</x:v>
      </x:c>
      <x:c r="I2236" s="8" t="str">
        <x:f>B2236&amp;" / "&amp;C2236&amp;" / "&amp;E2236</x:f>
        <x:v>6736 / 2021 / BROWN TROUT</x:v>
      </x:c>
    </x:row>
    <x:row r="2237" ht="23" customHeight="1">
      <x:c r="A2237" s="8" t="str">
        <x:v>Morinville Fish and Game Pond</x:v>
      </x:c>
      <x:c r="B2237" s="8" t="str">
        <x:v>6736</x:v>
      </x:c>
      <x:c r="C2237" s="17" t="n">
        <x:v>2021</x:v>
      </x:c>
      <x:c r="D2237" s="18" t="n">
        <x:v>44460</x:v>
      </x:c>
      <x:c r="E2237" s="8" t="str">
        <x:v>RAINBOW TROUT</x:v>
      </x:c>
      <x:c r="F2237" s="13" t="n">
        <x:v>1000</x:v>
      </x:c>
      <x:c r="G2237" s="9" t="n">
        <x:v>19.7</x:v>
      </x:c>
      <x:c r="H2237" s="9" t="n">
        <x:v>84.4</x:v>
      </x:c>
      <x:c r="I2237" s="8" t="str">
        <x:f>B2237&amp;" / "&amp;C2237&amp;" / "&amp;E2237</x:f>
        <x:v>6736 / 2021 / RAINBOW TROUT</x:v>
      </x:c>
    </x:row>
    <x:row r="2238" ht="23" customHeight="1">
      <x:c r="A2238" s="8" t="str">
        <x:v>Morinville Fish and Game Pond</x:v>
      </x:c>
      <x:c r="B2238" s="8" t="str">
        <x:v>6736</x:v>
      </x:c>
      <x:c r="C2238" s="17" t="n">
        <x:v>2021</x:v>
      </x:c>
      <x:c r="D2238" s="18" t="n">
        <x:v>44313</x:v>
      </x:c>
      <x:c r="E2238" s="8" t="str">
        <x:v>RAINBOW TROUT</x:v>
      </x:c>
      <x:c r="F2238" s="13" t="n">
        <x:v>1425</x:v>
      </x:c>
      <x:c r="G2238" s="9" t="n">
        <x:v>20.6</x:v>
      </x:c>
      <x:c r="H2238" s="9" t="n">
        <x:v>97.3</x:v>
      </x:c>
      <x:c r="I2238" s="8" t="str">
        <x:f>B2238&amp;" / "&amp;C2238&amp;" / "&amp;E2238</x:f>
        <x:v>6736 / 2021 / RAINBOW TROUT</x:v>
      </x:c>
    </x:row>
    <x:row r="2239" ht="23" customHeight="1">
      <x:c r="A2239" s="8" t="str">
        <x:v>Mound Red Reservoir</x:v>
      </x:c>
      <x:c r="B2239" s="8" t="str">
        <x:v>6737</x:v>
      </x:c>
      <x:c r="C2239" s="17" t="n">
        <x:v>2026</x:v>
      </x:c>
      <x:c r="D2239" s="18" t="n">
        <x:v>46149</x:v>
      </x:c>
      <x:c r="E2239" s="8" t="str">
        <x:v>RAINBOW TROUT</x:v>
      </x:c>
      <x:c r="F2239" s="13" t="n">
        <x:v>3000</x:v>
      </x:c>
      <x:c r="G2239" s="9" t="n">
        <x:v>21</x:v>
      </x:c>
      <x:c r="H2239" s="9" t="n">
        <x:v>96.8</x:v>
      </x:c>
      <x:c r="I2239" s="8" t="str">
        <x:f>B2239&amp;" / "&amp;C2239&amp;" / "&amp;E2239</x:f>
        <x:v>6737 / 2026 / RAINBOW TROUT</x:v>
      </x:c>
    </x:row>
    <x:row r="2240" ht="23" customHeight="1">
      <x:c r="A2240" s="8" t="str">
        <x:v>Mound Red Reservoir</x:v>
      </x:c>
      <x:c r="B2240" s="8" t="str">
        <x:v>6737</x:v>
      </x:c>
      <x:c r="C2240" s="17" t="n">
        <x:v>2025</x:v>
      </x:c>
      <x:c r="D2240" s="18" t="n">
        <x:v>45784</x:v>
      </x:c>
      <x:c r="E2240" s="8" t="str">
        <x:v>RAINBOW TROUT</x:v>
      </x:c>
      <x:c r="F2240" s="13" t="n">
        <x:v>50</x:v>
      </x:c>
      <x:c r="G2240" s="9" t="n">
        <x:v>30</x:v>
      </x:c>
      <x:c r="H2240" s="9" t="n">
        <x:v>220.1</x:v>
      </x:c>
      <x:c r="I2240" s="8" t="str">
        <x:f>B2240&amp;" / "&amp;C2240&amp;" / "&amp;E2240</x:f>
        <x:v>6737 / 2025 / RAINBOW TROUT</x:v>
      </x:c>
    </x:row>
    <x:row r="2241" ht="23" customHeight="1">
      <x:c r="A2241" s="8" t="str">
        <x:v>Mound Red Reservoir</x:v>
      </x:c>
      <x:c r="B2241" s="8" t="str">
        <x:v>6737</x:v>
      </x:c>
      <x:c r="C2241" s="17" t="n">
        <x:v>2025</x:v>
      </x:c>
      <x:c r="D2241" s="18" t="n">
        <x:v>45784</x:v>
      </x:c>
      <x:c r="E2241" s="8" t="str">
        <x:v>RAINBOW TROUT</x:v>
      </x:c>
      <x:c r="F2241" s="13" t="n">
        <x:v>3000</x:v>
      </x:c>
      <x:c r="G2241" s="9" t="n">
        <x:v>20.4</x:v>
      </x:c>
      <x:c r="H2241" s="9" t="n">
        <x:v>93.3</x:v>
      </x:c>
      <x:c r="I2241" s="8" t="str">
        <x:f>B2241&amp;" / "&amp;C2241&amp;" / "&amp;E2241</x:f>
        <x:v>6737 / 2025 / RAINBOW TROUT</x:v>
      </x:c>
    </x:row>
    <x:row r="2242" ht="23" customHeight="1">
      <x:c r="A2242" s="8" t="str">
        <x:v>Mound Red Reservoir</x:v>
      </x:c>
      <x:c r="B2242" s="8" t="str">
        <x:v>6737</x:v>
      </x:c>
      <x:c r="C2242" s="17" t="n">
        <x:v>2024</x:v>
      </x:c>
      <x:c r="D2242" s="18" t="n">
        <x:v>45429</x:v>
      </x:c>
      <x:c r="E2242" s="8" t="str">
        <x:v>RAINBOW TROUT</x:v>
      </x:c>
      <x:c r="F2242" s="13" t="n">
        <x:v>50</x:v>
      </x:c>
      <x:c r="G2242" s="9" t="n">
        <x:v>30.1</x:v>
      </x:c>
      <x:c r="H2242" s="9" t="n">
        <x:v>268</x:v>
      </x:c>
      <x:c r="I2242" s="8" t="str">
        <x:f>B2242&amp;" / "&amp;C2242&amp;" / "&amp;E2242</x:f>
        <x:v>6737 / 2024 / RAINBOW TROUT</x:v>
      </x:c>
    </x:row>
    <x:row r="2243" ht="23" customHeight="1">
      <x:c r="A2243" s="8" t="str">
        <x:v>Mound Red Reservoir</x:v>
      </x:c>
      <x:c r="B2243" s="8" t="str">
        <x:v>6737</x:v>
      </x:c>
      <x:c r="C2243" s="17" t="n">
        <x:v>2024</x:v>
      </x:c>
      <x:c r="D2243" s="18" t="n">
        <x:v>45419</x:v>
      </x:c>
      <x:c r="E2243" s="8" t="str">
        <x:v>RAINBOW TROUT</x:v>
      </x:c>
      <x:c r="F2243" s="13" t="n">
        <x:v>3000</x:v>
      </x:c>
      <x:c r="G2243" s="9" t="n">
        <x:v>20.4</x:v>
      </x:c>
      <x:c r="H2243" s="9" t="n">
        <x:v>91.8</x:v>
      </x:c>
      <x:c r="I2243" s="8" t="str">
        <x:f>B2243&amp;" / "&amp;C2243&amp;" / "&amp;E2243</x:f>
        <x:v>6737 / 2024 / RAINBOW TROUT</x:v>
      </x:c>
    </x:row>
    <x:row r="2244" ht="23" customHeight="1">
      <x:c r="A2244" s="8" t="str">
        <x:v>Mound Red Reservoir</x:v>
      </x:c>
      <x:c r="B2244" s="8" t="str">
        <x:v>6737</x:v>
      </x:c>
      <x:c r="C2244" s="17" t="n">
        <x:v>2023</x:v>
      </x:c>
      <x:c r="D2244" s="18" t="n">
        <x:v>45062</x:v>
      </x:c>
      <x:c r="E2244" s="8" t="str">
        <x:v>RAINBOW TROUT</x:v>
      </x:c>
      <x:c r="F2244" s="13" t="n">
        <x:v>100</x:v>
      </x:c>
      <x:c r="G2244" s="9" t="n">
        <x:v>30</x:v>
      </x:c>
      <x:c r="H2244" s="9" t="n">
        <x:v>239</x:v>
      </x:c>
      <x:c r="I2244" s="8" t="str">
        <x:f>B2244&amp;" / "&amp;C2244&amp;" / "&amp;E2244</x:f>
        <x:v>6737 / 2023 / RAINBOW TROUT</x:v>
      </x:c>
    </x:row>
    <x:row r="2245" ht="23" customHeight="1">
      <x:c r="A2245" s="8" t="str">
        <x:v>Mound Red Reservoir</x:v>
      </x:c>
      <x:c r="B2245" s="8" t="str">
        <x:v>6737</x:v>
      </x:c>
      <x:c r="C2245" s="17" t="n">
        <x:v>2023</x:v>
      </x:c>
      <x:c r="D2245" s="18" t="n">
        <x:v>45062</x:v>
      </x:c>
      <x:c r="E2245" s="8" t="str">
        <x:v>RAINBOW TROUT</x:v>
      </x:c>
      <x:c r="F2245" s="13" t="n">
        <x:v>3100</x:v>
      </x:c>
      <x:c r="G2245" s="9" t="n">
        <x:v>20.5</x:v>
      </x:c>
      <x:c r="H2245" s="9" t="n">
        <x:v>89.9</x:v>
      </x:c>
      <x:c r="I2245" s="8" t="str">
        <x:f>B2245&amp;" / "&amp;C2245&amp;" / "&amp;E2245</x:f>
        <x:v>6737 / 2023 / RAINBOW TROUT</x:v>
      </x:c>
    </x:row>
    <x:row r="2246" ht="23" customHeight="1">
      <x:c r="A2246" s="8" t="str">
        <x:v>Mound Red Reservoir</x:v>
      </x:c>
      <x:c r="B2246" s="8" t="str">
        <x:v>6737</x:v>
      </x:c>
      <x:c r="C2246" s="17" t="n">
        <x:v>2022</x:v>
      </x:c>
      <x:c r="D2246" s="18" t="n">
        <x:v>44691</x:v>
      </x:c>
      <x:c r="E2246" s="8" t="str">
        <x:v>RAINBOW TROUT</x:v>
      </x:c>
      <x:c r="F2246" s="13" t="n">
        <x:v>3000</x:v>
      </x:c>
      <x:c r="G2246" s="9" t="n">
        <x:v>20.7</x:v>
      </x:c>
      <x:c r="H2246" s="9" t="n">
        <x:v>97.3</x:v>
      </x:c>
      <x:c r="I2246" s="8" t="str">
        <x:f>B2246&amp;" / "&amp;C2246&amp;" / "&amp;E2246</x:f>
        <x:v>6737 / 2022 / RAINBOW TROUT</x:v>
      </x:c>
    </x:row>
    <x:row r="2247" ht="23" customHeight="1">
      <x:c r="A2247" s="8" t="str">
        <x:v>Mound Red Reservoir</x:v>
      </x:c>
      <x:c r="B2247" s="8" t="str">
        <x:v>6737</x:v>
      </x:c>
      <x:c r="C2247" s="17" t="n">
        <x:v>2021</x:v>
      </x:c>
      <x:c r="D2247" s="18" t="n">
        <x:v>44321</x:v>
      </x:c>
      <x:c r="E2247" s="8" t="str">
        <x:v>RAINBOW TROUT</x:v>
      </x:c>
      <x:c r="F2247" s="13" t="n">
        <x:v>1500</x:v>
      </x:c>
      <x:c r="G2247" s="9" t="n">
        <x:v>21.1</x:v>
      </x:c>
      <x:c r="H2247" s="9" t="n">
        <x:v>97.5</x:v>
      </x:c>
      <x:c r="I2247" s="8" t="str">
        <x:f>B2247&amp;" / "&amp;C2247&amp;" / "&amp;E2247</x:f>
        <x:v>6737 / 2021 / RAINBOW TROUT</x:v>
      </x:c>
    </x:row>
    <x:row r="2248" ht="23" customHeight="1">
      <x:c r="A2248" s="8" t="str">
        <x:v>Mount Lorette Ponds</x:v>
      </x:c>
      <x:c r="B2248" s="8" t="str">
        <x:v>3482</x:v>
      </x:c>
      <x:c r="C2248" s="17" t="n">
        <x:v>2026</x:v>
      </x:c>
      <x:c r="D2248" s="18" t="n">
        <x:v>46225</x:v>
      </x:c>
      <x:c r="E2248" s="8" t="str">
        <x:v>RAINBOW TROUT</x:v>
      </x:c>
      <x:c r="F2248" s="13" t="n">
        <x:v>495</x:v>
      </x:c>
      <x:c r="G2248" s="9" t="n">
        <x:v>22.9</x:v>
      </x:c>
      <x:c r="H2248" s="9" t="n">
        <x:v>129.7</x:v>
      </x:c>
      <x:c r="I2248" s="8" t="str">
        <x:f>B2248&amp;" / "&amp;C2248&amp;" / "&amp;E2248</x:f>
        <x:v>3482 / 2026 / RAINBOW TROUT</x:v>
      </x:c>
    </x:row>
    <x:row r="2249" ht="23" customHeight="1">
      <x:c r="A2249" s="8" t="str">
        <x:v>Mount Lorette Ponds</x:v>
      </x:c>
      <x:c r="B2249" s="8" t="str">
        <x:v>3482</x:v>
      </x:c>
      <x:c r="C2249" s="17" t="n">
        <x:v>2026</x:v>
      </x:c>
      <x:c r="D2249" s="18" t="n">
        <x:v>46198</x:v>
      </x:c>
      <x:c r="E2249" s="8" t="str">
        <x:v>RAINBOW TROUT</x:v>
      </x:c>
      <x:c r="F2249" s="13" t="n">
        <x:v>400</x:v>
      </x:c>
      <x:c r="G2249" s="9" t="n">
        <x:v>21.7</x:v>
      </x:c>
      <x:c r="H2249" s="9" t="n">
        <x:v>111.1</x:v>
      </x:c>
      <x:c r="I2249" s="8" t="str">
        <x:f>B2249&amp;" / "&amp;C2249&amp;" / "&amp;E2249</x:f>
        <x:v>3482 / 2026 / RAINBOW TROUT</x:v>
      </x:c>
    </x:row>
    <x:row r="2250" ht="23" customHeight="1">
      <x:c r="A2250" s="8" t="str">
        <x:v>Mount Lorette Ponds</x:v>
      </x:c>
      <x:c r="B2250" s="8" t="str">
        <x:v>3482</x:v>
      </x:c>
      <x:c r="C2250" s="17" t="n">
        <x:v>2026</x:v>
      </x:c>
      <x:c r="D2250" s="18" t="n">
        <x:v>46178</x:v>
      </x:c>
      <x:c r="E2250" s="8" t="str">
        <x:v>RAINBOW TROUT</x:v>
      </x:c>
      <x:c r="F2250" s="13" t="n">
        <x:v>800</x:v>
      </x:c>
      <x:c r="G2250" s="9" t="n">
        <x:v>21.5</x:v>
      </x:c>
      <x:c r="H2250" s="9" t="n">
        <x:v>107</x:v>
      </x:c>
      <x:c r="I2250" s="8" t="str">
        <x:f>B2250&amp;" / "&amp;C2250&amp;" / "&amp;E2250</x:f>
        <x:v>3482 / 2026 / RAINBOW TROUT</x:v>
      </x:c>
    </x:row>
    <x:row r="2251" ht="23" customHeight="1">
      <x:c r="A2251" s="8" t="str">
        <x:v>Mount Lorette Ponds</x:v>
      </x:c>
      <x:c r="B2251" s="8" t="str">
        <x:v>3482</x:v>
      </x:c>
      <x:c r="C2251" s="17" t="n">
        <x:v>2026</x:v>
      </x:c>
      <x:c r="D2251" s="18" t="n">
        <x:v>46156</x:v>
      </x:c>
      <x:c r="E2251" s="8" t="str">
        <x:v>RAINBOW TROUT</x:v>
      </x:c>
      <x:c r="F2251" s="13" t="n">
        <x:v>400</x:v>
      </x:c>
      <x:c r="G2251" s="9" t="n">
        <x:v>20.3</x:v>
      </x:c>
      <x:c r="H2251" s="9" t="n">
        <x:v>90.7</x:v>
      </x:c>
      <x:c r="I2251" s="8" t="str">
        <x:f>B2251&amp;" / "&amp;C2251&amp;" / "&amp;E2251</x:f>
        <x:v>3482 / 2026 / RAINBOW TROUT</x:v>
      </x:c>
    </x:row>
    <x:row r="2252" ht="23" customHeight="1">
      <x:c r="A2252" s="8" t="str">
        <x:v>Mount Lorette Ponds</x:v>
      </x:c>
      <x:c r="B2252" s="8" t="str">
        <x:v>3482</x:v>
      </x:c>
      <x:c r="C2252" s="17" t="n">
        <x:v>2026</x:v>
      </x:c>
      <x:c r="D2252" s="18" t="n">
        <x:v>46225</x:v>
      </x:c>
      <x:c r="E2252" s="8" t="str">
        <x:v>WESTSLOPE CUTTHROAT TROUT</x:v>
      </x:c>
      <x:c r="F2252" s="13" t="n">
        <x:v>600</x:v>
      </x:c>
      <x:c r="G2252" s="9" t="n">
        <x:v>17.9</x:v>
      </x:c>
      <x:c r="H2252" s="9" t="n">
        <x:v>62.2</x:v>
      </x:c>
      <x:c r="I2252" s="8" t="str">
        <x:f>B2252&amp;" / "&amp;C2252&amp;" / "&amp;E2252</x:f>
        <x:v>3482 / 2026 / WESTSLOPE CUTTHROAT TROUT</x:v>
      </x:c>
    </x:row>
    <x:row r="2253" ht="23" customHeight="1">
      <x:c r="A2253" s="8" t="str">
        <x:v>Mount Lorette Ponds</x:v>
      </x:c>
      <x:c r="B2253" s="8" t="str">
        <x:v>3482</x:v>
      </x:c>
      <x:c r="C2253" s="17" t="n">
        <x:v>2026</x:v>
      </x:c>
      <x:c r="D2253" s="18" t="n">
        <x:v>46198</x:v>
      </x:c>
      <x:c r="E2253" s="8" t="str">
        <x:v>WESTSLOPE CUTTHROAT TROUT</x:v>
      </x:c>
      <x:c r="F2253" s="13" t="n">
        <x:v>800</x:v>
      </x:c>
      <x:c r="G2253" s="9" t="n">
        <x:v>16.7</x:v>
      </x:c>
      <x:c r="H2253" s="9" t="n">
        <x:v>50</x:v>
      </x:c>
      <x:c r="I2253" s="8" t="str">
        <x:f>B2253&amp;" / "&amp;C2253&amp;" / "&amp;E2253</x:f>
        <x:v>3482 / 2026 / WESTSLOPE CUTTHROAT TROUT</x:v>
      </x:c>
    </x:row>
    <x:row r="2254" ht="23" customHeight="1">
      <x:c r="A2254" s="8" t="str">
        <x:v>Mount Lorette Ponds</x:v>
      </x:c>
      <x:c r="B2254" s="8" t="str">
        <x:v>3482</x:v>
      </x:c>
      <x:c r="C2254" s="17" t="n">
        <x:v>2026</x:v>
      </x:c>
      <x:c r="D2254" s="18" t="n">
        <x:v>46178</x:v>
      </x:c>
      <x:c r="E2254" s="8" t="str">
        <x:v>WESTSLOPE CUTTHROAT TROUT</x:v>
      </x:c>
      <x:c r="F2254" s="13" t="n">
        <x:v>800</x:v>
      </x:c>
      <x:c r="G2254" s="9" t="n">
        <x:v>15.8</x:v>
      </x:c>
      <x:c r="H2254" s="9" t="n">
        <x:v>42.5</x:v>
      </x:c>
      <x:c r="I2254" s="8" t="str">
        <x:f>B2254&amp;" / "&amp;C2254&amp;" / "&amp;E2254</x:f>
        <x:v>3482 / 2026 / WESTSLOPE CUTTHROAT TROUT</x:v>
      </x:c>
    </x:row>
    <x:row r="2255" ht="23" customHeight="1">
      <x:c r="A2255" s="8" t="str">
        <x:v>Mount Lorette Ponds</x:v>
      </x:c>
      <x:c r="B2255" s="8" t="str">
        <x:v>3482</x:v>
      </x:c>
      <x:c r="C2255" s="17" t="n">
        <x:v>2026</x:v>
      </x:c>
      <x:c r="D2255" s="18" t="n">
        <x:v>46156</x:v>
      </x:c>
      <x:c r="E2255" s="8" t="str">
        <x:v>WESTSLOPE CUTTHROAT TROUT</x:v>
      </x:c>
      <x:c r="F2255" s="13" t="n">
        <x:v>800</x:v>
      </x:c>
      <x:c r="G2255" s="9" t="n">
        <x:v>14.2</x:v>
      </x:c>
      <x:c r="H2255" s="9" t="n">
        <x:v>30.8</x:v>
      </x:c>
      <x:c r="I2255" s="8" t="str">
        <x:f>B2255&amp;" / "&amp;C2255&amp;" / "&amp;E2255</x:f>
        <x:v>3482 / 2026 / WESTSLOPE CUTTHROAT TROUT</x:v>
      </x:c>
    </x:row>
    <x:row r="2256" ht="23" customHeight="1">
      <x:c r="A2256" s="8" t="str">
        <x:v>Mount Lorette Ponds</x:v>
      </x:c>
      <x:c r="B2256" s="8" t="str">
        <x:v>3482</x:v>
      </x:c>
      <x:c r="C2256" s="17" t="n">
        <x:v>2025</x:v>
      </x:c>
      <x:c r="D2256" s="18" t="n">
        <x:v>45868</x:v>
      </x:c>
      <x:c r="E2256" s="8" t="str">
        <x:v>CUTTHROAT TROUT</x:v>
      </x:c>
      <x:c r="F2256" s="13" t="n">
        <x:v>600</x:v>
      </x:c>
      <x:c r="G2256" s="9" t="n">
        <x:v>17.2</x:v>
      </x:c>
      <x:c r="H2256" s="9" t="n">
        <x:v>55.1</x:v>
      </x:c>
      <x:c r="I2256" s="8" t="str">
        <x:f>B2256&amp;" / "&amp;C2256&amp;" / "&amp;E2256</x:f>
        <x:v>3482 / 2025 / CUTTHROAT TROUT</x:v>
      </x:c>
    </x:row>
    <x:row r="2257" ht="23" customHeight="1">
      <x:c r="A2257" s="8" t="str">
        <x:v>Mount Lorette Ponds</x:v>
      </x:c>
      <x:c r="B2257" s="8" t="str">
        <x:v>3482</x:v>
      </x:c>
      <x:c r="C2257" s="17" t="n">
        <x:v>2025</x:v>
      </x:c>
      <x:c r="D2257" s="18" t="n">
        <x:v>45854</x:v>
      </x:c>
      <x:c r="E2257" s="8" t="str">
        <x:v>CUTTHROAT TROUT</x:v>
      </x:c>
      <x:c r="F2257" s="13" t="n">
        <x:v>800</x:v>
      </x:c>
      <x:c r="G2257" s="9" t="n">
        <x:v>16.8</x:v>
      </x:c>
      <x:c r="H2257" s="9" t="n">
        <x:v>51</x:v>
      </x:c>
      <x:c r="I2257" s="8" t="str">
        <x:f>B2257&amp;" / "&amp;C2257&amp;" / "&amp;E2257</x:f>
        <x:v>3482 / 2025 / CUTTHROAT TROUT</x:v>
      </x:c>
    </x:row>
    <x:row r="2258" ht="23" customHeight="1">
      <x:c r="A2258" s="8" t="str">
        <x:v>Mount Lorette Ponds</x:v>
      </x:c>
      <x:c r="B2258" s="8" t="str">
        <x:v>3482</x:v>
      </x:c>
      <x:c r="C2258" s="17" t="n">
        <x:v>2025</x:v>
      </x:c>
      <x:c r="D2258" s="18" t="n">
        <x:v>45832</x:v>
      </x:c>
      <x:c r="E2258" s="8" t="str">
        <x:v>CUTTHROAT TROUT</x:v>
      </x:c>
      <x:c r="F2258" s="13" t="n">
        <x:v>800</x:v>
      </x:c>
      <x:c r="G2258" s="9" t="n">
        <x:v>15</x:v>
      </x:c>
      <x:c r="H2258" s="9" t="n">
        <x:v>36.8</x:v>
      </x:c>
      <x:c r="I2258" s="8" t="str">
        <x:f>B2258&amp;" / "&amp;C2258&amp;" / "&amp;E2258</x:f>
        <x:v>3482 / 2025 / CUTTHROAT TROUT</x:v>
      </x:c>
    </x:row>
    <x:row r="2259" ht="23" customHeight="1">
      <x:c r="A2259" s="8" t="str">
        <x:v>Mount Lorette Ponds</x:v>
      </x:c>
      <x:c r="B2259" s="8" t="str">
        <x:v>3482</x:v>
      </x:c>
      <x:c r="C2259" s="17" t="n">
        <x:v>2025</x:v>
      </x:c>
      <x:c r="D2259" s="18" t="n">
        <x:v>45832</x:v>
      </x:c>
      <x:c r="E2259" s="8" t="str">
        <x:v>CUTTHROAT TROUT</x:v>
      </x:c>
      <x:c r="F2259" s="13" t="n">
        <x:v>100</x:v>
      </x:c>
      <x:c r="G2259" s="9" t="n">
        <x:v>37.8</x:v>
      </x:c>
      <x:c r="H2259" s="9" t="n">
        <x:v>583</x:v>
      </x:c>
      <x:c r="I2259" s="8" t="str">
        <x:f>B2259&amp;" / "&amp;C2259&amp;" / "&amp;E2259</x:f>
        <x:v>3482 / 2025 / CUTTHROAT TROUT</x:v>
      </x:c>
    </x:row>
    <x:row r="2260" ht="23" customHeight="1">
      <x:c r="A2260" s="8" t="str">
        <x:v>Mount Lorette Ponds</x:v>
      </x:c>
      <x:c r="B2260" s="8" t="str">
        <x:v>3482</x:v>
      </x:c>
      <x:c r="C2260" s="17" t="n">
        <x:v>2025</x:v>
      </x:c>
      <x:c r="D2260" s="18" t="n">
        <x:v>45792</x:v>
      </x:c>
      <x:c r="E2260" s="8" t="str">
        <x:v>CUTTHROAT TROUT</x:v>
      </x:c>
      <x:c r="F2260" s="13" t="n">
        <x:v>800</x:v>
      </x:c>
      <x:c r="G2260" s="9" t="n">
        <x:v>13.2</x:v>
      </x:c>
      <x:c r="H2260" s="9" t="n">
        <x:v>24.7</x:v>
      </x:c>
      <x:c r="I2260" s="8" t="str">
        <x:f>B2260&amp;" / "&amp;C2260&amp;" / "&amp;E2260</x:f>
        <x:v>3482 / 2025 / CUTTHROAT TROUT</x:v>
      </x:c>
    </x:row>
    <x:row r="2261" ht="23" customHeight="1">
      <x:c r="A2261" s="8" t="str">
        <x:v>Mount Lorette Ponds</x:v>
      </x:c>
      <x:c r="B2261" s="8" t="str">
        <x:v>3482</x:v>
      </x:c>
      <x:c r="C2261" s="17" t="n">
        <x:v>2025</x:v>
      </x:c>
      <x:c r="D2261" s="18" t="n">
        <x:v>45868</x:v>
      </x:c>
      <x:c r="E2261" s="8" t="str">
        <x:v>RAINBOW TROUT</x:v>
      </x:c>
      <x:c r="F2261" s="13" t="n">
        <x:v>400</x:v>
      </x:c>
      <x:c r="G2261" s="9" t="n">
        <x:v>25.3</x:v>
      </x:c>
      <x:c r="H2261" s="9" t="n">
        <x:v>174</x:v>
      </x:c>
      <x:c r="I2261" s="8" t="str">
        <x:f>B2261&amp;" / "&amp;C2261&amp;" / "&amp;E2261</x:f>
        <x:v>3482 / 2025 / RAINBOW TROUT</x:v>
      </x:c>
    </x:row>
    <x:row r="2262" ht="23" customHeight="1">
      <x:c r="A2262" s="8" t="str">
        <x:v>Mount Lorette Ponds</x:v>
      </x:c>
      <x:c r="B2262" s="8" t="str">
        <x:v>3482</x:v>
      </x:c>
      <x:c r="C2262" s="17" t="n">
        <x:v>2025</x:v>
      </x:c>
      <x:c r="D2262" s="18" t="n">
        <x:v>45854</x:v>
      </x:c>
      <x:c r="E2262" s="8" t="str">
        <x:v>RAINBOW TROUT</x:v>
      </x:c>
      <x:c r="F2262" s="13" t="n">
        <x:v>400</x:v>
      </x:c>
      <x:c r="G2262" s="9" t="n">
        <x:v>25.2</x:v>
      </x:c>
      <x:c r="H2262" s="9" t="n">
        <x:v>172.4</x:v>
      </x:c>
      <x:c r="I2262" s="8" t="str">
        <x:f>B2262&amp;" / "&amp;C2262&amp;" / "&amp;E2262</x:f>
        <x:v>3482 / 2025 / RAINBOW TROUT</x:v>
      </x:c>
    </x:row>
    <x:row r="2263" ht="23" customHeight="1">
      <x:c r="A2263" s="8" t="str">
        <x:v>Mount Lorette Ponds</x:v>
      </x:c>
      <x:c r="B2263" s="8" t="str">
        <x:v>3482</x:v>
      </x:c>
      <x:c r="C2263" s="17" t="n">
        <x:v>2025</x:v>
      </x:c>
      <x:c r="D2263" s="18" t="n">
        <x:v>45832</x:v>
      </x:c>
      <x:c r="E2263" s="8" t="str">
        <x:v>RAINBOW TROUT</x:v>
      </x:c>
      <x:c r="F2263" s="13" t="n">
        <x:v>400</x:v>
      </x:c>
      <x:c r="G2263" s="9" t="n">
        <x:v>23</x:v>
      </x:c>
      <x:c r="H2263" s="9" t="n">
        <x:v>131</x:v>
      </x:c>
      <x:c r="I2263" s="8" t="str">
        <x:f>B2263&amp;" / "&amp;C2263&amp;" / "&amp;E2263</x:f>
        <x:v>3482 / 2025 / RAINBOW TROUT</x:v>
      </x:c>
    </x:row>
    <x:row r="2264" ht="23" customHeight="1">
      <x:c r="A2264" s="8" t="str">
        <x:v>Mount Lorette Ponds</x:v>
      </x:c>
      <x:c r="B2264" s="8" t="str">
        <x:v>3482</x:v>
      </x:c>
      <x:c r="C2264" s="17" t="n">
        <x:v>2025</x:v>
      </x:c>
      <x:c r="D2264" s="18" t="n">
        <x:v>45792</x:v>
      </x:c>
      <x:c r="E2264" s="8" t="str">
        <x:v>RAINBOW TROUT</x:v>
      </x:c>
      <x:c r="F2264" s="13" t="n">
        <x:v>400</x:v>
      </x:c>
      <x:c r="G2264" s="9" t="n">
        <x:v>20.1</x:v>
      </x:c>
      <x:c r="H2264" s="9" t="n">
        <x:v>87.7</x:v>
      </x:c>
      <x:c r="I2264" s="8" t="str">
        <x:f>B2264&amp;" / "&amp;C2264&amp;" / "&amp;E2264</x:f>
        <x:v>3482 / 2025 / RAINBOW TROUT</x:v>
      </x:c>
    </x:row>
    <x:row r="2265" ht="23" customHeight="1">
      <x:c r="A2265" s="8" t="str">
        <x:v>Mount Lorette Ponds</x:v>
      </x:c>
      <x:c r="B2265" s="8" t="str">
        <x:v>3482</x:v>
      </x:c>
      <x:c r="C2265" s="17" t="n">
        <x:v>2024</x:v>
      </x:c>
      <x:c r="D2265" s="18" t="n">
        <x:v>45523</x:v>
      </x:c>
      <x:c r="E2265" s="8" t="str">
        <x:v>RAINBOW TROUT</x:v>
      </x:c>
      <x:c r="F2265" s="13" t="n">
        <x:v>619</x:v>
      </x:c>
      <x:c r="G2265" s="9" t="n">
        <x:v>27.5</x:v>
      </x:c>
      <x:c r="H2265" s="9" t="n">
        <x:v>224.5</x:v>
      </x:c>
      <x:c r="I2265" s="8" t="str">
        <x:f>B2265&amp;" / "&amp;C2265&amp;" / "&amp;E2265</x:f>
        <x:v>3482 / 2024 / RAINBOW TROUT</x:v>
      </x:c>
    </x:row>
    <x:row r="2266" ht="23" customHeight="1">
      <x:c r="A2266" s="8" t="str">
        <x:v>Mount Lorette Ponds</x:v>
      </x:c>
      <x:c r="B2266" s="8" t="str">
        <x:v>3482</x:v>
      </x:c>
      <x:c r="C2266" s="17" t="n">
        <x:v>2024</x:v>
      </x:c>
      <x:c r="D2266" s="18" t="n">
        <x:v>45512</x:v>
      </x:c>
      <x:c r="E2266" s="8" t="str">
        <x:v>RAINBOW TROUT</x:v>
      </x:c>
      <x:c r="F2266" s="13" t="n">
        <x:v>650</x:v>
      </x:c>
      <x:c r="G2266" s="9" t="n">
        <x:v>25.3</x:v>
      </x:c>
      <x:c r="H2266" s="9" t="n">
        <x:v>174.4</x:v>
      </x:c>
      <x:c r="I2266" s="8" t="str">
        <x:f>B2266&amp;" / "&amp;C2266&amp;" / "&amp;E2266</x:f>
        <x:v>3482 / 2024 / RAINBOW TROUT</x:v>
      </x:c>
    </x:row>
    <x:row r="2267" ht="23" customHeight="1">
      <x:c r="A2267" s="8" t="str">
        <x:v>Mount Lorette Ponds</x:v>
      </x:c>
      <x:c r="B2267" s="8" t="str">
        <x:v>3482</x:v>
      </x:c>
      <x:c r="C2267" s="17" t="n">
        <x:v>2024</x:v>
      </x:c>
      <x:c r="D2267" s="18" t="n">
        <x:v>45496</x:v>
      </x:c>
      <x:c r="E2267" s="8" t="str">
        <x:v>RAINBOW TROUT</x:v>
      </x:c>
      <x:c r="F2267" s="13" t="n">
        <x:v>400</x:v>
      </x:c>
      <x:c r="G2267" s="9" t="n">
        <x:v>24.9</x:v>
      </x:c>
      <x:c r="H2267" s="9" t="n">
        <x:v>166.1</x:v>
      </x:c>
      <x:c r="I2267" s="8" t="str">
        <x:f>B2267&amp;" / "&amp;C2267&amp;" / "&amp;E2267</x:f>
        <x:v>3482 / 2024 / RAINBOW TROUT</x:v>
      </x:c>
    </x:row>
    <x:row r="2268" ht="23" customHeight="1">
      <x:c r="A2268" s="8" t="str">
        <x:v>Mount Lorette Ponds</x:v>
      </x:c>
      <x:c r="B2268" s="8" t="str">
        <x:v>3482</x:v>
      </x:c>
      <x:c r="C2268" s="17" t="n">
        <x:v>2024</x:v>
      </x:c>
      <x:c r="D2268" s="18" t="n">
        <x:v>45491</x:v>
      </x:c>
      <x:c r="E2268" s="8" t="str">
        <x:v>RAINBOW TROUT</x:v>
      </x:c>
      <x:c r="F2268" s="13" t="n">
        <x:v>400</x:v>
      </x:c>
      <x:c r="G2268" s="9" t="n">
        <x:v>24.9</x:v>
      </x:c>
      <x:c r="H2268" s="9" t="n">
        <x:v>166.1</x:v>
      </x:c>
      <x:c r="I2268" s="8" t="str">
        <x:f>B2268&amp;" / "&amp;C2268&amp;" / "&amp;E2268</x:f>
        <x:v>3482 / 2024 / RAINBOW TROUT</x:v>
      </x:c>
    </x:row>
    <x:row r="2269" ht="23" customHeight="1">
      <x:c r="A2269" s="8" t="str">
        <x:v>Mount Lorette Ponds</x:v>
      </x:c>
      <x:c r="B2269" s="8" t="str">
        <x:v>3482</x:v>
      </x:c>
      <x:c r="C2269" s="17" t="n">
        <x:v>2024</x:v>
      </x:c>
      <x:c r="D2269" s="18" t="n">
        <x:v>45470</x:v>
      </x:c>
      <x:c r="E2269" s="8" t="str">
        <x:v>RAINBOW TROUT</x:v>
      </x:c>
      <x:c r="F2269" s="13" t="n">
        <x:v>800</x:v>
      </x:c>
      <x:c r="G2269" s="9" t="n">
        <x:v>21.6</x:v>
      </x:c>
      <x:c r="H2269" s="9" t="n">
        <x:v>96</x:v>
      </x:c>
      <x:c r="I2269" s="8" t="str">
        <x:f>B2269&amp;" / "&amp;C2269&amp;" / "&amp;E2269</x:f>
        <x:v>3482 / 2024 / RAINBOW TROUT</x:v>
      </x:c>
    </x:row>
    <x:row r="2270" ht="23" customHeight="1">
      <x:c r="A2270" s="8" t="str">
        <x:v>Mount Lorette Ponds</x:v>
      </x:c>
      <x:c r="B2270" s="8" t="str">
        <x:v>3482</x:v>
      </x:c>
      <x:c r="C2270" s="17" t="n">
        <x:v>2024</x:v>
      </x:c>
      <x:c r="D2270" s="18" t="n">
        <x:v>45448</x:v>
      </x:c>
      <x:c r="E2270" s="8" t="str">
        <x:v>RAINBOW TROUT</x:v>
      </x:c>
      <x:c r="F2270" s="13" t="n">
        <x:v>800</x:v>
      </x:c>
      <x:c r="G2270" s="9" t="n">
        <x:v>23.1</x:v>
      </x:c>
      <x:c r="H2270" s="9" t="n">
        <x:v>132.5</x:v>
      </x:c>
      <x:c r="I2270" s="8" t="str">
        <x:f>B2270&amp;" / "&amp;C2270&amp;" / "&amp;E2270</x:f>
        <x:v>3482 / 2024 / RAINBOW TROUT</x:v>
      </x:c>
    </x:row>
    <x:row r="2271" ht="23" customHeight="1">
      <x:c r="A2271" s="8" t="str">
        <x:v>Mount Lorette Ponds</x:v>
      </x:c>
      <x:c r="B2271" s="8" t="str">
        <x:v>3482</x:v>
      </x:c>
      <x:c r="C2271" s="17" t="n">
        <x:v>2024</x:v>
      </x:c>
      <x:c r="D2271" s="18" t="n">
        <x:v>45425</x:v>
      </x:c>
      <x:c r="E2271" s="8" t="str">
        <x:v>RAINBOW TROUT</x:v>
      </x:c>
      <x:c r="F2271" s="13" t="n">
        <x:v>402</x:v>
      </x:c>
      <x:c r="G2271" s="9" t="n">
        <x:v>22.8</x:v>
      </x:c>
      <x:c r="H2271" s="9" t="n">
        <x:v>128.4</x:v>
      </x:c>
      <x:c r="I2271" s="8" t="str">
        <x:f>B2271&amp;" / "&amp;C2271&amp;" / "&amp;E2271</x:f>
        <x:v>3482 / 2024 / RAINBOW TROUT</x:v>
      </x:c>
    </x:row>
    <x:row r="2272" ht="23" customHeight="1">
      <x:c r="A2272" s="8" t="str">
        <x:v>Mount Lorette Ponds</x:v>
      </x:c>
      <x:c r="B2272" s="8" t="str">
        <x:v>3482</x:v>
      </x:c>
      <x:c r="C2272" s="17" t="n">
        <x:v>2023</x:v>
      </x:c>
      <x:c r="D2272" s="18" t="n">
        <x:v>45148</x:v>
      </x:c>
      <x:c r="E2272" s="8" t="str">
        <x:v>RAINBOW TROUT</x:v>
      </x:c>
      <x:c r="F2272" s="13" t="n">
        <x:v>800</x:v>
      </x:c>
      <x:c r="G2272" s="9" t="n">
        <x:v>23.1</x:v>
      </x:c>
      <x:c r="H2272" s="9" t="n">
        <x:v>133.1</x:v>
      </x:c>
      <x:c r="I2272" s="8" t="str">
        <x:f>B2272&amp;" / "&amp;C2272&amp;" / "&amp;E2272</x:f>
        <x:v>3482 / 2023 / RAINBOW TROUT</x:v>
      </x:c>
    </x:row>
    <x:row r="2273" ht="23" customHeight="1">
      <x:c r="A2273" s="8" t="str">
        <x:v>Mount Lorette Ponds</x:v>
      </x:c>
      <x:c r="B2273" s="8" t="str">
        <x:v>3482</x:v>
      </x:c>
      <x:c r="C2273" s="17" t="n">
        <x:v>2023</x:v>
      </x:c>
      <x:c r="D2273" s="18" t="n">
        <x:v>45132</x:v>
      </x:c>
      <x:c r="E2273" s="8" t="str">
        <x:v>RAINBOW TROUT</x:v>
      </x:c>
      <x:c r="F2273" s="13" t="n">
        <x:v>800</x:v>
      </x:c>
      <x:c r="G2273" s="9" t="n">
        <x:v>22.6</x:v>
      </x:c>
      <x:c r="H2273" s="9" t="n">
        <x:v>125.1</x:v>
      </x:c>
      <x:c r="I2273" s="8" t="str">
        <x:f>B2273&amp;" / "&amp;C2273&amp;" / "&amp;E2273</x:f>
        <x:v>3482 / 2023 / RAINBOW TROUT</x:v>
      </x:c>
    </x:row>
    <x:row r="2274" ht="23" customHeight="1">
      <x:c r="A2274" s="8" t="str">
        <x:v>Mount Lorette Ponds</x:v>
      </x:c>
      <x:c r="B2274" s="8" t="str">
        <x:v>3482</x:v>
      </x:c>
      <x:c r="C2274" s="17" t="n">
        <x:v>2023</x:v>
      </x:c>
      <x:c r="D2274" s="18" t="n">
        <x:v>45118</x:v>
      </x:c>
      <x:c r="E2274" s="8" t="str">
        <x:v>RAINBOW TROUT</x:v>
      </x:c>
      <x:c r="F2274" s="13" t="n">
        <x:v>800</x:v>
      </x:c>
      <x:c r="G2274" s="9" t="n">
        <x:v>22.3</x:v>
      </x:c>
      <x:c r="H2274" s="9" t="n">
        <x:v>199.1</x:v>
      </x:c>
      <x:c r="I2274" s="8" t="str">
        <x:f>B2274&amp;" / "&amp;C2274&amp;" / "&amp;E2274</x:f>
        <x:v>3482 / 2023 / RAINBOW TROUT</x:v>
      </x:c>
    </x:row>
    <x:row r="2275" ht="23" customHeight="1">
      <x:c r="A2275" s="8" t="str">
        <x:v>Mount Lorette Ponds</x:v>
      </x:c>
      <x:c r="B2275" s="8" t="str">
        <x:v>3482</x:v>
      </x:c>
      <x:c r="C2275" s="17" t="n">
        <x:v>2023</x:v>
      </x:c>
      <x:c r="D2275" s="18" t="n">
        <x:v>45105</x:v>
      </x:c>
      <x:c r="E2275" s="8" t="str">
        <x:v>RAINBOW TROUT</x:v>
      </x:c>
      <x:c r="F2275" s="13" t="n">
        <x:v>800</x:v>
      </x:c>
      <x:c r="G2275" s="9" t="n">
        <x:v>21.4</x:v>
      </x:c>
      <x:c r="H2275" s="9" t="n">
        <x:v>106.1</x:v>
      </x:c>
      <x:c r="I2275" s="8" t="str">
        <x:f>B2275&amp;" / "&amp;C2275&amp;" / "&amp;E2275</x:f>
        <x:v>3482 / 2023 / RAINBOW TROUT</x:v>
      </x:c>
    </x:row>
    <x:row r="2276" ht="23" customHeight="1">
      <x:c r="A2276" s="8" t="str">
        <x:v>Mount Lorette Ponds</x:v>
      </x:c>
      <x:c r="B2276" s="8" t="str">
        <x:v>3482</x:v>
      </x:c>
      <x:c r="C2276" s="17" t="n">
        <x:v>2023</x:v>
      </x:c>
      <x:c r="D2276" s="18" t="n">
        <x:v>45088</x:v>
      </x:c>
      <x:c r="E2276" s="8" t="str">
        <x:v>RAINBOW TROUT</x:v>
      </x:c>
      <x:c r="F2276" s="13" t="n">
        <x:v>800</x:v>
      </x:c>
      <x:c r="G2276" s="9" t="n">
        <x:v>21.3</x:v>
      </x:c>
      <x:c r="H2276" s="9" t="n">
        <x:v>105</x:v>
      </x:c>
      <x:c r="I2276" s="8" t="str">
        <x:f>B2276&amp;" / "&amp;C2276&amp;" / "&amp;E2276</x:f>
        <x:v>3482 / 2023 / RAINBOW TROUT</x:v>
      </x:c>
    </x:row>
    <x:row r="2277" ht="23" customHeight="1">
      <x:c r="A2277" s="8" t="str">
        <x:v>Mount Lorette Ponds</x:v>
      </x:c>
      <x:c r="B2277" s="8" t="str">
        <x:v>3482</x:v>
      </x:c>
      <x:c r="C2277" s="17" t="n">
        <x:v>2023</x:v>
      </x:c>
      <x:c r="D2277" s="18" t="n">
        <x:v>45064</x:v>
      </x:c>
      <x:c r="E2277" s="8" t="str">
        <x:v>RAINBOW TROUT</x:v>
      </x:c>
      <x:c r="F2277" s="13" t="n">
        <x:v>402</x:v>
      </x:c>
      <x:c r="G2277" s="9" t="n">
        <x:v>21.8</x:v>
      </x:c>
      <x:c r="H2277" s="9" t="n">
        <x:v>112</x:v>
      </x:c>
      <x:c r="I2277" s="8" t="str">
        <x:f>B2277&amp;" / "&amp;C2277&amp;" / "&amp;E2277</x:f>
        <x:v>3482 / 2023 / RAINBOW TROUT</x:v>
      </x:c>
    </x:row>
    <x:row r="2278" ht="23" customHeight="1">
      <x:c r="A2278" s="8" t="str">
        <x:v>Mount Lorette Ponds</x:v>
      </x:c>
      <x:c r="B2278" s="8" t="str">
        <x:v>3482</x:v>
      </x:c>
      <x:c r="C2278" s="17" t="n">
        <x:v>2022</x:v>
      </x:c>
      <x:c r="D2278" s="18" t="n">
        <x:v>44748</x:v>
      </x:c>
      <x:c r="E2278" s="8" t="str">
        <x:v>RAINBOW TROUT</x:v>
      </x:c>
      <x:c r="F2278" s="13" t="n">
        <x:v>1600</x:v>
      </x:c>
      <x:c r="G2278" s="9" t="n">
        <x:v>23.7</x:v>
      </x:c>
      <x:c r="H2278" s="9" t="n">
        <x:v>150</x:v>
      </x:c>
      <x:c r="I2278" s="8" t="str">
        <x:f>B2278&amp;" / "&amp;C2278&amp;" / "&amp;E2278</x:f>
        <x:v>3482 / 2022 / RAINBOW TROUT</x:v>
      </x:c>
    </x:row>
    <x:row r="2279" ht="23" customHeight="1">
      <x:c r="A2279" s="8" t="str">
        <x:v>Mount Lorette Ponds</x:v>
      </x:c>
      <x:c r="B2279" s="8" t="str">
        <x:v>3482</x:v>
      </x:c>
      <x:c r="C2279" s="17" t="n">
        <x:v>2022</x:v>
      </x:c>
      <x:c r="D2279" s="18" t="n">
        <x:v>44732</x:v>
      </x:c>
      <x:c r="E2279" s="8" t="str">
        <x:v>RAINBOW TROUT</x:v>
      </x:c>
      <x:c r="F2279" s="13" t="n">
        <x:v>800</x:v>
      </x:c>
      <x:c r="G2279" s="9" t="n">
        <x:v>22.8</x:v>
      </x:c>
      <x:c r="H2279" s="9" t="n">
        <x:v>129</x:v>
      </x:c>
      <x:c r="I2279" s="8" t="str">
        <x:f>B2279&amp;" / "&amp;C2279&amp;" / "&amp;E2279</x:f>
        <x:v>3482 / 2022 / RAINBOW TROUT</x:v>
      </x:c>
    </x:row>
    <x:row r="2280" ht="23" customHeight="1">
      <x:c r="A2280" s="8" t="str">
        <x:v>Mount Lorette Ponds</x:v>
      </x:c>
      <x:c r="B2280" s="8" t="str">
        <x:v>3482</x:v>
      </x:c>
      <x:c r="C2280" s="17" t="n">
        <x:v>2022</x:v>
      </x:c>
      <x:c r="D2280" s="18" t="n">
        <x:v>44713</x:v>
      </x:c>
      <x:c r="E2280" s="8" t="str">
        <x:v>RAINBOW TROUT</x:v>
      </x:c>
      <x:c r="F2280" s="13" t="n">
        <x:v>800</x:v>
      </x:c>
      <x:c r="G2280" s="9" t="n">
        <x:v>21.6</x:v>
      </x:c>
      <x:c r="H2280" s="9" t="n">
        <x:v>109.3</x:v>
      </x:c>
      <x:c r="I2280" s="8" t="str">
        <x:f>B2280&amp;" / "&amp;C2280&amp;" / "&amp;E2280</x:f>
        <x:v>3482 / 2022 / RAINBOW TROUT</x:v>
      </x:c>
    </x:row>
    <x:row r="2281" ht="23" customHeight="1">
      <x:c r="A2281" s="8" t="str">
        <x:v>Mount Lorette Ponds</x:v>
      </x:c>
      <x:c r="B2281" s="8" t="str">
        <x:v>3482</x:v>
      </x:c>
      <x:c r="C2281" s="17" t="n">
        <x:v>2022</x:v>
      </x:c>
      <x:c r="D2281" s="18" t="n">
        <x:v>44693</x:v>
      </x:c>
      <x:c r="E2281" s="8" t="str">
        <x:v>RAINBOW TROUT</x:v>
      </x:c>
      <x:c r="F2281" s="13" t="n">
        <x:v>800</x:v>
      </x:c>
      <x:c r="G2281" s="9" t="n">
        <x:v>21.5</x:v>
      </x:c>
      <x:c r="H2281" s="9" t="n">
        <x:v>108.1</x:v>
      </x:c>
      <x:c r="I2281" s="8" t="str">
        <x:f>B2281&amp;" / "&amp;C2281&amp;" / "&amp;E2281</x:f>
        <x:v>3482 / 2022 / RAINBOW TROUT</x:v>
      </x:c>
    </x:row>
    <x:row r="2282" ht="23" customHeight="1">
      <x:c r="A2282" s="8" t="str">
        <x:v>Mount Lorette Ponds</x:v>
      </x:c>
      <x:c r="B2282" s="8" t="str">
        <x:v>3482</x:v>
      </x:c>
      <x:c r="C2282" s="17" t="n">
        <x:v>2021</x:v>
      </x:c>
      <x:c r="D2282" s="18" t="n">
        <x:v>44426</x:v>
      </x:c>
      <x:c r="E2282" s="8" t="str">
        <x:v>RAINBOW TROUT</x:v>
      </x:c>
      <x:c r="F2282" s="13" t="n">
        <x:v>800</x:v>
      </x:c>
      <x:c r="G2282" s="9" t="n">
        <x:v>26.6</x:v>
      </x:c>
      <x:c r="H2282" s="9" t="n">
        <x:v>185.2</x:v>
      </x:c>
      <x:c r="I2282" s="8" t="str">
        <x:f>B2282&amp;" / "&amp;C2282&amp;" / "&amp;E2282</x:f>
        <x:v>3482 / 2021 / RAINBOW TROUT</x:v>
      </x:c>
    </x:row>
    <x:row r="2283" ht="23" customHeight="1">
      <x:c r="A2283" s="8" t="str">
        <x:v>Mount Lorette Ponds</x:v>
      </x:c>
      <x:c r="B2283" s="8" t="str">
        <x:v>3482</x:v>
      </x:c>
      <x:c r="C2283" s="17" t="n">
        <x:v>2021</x:v>
      </x:c>
      <x:c r="D2283" s="18" t="n">
        <x:v>44382</x:v>
      </x:c>
      <x:c r="E2283" s="8" t="str">
        <x:v>RAINBOW TROUT</x:v>
      </x:c>
      <x:c r="F2283" s="13" t="n">
        <x:v>800</x:v>
      </x:c>
      <x:c r="G2283" s="9" t="n">
        <x:v>24.4</x:v>
      </x:c>
      <x:c r="H2283" s="9" t="n">
        <x:v>161.7</x:v>
      </x:c>
      <x:c r="I2283" s="8" t="str">
        <x:f>B2283&amp;" / "&amp;C2283&amp;" / "&amp;E2283</x:f>
        <x:v>3482 / 2021 / RAINBOW TROUT</x:v>
      </x:c>
    </x:row>
    <x:row r="2284" ht="23" customHeight="1">
      <x:c r="A2284" s="8" t="str">
        <x:v>Mount Lorette Ponds</x:v>
      </x:c>
      <x:c r="B2284" s="8" t="str">
        <x:v>3482</x:v>
      </x:c>
      <x:c r="C2284" s="17" t="n">
        <x:v>2021</x:v>
      </x:c>
      <x:c r="D2284" s="18" t="n">
        <x:v>44368</x:v>
      </x:c>
      <x:c r="E2284" s="8" t="str">
        <x:v>RAINBOW TROUT</x:v>
      </x:c>
      <x:c r="F2284" s="13" t="n">
        <x:v>800</x:v>
      </x:c>
      <x:c r="G2284" s="9" t="n">
        <x:v>23.3</x:v>
      </x:c>
      <x:c r="H2284" s="9" t="n">
        <x:v>140</x:v>
      </x:c>
      <x:c r="I2284" s="8" t="str">
        <x:f>B2284&amp;" / "&amp;C2284&amp;" / "&amp;E2284</x:f>
        <x:v>3482 / 2021 / RAINBOW TROUT</x:v>
      </x:c>
    </x:row>
    <x:row r="2285" ht="23" customHeight="1">
      <x:c r="A2285" s="8" t="str">
        <x:v>Mount Lorette Ponds</x:v>
      </x:c>
      <x:c r="B2285" s="8" t="str">
        <x:v>3482</x:v>
      </x:c>
      <x:c r="C2285" s="17" t="n">
        <x:v>2021</x:v>
      </x:c>
      <x:c r="D2285" s="18" t="n">
        <x:v>44350</x:v>
      </x:c>
      <x:c r="E2285" s="8" t="str">
        <x:v>RAINBOW TROUT</x:v>
      </x:c>
      <x:c r="F2285" s="13" t="n">
        <x:v>800</x:v>
      </x:c>
      <x:c r="G2285" s="9" t="n">
        <x:v>22.2</x:v>
      </x:c>
      <x:c r="H2285" s="9" t="n">
        <x:v>121.4</x:v>
      </x:c>
      <x:c r="I2285" s="8" t="str">
        <x:f>B2285&amp;" / "&amp;C2285&amp;" / "&amp;E2285</x:f>
        <x:v>3482 / 2021 / RAINBOW TROUT</x:v>
      </x:c>
    </x:row>
    <x:row r="2286" ht="23" customHeight="1">
      <x:c r="A2286" s="8" t="str">
        <x:v>Mount Lorette Ponds</x:v>
      </x:c>
      <x:c r="B2286" s="8" t="str">
        <x:v>3482</x:v>
      </x:c>
      <x:c r="C2286" s="17" t="n">
        <x:v>2021</x:v>
      </x:c>
      <x:c r="D2286" s="18" t="n">
        <x:v>44328</x:v>
      </x:c>
      <x:c r="E2286" s="8" t="str">
        <x:v>RAINBOW TROUT</x:v>
      </x:c>
      <x:c r="F2286" s="13" t="n">
        <x:v>800</x:v>
      </x:c>
      <x:c r="G2286" s="9" t="n">
        <x:v>22.6</x:v>
      </x:c>
      <x:c r="H2286" s="9" t="n">
        <x:v>127.5</x:v>
      </x:c>
      <x:c r="I2286" s="8" t="str">
        <x:f>B2286&amp;" / "&amp;C2286&amp;" / "&amp;E2286</x:f>
        <x:v>3482 / 2021 / RAINBOW TROUT</x:v>
      </x:c>
    </x:row>
    <x:row r="2287" ht="23" customHeight="1">
      <x:c r="A2287" s="8" t="str">
        <x:v>Muir Lake</x:v>
      </x:c>
      <x:c r="B2287" s="8" t="str">
        <x:v>5387</x:v>
      </x:c>
      <x:c r="C2287" s="17" t="n">
        <x:v>2026</x:v>
      </x:c>
      <x:c r="D2287" s="18" t="n">
        <x:v>46148</x:v>
      </x:c>
      <x:c r="E2287" s="8" t="str">
        <x:v>BROWN TROUT</x:v>
      </x:c>
      <x:c r="F2287" s="13" t="n">
        <x:v>500</x:v>
      </x:c>
      <x:c r="G2287" s="9" t="n">
        <x:v>18.1</x:v>
      </x:c>
      <x:c r="H2287" s="9" t="n">
        <x:v>64</x:v>
      </x:c>
      <x:c r="I2287" s="8" t="str">
        <x:f>B2287&amp;" / "&amp;C2287&amp;" / "&amp;E2287</x:f>
        <x:v>5387 / 2026 / BROWN TROUT</x:v>
      </x:c>
    </x:row>
    <x:row r="2288" ht="23" customHeight="1">
      <x:c r="A2288" s="8" t="str">
        <x:v>Muir Lake</x:v>
      </x:c>
      <x:c r="B2288" s="8" t="str">
        <x:v>5387</x:v>
      </x:c>
      <x:c r="C2288" s="17" t="n">
        <x:v>2026</x:v>
      </x:c>
      <x:c r="D2288" s="18" t="n">
        <x:v>46148</x:v>
      </x:c>
      <x:c r="E2288" s="8" t="str">
        <x:v>RAINBOW TROUT</x:v>
      </x:c>
      <x:c r="F2288" s="13" t="n">
        <x:v>1500</x:v>
      </x:c>
      <x:c r="G2288" s="9" t="n">
        <x:v>20.6</x:v>
      </x:c>
      <x:c r="H2288" s="9" t="n">
        <x:v>94.5</x:v>
      </x:c>
      <x:c r="I2288" s="8" t="str">
        <x:f>B2288&amp;" / "&amp;C2288&amp;" / "&amp;E2288</x:f>
        <x:v>5387 / 2026 / RAINBOW TROUT</x:v>
      </x:c>
    </x:row>
    <x:row r="2289" ht="23" customHeight="1">
      <x:c r="A2289" s="8" t="str">
        <x:v>Muir Lake</x:v>
      </x:c>
      <x:c r="B2289" s="8" t="str">
        <x:v>5387</x:v>
      </x:c>
      <x:c r="C2289" s="17" t="n">
        <x:v>2026</x:v>
      </x:c>
      <x:c r="D2289" s="18" t="n">
        <x:v>46148</x:v>
      </x:c>
      <x:c r="E2289" s="8" t="str">
        <x:v>RAINBOW TROUT</x:v>
      </x:c>
      <x:c r="F2289" s="13" t="n">
        <x:v>1500</x:v>
      </x:c>
      <x:c r="G2289" s="9" t="n">
        <x:v>24.2</x:v>
      </x:c>
      <x:c r="H2289" s="9" t="n">
        <x:v>152.3</x:v>
      </x:c>
      <x:c r="I2289" s="8" t="str">
        <x:f>B2289&amp;" / "&amp;C2289&amp;" / "&amp;E2289</x:f>
        <x:v>5387 / 2026 / RAINBOW TROUT</x:v>
      </x:c>
    </x:row>
    <x:row r="2290" ht="23" customHeight="1">
      <x:c r="A2290" s="8" t="str">
        <x:v>Muir Lake</x:v>
      </x:c>
      <x:c r="B2290" s="8" t="str">
        <x:v>5387</x:v>
      </x:c>
      <x:c r="C2290" s="17" t="n">
        <x:v>2025</x:v>
      </x:c>
      <x:c r="D2290" s="18" t="n">
        <x:v>45777</x:v>
      </x:c>
      <x:c r="E2290" s="8" t="str">
        <x:v>BROWN TROUT</x:v>
      </x:c>
      <x:c r="F2290" s="13" t="n">
        <x:v>500</x:v>
      </x:c>
      <x:c r="G2290" s="9" t="n">
        <x:v>18.9</x:v>
      </x:c>
      <x:c r="H2290" s="9" t="n">
        <x:v>72.4</x:v>
      </x:c>
      <x:c r="I2290" s="8" t="str">
        <x:f>B2290&amp;" / "&amp;C2290&amp;" / "&amp;E2290</x:f>
        <x:v>5387 / 2025 / BROWN TROUT</x:v>
      </x:c>
    </x:row>
    <x:row r="2291" ht="23" customHeight="1">
      <x:c r="A2291" s="8" t="str">
        <x:v>Muir Lake</x:v>
      </x:c>
      <x:c r="B2291" s="8" t="str">
        <x:v>5387</x:v>
      </x:c>
      <x:c r="C2291" s="17" t="n">
        <x:v>2025</x:v>
      </x:c>
      <x:c r="D2291" s="18" t="n">
        <x:v>45777</x:v>
      </x:c>
      <x:c r="E2291" s="8" t="str">
        <x:v>RAINBOW TROUT</x:v>
      </x:c>
      <x:c r="F2291" s="13" t="n">
        <x:v>1500</x:v>
      </x:c>
      <x:c r="G2291" s="9" t="n">
        <x:v>20</x:v>
      </x:c>
      <x:c r="H2291" s="9" t="n">
        <x:v>86.5</x:v>
      </x:c>
      <x:c r="I2291" s="8" t="str">
        <x:f>B2291&amp;" / "&amp;C2291&amp;" / "&amp;E2291</x:f>
        <x:v>5387 / 2025 / RAINBOW TROUT</x:v>
      </x:c>
    </x:row>
    <x:row r="2292" ht="23" customHeight="1">
      <x:c r="A2292" s="8" t="str">
        <x:v>Muir Lake</x:v>
      </x:c>
      <x:c r="B2292" s="8" t="str">
        <x:v>5387</x:v>
      </x:c>
      <x:c r="C2292" s="17" t="n">
        <x:v>2025</x:v>
      </x:c>
      <x:c r="D2292" s="18" t="n">
        <x:v>45777</x:v>
      </x:c>
      <x:c r="E2292" s="8" t="str">
        <x:v>RAINBOW TROUT</x:v>
      </x:c>
      <x:c r="F2292" s="13" t="n">
        <x:v>1500</x:v>
      </x:c>
      <x:c r="G2292" s="9" t="n">
        <x:v>23.1</x:v>
      </x:c>
      <x:c r="H2292" s="9" t="n">
        <x:v>132.7</x:v>
      </x:c>
      <x:c r="I2292" s="8" t="str">
        <x:f>B2292&amp;" / "&amp;C2292&amp;" / "&amp;E2292</x:f>
        <x:v>5387 / 2025 / RAINBOW TROUT</x:v>
      </x:c>
    </x:row>
    <x:row r="2293" ht="23" customHeight="1">
      <x:c r="A2293" s="8" t="str">
        <x:v>Muir Lake</x:v>
      </x:c>
      <x:c r="B2293" s="8" t="str">
        <x:v>5387</x:v>
      </x:c>
      <x:c r="C2293" s="17" t="n">
        <x:v>2024</x:v>
      </x:c>
      <x:c r="D2293" s="18" t="n">
        <x:v>45413</x:v>
      </x:c>
      <x:c r="E2293" s="8" t="str">
        <x:v>BROWN TROUT</x:v>
      </x:c>
      <x:c r="F2293" s="13" t="n">
        <x:v>500</x:v>
      </x:c>
      <x:c r="G2293" s="9" t="n">
        <x:v>20.1</x:v>
      </x:c>
      <x:c r="H2293" s="9" t="n">
        <x:v>88</x:v>
      </x:c>
      <x:c r="I2293" s="8" t="str">
        <x:f>B2293&amp;" / "&amp;C2293&amp;" / "&amp;E2293</x:f>
        <x:v>5387 / 2024 / BROWN TROUT</x:v>
      </x:c>
    </x:row>
    <x:row r="2294" ht="23" customHeight="1">
      <x:c r="A2294" s="8" t="str">
        <x:v>Muir Lake</x:v>
      </x:c>
      <x:c r="B2294" s="8" t="str">
        <x:v>5387</x:v>
      </x:c>
      <x:c r="C2294" s="17" t="n">
        <x:v>2024</x:v>
      </x:c>
      <x:c r="D2294" s="18" t="n">
        <x:v>45413</x:v>
      </x:c>
      <x:c r="E2294" s="8" t="str">
        <x:v>RAINBOW TROUT</x:v>
      </x:c>
      <x:c r="F2294" s="13" t="n">
        <x:v>1506</x:v>
      </x:c>
      <x:c r="G2294" s="9" t="n">
        <x:v>22.8</x:v>
      </x:c>
      <x:c r="H2294" s="9" t="n">
        <x:v>128.2</x:v>
      </x:c>
      <x:c r="I2294" s="8" t="str">
        <x:f>B2294&amp;" / "&amp;C2294&amp;" / "&amp;E2294</x:f>
        <x:v>5387 / 2024 / RAINBOW TROUT</x:v>
      </x:c>
    </x:row>
    <x:row r="2295" ht="23" customHeight="1">
      <x:c r="A2295" s="8" t="str">
        <x:v>Muir Lake</x:v>
      </x:c>
      <x:c r="B2295" s="8" t="str">
        <x:v>5387</x:v>
      </x:c>
      <x:c r="C2295" s="17" t="n">
        <x:v>2023</x:v>
      </x:c>
      <x:c r="D2295" s="18" t="n">
        <x:v>45056</x:v>
      </x:c>
      <x:c r="E2295" s="8" t="str">
        <x:v>BROWN TROUT</x:v>
      </x:c>
      <x:c r="F2295" s="13" t="n">
        <x:v>500</x:v>
      </x:c>
      <x:c r="G2295" s="9" t="n">
        <x:v>18.2</x:v>
      </x:c>
      <x:c r="H2295" s="9" t="n">
        <x:v>66.4</x:v>
      </x:c>
      <x:c r="I2295" s="8" t="str">
        <x:f>B2295&amp;" / "&amp;C2295&amp;" / "&amp;E2295</x:f>
        <x:v>5387 / 2023 / BROWN TROUT</x:v>
      </x:c>
    </x:row>
    <x:row r="2296" ht="23" customHeight="1">
      <x:c r="A2296" s="8" t="str">
        <x:v>Muir Lake</x:v>
      </x:c>
      <x:c r="B2296" s="8" t="str">
        <x:v>5387</x:v>
      </x:c>
      <x:c r="C2296" s="17" t="n">
        <x:v>2023</x:v>
      </x:c>
      <x:c r="D2296" s="18" t="n">
        <x:v>45056</x:v>
      </x:c>
      <x:c r="E2296" s="8" t="str">
        <x:v>RAINBOW TROUT</x:v>
      </x:c>
      <x:c r="F2296" s="13" t="n">
        <x:v>1506</x:v>
      </x:c>
      <x:c r="G2296" s="9" t="n">
        <x:v>19.9</x:v>
      </x:c>
      <x:c r="H2296" s="9" t="n">
        <x:v>87.7</x:v>
      </x:c>
      <x:c r="I2296" s="8" t="str">
        <x:f>B2296&amp;" / "&amp;C2296&amp;" / "&amp;E2296</x:f>
        <x:v>5387 / 2023 / RAINBOW TROUT</x:v>
      </x:c>
    </x:row>
    <x:row r="2297" ht="23" customHeight="1">
      <x:c r="A2297" s="8" t="str">
        <x:v>Muir Lake</x:v>
      </x:c>
      <x:c r="B2297" s="8" t="str">
        <x:v>5387</x:v>
      </x:c>
      <x:c r="C2297" s="17" t="n">
        <x:v>2022</x:v>
      </x:c>
      <x:c r="D2297" s="18" t="n">
        <x:v>44687</x:v>
      </x:c>
      <x:c r="E2297" s="8" t="str">
        <x:v>BROWN TROUT</x:v>
      </x:c>
      <x:c r="F2297" s="13" t="n">
        <x:v>500</x:v>
      </x:c>
      <x:c r="G2297" s="9" t="n">
        <x:v>18.8</x:v>
      </x:c>
      <x:c r="H2297" s="9" t="n">
        <x:v>73</x:v>
      </x:c>
      <x:c r="I2297" s="8" t="str">
        <x:f>B2297&amp;" / "&amp;C2297&amp;" / "&amp;E2297</x:f>
        <x:v>5387 / 2022 / BROWN TROUT</x:v>
      </x:c>
    </x:row>
    <x:row r="2298" ht="23" customHeight="1">
      <x:c r="A2298" s="8" t="str">
        <x:v>Muir Lake</x:v>
      </x:c>
      <x:c r="B2298" s="8" t="str">
        <x:v>5387</x:v>
      </x:c>
      <x:c r="C2298" s="17" t="n">
        <x:v>2022</x:v>
      </x:c>
      <x:c r="D2298" s="18" t="n">
        <x:v>44824</x:v>
      </x:c>
      <x:c r="E2298" s="8" t="str">
        <x:v>RAINBOW TROUT</x:v>
      </x:c>
      <x:c r="F2298" s="13" t="n">
        <x:v>1000</x:v>
      </x:c>
      <x:c r="G2298" s="9" t="n">
        <x:v>27.8</x:v>
      </x:c>
      <x:c r="H2298" s="9" t="n">
        <x:v>237.6</x:v>
      </x:c>
      <x:c r="I2298" s="8" t="str">
        <x:f>B2298&amp;" / "&amp;C2298&amp;" / "&amp;E2298</x:f>
        <x:v>5387 / 2022 / RAINBOW TROUT</x:v>
      </x:c>
    </x:row>
    <x:row r="2299" ht="23" customHeight="1">
      <x:c r="A2299" s="8" t="str">
        <x:v>Muir Lake</x:v>
      </x:c>
      <x:c r="B2299" s="8" t="str">
        <x:v>5387</x:v>
      </x:c>
      <x:c r="C2299" s="17" t="n">
        <x:v>2022</x:v>
      </x:c>
      <x:c r="D2299" s="18" t="n">
        <x:v>44687</x:v>
      </x:c>
      <x:c r="E2299" s="8" t="str">
        <x:v>RAINBOW TROUT</x:v>
      </x:c>
      <x:c r="F2299" s="13" t="n">
        <x:v>3000</x:v>
      </x:c>
      <x:c r="G2299" s="9" t="n">
        <x:v>20.7</x:v>
      </x:c>
      <x:c r="H2299" s="9" t="n">
        <x:v>100.1</x:v>
      </x:c>
      <x:c r="I2299" s="8" t="str">
        <x:f>B2299&amp;" / "&amp;C2299&amp;" / "&amp;E2299</x:f>
        <x:v>5387 / 2022 / RAINBOW TROUT</x:v>
      </x:c>
    </x:row>
    <x:row r="2300" ht="23" customHeight="1">
      <x:c r="A2300" s="8" t="str">
        <x:v>Muir Lake</x:v>
      </x:c>
      <x:c r="B2300" s="8" t="str">
        <x:v>5387</x:v>
      </x:c>
      <x:c r="C2300" s="17" t="n">
        <x:v>2021</x:v>
      </x:c>
      <x:c r="D2300" s="18" t="n">
        <x:v>44469</x:v>
      </x:c>
      <x:c r="E2300" s="8" t="str">
        <x:v>BROWN TROUT</x:v>
      </x:c>
      <x:c r="F2300" s="13" t="n">
        <x:v>300</x:v>
      </x:c>
      <x:c r="G2300" s="9" t="n">
        <x:v>22</x:v>
      </x:c>
      <x:c r="H2300" s="9" t="n">
        <x:v>117</x:v>
      </x:c>
      <x:c r="I2300" s="8" t="str">
        <x:f>B2300&amp;" / "&amp;C2300&amp;" / "&amp;E2300</x:f>
        <x:v>5387 / 2021 / BROWN TROUT</x:v>
      </x:c>
    </x:row>
    <x:row r="2301" ht="23" customHeight="1">
      <x:c r="A2301" s="8" t="str">
        <x:v>Muir Lake</x:v>
      </x:c>
      <x:c r="B2301" s="8" t="str">
        <x:v>5387</x:v>
      </x:c>
      <x:c r="C2301" s="17" t="n">
        <x:v>2021</x:v>
      </x:c>
      <x:c r="D2301" s="18" t="n">
        <x:v>44318</x:v>
      </x:c>
      <x:c r="E2301" s="8" t="str">
        <x:v>BROWN TROUT</x:v>
      </x:c>
      <x:c r="F2301" s="13" t="n">
        <x:v>500</x:v>
      </x:c>
      <x:c r="G2301" s="9" t="n">
        <x:v>17</x:v>
      </x:c>
      <x:c r="H2301" s="9" t="n">
        <x:v>54.3</x:v>
      </x:c>
      <x:c r="I2301" s="8" t="str">
        <x:f>B2301&amp;" / "&amp;C2301&amp;" / "&amp;E2301</x:f>
        <x:v>5387 / 2021 / BROWN TROUT</x:v>
      </x:c>
    </x:row>
    <x:row r="2302" ht="23" customHeight="1">
      <x:c r="A2302" s="8" t="str">
        <x:v>Muir Lake</x:v>
      </x:c>
      <x:c r="B2302" s="8" t="str">
        <x:v>5387</x:v>
      </x:c>
      <x:c r="C2302" s="17" t="n">
        <x:v>2021</x:v>
      </x:c>
      <x:c r="D2302" s="18" t="n">
        <x:v>44469</x:v>
      </x:c>
      <x:c r="E2302" s="8" t="str">
        <x:v>RAINBOW TROUT</x:v>
      </x:c>
      <x:c r="F2302" s="13" t="n">
        <x:v>100</x:v>
      </x:c>
      <x:c r="G2302" s="9" t="n">
        <x:v>39.3</x:v>
      </x:c>
      <x:c r="H2302" s="9" t="n">
        <x:v>673</x:v>
      </x:c>
      <x:c r="I2302" s="8" t="str">
        <x:f>B2302&amp;" / "&amp;C2302&amp;" / "&amp;E2302</x:f>
        <x:v>5387 / 2021 / RAINBOW TROUT</x:v>
      </x:c>
    </x:row>
    <x:row r="2303" ht="23" customHeight="1">
      <x:c r="A2303" s="8" t="str">
        <x:v>Muir Lake</x:v>
      </x:c>
      <x:c r="B2303" s="8" t="str">
        <x:v>5387</x:v>
      </x:c>
      <x:c r="C2303" s="17" t="n">
        <x:v>2021</x:v>
      </x:c>
      <x:c r="D2303" s="18" t="n">
        <x:v>44469</x:v>
      </x:c>
      <x:c r="E2303" s="8" t="str">
        <x:v>RAINBOW TROUT</x:v>
      </x:c>
      <x:c r="F2303" s="13" t="n">
        <x:v>1000</x:v>
      </x:c>
      <x:c r="G2303" s="9" t="n">
        <x:v>24.6</x:v>
      </x:c>
      <x:c r="H2303" s="9" t="n">
        <x:v>156.7</x:v>
      </x:c>
      <x:c r="I2303" s="8" t="str">
        <x:f>B2303&amp;" / "&amp;C2303&amp;" / "&amp;E2303</x:f>
        <x:v>5387 / 2021 / RAINBOW TROUT</x:v>
      </x:c>
    </x:row>
    <x:row r="2304" ht="23" customHeight="1">
      <x:c r="A2304" s="8" t="str">
        <x:v>Muir Lake</x:v>
      </x:c>
      <x:c r="B2304" s="8" t="str">
        <x:v>5387</x:v>
      </x:c>
      <x:c r="C2304" s="17" t="n">
        <x:v>2021</x:v>
      </x:c>
      <x:c r="D2304" s="18" t="n">
        <x:v>44318</x:v>
      </x:c>
      <x:c r="E2304" s="8" t="str">
        <x:v>RAINBOW TROUT</x:v>
      </x:c>
      <x:c r="F2304" s="13" t="n">
        <x:v>3000</x:v>
      </x:c>
      <x:c r="G2304" s="9" t="n">
        <x:v>21.2</x:v>
      </x:c>
      <x:c r="H2304" s="9" t="n">
        <x:v>106.2</x:v>
      </x:c>
      <x:c r="I2304" s="8" t="str">
        <x:f>B2304&amp;" / "&amp;C2304&amp;" / "&amp;E2304</x:f>
        <x:v>5387 / 2021 / RAINBOW TROUT</x:v>
      </x:c>
    </x:row>
    <x:row r="2305" ht="23" customHeight="1">
      <x:c r="A2305" s="8" t="str">
        <x:v>Muskiki Lake</x:v>
      </x:c>
      <x:c r="B2305" s="8" t="str">
        <x:v>5407</x:v>
      </x:c>
      <x:c r="C2305" s="17" t="n">
        <x:v>2026</x:v>
      </x:c>
      <x:c r="D2305" s="18" t="n">
        <x:v>46190</x:v>
      </x:c>
      <x:c r="E2305" s="8" t="str">
        <x:v>WESTSLOPE CUTTHROAT TROUT</x:v>
      </x:c>
      <x:c r="F2305" s="13" t="n">
        <x:v>89</x:v>
      </x:c>
      <x:c r="G2305" s="9" t="n">
        <x:v>12.6</x:v>
      </x:c>
      <x:c r="H2305" s="9" t="n">
        <x:v>21.9</x:v>
      </x:c>
      <x:c r="I2305" s="8" t="str">
        <x:f>B2305&amp;" / "&amp;C2305&amp;" / "&amp;E2305</x:f>
        <x:v>5407 / 2026 / WESTSLOPE CUTTHROAT TROUT</x:v>
      </x:c>
    </x:row>
    <x:row r="2306" ht="23" customHeight="1">
      <x:c r="A2306" s="8" t="str">
        <x:v>Muskiki Lake</x:v>
      </x:c>
      <x:c r="B2306" s="8" t="str">
        <x:v>5407</x:v>
      </x:c>
      <x:c r="C2306" s="17" t="n">
        <x:v>2026</x:v>
      </x:c>
      <x:c r="D2306" s="18" t="n">
        <x:v>46169</x:v>
      </x:c>
      <x:c r="E2306" s="8" t="str">
        <x:v>WESTSLOPE CUTTHROAT TROUT</x:v>
      </x:c>
      <x:c r="F2306" s="13" t="n">
        <x:v>1500</x:v>
      </x:c>
      <x:c r="G2306" s="9" t="n">
        <x:v>15.4</x:v>
      </x:c>
      <x:c r="H2306" s="9" t="n">
        <x:v>39.5</x:v>
      </x:c>
      <x:c r="I2306" s="8" t="str">
        <x:f>B2306&amp;" / "&amp;C2306&amp;" / "&amp;E2306</x:f>
        <x:v>5407 / 2026 / WESTSLOPE CUTTHROAT TROUT</x:v>
      </x:c>
    </x:row>
    <x:row r="2307" ht="23" customHeight="1">
      <x:c r="A2307" s="8" t="str">
        <x:v>Muskiki Lake</x:v>
      </x:c>
      <x:c r="B2307" s="8" t="str">
        <x:v>5407</x:v>
      </x:c>
      <x:c r="C2307" s="17" t="n">
        <x:v>2025</x:v>
      </x:c>
      <x:c r="D2307" s="18" t="n">
        <x:v>45916</x:v>
      </x:c>
      <x:c r="E2307" s="8" t="str">
        <x:v>CUTTHROAT TROUT</x:v>
      </x:c>
      <x:c r="F2307" s="13" t="n">
        <x:v>2000</x:v>
      </x:c>
      <x:c r="G2307" s="9" t="n">
        <x:v>19.2</x:v>
      </x:c>
      <x:c r="H2307" s="9" t="n">
        <x:v>77</x:v>
      </x:c>
      <x:c r="I2307" s="8" t="str">
        <x:f>B2307&amp;" / "&amp;C2307&amp;" / "&amp;E2307</x:f>
        <x:v>5407 / 2025 / CUTTHROAT TROUT</x:v>
      </x:c>
    </x:row>
    <x:row r="2308" ht="23" customHeight="1">
      <x:c r="A2308" s="8" t="str">
        <x:v>Muskiki Lake</x:v>
      </x:c>
      <x:c r="B2308" s="8" t="str">
        <x:v>5407</x:v>
      </x:c>
      <x:c r="C2308" s="17" t="n">
        <x:v>2025</x:v>
      </x:c>
      <x:c r="D2308" s="18" t="n">
        <x:v>45802</x:v>
      </x:c>
      <x:c r="E2308" s="8" t="str">
        <x:v>CUTTHROAT TROUT</x:v>
      </x:c>
      <x:c r="F2308" s="13" t="n">
        <x:v>2500</x:v>
      </x:c>
      <x:c r="G2308" s="9" t="n">
        <x:v>13.4</x:v>
      </x:c>
      <x:c r="H2308" s="9" t="n">
        <x:v>25.9</x:v>
      </x:c>
      <x:c r="I2308" s="8" t="str">
        <x:f>B2308&amp;" / "&amp;C2308&amp;" / "&amp;E2308</x:f>
        <x:v>5407 / 2025 / CUTTHROAT TROUT</x:v>
      </x:c>
    </x:row>
    <x:row r="2309" ht="23" customHeight="1">
      <x:c r="A2309" s="8" t="str">
        <x:v>Muskiki Lake</x:v>
      </x:c>
      <x:c r="B2309" s="8" t="str">
        <x:v>5407</x:v>
      </x:c>
      <x:c r="C2309" s="17" t="n">
        <x:v>2023</x:v>
      </x:c>
      <x:c r="D2309" s="18" t="n">
        <x:v>45175</x:v>
      </x:c>
      <x:c r="E2309" s="8" t="str">
        <x:v>CUTTHROAT TROUT</x:v>
      </x:c>
      <x:c r="F2309" s="13" t="n">
        <x:v>3000</x:v>
      </x:c>
      <x:c r="G2309" s="9" t="n">
        <x:v>17.1</x:v>
      </x:c>
      <x:c r="H2309" s="9" t="n">
        <x:v>54.1</x:v>
      </x:c>
      <x:c r="I2309" s="8" t="str">
        <x:f>B2309&amp;" / "&amp;C2309&amp;" / "&amp;E2309</x:f>
        <x:v>5407 / 2023 / CUTTHROAT TROUT</x:v>
      </x:c>
    </x:row>
    <x:row r="2310" ht="23" customHeight="1">
      <x:c r="A2310" s="8" t="str">
        <x:v>Muskiki Lake</x:v>
      </x:c>
      <x:c r="B2310" s="8" t="str">
        <x:v>5407</x:v>
      </x:c>
      <x:c r="C2310" s="17" t="n">
        <x:v>2023</x:v>
      </x:c>
      <x:c r="D2310" s="18" t="n">
        <x:v>45078</x:v>
      </x:c>
      <x:c r="E2310" s="8" t="str">
        <x:v>CUTTHROAT TROUT</x:v>
      </x:c>
      <x:c r="F2310" s="13" t="n">
        <x:v>5000</x:v>
      </x:c>
      <x:c r="G2310" s="9" t="n">
        <x:v>13.5</x:v>
      </x:c>
      <x:c r="H2310" s="9" t="n">
        <x:v>26.5</x:v>
      </x:c>
      <x:c r="I2310" s="8" t="str">
        <x:f>B2310&amp;" / "&amp;C2310&amp;" / "&amp;E2310</x:f>
        <x:v>5407 / 2023 / CUTTHROAT TROUT</x:v>
      </x:c>
    </x:row>
    <x:row r="2311" ht="23" customHeight="1">
      <x:c r="A2311" s="8" t="str">
        <x:v>Muskiki Lake</x:v>
      </x:c>
      <x:c r="B2311" s="8" t="str">
        <x:v>5407</x:v>
      </x:c>
      <x:c r="C2311" s="17" t="n">
        <x:v>2022</x:v>
      </x:c>
      <x:c r="D2311" s="18" t="n">
        <x:v>44826</x:v>
      </x:c>
      <x:c r="E2311" s="8" t="str">
        <x:v>CUTTHROAT TROUT</x:v>
      </x:c>
      <x:c r="F2311" s="13" t="n">
        <x:v>3166</x:v>
      </x:c>
      <x:c r="G2311" s="9" t="n">
        <x:v>19.6</x:v>
      </x:c>
      <x:c r="H2311" s="9" t="n">
        <x:v>82</x:v>
      </x:c>
      <x:c r="I2311" s="8" t="str">
        <x:f>B2311&amp;" / "&amp;C2311&amp;" / "&amp;E2311</x:f>
        <x:v>5407 / 2022 / CUTTHROAT TROUT</x:v>
      </x:c>
    </x:row>
    <x:row r="2312" ht="23" customHeight="1">
      <x:c r="A2312" s="8" t="str">
        <x:v>Muskiki Lake</x:v>
      </x:c>
      <x:c r="B2312" s="8" t="str">
        <x:v>5407</x:v>
      </x:c>
      <x:c r="C2312" s="17" t="n">
        <x:v>2022</x:v>
      </x:c>
      <x:c r="D2312" s="18" t="n">
        <x:v>44707</x:v>
      </x:c>
      <x:c r="E2312" s="8" t="str">
        <x:v>CUTTHROAT TROUT</x:v>
      </x:c>
      <x:c r="F2312" s="13" t="n">
        <x:v>5000</x:v>
      </x:c>
      <x:c r="G2312" s="9" t="n">
        <x:v>13.7</x:v>
      </x:c>
      <x:c r="H2312" s="9" t="n">
        <x:v>28</x:v>
      </x:c>
      <x:c r="I2312" s="8" t="str">
        <x:f>B2312&amp;" / "&amp;C2312&amp;" / "&amp;E2312</x:f>
        <x:v>5407 / 2022 / CUTTHROAT TROUT</x:v>
      </x:c>
    </x:row>
    <x:row r="2313" ht="23" customHeight="1">
      <x:c r="A2313" s="8" t="str">
        <x:v>Muskoseepi Pond</x:v>
      </x:c>
      <x:c r="B2313" s="8" t="str">
        <x:v>6730</x:v>
      </x:c>
      <x:c r="C2313" s="17" t="n">
        <x:v>2026</x:v>
      </x:c>
      <x:c r="D2313" s="18" t="n">
        <x:v>46150</x:v>
      </x:c>
      <x:c r="E2313" s="8" t="str">
        <x:v>RAINBOW TROUT</x:v>
      </x:c>
      <x:c r="F2313" s="13" t="n">
        <x:v>500</x:v>
      </x:c>
      <x:c r="G2313" s="9" t="n">
        <x:v>23.5</x:v>
      </x:c>
      <x:c r="H2313" s="9" t="n">
        <x:v>144.4</x:v>
      </x:c>
      <x:c r="I2313" s="8" t="str">
        <x:f>B2313&amp;" / "&amp;C2313&amp;" / "&amp;E2313</x:f>
        <x:v>6730 / 2026 / RAINBOW TROUT</x:v>
      </x:c>
    </x:row>
    <x:row r="2314" ht="23" customHeight="1">
      <x:c r="A2314" s="8" t="str">
        <x:v>Muskoseepi Pond</x:v>
      </x:c>
      <x:c r="B2314" s="8" t="str">
        <x:v>6730</x:v>
      </x:c>
      <x:c r="C2314" s="17" t="n">
        <x:v>2025</x:v>
      </x:c>
      <x:c r="D2314" s="18" t="n">
        <x:v>45791</x:v>
      </x:c>
      <x:c r="E2314" s="8" t="str">
        <x:v>RAINBOW TROUT</x:v>
      </x:c>
      <x:c r="F2314" s="13" t="n">
        <x:v>500</x:v>
      </x:c>
      <x:c r="G2314" s="9" t="n">
        <x:v>23.8</x:v>
      </x:c>
      <x:c r="H2314" s="9" t="n">
        <x:v>149</x:v>
      </x:c>
      <x:c r="I2314" s="8" t="str">
        <x:f>B2314&amp;" / "&amp;C2314&amp;" / "&amp;E2314</x:f>
        <x:v>6730 / 2025 / RAINBOW TROUT</x:v>
      </x:c>
    </x:row>
    <x:row r="2315" ht="23" customHeight="1">
      <x:c r="A2315" s="8" t="str">
        <x:v>Muskoseepi Pond</x:v>
      </x:c>
      <x:c r="B2315" s="8" t="str">
        <x:v>6730</x:v>
      </x:c>
      <x:c r="C2315" s="17" t="n">
        <x:v>2024</x:v>
      </x:c>
      <x:c r="D2315" s="18" t="n">
        <x:v>45420</x:v>
      </x:c>
      <x:c r="E2315" s="8" t="str">
        <x:v>RAINBOW TROUT</x:v>
      </x:c>
      <x:c r="F2315" s="13" t="n">
        <x:v>250</x:v>
      </x:c>
      <x:c r="G2315" s="9" t="n">
        <x:v>20.1</x:v>
      </x:c>
      <x:c r="H2315" s="9" t="n">
        <x:v>87.5</x:v>
      </x:c>
      <x:c r="I2315" s="8" t="str">
        <x:f>B2315&amp;" / "&amp;C2315&amp;" / "&amp;E2315</x:f>
        <x:v>6730 / 2024 / RAINBOW TROUT</x:v>
      </x:c>
    </x:row>
    <x:row r="2316" ht="23" customHeight="1">
      <x:c r="A2316" s="8" t="str">
        <x:v>Muskoseepi Pond</x:v>
      </x:c>
      <x:c r="B2316" s="8" t="str">
        <x:v>6730</x:v>
      </x:c>
      <x:c r="C2316" s="17" t="n">
        <x:v>2023</x:v>
      </x:c>
      <x:c r="D2316" s="18" t="n">
        <x:v>45055</x:v>
      </x:c>
      <x:c r="E2316" s="8" t="str">
        <x:v>RAINBOW TROUT</x:v>
      </x:c>
      <x:c r="F2316" s="13" t="n">
        <x:v>251</x:v>
      </x:c>
      <x:c r="G2316" s="9" t="n">
        <x:v>19.9</x:v>
      </x:c>
      <x:c r="H2316" s="9" t="n">
        <x:v>87.4</x:v>
      </x:c>
      <x:c r="I2316" s="8" t="str">
        <x:f>B2316&amp;" / "&amp;C2316&amp;" / "&amp;E2316</x:f>
        <x:v>6730 / 2023 / RAINBOW TROUT</x:v>
      </x:c>
    </x:row>
    <x:row r="2317" ht="23" customHeight="1">
      <x:c r="A2317" s="8" t="str">
        <x:v>Muskoseepi Pond</x:v>
      </x:c>
      <x:c r="B2317" s="8" t="str">
        <x:v>6730</x:v>
      </x:c>
      <x:c r="C2317" s="17" t="n">
        <x:v>2022</x:v>
      </x:c>
      <x:c r="D2317" s="18" t="n">
        <x:v>44697</x:v>
      </x:c>
      <x:c r="E2317" s="8" t="str">
        <x:v>RAINBOW TROUT</x:v>
      </x:c>
      <x:c r="F2317" s="13" t="n">
        <x:v>500</x:v>
      </x:c>
      <x:c r="G2317" s="9" t="n">
        <x:v>21.9</x:v>
      </x:c>
      <x:c r="H2317" s="9" t="n">
        <x:v>116.9</x:v>
      </x:c>
      <x:c r="I2317" s="8" t="str">
        <x:f>B2317&amp;" / "&amp;C2317&amp;" / "&amp;E2317</x:f>
        <x:v>6730 / 2022 / RAINBOW TROUT</x:v>
      </x:c>
    </x:row>
    <x:row r="2318" ht="23" customHeight="1">
      <x:c r="A2318" s="8" t="str">
        <x:v>Muskoseepi Pond</x:v>
      </x:c>
      <x:c r="B2318" s="8" t="str">
        <x:v>6730</x:v>
      </x:c>
      <x:c r="C2318" s="17" t="n">
        <x:v>2021</x:v>
      </x:c>
      <x:c r="D2318" s="18" t="n">
        <x:v>44335</x:v>
      </x:c>
      <x:c r="E2318" s="8" t="str">
        <x:v>RAINBOW TROUT</x:v>
      </x:c>
      <x:c r="F2318" s="13" t="n">
        <x:v>1000</x:v>
      </x:c>
      <x:c r="G2318" s="9" t="n">
        <x:v>16.3</x:v>
      </x:c>
      <x:c r="H2318" s="9" t="n">
        <x:v>47.7</x:v>
      </x:c>
      <x:c r="I2318" s="8" t="str">
        <x:f>B2318&amp;" / "&amp;C2318&amp;" / "&amp;E2318</x:f>
        <x:v>6730 / 2021 / RAINBOW TROUT</x:v>
      </x:c>
    </x:row>
    <x:row r="2319" ht="23" customHeight="1">
      <x:c r="A2319" s="8" t="str">
        <x:v>Nardam Lake</x:v>
      </x:c>
      <x:c r="B2319" s="8" t="str">
        <x:v>6732</x:v>
      </x:c>
      <x:c r="C2319" s="17" t="n">
        <x:v>2026</x:v>
      </x:c>
      <x:c r="D2319" s="18" t="n">
        <x:v>46168</x:v>
      </x:c>
      <x:c r="E2319" s="8" t="str">
        <x:v>RAINBOW TROUT</x:v>
      </x:c>
      <x:c r="F2319" s="13" t="n">
        <x:v>500</x:v>
      </x:c>
      <x:c r="G2319" s="9" t="n">
        <x:v>21</x:v>
      </x:c>
      <x:c r="H2319" s="9" t="n">
        <x:v>102.4</x:v>
      </x:c>
      <x:c r="I2319" s="8" t="str">
        <x:f>B2319&amp;" / "&amp;C2319&amp;" / "&amp;E2319</x:f>
        <x:v>6732 / 2026 / RAINBOW TROUT</x:v>
      </x:c>
    </x:row>
    <x:row r="2320" ht="23" customHeight="1">
      <x:c r="A2320" s="8" t="str">
        <x:v>Nardam Lake</x:v>
      </x:c>
      <x:c r="B2320" s="8" t="str">
        <x:v>6732</x:v>
      </x:c>
      <x:c r="C2320" s="17" t="n">
        <x:v>2025</x:v>
      </x:c>
      <x:c r="D2320" s="18" t="n">
        <x:v>45797</x:v>
      </x:c>
      <x:c r="E2320" s="8" t="str">
        <x:v>RAINBOW TROUT</x:v>
      </x:c>
      <x:c r="F2320" s="13" t="n">
        <x:v>500</x:v>
      </x:c>
      <x:c r="G2320" s="9" t="n">
        <x:v>20.6</x:v>
      </x:c>
      <x:c r="H2320" s="9" t="n">
        <x:v>96.6</x:v>
      </x:c>
      <x:c r="I2320" s="8" t="str">
        <x:f>B2320&amp;" / "&amp;C2320&amp;" / "&amp;E2320</x:f>
        <x:v>6732 / 2025 / RAINBOW TROUT</x:v>
      </x:c>
    </x:row>
    <x:row r="2321" ht="23" customHeight="1">
      <x:c r="A2321" s="8" t="str">
        <x:v>Nardam Lake</x:v>
      </x:c>
      <x:c r="B2321" s="8" t="str">
        <x:v>6732</x:v>
      </x:c>
      <x:c r="C2321" s="17" t="n">
        <x:v>2024</x:v>
      </x:c>
      <x:c r="D2321" s="18" t="n">
        <x:v>45420</x:v>
      </x:c>
      <x:c r="E2321" s="8" t="str">
        <x:v>RAINBOW TROUT</x:v>
      </x:c>
      <x:c r="F2321" s="13" t="n">
        <x:v>250</x:v>
      </x:c>
      <x:c r="G2321" s="9" t="n">
        <x:v>20.1</x:v>
      </x:c>
      <x:c r="H2321" s="9" t="n">
        <x:v>87.5</x:v>
      </x:c>
      <x:c r="I2321" s="8" t="str">
        <x:f>B2321&amp;" / "&amp;C2321&amp;" / "&amp;E2321</x:f>
        <x:v>6732 / 2024 / RAINBOW TROUT</x:v>
      </x:c>
    </x:row>
    <x:row r="2322" ht="23" customHeight="1">
      <x:c r="A2322" s="8" t="str">
        <x:v>Nardam Lake</x:v>
      </x:c>
      <x:c r="B2322" s="8" t="str">
        <x:v>6732</x:v>
      </x:c>
      <x:c r="C2322" s="17" t="n">
        <x:v>2023</x:v>
      </x:c>
      <x:c r="D2322" s="18" t="n">
        <x:v>45046</x:v>
      </x:c>
      <x:c r="E2322" s="8" t="str">
        <x:v>BROWN TROUT</x:v>
      </x:c>
      <x:c r="F2322" s="13" t="n">
        <x:v>100</x:v>
      </x:c>
      <x:c r="G2322" s="9" t="n">
        <x:v>18.8</x:v>
      </x:c>
      <x:c r="H2322" s="9" t="n">
        <x:v>72</x:v>
      </x:c>
      <x:c r="I2322" s="8" t="str">
        <x:f>B2322&amp;" / "&amp;C2322&amp;" / "&amp;E2322</x:f>
        <x:v>6732 / 2023 / BROWN TROUT</x:v>
      </x:c>
    </x:row>
    <x:row r="2323" ht="23" customHeight="1">
      <x:c r="A2323" s="8" t="str">
        <x:v>Nardam Lake</x:v>
      </x:c>
      <x:c r="B2323" s="8" t="str">
        <x:v>6732</x:v>
      </x:c>
      <x:c r="C2323" s="17" t="n">
        <x:v>2023</x:v>
      </x:c>
      <x:c r="D2323" s="18" t="n">
        <x:v>45055</x:v>
      </x:c>
      <x:c r="E2323" s="8" t="str">
        <x:v>RAINBOW TROUT</x:v>
      </x:c>
      <x:c r="F2323" s="13" t="n">
        <x:v>251</x:v>
      </x:c>
      <x:c r="G2323" s="9" t="n">
        <x:v>19.9</x:v>
      </x:c>
      <x:c r="H2323" s="9" t="n">
        <x:v>87.4</x:v>
      </x:c>
      <x:c r="I2323" s="8" t="str">
        <x:f>B2323&amp;" / "&amp;C2323&amp;" / "&amp;E2323</x:f>
        <x:v>6732 / 2023 / RAINBOW TROUT</x:v>
      </x:c>
    </x:row>
    <x:row r="2324" ht="23" customHeight="1">
      <x:c r="A2324" s="8" t="str">
        <x:v>Nardam Lake</x:v>
      </x:c>
      <x:c r="B2324" s="8" t="str">
        <x:v>6732</x:v>
      </x:c>
      <x:c r="C2324" s="17" t="n">
        <x:v>2023</x:v>
      </x:c>
      <x:c r="D2324" s="18" t="n">
        <x:v>45046</x:v>
      </x:c>
      <x:c r="E2324" s="8" t="str">
        <x:v>RAINBOW TROUT</x:v>
      </x:c>
      <x:c r="F2324" s="13" t="n">
        <x:v>1425</x:v>
      </x:c>
      <x:c r="G2324" s="9" t="n">
        <x:v>20</x:v>
      </x:c>
      <x:c r="H2324" s="9" t="n">
        <x:v>86.4</x:v>
      </x:c>
      <x:c r="I2324" s="8" t="str">
        <x:f>B2324&amp;" / "&amp;C2324&amp;" / "&amp;E2324</x:f>
        <x:v>6732 / 2023 / RAINBOW TROUT</x:v>
      </x:c>
    </x:row>
    <x:row r="2325" ht="23" customHeight="1">
      <x:c r="A2325" s="8" t="str">
        <x:v>Nardam Lake</x:v>
      </x:c>
      <x:c r="B2325" s="8" t="str">
        <x:v>6732</x:v>
      </x:c>
      <x:c r="C2325" s="17" t="n">
        <x:v>2022</x:v>
      </x:c>
      <x:c r="D2325" s="18" t="n">
        <x:v>44705</x:v>
      </x:c>
      <x:c r="E2325" s="8" t="str">
        <x:v>RAINBOW TROUT</x:v>
      </x:c>
      <x:c r="F2325" s="13" t="n">
        <x:v>500</x:v>
      </x:c>
      <x:c r="G2325" s="9" t="n">
        <x:v>20.4</x:v>
      </x:c>
      <x:c r="H2325" s="9" t="n">
        <x:v>93.4</x:v>
      </x:c>
      <x:c r="I2325" s="8" t="str">
        <x:f>B2325&amp;" / "&amp;C2325&amp;" / "&amp;E2325</x:f>
        <x:v>6732 / 2022 / RAINBOW TROUT</x:v>
      </x:c>
    </x:row>
    <x:row r="2326" ht="23" customHeight="1">
      <x:c r="A2326" s="8" t="str">
        <x:v>Nardam Lake</x:v>
      </x:c>
      <x:c r="B2326" s="8" t="str">
        <x:v>6732</x:v>
      </x:c>
      <x:c r="C2326" s="17" t="n">
        <x:v>2021</x:v>
      </x:c>
      <x:c r="D2326" s="18" t="n">
        <x:v>44333</x:v>
      </x:c>
      <x:c r="E2326" s="8" t="str">
        <x:v>RAINBOW TROUT</x:v>
      </x:c>
      <x:c r="F2326" s="13" t="n">
        <x:v>500</x:v>
      </x:c>
      <x:c r="G2326" s="9" t="n">
        <x:v>18.9</x:v>
      </x:c>
      <x:c r="H2326" s="9" t="n">
        <x:v>74.8</x:v>
      </x:c>
      <x:c r="I2326" s="8" t="str">
        <x:f>B2326&amp;" / "&amp;C2326&amp;" / "&amp;E2326</x:f>
        <x:v>6732 / 2021 / RAINBOW TROUT</x:v>
      </x:c>
    </x:row>
    <x:row r="2327" ht="23" customHeight="1">
      <x:c r="A2327" s="8" t="str">
        <x:v>Nicholas Sheran Park Pond</x:v>
      </x:c>
      <x:c r="B2327" s="8" t="str">
        <x:v>6734</x:v>
      </x:c>
      <x:c r="C2327" s="17" t="n">
        <x:v>2026</x:v>
      </x:c>
      <x:c r="D2327" s="18" t="n">
        <x:v>46132</x:v>
      </x:c>
      <x:c r="E2327" s="8" t="str">
        <x:v>BROOK TROUT</x:v>
      </x:c>
      <x:c r="F2327" s="13" t="n">
        <x:v>2000</x:v>
      </x:c>
      <x:c r="G2327" s="9" t="n">
        <x:v>19</x:v>
      </x:c>
      <x:c r="H2327" s="9" t="n">
        <x:v>74.5</x:v>
      </x:c>
      <x:c r="I2327" s="8" t="str">
        <x:f>B2327&amp;" / "&amp;C2327&amp;" / "&amp;E2327</x:f>
        <x:v>6734 / 2026 / BROOK TROUT</x:v>
      </x:c>
    </x:row>
    <x:row r="2328" ht="23" customHeight="1">
      <x:c r="A2328" s="8" t="str">
        <x:v>Nicholas Sheran Park Pond</x:v>
      </x:c>
      <x:c r="B2328" s="8" t="str">
        <x:v>6734</x:v>
      </x:c>
      <x:c r="C2328" s="17" t="n">
        <x:v>2026</x:v>
      </x:c>
      <x:c r="D2328" s="18" t="n">
        <x:v>46120</x:v>
      </x:c>
      <x:c r="E2328" s="8" t="str">
        <x:v>BROOK TROUT</x:v>
      </x:c>
      <x:c r="F2328" s="13" t="n">
        <x:v>130</x:v>
      </x:c>
      <x:c r="G2328" s="9" t="n">
        <x:v>35</x:v>
      </x:c>
      <x:c r="H2328" s="9" t="n">
        <x:v>980</x:v>
      </x:c>
      <x:c r="I2328" s="8" t="str">
        <x:f>B2328&amp;" / "&amp;C2328&amp;" / "&amp;E2328</x:f>
        <x:v>6734 / 2026 / BROOK TROUT</x:v>
      </x:c>
    </x:row>
    <x:row r="2329" ht="23" customHeight="1">
      <x:c r="A2329" s="8" t="str">
        <x:v>Nicholas Sheran Park Pond</x:v>
      </x:c>
      <x:c r="B2329" s="8" t="str">
        <x:v>6734</x:v>
      </x:c>
      <x:c r="C2329" s="17" t="n">
        <x:v>2026</x:v>
      </x:c>
      <x:c r="D2329" s="18" t="n">
        <x:v>46136</x:v>
      </x:c>
      <x:c r="E2329" s="8" t="str">
        <x:v>BROWN TROUT</x:v>
      </x:c>
      <x:c r="F2329" s="13" t="n">
        <x:v>50</x:v>
      </x:c>
      <x:c r="G2329" s="9" t="n">
        <x:v>42.1</x:v>
      </x:c>
      <x:c r="H2329" s="9" t="n">
        <x:v>972</x:v>
      </x:c>
      <x:c r="I2329" s="8" t="str">
        <x:f>B2329&amp;" / "&amp;C2329&amp;" / "&amp;E2329</x:f>
        <x:v>6734 / 2026 / BROWN TROUT</x:v>
      </x:c>
    </x:row>
    <x:row r="2330" ht="23" customHeight="1">
      <x:c r="A2330" s="8" t="str">
        <x:v>Nicholas Sheran Park Pond</x:v>
      </x:c>
      <x:c r="B2330" s="8" t="str">
        <x:v>6734</x:v>
      </x:c>
      <x:c r="C2330" s="17" t="n">
        <x:v>2026</x:v>
      </x:c>
      <x:c r="D2330" s="18" t="n">
        <x:v>46132</x:v>
      </x:c>
      <x:c r="E2330" s="8" t="str">
        <x:v>BROWN TROUT</x:v>
      </x:c>
      <x:c r="F2330" s="13" t="n">
        <x:v>2000</x:v>
      </x:c>
      <x:c r="G2330" s="9" t="n">
        <x:v>17.7</x:v>
      </x:c>
      <x:c r="H2330" s="9" t="n">
        <x:v>60.3</x:v>
      </x:c>
      <x:c r="I2330" s="8" t="str">
        <x:f>B2330&amp;" / "&amp;C2330&amp;" / "&amp;E2330</x:f>
        <x:v>6734 / 2026 / BROWN TROUT</x:v>
      </x:c>
    </x:row>
    <x:row r="2331" ht="23" customHeight="1">
      <x:c r="A2331" s="8" t="str">
        <x:v>Nicholas Sheran Park Pond</x:v>
      </x:c>
      <x:c r="B2331" s="8" t="str">
        <x:v>6734</x:v>
      </x:c>
      <x:c r="C2331" s="17" t="n">
        <x:v>2026</x:v>
      </x:c>
      <x:c r="D2331" s="18" t="n">
        <x:v>46132</x:v>
      </x:c>
      <x:c r="E2331" s="8" t="str">
        <x:v>RAINBOW TROUT</x:v>
      </x:c>
      <x:c r="F2331" s="13" t="n">
        <x:v>2000</x:v>
      </x:c>
      <x:c r="G2331" s="9" t="n">
        <x:v>24</x:v>
      </x:c>
      <x:c r="H2331" s="9" t="n">
        <x:v>150</x:v>
      </x:c>
      <x:c r="I2331" s="8" t="str">
        <x:f>B2331&amp;" / "&amp;C2331&amp;" / "&amp;E2331</x:f>
        <x:v>6734 / 2026 / RAINBOW TROUT</x:v>
      </x:c>
    </x:row>
    <x:row r="2332" ht="23" customHeight="1">
      <x:c r="A2332" s="8" t="str">
        <x:v>Nicholas Sheran Park Pond</x:v>
      </x:c>
      <x:c r="B2332" s="8" t="str">
        <x:v>6734</x:v>
      </x:c>
      <x:c r="C2332" s="17" t="n">
        <x:v>2025</x:v>
      </x:c>
      <x:c r="D2332" s="18" t="n">
        <x:v>45757</x:v>
      </x:c>
      <x:c r="E2332" s="8" t="str">
        <x:v>BROOK TROUT</x:v>
      </x:c>
      <x:c r="F2332" s="13" t="n">
        <x:v>2000</x:v>
      </x:c>
      <x:c r="G2332" s="9" t="n">
        <x:v>19.5</x:v>
      </x:c>
      <x:c r="H2332" s="9" t="n">
        <x:v>79.6</x:v>
      </x:c>
      <x:c r="I2332" s="8" t="str">
        <x:f>B2332&amp;" / "&amp;C2332&amp;" / "&amp;E2332</x:f>
        <x:v>6734 / 2025 / BROOK TROUT</x:v>
      </x:c>
    </x:row>
    <x:row r="2333" ht="23" customHeight="1">
      <x:c r="A2333" s="8" t="str">
        <x:v>Nicholas Sheran Park Pond</x:v>
      </x:c>
      <x:c r="B2333" s="8" t="str">
        <x:v>6734</x:v>
      </x:c>
      <x:c r="C2333" s="17" t="n">
        <x:v>2025</x:v>
      </x:c>
      <x:c r="D2333" s="18" t="n">
        <x:v>45747</x:v>
      </x:c>
      <x:c r="E2333" s="8" t="str">
        <x:v>BROOK TROUT</x:v>
      </x:c>
      <x:c r="F2333" s="13" t="n">
        <x:v>250</x:v>
      </x:c>
      <x:c r="G2333" s="9" t="n">
        <x:v>40.1</x:v>
      </x:c>
      <x:c r="H2333" s="9" t="n">
        <x:v>870.1</x:v>
      </x:c>
      <x:c r="I2333" s="8" t="str">
        <x:f>B2333&amp;" / "&amp;C2333&amp;" / "&amp;E2333</x:f>
        <x:v>6734 / 2025 / BROOK TROUT</x:v>
      </x:c>
    </x:row>
    <x:row r="2334" ht="23" customHeight="1">
      <x:c r="A2334" s="8" t="str">
        <x:v>Nicholas Sheran Park Pond</x:v>
      </x:c>
      <x:c r="B2334" s="8" t="str">
        <x:v>6734</x:v>
      </x:c>
      <x:c r="C2334" s="17" t="n">
        <x:v>2025</x:v>
      </x:c>
      <x:c r="D2334" s="18" t="n">
        <x:v>45742</x:v>
      </x:c>
      <x:c r="E2334" s="8" t="str">
        <x:v>BROOK TROUT</x:v>
      </x:c>
      <x:c r="F2334" s="13" t="n">
        <x:v>250</x:v>
      </x:c>
      <x:c r="G2334" s="9" t="n">
        <x:v>40.1</x:v>
      </x:c>
      <x:c r="H2334" s="9" t="n">
        <x:v>870.1</x:v>
      </x:c>
      <x:c r="I2334" s="8" t="str">
        <x:f>B2334&amp;" / "&amp;C2334&amp;" / "&amp;E2334</x:f>
        <x:v>6734 / 2025 / BROOK TROUT</x:v>
      </x:c>
    </x:row>
    <x:row r="2335" ht="23" customHeight="1">
      <x:c r="A2335" s="8" t="str">
        <x:v>Nicholas Sheran Park Pond</x:v>
      </x:c>
      <x:c r="B2335" s="8" t="str">
        <x:v>6734</x:v>
      </x:c>
      <x:c r="C2335" s="17" t="n">
        <x:v>2025</x:v>
      </x:c>
      <x:c r="D2335" s="18" t="n">
        <x:v>45757</x:v>
      </x:c>
      <x:c r="E2335" s="8" t="str">
        <x:v>BROWN TROUT</x:v>
      </x:c>
      <x:c r="F2335" s="13" t="n">
        <x:v>2000</x:v>
      </x:c>
      <x:c r="G2335" s="9" t="n">
        <x:v>18</x:v>
      </x:c>
      <x:c r="H2335" s="9" t="n">
        <x:v>63</x:v>
      </x:c>
      <x:c r="I2335" s="8" t="str">
        <x:f>B2335&amp;" / "&amp;C2335&amp;" / "&amp;E2335</x:f>
        <x:v>6734 / 2025 / BROWN TROUT</x:v>
      </x:c>
    </x:row>
    <x:row r="2336" ht="23" customHeight="1">
      <x:c r="A2336" s="8" t="str">
        <x:v>Nicholas Sheran Park Pond</x:v>
      </x:c>
      <x:c r="B2336" s="8" t="str">
        <x:v>6734</x:v>
      </x:c>
      <x:c r="C2336" s="17" t="n">
        <x:v>2025</x:v>
      </x:c>
      <x:c r="D2336" s="18" t="n">
        <x:v>45930</x:v>
      </x:c>
      <x:c r="E2336" s="8" t="str">
        <x:v>RAINBOW TROUT</x:v>
      </x:c>
      <x:c r="F2336" s="13" t="n">
        <x:v>1500</x:v>
      </x:c>
      <x:c r="G2336" s="9" t="n">
        <x:v>20.4</x:v>
      </x:c>
      <x:c r="H2336" s="9" t="n">
        <x:v>91.4</x:v>
      </x:c>
      <x:c r="I2336" s="8" t="str">
        <x:f>B2336&amp;" / "&amp;C2336&amp;" / "&amp;E2336</x:f>
        <x:v>6734 / 2025 / RAINBOW TROUT</x:v>
      </x:c>
    </x:row>
    <x:row r="2337" ht="23" customHeight="1">
      <x:c r="A2337" s="8" t="str">
        <x:v>Nicholas Sheran Park Pond</x:v>
      </x:c>
      <x:c r="B2337" s="8" t="str">
        <x:v>6734</x:v>
      </x:c>
      <x:c r="C2337" s="17" t="n">
        <x:v>2025</x:v>
      </x:c>
      <x:c r="D2337" s="18" t="n">
        <x:v>45930</x:v>
      </x:c>
      <x:c r="E2337" s="8" t="str">
        <x:v>RAINBOW TROUT</x:v>
      </x:c>
      <x:c r="F2337" s="13" t="n">
        <x:v>1000</x:v>
      </x:c>
      <x:c r="G2337" s="9" t="n">
        <x:v>29.1</x:v>
      </x:c>
      <x:c r="H2337" s="9" t="n">
        <x:v>266.7</x:v>
      </x:c>
      <x:c r="I2337" s="8" t="str">
        <x:f>B2337&amp;" / "&amp;C2337&amp;" / "&amp;E2337</x:f>
        <x:v>6734 / 2025 / RAINBOW TROUT</x:v>
      </x:c>
    </x:row>
    <x:row r="2338" ht="23" customHeight="1">
      <x:c r="A2338" s="8" t="str">
        <x:v>Nicholas Sheran Park Pond</x:v>
      </x:c>
      <x:c r="B2338" s="8" t="str">
        <x:v>6734</x:v>
      </x:c>
      <x:c r="C2338" s="17" t="n">
        <x:v>2025</x:v>
      </x:c>
      <x:c r="D2338" s="18" t="n">
        <x:v>45757</x:v>
      </x:c>
      <x:c r="E2338" s="8" t="str">
        <x:v>RAINBOW TROUT</x:v>
      </x:c>
      <x:c r="F2338" s="13" t="n">
        <x:v>2000</x:v>
      </x:c>
      <x:c r="G2338" s="9" t="n">
        <x:v>23.1</x:v>
      </x:c>
      <x:c r="H2338" s="9" t="n">
        <x:v>133.3</x:v>
      </x:c>
      <x:c r="I2338" s="8" t="str">
        <x:f>B2338&amp;" / "&amp;C2338&amp;" / "&amp;E2338</x:f>
        <x:v>6734 / 2025 / RAINBOW TROUT</x:v>
      </x:c>
    </x:row>
    <x:row r="2339" ht="23" customHeight="1">
      <x:c r="A2339" s="8" t="str">
        <x:v>Nicholas Sheran Park Pond</x:v>
      </x:c>
      <x:c r="B2339" s="8" t="str">
        <x:v>6734</x:v>
      </x:c>
      <x:c r="C2339" s="17" t="n">
        <x:v>2024</x:v>
      </x:c>
      <x:c r="D2339" s="18" t="n">
        <x:v>45393</x:v>
      </x:c>
      <x:c r="E2339" s="8" t="str">
        <x:v>BROOK TROUT</x:v>
      </x:c>
      <x:c r="F2339" s="13" t="n">
        <x:v>268</x:v>
      </x:c>
      <x:c r="G2339" s="9" t="n">
        <x:v>38</x:v>
      </x:c>
      <x:c r="H2339" s="9" t="n">
        <x:v>815</x:v>
      </x:c>
      <x:c r="I2339" s="8" t="str">
        <x:f>B2339&amp;" / "&amp;C2339&amp;" / "&amp;E2339</x:f>
        <x:v>6734 / 2024 / BROOK TROUT</x:v>
      </x:c>
    </x:row>
    <x:row r="2340" ht="23" customHeight="1">
      <x:c r="A2340" s="8" t="str">
        <x:v>Nicholas Sheran Park Pond</x:v>
      </x:c>
      <x:c r="B2340" s="8" t="str">
        <x:v>6734</x:v>
      </x:c>
      <x:c r="C2340" s="17" t="n">
        <x:v>2024</x:v>
      </x:c>
      <x:c r="D2340" s="18" t="n">
        <x:v>45392</x:v>
      </x:c>
      <x:c r="E2340" s="8" t="str">
        <x:v>BROOK TROUT</x:v>
      </x:c>
      <x:c r="F2340" s="13" t="n">
        <x:v>1000</x:v>
      </x:c>
      <x:c r="G2340" s="9" t="n">
        <x:v>19.7</x:v>
      </x:c>
      <x:c r="H2340" s="9" t="n">
        <x:v>83.1</x:v>
      </x:c>
      <x:c r="I2340" s="8" t="str">
        <x:f>B2340&amp;" / "&amp;C2340&amp;" / "&amp;E2340</x:f>
        <x:v>6734 / 2024 / BROOK TROUT</x:v>
      </x:c>
    </x:row>
    <x:row r="2341" ht="23" customHeight="1">
      <x:c r="A2341" s="8" t="str">
        <x:v>Nicholas Sheran Park Pond</x:v>
      </x:c>
      <x:c r="B2341" s="8" t="str">
        <x:v>6734</x:v>
      </x:c>
      <x:c r="C2341" s="17" t="n">
        <x:v>2024</x:v>
      </x:c>
      <x:c r="D2341" s="18" t="n">
        <x:v>45392</x:v>
      </x:c>
      <x:c r="E2341" s="8" t="str">
        <x:v>BROWN TROUT</x:v>
      </x:c>
      <x:c r="F2341" s="13" t="n">
        <x:v>1000</x:v>
      </x:c>
      <x:c r="G2341" s="9" t="n">
        <x:v>18.5</x:v>
      </x:c>
      <x:c r="H2341" s="9" t="n">
        <x:v>68</x:v>
      </x:c>
      <x:c r="I2341" s="8" t="str">
        <x:f>B2341&amp;" / "&amp;C2341&amp;" / "&amp;E2341</x:f>
        <x:v>6734 / 2024 / BROWN TROUT</x:v>
      </x:c>
    </x:row>
    <x:row r="2342" ht="23" customHeight="1">
      <x:c r="A2342" s="8" t="str">
        <x:v>Nicholas Sheran Park Pond</x:v>
      </x:c>
      <x:c r="B2342" s="8" t="str">
        <x:v>6734</x:v>
      </x:c>
      <x:c r="C2342" s="17" t="n">
        <x:v>2024</x:v>
      </x:c>
      <x:c r="D2342" s="18" t="n">
        <x:v>45582</x:v>
      </x:c>
      <x:c r="E2342" s="8" t="str">
        <x:v>RAINBOW TROUT</x:v>
      </x:c>
      <x:c r="F2342" s="13" t="n">
        <x:v>50</x:v>
      </x:c>
      <x:c r="G2342" s="9" t="n">
        <x:v>55</x:v>
      </x:c>
      <x:c r="H2342" s="9" t="n">
        <x:v>6000</x:v>
      </x:c>
      <x:c r="I2342" s="8" t="str">
        <x:f>B2342&amp;" / "&amp;C2342&amp;" / "&amp;E2342</x:f>
        <x:v>6734 / 2024 / RAINBOW TROUT</x:v>
      </x:c>
    </x:row>
    <x:row r="2343" ht="23" customHeight="1">
      <x:c r="A2343" s="8" t="str">
        <x:v>Nicholas Sheran Park Pond</x:v>
      </x:c>
      <x:c r="B2343" s="8" t="str">
        <x:v>6734</x:v>
      </x:c>
      <x:c r="C2343" s="17" t="n">
        <x:v>2024</x:v>
      </x:c>
      <x:c r="D2343" s="18" t="n">
        <x:v>45392</x:v>
      </x:c>
      <x:c r="E2343" s="8" t="str">
        <x:v>RAINBOW TROUT</x:v>
      </x:c>
      <x:c r="F2343" s="13" t="n">
        <x:v>1000</x:v>
      </x:c>
      <x:c r="G2343" s="9" t="n">
        <x:v>22.5</x:v>
      </x:c>
      <x:c r="H2343" s="9" t="n">
        <x:v>123</x:v>
      </x:c>
      <x:c r="I2343" s="8" t="str">
        <x:f>B2343&amp;" / "&amp;C2343&amp;" / "&amp;E2343</x:f>
        <x:v>6734 / 2024 / RAINBOW TROUT</x:v>
      </x:c>
    </x:row>
    <x:row r="2344" ht="23" customHeight="1">
      <x:c r="A2344" s="8" t="str">
        <x:v>Nicholas Sheran Park Pond</x:v>
      </x:c>
      <x:c r="B2344" s="8" t="str">
        <x:v>6734</x:v>
      </x:c>
      <x:c r="C2344" s="17" t="n">
        <x:v>2023</x:v>
      </x:c>
      <x:c r="D2344" s="18" t="n">
        <x:v>45039</x:v>
      </x:c>
      <x:c r="E2344" s="8" t="str">
        <x:v>BROOK TROUT</x:v>
      </x:c>
      <x:c r="F2344" s="13" t="n">
        <x:v>235</x:v>
      </x:c>
      <x:c r="G2344" s="9" t="n">
        <x:v>45</x:v>
      </x:c>
      <x:c r="H2344" s="9" t="n">
        <x:v>1050</x:v>
      </x:c>
      <x:c r="I2344" s="8" t="str">
        <x:f>B2344&amp;" / "&amp;C2344&amp;" / "&amp;E2344</x:f>
        <x:v>6734 / 2023 / BROOK TROUT</x:v>
      </x:c>
    </x:row>
    <x:row r="2345" ht="23" customHeight="1">
      <x:c r="A2345" s="8" t="str">
        <x:v>Nicholas Sheran Park Pond</x:v>
      </x:c>
      <x:c r="B2345" s="8" t="str">
        <x:v>6734</x:v>
      </x:c>
      <x:c r="C2345" s="17" t="n">
        <x:v>2023</x:v>
      </x:c>
      <x:c r="D2345" s="18" t="n">
        <x:v>45033</x:v>
      </x:c>
      <x:c r="E2345" s="8" t="str">
        <x:v>BROOK TROUT</x:v>
      </x:c>
      <x:c r="F2345" s="13" t="n">
        <x:v>1000</x:v>
      </x:c>
      <x:c r="G2345" s="9" t="n">
        <x:v>18.9</x:v>
      </x:c>
      <x:c r="H2345" s="9" t="n">
        <x:v>75</x:v>
      </x:c>
      <x:c r="I2345" s="8" t="str">
        <x:f>B2345&amp;" / "&amp;C2345&amp;" / "&amp;E2345</x:f>
        <x:v>6734 / 2023 / BROOK TROUT</x:v>
      </x:c>
    </x:row>
    <x:row r="2346" ht="23" customHeight="1">
      <x:c r="A2346" s="8" t="str">
        <x:v>Nicholas Sheran Park Pond</x:v>
      </x:c>
      <x:c r="B2346" s="8" t="str">
        <x:v>6734</x:v>
      </x:c>
      <x:c r="C2346" s="17" t="n">
        <x:v>2023</x:v>
      </x:c>
      <x:c r="D2346" s="18" t="n">
        <x:v>45032</x:v>
      </x:c>
      <x:c r="E2346" s="8" t="str">
        <x:v>BROOK TROUT</x:v>
      </x:c>
      <x:c r="F2346" s="13" t="n">
        <x:v>236</x:v>
      </x:c>
      <x:c r="G2346" s="9" t="n">
        <x:v>45</x:v>
      </x:c>
      <x:c r="H2346" s="9" t="n">
        <x:v>1000</x:v>
      </x:c>
      <x:c r="I2346" s="8" t="str">
        <x:f>B2346&amp;" / "&amp;C2346&amp;" / "&amp;E2346</x:f>
        <x:v>6734 / 2023 / BROOK TROUT</x:v>
      </x:c>
    </x:row>
    <x:row r="2347" ht="23" customHeight="1">
      <x:c r="A2347" s="8" t="str">
        <x:v>Nicholas Sheran Park Pond</x:v>
      </x:c>
      <x:c r="B2347" s="8" t="str">
        <x:v>6734</x:v>
      </x:c>
      <x:c r="C2347" s="17" t="n">
        <x:v>2023</x:v>
      </x:c>
      <x:c r="D2347" s="18" t="n">
        <x:v>45033</x:v>
      </x:c>
      <x:c r="E2347" s="8" t="str">
        <x:v>BROWN TROUT</x:v>
      </x:c>
      <x:c r="F2347" s="13" t="n">
        <x:v>1000</x:v>
      </x:c>
      <x:c r="G2347" s="9" t="n">
        <x:v>18.2</x:v>
      </x:c>
      <x:c r="H2347" s="9" t="n">
        <x:v>67</x:v>
      </x:c>
      <x:c r="I2347" s="8" t="str">
        <x:f>B2347&amp;" / "&amp;C2347&amp;" / "&amp;E2347</x:f>
        <x:v>6734 / 2023 / BROWN TROUT</x:v>
      </x:c>
    </x:row>
    <x:row r="2348" ht="23" customHeight="1">
      <x:c r="A2348" s="8" t="str">
        <x:v>Nicholas Sheran Park Pond</x:v>
      </x:c>
      <x:c r="B2348" s="8" t="str">
        <x:v>6734</x:v>
      </x:c>
      <x:c r="C2348" s="17" t="n">
        <x:v>2023</x:v>
      </x:c>
      <x:c r="D2348" s="18" t="n">
        <x:v>45033</x:v>
      </x:c>
      <x:c r="E2348" s="8" t="str">
        <x:v>RAINBOW TROUT</x:v>
      </x:c>
      <x:c r="F2348" s="13" t="n">
        <x:v>798</x:v>
      </x:c>
      <x:c r="G2348" s="9" t="n">
        <x:v>20.1</x:v>
      </x:c>
      <x:c r="H2348" s="9" t="n">
        <x:v>90</x:v>
      </x:c>
      <x:c r="I2348" s="8" t="str">
        <x:f>B2348&amp;" / "&amp;C2348&amp;" / "&amp;E2348</x:f>
        <x:v>6734 / 2023 / RAINBOW TROUT</x:v>
      </x:c>
    </x:row>
    <x:row r="2349" ht="23" customHeight="1">
      <x:c r="A2349" s="8" t="str">
        <x:v>Nicholas Sheran Park Pond</x:v>
      </x:c>
      <x:c r="B2349" s="8" t="str">
        <x:v>6734</x:v>
      </x:c>
      <x:c r="C2349" s="17" t="n">
        <x:v>2022</x:v>
      </x:c>
      <x:c r="D2349" s="18" t="n">
        <x:v>44675</x:v>
      </x:c>
      <x:c r="E2349" s="8" t="str">
        <x:v>BROOK TROUT</x:v>
      </x:c>
      <x:c r="F2349" s="13" t="n">
        <x:v>190</x:v>
      </x:c>
      <x:c r="G2349" s="9" t="n">
        <x:v>47</x:v>
      </x:c>
      <x:c r="H2349" s="9" t="n">
        <x:v>1200</x:v>
      </x:c>
      <x:c r="I2349" s="8" t="str">
        <x:f>B2349&amp;" / "&amp;C2349&amp;" / "&amp;E2349</x:f>
        <x:v>6734 / 2022 / BROOK TROUT</x:v>
      </x:c>
    </x:row>
    <x:row r="2350" ht="23" customHeight="1">
      <x:c r="A2350" s="8" t="str">
        <x:v>Nicholas Sheran Park Pond</x:v>
      </x:c>
      <x:c r="B2350" s="8" t="str">
        <x:v>6734</x:v>
      </x:c>
      <x:c r="C2350" s="17" t="n">
        <x:v>2022</x:v>
      </x:c>
      <x:c r="D2350" s="18" t="n">
        <x:v>44672</x:v>
      </x:c>
      <x:c r="E2350" s="8" t="str">
        <x:v>BROOK TROUT</x:v>
      </x:c>
      <x:c r="F2350" s="13" t="n">
        <x:v>185</x:v>
      </x:c>
      <x:c r="G2350" s="9" t="n">
        <x:v>47</x:v>
      </x:c>
      <x:c r="H2350" s="9" t="n">
        <x:v>1200</x:v>
      </x:c>
      <x:c r="I2350" s="8" t="str">
        <x:f>B2350&amp;" / "&amp;C2350&amp;" / "&amp;E2350</x:f>
        <x:v>6734 / 2022 / BROOK TROUT</x:v>
      </x:c>
    </x:row>
    <x:row r="2351" ht="23" customHeight="1">
      <x:c r="A2351" s="8" t="str">
        <x:v>Nicholas Sheran Park Pond</x:v>
      </x:c>
      <x:c r="B2351" s="8" t="str">
        <x:v>6734</x:v>
      </x:c>
      <x:c r="C2351" s="17" t="n">
        <x:v>2022</x:v>
      </x:c>
      <x:c r="D2351" s="18" t="n">
        <x:v>44657</x:v>
      </x:c>
      <x:c r="E2351" s="8" t="str">
        <x:v>BROOK TROUT</x:v>
      </x:c>
      <x:c r="F2351" s="13" t="n">
        <x:v>2000</x:v>
      </x:c>
      <x:c r="G2351" s="9" t="n">
        <x:v>17.5</x:v>
      </x:c>
      <x:c r="H2351" s="9" t="n">
        <x:v>59.4</x:v>
      </x:c>
      <x:c r="I2351" s="8" t="str">
        <x:f>B2351&amp;" / "&amp;C2351&amp;" / "&amp;E2351</x:f>
        <x:v>6734 / 2022 / BROOK TROUT</x:v>
      </x:c>
    </x:row>
    <x:row r="2352" ht="23" customHeight="1">
      <x:c r="A2352" s="8" t="str">
        <x:v>Nicholas Sheran Park Pond</x:v>
      </x:c>
      <x:c r="B2352" s="8" t="str">
        <x:v>6734</x:v>
      </x:c>
      <x:c r="C2352" s="17" t="n">
        <x:v>2022</x:v>
      </x:c>
      <x:c r="D2352" s="18" t="n">
        <x:v>44719</x:v>
      </x:c>
      <x:c r="E2352" s="8" t="str">
        <x:v>BROWN TROUT</x:v>
      </x:c>
      <x:c r="F2352" s="13" t="n">
        <x:v>2000</x:v>
      </x:c>
      <x:c r="G2352" s="9" t="n">
        <x:v>19.1</x:v>
      </x:c>
      <x:c r="H2352" s="9" t="n">
        <x:v>77.4</x:v>
      </x:c>
      <x:c r="I2352" s="8" t="str">
        <x:f>B2352&amp;" / "&amp;C2352&amp;" / "&amp;E2352</x:f>
        <x:v>6734 / 2022 / BROWN TROUT</x:v>
      </x:c>
    </x:row>
    <x:row r="2353" ht="23" customHeight="1">
      <x:c r="A2353" s="8" t="str">
        <x:v>Nicholas Sheran Park Pond</x:v>
      </x:c>
      <x:c r="B2353" s="8" t="str">
        <x:v>6734</x:v>
      </x:c>
      <x:c r="C2353" s="17" t="n">
        <x:v>2022</x:v>
      </x:c>
      <x:c r="D2353" s="18" t="n">
        <x:v>44657</x:v>
      </x:c>
      <x:c r="E2353" s="8" t="str">
        <x:v>RAINBOW TROUT</x:v>
      </x:c>
      <x:c r="F2353" s="13" t="n">
        <x:v>2000</x:v>
      </x:c>
      <x:c r="G2353" s="9" t="n">
        <x:v>18.7</x:v>
      </x:c>
      <x:c r="H2353" s="9" t="n">
        <x:v>72.5</x:v>
      </x:c>
      <x:c r="I2353" s="8" t="str">
        <x:f>B2353&amp;" / "&amp;C2353&amp;" / "&amp;E2353</x:f>
        <x:v>6734 / 2022 / RAINBOW TROUT</x:v>
      </x:c>
    </x:row>
    <x:row r="2354" ht="23" customHeight="1">
      <x:c r="A2354" s="8" t="str">
        <x:v>Nicholas Sheran Park Pond</x:v>
      </x:c>
      <x:c r="B2354" s="8" t="str">
        <x:v>6734</x:v>
      </x:c>
      <x:c r="C2354" s="17" t="n">
        <x:v>2021</x:v>
      </x:c>
      <x:c r="D2354" s="18" t="n">
        <x:v>44307</x:v>
      </x:c>
      <x:c r="E2354" s="8" t="str">
        <x:v>BROOK TROUT</x:v>
      </x:c>
      <x:c r="F2354" s="13" t="n">
        <x:v>295</x:v>
      </x:c>
      <x:c r="G2354" s="9" t="n">
        <x:v>45</x:v>
      </x:c>
      <x:c r="H2354" s="9" t="n">
        <x:v>820</x:v>
      </x:c>
      <x:c r="I2354" s="8" t="str">
        <x:f>B2354&amp;" / "&amp;C2354&amp;" / "&amp;E2354</x:f>
        <x:v>6734 / 2021 / BROOK TROUT</x:v>
      </x:c>
    </x:row>
    <x:row r="2355" ht="23" customHeight="1">
      <x:c r="A2355" s="8" t="str">
        <x:v>Nicholas Sheran Park Pond</x:v>
      </x:c>
      <x:c r="B2355" s="8" t="str">
        <x:v>6734</x:v>
      </x:c>
      <x:c r="C2355" s="17" t="n">
        <x:v>2021</x:v>
      </x:c>
      <x:c r="D2355" s="18" t="n">
        <x:v>44475</x:v>
      </x:c>
      <x:c r="E2355" s="8" t="str">
        <x:v>BROWN TROUT</x:v>
      </x:c>
      <x:c r="F2355" s="13" t="n">
        <x:v>2000</x:v>
      </x:c>
      <x:c r="G2355" s="9" t="n">
        <x:v>22.3</x:v>
      </x:c>
      <x:c r="H2355" s="9" t="n">
        <x:v>122.4</x:v>
      </x:c>
      <x:c r="I2355" s="8" t="str">
        <x:f>B2355&amp;" / "&amp;C2355&amp;" / "&amp;E2355</x:f>
        <x:v>6734 / 2021 / BROWN TROUT</x:v>
      </x:c>
    </x:row>
    <x:row r="2356" ht="23" customHeight="1">
      <x:c r="A2356" s="8" t="str">
        <x:v>Nicholas Sheran Park Pond</x:v>
      </x:c>
      <x:c r="B2356" s="8" t="str">
        <x:v>6734</x:v>
      </x:c>
      <x:c r="C2356" s="17" t="n">
        <x:v>2021</x:v>
      </x:c>
      <x:c r="D2356" s="18" t="n">
        <x:v>44300</x:v>
      </x:c>
      <x:c r="E2356" s="8" t="str">
        <x:v>RAINBOW TROUT</x:v>
      </x:c>
      <x:c r="F2356" s="13" t="n">
        <x:v>2000</x:v>
      </x:c>
      <x:c r="G2356" s="9" t="n">
        <x:v>20.6</x:v>
      </x:c>
      <x:c r="H2356" s="9" t="n">
        <x:v>96.4</x:v>
      </x:c>
      <x:c r="I2356" s="8" t="str">
        <x:f>B2356&amp;" / "&amp;C2356&amp;" / "&amp;E2356</x:f>
        <x:v>6734 / 2021 / RAINBOW TROUT</x:v>
      </x:c>
    </x:row>
    <x:row r="2357" ht="23" customHeight="1">
      <x:c r="A2357" s="8" t="str">
        <x:v>Niton Lake</x:v>
      </x:c>
      <x:c r="B2357" s="8" t="str">
        <x:v>6647</x:v>
      </x:c>
      <x:c r="C2357" s="17" t="n">
        <x:v>2026</x:v>
      </x:c>
      <x:c r="D2357" s="18" t="n">
        <x:v>46167</x:v>
      </x:c>
      <x:c r="E2357" s="8" t="str">
        <x:v>RAINBOW TROUT</x:v>
      </x:c>
      <x:c r="F2357" s="13" t="n">
        <x:v>1500</x:v>
      </x:c>
      <x:c r="G2357" s="9" t="n">
        <x:v>23.3</x:v>
      </x:c>
      <x:c r="H2357" s="9" t="n">
        <x:v>137.1</x:v>
      </x:c>
      <x:c r="I2357" s="8" t="str">
        <x:f>B2357&amp;" / "&amp;C2357&amp;" / "&amp;E2357</x:f>
        <x:v>6647 / 2026 / RAINBOW TROUT</x:v>
      </x:c>
    </x:row>
    <x:row r="2358" ht="23" customHeight="1">
      <x:c r="A2358" s="8" t="str">
        <x:v>Niton Lake</x:v>
      </x:c>
      <x:c r="B2358" s="8" t="str">
        <x:v>6647</x:v>
      </x:c>
      <x:c r="C2358" s="17" t="n">
        <x:v>2025</x:v>
      </x:c>
      <x:c r="D2358" s="18" t="n">
        <x:v>45790</x:v>
      </x:c>
      <x:c r="E2358" s="8" t="str">
        <x:v>RAINBOW TROUT</x:v>
      </x:c>
      <x:c r="F2358" s="13" t="n">
        <x:v>1500</x:v>
      </x:c>
      <x:c r="G2358" s="9" t="n">
        <x:v>23.7</x:v>
      </x:c>
      <x:c r="H2358" s="9" t="n">
        <x:v>143.9</x:v>
      </x:c>
      <x:c r="I2358" s="8" t="str">
        <x:f>B2358&amp;" / "&amp;C2358&amp;" / "&amp;E2358</x:f>
        <x:v>6647 / 2025 / RAINBOW TROUT</x:v>
      </x:c>
    </x:row>
    <x:row r="2359" ht="23" customHeight="1">
      <x:c r="A2359" s="8" t="str">
        <x:v>Niton Lake</x:v>
      </x:c>
      <x:c r="B2359" s="8" t="str">
        <x:v>6647</x:v>
      </x:c>
      <x:c r="C2359" s="17" t="n">
        <x:v>2024</x:v>
      </x:c>
      <x:c r="D2359" s="18" t="n">
        <x:v>45425</x:v>
      </x:c>
      <x:c r="E2359" s="8" t="str">
        <x:v>RAINBOW TROUT</x:v>
      </x:c>
      <x:c r="F2359" s="13" t="n">
        <x:v>753</x:v>
      </x:c>
      <x:c r="G2359" s="9" t="n">
        <x:v>23</x:v>
      </x:c>
      <x:c r="H2359" s="9" t="n">
        <x:v>131</x:v>
      </x:c>
      <x:c r="I2359" s="8" t="str">
        <x:f>B2359&amp;" / "&amp;C2359&amp;" / "&amp;E2359</x:f>
        <x:v>6647 / 2024 / RAINBOW TROUT</x:v>
      </x:c>
    </x:row>
    <x:row r="2360" ht="23" customHeight="1">
      <x:c r="A2360" s="8" t="str">
        <x:v>Niton Lake</x:v>
      </x:c>
      <x:c r="B2360" s="8" t="str">
        <x:v>6647</x:v>
      </x:c>
      <x:c r="C2360" s="17" t="n">
        <x:v>2023</x:v>
      </x:c>
      <x:c r="D2360" s="18" t="n">
        <x:v>45064</x:v>
      </x:c>
      <x:c r="E2360" s="8" t="str">
        <x:v>RAINBOW TROUT</x:v>
      </x:c>
      <x:c r="F2360" s="13" t="n">
        <x:v>753</x:v>
      </x:c>
      <x:c r="G2360" s="9" t="n">
        <x:v>21.7</x:v>
      </x:c>
      <x:c r="H2360" s="9" t="n">
        <x:v>111.1</x:v>
      </x:c>
      <x:c r="I2360" s="8" t="str">
        <x:f>B2360&amp;" / "&amp;C2360&amp;" / "&amp;E2360</x:f>
        <x:v>6647 / 2023 / RAINBOW TROUT</x:v>
      </x:c>
    </x:row>
    <x:row r="2361" ht="23" customHeight="1">
      <x:c r="A2361" s="8" t="str">
        <x:v>Niton Lake</x:v>
      </x:c>
      <x:c r="B2361" s="8" t="str">
        <x:v>6647</x:v>
      </x:c>
      <x:c r="C2361" s="17" t="n">
        <x:v>2022</x:v>
      </x:c>
      <x:c r="D2361" s="18" t="n">
        <x:v>44699</x:v>
      </x:c>
      <x:c r="E2361" s="8" t="str">
        <x:v>RAINBOW TROUT</x:v>
      </x:c>
      <x:c r="F2361" s="13" t="n">
        <x:v>1500</x:v>
      </x:c>
      <x:c r="G2361" s="9" t="n">
        <x:v>20.4</x:v>
      </x:c>
      <x:c r="H2361" s="9" t="n">
        <x:v>94.2</x:v>
      </x:c>
      <x:c r="I2361" s="8" t="str">
        <x:f>B2361&amp;" / "&amp;C2361&amp;" / "&amp;E2361</x:f>
        <x:v>6647 / 2022 / RAINBOW TROUT</x:v>
      </x:c>
    </x:row>
    <x:row r="2362" ht="23" customHeight="1">
      <x:c r="A2362" s="8" t="str">
        <x:v>Niton Lake</x:v>
      </x:c>
      <x:c r="B2362" s="8" t="str">
        <x:v>6647</x:v>
      </x:c>
      <x:c r="C2362" s="17" t="n">
        <x:v>2021</x:v>
      </x:c>
      <x:c r="D2362" s="18" t="n">
        <x:v>44315</x:v>
      </x:c>
      <x:c r="E2362" s="8" t="str">
        <x:v>RAINBOW TROUT</x:v>
      </x:c>
      <x:c r="F2362" s="13" t="n">
        <x:v>1500</x:v>
      </x:c>
      <x:c r="G2362" s="9" t="n">
        <x:v>16.3</x:v>
      </x:c>
      <x:c r="H2362" s="9" t="n">
        <x:v>48.8</x:v>
      </x:c>
      <x:c r="I2362" s="8" t="str">
        <x:f>B2362&amp;" / "&amp;C2362&amp;" / "&amp;E2362</x:f>
        <x:v>6647 / 2021 / RAINBOW TROUT</x:v>
      </x:c>
    </x:row>
    <x:row r="2363" ht="23" customHeight="1">
      <x:c r="A2363" s="8" t="str">
        <x:v>Nordegg Borrow Pit (East)</x:v>
      </x:c>
      <x:c r="B2363" s="8" t="str">
        <x:v>6914</x:v>
      </x:c>
      <x:c r="C2363" s="17" t="n">
        <x:v>2026</x:v>
      </x:c>
      <x:c r="D2363" s="18" t="n">
        <x:v>46161</x:v>
      </x:c>
      <x:c r="E2363" s="8" t="str">
        <x:v>RAINBOW TROUT</x:v>
      </x:c>
      <x:c r="F2363" s="13" t="n">
        <x:v>300</x:v>
      </x:c>
      <x:c r="G2363" s="9" t="n">
        <x:v>22.9</x:v>
      </x:c>
      <x:c r="H2363" s="9" t="n">
        <x:v>130</x:v>
      </x:c>
      <x:c r="I2363" s="8" t="str">
        <x:f>B2363&amp;" / "&amp;C2363&amp;" / "&amp;E2363</x:f>
        <x:v>6914 / 2026 / RAINBOW TROUT</x:v>
      </x:c>
    </x:row>
    <x:row r="2364" ht="23" customHeight="1">
      <x:c r="A2364" s="8" t="str">
        <x:v>Nordegg Borrow Pit (East)</x:v>
      </x:c>
      <x:c r="B2364" s="8" t="str">
        <x:v>6914</x:v>
      </x:c>
      <x:c r="C2364" s="17" t="n">
        <x:v>2025</x:v>
      </x:c>
      <x:c r="D2364" s="18" t="n">
        <x:v>45805</x:v>
      </x:c>
      <x:c r="E2364" s="8" t="str">
        <x:v>RAINBOW TROUT</x:v>
      </x:c>
      <x:c r="F2364" s="13" t="n">
        <x:v>300</x:v>
      </x:c>
      <x:c r="G2364" s="9" t="n">
        <x:v>23</x:v>
      </x:c>
      <x:c r="H2364" s="9" t="n">
        <x:v>132</x:v>
      </x:c>
      <x:c r="I2364" s="8" t="str">
        <x:f>B2364&amp;" / "&amp;C2364&amp;" / "&amp;E2364</x:f>
        <x:v>6914 / 2025 / RAINBOW TROUT</x:v>
      </x:c>
    </x:row>
    <x:row r="2365" ht="23" customHeight="1">
      <x:c r="A2365" s="8" t="str">
        <x:v>Nordegg Borrow Pit (East)</x:v>
      </x:c>
      <x:c r="B2365" s="8" t="str">
        <x:v>6914</x:v>
      </x:c>
      <x:c r="C2365" s="17" t="n">
        <x:v>2024</x:v>
      </x:c>
      <x:c r="D2365" s="18" t="n">
        <x:v>45447</x:v>
      </x:c>
      <x:c r="E2365" s="8" t="str">
        <x:v>RAINBOW TROUT</x:v>
      </x:c>
      <x:c r="F2365" s="13" t="n">
        <x:v>20</x:v>
      </x:c>
      <x:c r="G2365" s="9" t="n">
        <x:v>45</x:v>
      </x:c>
      <x:c r="H2365" s="9" t="n">
        <x:v>1670</x:v>
      </x:c>
      <x:c r="I2365" s="8" t="str">
        <x:f>B2365&amp;" / "&amp;C2365&amp;" / "&amp;E2365</x:f>
        <x:v>6914 / 2024 / RAINBOW TROUT</x:v>
      </x:c>
    </x:row>
    <x:row r="2366" ht="23" customHeight="1">
      <x:c r="A2366" s="8" t="str">
        <x:v>Nordegg Borrow Pit (East)</x:v>
      </x:c>
      <x:c r="B2366" s="8" t="str">
        <x:v>6914</x:v>
      </x:c>
      <x:c r="C2366" s="17" t="n">
        <x:v>2024</x:v>
      </x:c>
      <x:c r="D2366" s="18" t="n">
        <x:v>45419</x:v>
      </x:c>
      <x:c r="E2366" s="8" t="str">
        <x:v>RAINBOW TROUT</x:v>
      </x:c>
      <x:c r="F2366" s="13" t="n">
        <x:v>151</x:v>
      </x:c>
      <x:c r="G2366" s="9" t="n">
        <x:v>23.1</x:v>
      </x:c>
      <x:c r="H2366" s="9" t="n">
        <x:v>133.8</x:v>
      </x:c>
      <x:c r="I2366" s="8" t="str">
        <x:f>B2366&amp;" / "&amp;C2366&amp;" / "&amp;E2366</x:f>
        <x:v>6914 / 2024 / RAINBOW TROUT</x:v>
      </x:c>
    </x:row>
    <x:row r="2367" ht="23" customHeight="1">
      <x:c r="A2367" s="8" t="str">
        <x:v>Nordegg Borrow Pit (East)</x:v>
      </x:c>
      <x:c r="B2367" s="8" t="str">
        <x:v>6914</x:v>
      </x:c>
      <x:c r="C2367" s="17" t="n">
        <x:v>2023</x:v>
      </x:c>
      <x:c r="D2367" s="18" t="n">
        <x:v>45061</x:v>
      </x:c>
      <x:c r="E2367" s="8" t="str">
        <x:v>RAINBOW TROUT</x:v>
      </x:c>
      <x:c r="F2367" s="13" t="n">
        <x:v>151</x:v>
      </x:c>
      <x:c r="G2367" s="9" t="n">
        <x:v>21.8</x:v>
      </x:c>
      <x:c r="H2367" s="9" t="n">
        <x:v>111.3</x:v>
      </x:c>
      <x:c r="I2367" s="8" t="str">
        <x:f>B2367&amp;" / "&amp;C2367&amp;" / "&amp;E2367</x:f>
        <x:v>6914 / 2023 / RAINBOW TROUT</x:v>
      </x:c>
    </x:row>
    <x:row r="2368" ht="23" customHeight="1">
      <x:c r="A2368" s="8" t="str">
        <x:v>Nordegg Borrow Pit (East)</x:v>
      </x:c>
      <x:c r="B2368" s="8" t="str">
        <x:v>6914</x:v>
      </x:c>
      <x:c r="C2368" s="17" t="n">
        <x:v>2022</x:v>
      </x:c>
      <x:c r="D2368" s="18" t="n">
        <x:v>44704</x:v>
      </x:c>
      <x:c r="E2368" s="8" t="str">
        <x:v>RAINBOW TROUT</x:v>
      </x:c>
      <x:c r="F2368" s="13" t="n">
        <x:v>300</x:v>
      </x:c>
      <x:c r="G2368" s="9" t="n">
        <x:v>24.7</x:v>
      </x:c>
      <x:c r="H2368" s="9" t="n">
        <x:v>105</x:v>
      </x:c>
      <x:c r="I2368" s="8" t="str">
        <x:f>B2368&amp;" / "&amp;C2368&amp;" / "&amp;E2368</x:f>
        <x:v>6914 / 2022 / RAINBOW TROUT</x:v>
      </x:c>
    </x:row>
    <x:row r="2369" ht="23" customHeight="1">
      <x:c r="A2369" s="8" t="str">
        <x:v>Nordegg Borrow Pit (East)</x:v>
      </x:c>
      <x:c r="B2369" s="8" t="str">
        <x:v>6914</x:v>
      </x:c>
      <x:c r="C2369" s="17" t="n">
        <x:v>2021</x:v>
      </x:c>
      <x:c r="D2369" s="18" t="n">
        <x:v>44332</x:v>
      </x:c>
      <x:c r="E2369" s="8" t="str">
        <x:v>RAINBOW TROUT</x:v>
      </x:c>
      <x:c r="F2369" s="13" t="n">
        <x:v>5</x:v>
      </x:c>
      <x:c r="G2369" s="9" t="n">
        <x:v>50</x:v>
      </x:c>
      <x:c r="H2369" s="9" t="n">
        <x:v>2600</x:v>
      </x:c>
      <x:c r="I2369" s="8" t="str">
        <x:f>B2369&amp;" / "&amp;C2369&amp;" / "&amp;E2369</x:f>
        <x:v>6914 / 2021 / RAINBOW TROUT</x:v>
      </x:c>
    </x:row>
    <x:row r="2370" ht="23" customHeight="1">
      <x:c r="A2370" s="8" t="str">
        <x:v>Nordegg Borrow Pit (East)</x:v>
      </x:c>
      <x:c r="B2370" s="8" t="str">
        <x:v>6914</x:v>
      </x:c>
      <x:c r="C2370" s="17" t="n">
        <x:v>2021</x:v>
      </x:c>
      <x:c r="D2370" s="18" t="n">
        <x:v>44332</x:v>
      </x:c>
      <x:c r="E2370" s="8" t="str">
        <x:v>RAINBOW TROUT</x:v>
      </x:c>
      <x:c r="F2370" s="13" t="n">
        <x:v>300</x:v>
      </x:c>
      <x:c r="G2370" s="9" t="n">
        <x:v>16.3</x:v>
      </x:c>
      <x:c r="H2370" s="9" t="n">
        <x:v>47.7</x:v>
      </x:c>
      <x:c r="I2370" s="8" t="str">
        <x:f>B2370&amp;" / "&amp;C2370&amp;" / "&amp;E2370</x:f>
        <x:v>6914 / 2021 / RAINBOW TROUT</x:v>
      </x:c>
    </x:row>
    <x:row r="2371" ht="23" customHeight="1">
      <x:c r="A2371" s="8" t="str">
        <x:v>Nordegg Borrow Pit (West)</x:v>
      </x:c>
      <x:c r="B2371" s="8" t="str">
        <x:v>6915</x:v>
      </x:c>
      <x:c r="C2371" s="17" t="n">
        <x:v>2026</x:v>
      </x:c>
      <x:c r="D2371" s="18" t="n">
        <x:v>46161</x:v>
      </x:c>
      <x:c r="E2371" s="8" t="str">
        <x:v>RAINBOW TROUT</x:v>
      </x:c>
      <x:c r="F2371" s="13" t="n">
        <x:v>400</x:v>
      </x:c>
      <x:c r="G2371" s="9" t="n">
        <x:v>22.9</x:v>
      </x:c>
      <x:c r="H2371" s="9" t="n">
        <x:v>130</x:v>
      </x:c>
      <x:c r="I2371" s="8" t="str">
        <x:f>B2371&amp;" / "&amp;C2371&amp;" / "&amp;E2371</x:f>
        <x:v>6915 / 2026 / RAINBOW TROUT</x:v>
      </x:c>
    </x:row>
    <x:row r="2372" ht="23" customHeight="1">
      <x:c r="A2372" s="8" t="str">
        <x:v>Nordegg Borrow Pit (West)</x:v>
      </x:c>
      <x:c r="B2372" s="8" t="str">
        <x:v>6915</x:v>
      </x:c>
      <x:c r="C2372" s="17" t="n">
        <x:v>2025</x:v>
      </x:c>
      <x:c r="D2372" s="18" t="n">
        <x:v>45805</x:v>
      </x:c>
      <x:c r="E2372" s="8" t="str">
        <x:v>RAINBOW TROUT</x:v>
      </x:c>
      <x:c r="F2372" s="13" t="n">
        <x:v>400</x:v>
      </x:c>
      <x:c r="G2372" s="9" t="n">
        <x:v>23</x:v>
      </x:c>
      <x:c r="H2372" s="9" t="n">
        <x:v>132</x:v>
      </x:c>
      <x:c r="I2372" s="8" t="str">
        <x:f>B2372&amp;" / "&amp;C2372&amp;" / "&amp;E2372</x:f>
        <x:v>6915 / 2025 / RAINBOW TROUT</x:v>
      </x:c>
    </x:row>
    <x:row r="2373" ht="23" customHeight="1">
      <x:c r="A2373" s="8" t="str">
        <x:v>Nordegg Borrow Pit (West)</x:v>
      </x:c>
      <x:c r="B2373" s="8" t="str">
        <x:v>6915</x:v>
      </x:c>
      <x:c r="C2373" s="17" t="n">
        <x:v>2024</x:v>
      </x:c>
      <x:c r="D2373" s="18" t="n">
        <x:v>45447</x:v>
      </x:c>
      <x:c r="E2373" s="8" t="str">
        <x:v>RAINBOW TROUT</x:v>
      </x:c>
      <x:c r="F2373" s="13" t="n">
        <x:v>20</x:v>
      </x:c>
      <x:c r="G2373" s="9" t="n">
        <x:v>45</x:v>
      </x:c>
      <x:c r="H2373" s="9" t="n">
        <x:v>1670</x:v>
      </x:c>
      <x:c r="I2373" s="8" t="str">
        <x:f>B2373&amp;" / "&amp;C2373&amp;" / "&amp;E2373</x:f>
        <x:v>6915 / 2024 / RAINBOW TROUT</x:v>
      </x:c>
    </x:row>
    <x:row r="2374" ht="23" customHeight="1">
      <x:c r="A2374" s="8" t="str">
        <x:v>Nordegg Borrow Pit (West)</x:v>
      </x:c>
      <x:c r="B2374" s="8" t="str">
        <x:v>6915</x:v>
      </x:c>
      <x:c r="C2374" s="17" t="n">
        <x:v>2024</x:v>
      </x:c>
      <x:c r="D2374" s="18" t="n">
        <x:v>45419</x:v>
      </x:c>
      <x:c r="E2374" s="8" t="str">
        <x:v>RAINBOW TROUT</x:v>
      </x:c>
      <x:c r="F2374" s="13" t="n">
        <x:v>201</x:v>
      </x:c>
      <x:c r="G2374" s="9" t="n">
        <x:v>23.1</x:v>
      </x:c>
      <x:c r="H2374" s="9" t="n">
        <x:v>133.8</x:v>
      </x:c>
      <x:c r="I2374" s="8" t="str">
        <x:f>B2374&amp;" / "&amp;C2374&amp;" / "&amp;E2374</x:f>
        <x:v>6915 / 2024 / RAINBOW TROUT</x:v>
      </x:c>
    </x:row>
    <x:row r="2375" ht="23" customHeight="1">
      <x:c r="A2375" s="8" t="str">
        <x:v>Nordegg Borrow Pit (West)</x:v>
      </x:c>
      <x:c r="B2375" s="8" t="str">
        <x:v>6915</x:v>
      </x:c>
      <x:c r="C2375" s="17" t="n">
        <x:v>2023</x:v>
      </x:c>
      <x:c r="D2375" s="18" t="n">
        <x:v>45061</x:v>
      </x:c>
      <x:c r="E2375" s="8" t="str">
        <x:v>RAINBOW TROUT</x:v>
      </x:c>
      <x:c r="F2375" s="13" t="n">
        <x:v>201</x:v>
      </x:c>
      <x:c r="G2375" s="9" t="n">
        <x:v>21.3</x:v>
      </x:c>
      <x:c r="H2375" s="9" t="n">
        <x:v>104.4</x:v>
      </x:c>
      <x:c r="I2375" s="8" t="str">
        <x:f>B2375&amp;" / "&amp;C2375&amp;" / "&amp;E2375</x:f>
        <x:v>6915 / 2023 / RAINBOW TROUT</x:v>
      </x:c>
    </x:row>
    <x:row r="2376" ht="23" customHeight="1">
      <x:c r="A2376" s="8" t="str">
        <x:v>Nordegg Borrow Pit (West)</x:v>
      </x:c>
      <x:c r="B2376" s="8" t="str">
        <x:v>6915</x:v>
      </x:c>
      <x:c r="C2376" s="17" t="n">
        <x:v>2022</x:v>
      </x:c>
      <x:c r="D2376" s="18" t="n">
        <x:v>44704</x:v>
      </x:c>
      <x:c r="E2376" s="8" t="str">
        <x:v>RAINBOW TROUT</x:v>
      </x:c>
      <x:c r="F2376" s="13" t="n">
        <x:v>400</x:v>
      </x:c>
      <x:c r="G2376" s="9" t="n">
        <x:v>24.7</x:v>
      </x:c>
      <x:c r="H2376" s="9" t="n">
        <x:v>105</x:v>
      </x:c>
      <x:c r="I2376" s="8" t="str">
        <x:f>B2376&amp;" / "&amp;C2376&amp;" / "&amp;E2376</x:f>
        <x:v>6915 / 2022 / RAINBOW TROUT</x:v>
      </x:c>
    </x:row>
    <x:row r="2377" ht="23" customHeight="1">
      <x:c r="A2377" s="8" t="str">
        <x:v>Nordegg Borrow Pit (West)</x:v>
      </x:c>
      <x:c r="B2377" s="8" t="str">
        <x:v>6915</x:v>
      </x:c>
      <x:c r="C2377" s="17" t="n">
        <x:v>2021</x:v>
      </x:c>
      <x:c r="D2377" s="18" t="n">
        <x:v>44332</x:v>
      </x:c>
      <x:c r="E2377" s="8" t="str">
        <x:v>RAINBOW TROUT</x:v>
      </x:c>
      <x:c r="F2377" s="13" t="n">
        <x:v>5</x:v>
      </x:c>
      <x:c r="G2377" s="9" t="n">
        <x:v>50</x:v>
      </x:c>
      <x:c r="H2377" s="9" t="n">
        <x:v>2600</x:v>
      </x:c>
      <x:c r="I2377" s="8" t="str">
        <x:f>B2377&amp;" / "&amp;C2377&amp;" / "&amp;E2377</x:f>
        <x:v>6915 / 2021 / RAINBOW TROUT</x:v>
      </x:c>
    </x:row>
    <x:row r="2378" ht="23" customHeight="1">
      <x:c r="A2378" s="8" t="str">
        <x:v>Nordegg Borrow Pit (West)</x:v>
      </x:c>
      <x:c r="B2378" s="8" t="str">
        <x:v>6915</x:v>
      </x:c>
      <x:c r="C2378" s="17" t="n">
        <x:v>2021</x:v>
      </x:c>
      <x:c r="D2378" s="18" t="n">
        <x:v>44332</x:v>
      </x:c>
      <x:c r="E2378" s="8" t="str">
        <x:v>RAINBOW TROUT</x:v>
      </x:c>
      <x:c r="F2378" s="13" t="n">
        <x:v>400</x:v>
      </x:c>
      <x:c r="G2378" s="9" t="n">
        <x:v>16.3</x:v>
      </x:c>
      <x:c r="H2378" s="9" t="n">
        <x:v>47.7</x:v>
      </x:c>
      <x:c r="I2378" s="8" t="str">
        <x:f>B2378&amp;" / "&amp;C2378&amp;" / "&amp;E2378</x:f>
        <x:v>6915 / 2021 / RAINBOW TROUT</x:v>
      </x:c>
    </x:row>
    <x:row r="2379" ht="23" customHeight="1">
      <x:c r="A2379" s="8" t="str">
        <x:v>North Two Lake</x:v>
      </x:c>
      <x:c r="B2379" s="8" t="str">
        <x:v>6535</x:v>
      </x:c>
      <x:c r="C2379" s="17" t="n">
        <x:v>2026</x:v>
      </x:c>
      <x:c r="D2379" s="18" t="n">
        <x:v>46189</x:v>
      </x:c>
      <x:c r="E2379" s="8" t="str">
        <x:v>RAINBOW TROUT</x:v>
      </x:c>
      <x:c r="F2379" s="13" t="n">
        <x:v>7200</x:v>
      </x:c>
      <x:c r="G2379" s="9" t="n">
        <x:v>18.1</x:v>
      </x:c>
      <x:c r="H2379" s="9" t="n">
        <x:v>65.7</x:v>
      </x:c>
      <x:c r="I2379" s="8" t="str">
        <x:f>B2379&amp;" / "&amp;C2379&amp;" / "&amp;E2379</x:f>
        <x:v>6535 / 2026 / RAINBOW TROUT</x:v>
      </x:c>
    </x:row>
    <x:row r="2380" ht="23" customHeight="1">
      <x:c r="A2380" s="8" t="str">
        <x:v>North Two Lake</x:v>
      </x:c>
      <x:c r="B2380" s="8" t="str">
        <x:v>6535</x:v>
      </x:c>
      <x:c r="C2380" s="17" t="n">
        <x:v>2025</x:v>
      </x:c>
      <x:c r="D2380" s="18" t="n">
        <x:v>45804</x:v>
      </x:c>
      <x:c r="E2380" s="8" t="str">
        <x:v>RAINBOW TROUT</x:v>
      </x:c>
      <x:c r="F2380" s="13" t="n">
        <x:v>7200</x:v>
      </x:c>
      <x:c r="G2380" s="9" t="n">
        <x:v>18.4</x:v>
      </x:c>
      <x:c r="H2380" s="9" t="n">
        <x:v>69.1</x:v>
      </x:c>
      <x:c r="I2380" s="8" t="str">
        <x:f>B2380&amp;" / "&amp;C2380&amp;" / "&amp;E2380</x:f>
        <x:v>6535 / 2025 / RAINBOW TROUT</x:v>
      </x:c>
    </x:row>
    <x:row r="2381" ht="23" customHeight="1">
      <x:c r="A2381" s="8" t="str">
        <x:v>North Two Lake</x:v>
      </x:c>
      <x:c r="B2381" s="8" t="str">
        <x:v>6535</x:v>
      </x:c>
      <x:c r="C2381" s="17" t="n">
        <x:v>2024</x:v>
      </x:c>
      <x:c r="D2381" s="18" t="n">
        <x:v>45433</x:v>
      </x:c>
      <x:c r="E2381" s="8" t="str">
        <x:v>RAINBOW TROUT</x:v>
      </x:c>
      <x:c r="F2381" s="13" t="n">
        <x:v>3600</x:v>
      </x:c>
      <x:c r="G2381" s="9" t="n">
        <x:v>20.7</x:v>
      </x:c>
      <x:c r="H2381" s="9" t="n">
        <x:v>96</x:v>
      </x:c>
      <x:c r="I2381" s="8" t="str">
        <x:f>B2381&amp;" / "&amp;C2381&amp;" / "&amp;E2381</x:f>
        <x:v>6535 / 2024 / RAINBOW TROUT</x:v>
      </x:c>
    </x:row>
    <x:row r="2382" ht="23" customHeight="1">
      <x:c r="A2382" s="8" t="str">
        <x:v>North Two Lake</x:v>
      </x:c>
      <x:c r="B2382" s="8" t="str">
        <x:v>6535</x:v>
      </x:c>
      <x:c r="C2382" s="17" t="n">
        <x:v>2023</x:v>
      </x:c>
      <x:c r="D2382" s="18" t="n">
        <x:v>45077</x:v>
      </x:c>
      <x:c r="E2382" s="8" t="str">
        <x:v>RAINBOW TROUT</x:v>
      </x:c>
      <x:c r="F2382" s="13" t="n">
        <x:v>3413</x:v>
      </x:c>
      <x:c r="G2382" s="9" t="n">
        <x:v>17.8</x:v>
      </x:c>
      <x:c r="H2382" s="9" t="n">
        <x:v>60.5</x:v>
      </x:c>
      <x:c r="I2382" s="8" t="str">
        <x:f>B2382&amp;" / "&amp;C2382&amp;" / "&amp;E2382</x:f>
        <x:v>6535 / 2023 / RAINBOW TROUT</x:v>
      </x:c>
    </x:row>
    <x:row r="2383" ht="23" customHeight="1">
      <x:c r="A2383" s="8" t="str">
        <x:v>North Two Lake</x:v>
      </x:c>
      <x:c r="B2383" s="8" t="str">
        <x:v>6535</x:v>
      </x:c>
      <x:c r="C2383" s="17" t="n">
        <x:v>2022</x:v>
      </x:c>
      <x:c r="D2383" s="18" t="n">
        <x:v>44713</x:v>
      </x:c>
      <x:c r="E2383" s="8" t="str">
        <x:v>RAINBOW TROUT</x:v>
      </x:c>
      <x:c r="F2383" s="13" t="n">
        <x:v>7200</x:v>
      </x:c>
      <x:c r="G2383" s="9" t="n">
        <x:v>13.5</x:v>
      </x:c>
      <x:c r="H2383" s="9" t="n">
        <x:v>27.3</x:v>
      </x:c>
      <x:c r="I2383" s="8" t="str">
        <x:f>B2383&amp;" / "&amp;C2383&amp;" / "&amp;E2383</x:f>
        <x:v>6535 / 2022 / RAINBOW TROUT</x:v>
      </x:c>
    </x:row>
    <x:row r="2384" ht="23" customHeight="1">
      <x:c r="A2384" s="8" t="str">
        <x:v>North Two Lake</x:v>
      </x:c>
      <x:c r="B2384" s="8" t="str">
        <x:v>6535</x:v>
      </x:c>
      <x:c r="C2384" s="17" t="n">
        <x:v>2021</x:v>
      </x:c>
      <x:c r="D2384" s="18" t="n">
        <x:v>44342</x:v>
      </x:c>
      <x:c r="E2384" s="8" t="str">
        <x:v>RAINBOW TROUT</x:v>
      </x:c>
      <x:c r="F2384" s="13" t="n">
        <x:v>7200</x:v>
      </x:c>
      <x:c r="G2384" s="9" t="n">
        <x:v>14.4</x:v>
      </x:c>
      <x:c r="H2384" s="9" t="n">
        <x:v>32.9</x:v>
      </x:c>
      <x:c r="I2384" s="8" t="str">
        <x:f>B2384&amp;" / "&amp;C2384&amp;" / "&amp;E2384</x:f>
        <x:v>6535 / 2021 / RAINBOW TROUT</x:v>
      </x:c>
    </x:row>
    <x:row r="2385" ht="23" customHeight="1">
      <x:c r="A2385" s="8" t="str">
        <x:v>Nose Creek Pond</x:v>
      </x:c>
      <x:c r="B2385" s="8" t="str">
        <x:v>6671</x:v>
      </x:c>
      <x:c r="C2385" s="17" t="n">
        <x:v>2026</x:v>
      </x:c>
      <x:c r="D2385" s="18" t="n">
        <x:v>46135</x:v>
      </x:c>
      <x:c r="E2385" s="8" t="str">
        <x:v>RAINBOW TROUT</x:v>
      </x:c>
      <x:c r="F2385" s="13" t="n">
        <x:v>350</x:v>
      </x:c>
      <x:c r="G2385" s="9" t="n">
        <x:v>22.3</x:v>
      </x:c>
      <x:c r="H2385" s="9" t="n">
        <x:v>92.6</x:v>
      </x:c>
      <x:c r="I2385" s="8" t="str">
        <x:f>B2385&amp;" / "&amp;C2385&amp;" / "&amp;E2385</x:f>
        <x:v>6671 / 2026 / RAINBOW TROUT</x:v>
      </x:c>
    </x:row>
    <x:row r="2386" ht="23" customHeight="1">
      <x:c r="A2386" s="8" t="str">
        <x:v>Nose Creek Pond</x:v>
      </x:c>
      <x:c r="B2386" s="8" t="str">
        <x:v>6671</x:v>
      </x:c>
      <x:c r="C2386" s="17" t="n">
        <x:v>2025</x:v>
      </x:c>
      <x:c r="D2386" s="18" t="n">
        <x:v>45791</x:v>
      </x:c>
      <x:c r="E2386" s="8" t="str">
        <x:v>RAINBOW TROUT</x:v>
      </x:c>
      <x:c r="F2386" s="13" t="n">
        <x:v>50</x:v>
      </x:c>
      <x:c r="G2386" s="9" t="n">
        <x:v>30</x:v>
      </x:c>
      <x:c r="H2386" s="9" t="n">
        <x:v>400</x:v>
      </x:c>
      <x:c r="I2386" s="8" t="str">
        <x:f>B2386&amp;" / "&amp;C2386&amp;" / "&amp;E2386</x:f>
        <x:v>6671 / 2025 / RAINBOW TROUT</x:v>
      </x:c>
    </x:row>
    <x:row r="2387" ht="23" customHeight="1">
      <x:c r="A2387" s="8" t="str">
        <x:v>Nose Creek Pond</x:v>
      </x:c>
      <x:c r="B2387" s="8" t="str">
        <x:v>6671</x:v>
      </x:c>
      <x:c r="C2387" s="17" t="n">
        <x:v>2025</x:v>
      </x:c>
      <x:c r="D2387" s="18" t="n">
        <x:v>45791</x:v>
      </x:c>
      <x:c r="E2387" s="8" t="str">
        <x:v>RAINBOW TROUT</x:v>
      </x:c>
      <x:c r="F2387" s="13" t="n">
        <x:v>350</x:v>
      </x:c>
      <x:c r="G2387" s="9" t="n">
        <x:v>21</x:v>
      </x:c>
      <x:c r="H2387" s="9" t="n">
        <x:v>89</x:v>
      </x:c>
      <x:c r="I2387" s="8" t="str">
        <x:f>B2387&amp;" / "&amp;C2387&amp;" / "&amp;E2387</x:f>
        <x:v>6671 / 2025 / RAINBOW TROUT</x:v>
      </x:c>
    </x:row>
    <x:row r="2388" ht="23" customHeight="1">
      <x:c r="A2388" s="8" t="str">
        <x:v>Nose Creek Pond</x:v>
      </x:c>
      <x:c r="B2388" s="8" t="str">
        <x:v>6671</x:v>
      </x:c>
      <x:c r="C2388" s="17" t="n">
        <x:v>2024</x:v>
      </x:c>
      <x:c r="D2388" s="18" t="n">
        <x:v>45427</x:v>
      </x:c>
      <x:c r="E2388" s="8" t="str">
        <x:v>RAINBOW TROUT</x:v>
      </x:c>
      <x:c r="F2388" s="13" t="n">
        <x:v>50</x:v>
      </x:c>
      <x:c r="G2388" s="9" t="n">
        <x:v>30.1</x:v>
      </x:c>
      <x:c r="H2388" s="9" t="n">
        <x:v>265.1</x:v>
      </x:c>
      <x:c r="I2388" s="8" t="str">
        <x:f>B2388&amp;" / "&amp;C2388&amp;" / "&amp;E2388</x:f>
        <x:v>6671 / 2024 / RAINBOW TROUT</x:v>
      </x:c>
    </x:row>
    <x:row r="2389" ht="23" customHeight="1">
      <x:c r="A2389" s="8" t="str">
        <x:v>Nose Creek Pond</x:v>
      </x:c>
      <x:c r="B2389" s="8" t="str">
        <x:v>6671</x:v>
      </x:c>
      <x:c r="C2389" s="17" t="n">
        <x:v>2024</x:v>
      </x:c>
      <x:c r="D2389" s="18" t="n">
        <x:v>45427</x:v>
      </x:c>
      <x:c r="E2389" s="8" t="str">
        <x:v>RAINBOW TROUT</x:v>
      </x:c>
      <x:c r="F2389" s="13" t="n">
        <x:v>350</x:v>
      </x:c>
      <x:c r="G2389" s="9" t="n">
        <x:v>20.4</x:v>
      </x:c>
      <x:c r="H2389" s="9" t="n">
        <x:v>90.1</x:v>
      </x:c>
      <x:c r="I2389" s="8" t="str">
        <x:f>B2389&amp;" / "&amp;C2389&amp;" / "&amp;E2389</x:f>
        <x:v>6671 / 2024 / RAINBOW TROUT</x:v>
      </x:c>
    </x:row>
    <x:row r="2390" ht="23" customHeight="1">
      <x:c r="A2390" s="8" t="str">
        <x:v>Nose Creek Pond</x:v>
      </x:c>
      <x:c r="B2390" s="8" t="str">
        <x:v>6671</x:v>
      </x:c>
      <x:c r="C2390" s="17" t="n">
        <x:v>2023</x:v>
      </x:c>
      <x:c r="D2390" s="18" t="n">
        <x:v>45061</x:v>
      </x:c>
      <x:c r="E2390" s="8" t="str">
        <x:v>RAINBOW TROUT</x:v>
      </x:c>
      <x:c r="F2390" s="13" t="n">
        <x:v>400</x:v>
      </x:c>
      <x:c r="G2390" s="9" t="n">
        <x:v>20.5</x:v>
      </x:c>
      <x:c r="H2390" s="9" t="n">
        <x:v>89.9</x:v>
      </x:c>
      <x:c r="I2390" s="8" t="str">
        <x:f>B2390&amp;" / "&amp;C2390&amp;" / "&amp;E2390</x:f>
        <x:v>6671 / 2023 / RAINBOW TROUT</x:v>
      </x:c>
    </x:row>
    <x:row r="2391" ht="23" customHeight="1">
      <x:c r="A2391" s="8" t="str">
        <x:v>Nose Creek Pond</x:v>
      </x:c>
      <x:c r="B2391" s="8" t="str">
        <x:v>6671</x:v>
      </x:c>
      <x:c r="C2391" s="17" t="n">
        <x:v>2021</x:v>
      </x:c>
      <x:c r="D2391" s="18" t="n">
        <x:v>44312</x:v>
      </x:c>
      <x:c r="E2391" s="8" t="str">
        <x:v>RAINBOW TROUT</x:v>
      </x:c>
      <x:c r="F2391" s="13" t="n">
        <x:v>350</x:v>
      </x:c>
      <x:c r="G2391" s="9" t="n">
        <x:v>20.7</x:v>
      </x:c>
      <x:c r="H2391" s="9" t="n">
        <x:v>93.6</x:v>
      </x:c>
      <x:c r="I2391" s="8" t="str">
        <x:f>B2391&amp;" / "&amp;C2391&amp;" / "&amp;E2391</x:f>
        <x:v>6671 / 2021 / RAINBOW TROUT</x:v>
      </x:c>
    </x:row>
    <x:row r="2392" ht="23" customHeight="1">
      <x:c r="A2392" s="8" t="str">
        <x:v>Nuggent Pond</x:v>
      </x:c>
      <x:c r="B2392" s="8" t="str">
        <x:v>6724</x:v>
      </x:c>
      <x:c r="C2392" s="17" t="n">
        <x:v>2026</x:v>
      </x:c>
      <x:c r="D2392" s="18" t="n">
        <x:v>46148</x:v>
      </x:c>
      <x:c r="E2392" s="8" t="str">
        <x:v>RAINBOW TROUT</x:v>
      </x:c>
      <x:c r="F2392" s="13" t="n">
        <x:v>600</x:v>
      </x:c>
      <x:c r="G2392" s="9" t="n">
        <x:v>21</x:v>
      </x:c>
      <x:c r="H2392" s="9" t="n">
        <x:v>96.8</x:v>
      </x:c>
      <x:c r="I2392" s="8" t="str">
        <x:f>B2392&amp;" / "&amp;C2392&amp;" / "&amp;E2392</x:f>
        <x:v>6724 / 2026 / RAINBOW TROUT</x:v>
      </x:c>
    </x:row>
    <x:row r="2393" ht="23" customHeight="1">
      <x:c r="A2393" s="8" t="str">
        <x:v>Nuggent Pond</x:v>
      </x:c>
      <x:c r="B2393" s="8" t="str">
        <x:v>6724</x:v>
      </x:c>
      <x:c r="C2393" s="17" t="n">
        <x:v>2025</x:v>
      </x:c>
      <x:c r="D2393" s="18" t="n">
        <x:v>45781</x:v>
      </x:c>
      <x:c r="E2393" s="8" t="str">
        <x:v>RAINBOW TROUT</x:v>
      </x:c>
      <x:c r="F2393" s="13" t="n">
        <x:v>600</x:v>
      </x:c>
      <x:c r="G2393" s="9" t="n">
        <x:v>20.4</x:v>
      </x:c>
      <x:c r="H2393" s="9" t="n">
        <x:v>93.3</x:v>
      </x:c>
      <x:c r="I2393" s="8" t="str">
        <x:f>B2393&amp;" / "&amp;C2393&amp;" / "&amp;E2393</x:f>
        <x:v>6724 / 2025 / RAINBOW TROUT</x:v>
      </x:c>
    </x:row>
    <x:row r="2394" ht="23" customHeight="1">
      <x:c r="A2394" s="8" t="str">
        <x:v>Nuggent Pond</x:v>
      </x:c>
      <x:c r="B2394" s="8" t="str">
        <x:v>6724</x:v>
      </x:c>
      <x:c r="C2394" s="17" t="n">
        <x:v>2024</x:v>
      </x:c>
      <x:c r="D2394" s="18" t="n">
        <x:v>45419</x:v>
      </x:c>
      <x:c r="E2394" s="8" t="str">
        <x:v>RAINBOW TROUT</x:v>
      </x:c>
      <x:c r="F2394" s="13" t="n">
        <x:v>600</x:v>
      </x:c>
      <x:c r="G2394" s="9" t="n">
        <x:v>20.4</x:v>
      </x:c>
      <x:c r="H2394" s="9" t="n">
        <x:v>91.8</x:v>
      </x:c>
      <x:c r="I2394" s="8" t="str">
        <x:f>B2394&amp;" / "&amp;C2394&amp;" / "&amp;E2394</x:f>
        <x:v>6724 / 2024 / RAINBOW TROUT</x:v>
      </x:c>
    </x:row>
    <x:row r="2395" ht="23" customHeight="1">
      <x:c r="A2395" s="8" t="str">
        <x:v>Nuggent Pond</x:v>
      </x:c>
      <x:c r="B2395" s="8" t="str">
        <x:v>6724</x:v>
      </x:c>
      <x:c r="C2395" s="17" t="n">
        <x:v>2023</x:v>
      </x:c>
      <x:c r="D2395" s="18" t="n">
        <x:v>45091</x:v>
      </x:c>
      <x:c r="E2395" s="8" t="str">
        <x:v>RAINBOW TROUT</x:v>
      </x:c>
      <x:c r="F2395" s="13" t="n">
        <x:v>350</x:v>
      </x:c>
      <x:c r="G2395" s="9" t="n">
        <x:v>20.1</x:v>
      </x:c>
      <x:c r="H2395" s="9" t="n">
        <x:v>90.5</x:v>
      </x:c>
      <x:c r="I2395" s="8" t="str">
        <x:f>B2395&amp;" / "&amp;C2395&amp;" / "&amp;E2395</x:f>
        <x:v>6724 / 2023 / RAINBOW TROUT</x:v>
      </x:c>
    </x:row>
    <x:row r="2396" ht="23" customHeight="1">
      <x:c r="A2396" s="8" t="str">
        <x:v>Nuggent Pond</x:v>
      </x:c>
      <x:c r="B2396" s="8" t="str">
        <x:v>6724</x:v>
      </x:c>
      <x:c r="C2396" s="17" t="n">
        <x:v>2023</x:v>
      </x:c>
      <x:c r="D2396" s="18" t="n">
        <x:v>45062</x:v>
      </x:c>
      <x:c r="E2396" s="8" t="str">
        <x:v>RAINBOW TROUT</x:v>
      </x:c>
      <x:c r="F2396" s="13" t="n">
        <x:v>350</x:v>
      </x:c>
      <x:c r="G2396" s="9" t="n">
        <x:v>20.5</x:v>
      </x:c>
      <x:c r="H2396" s="9" t="n">
        <x:v>89.9</x:v>
      </x:c>
      <x:c r="I2396" s="8" t="str">
        <x:f>B2396&amp;" / "&amp;C2396&amp;" / "&amp;E2396</x:f>
        <x:v>6724 / 2023 / RAINBOW TROUT</x:v>
      </x:c>
    </x:row>
    <x:row r="2397" ht="23" customHeight="1">
      <x:c r="A2397" s="8" t="str">
        <x:v>Nuggent Pond</x:v>
      </x:c>
      <x:c r="B2397" s="8" t="str">
        <x:v>6724</x:v>
      </x:c>
      <x:c r="C2397" s="17" t="n">
        <x:v>2022</x:v>
      </x:c>
      <x:c r="D2397" s="18" t="n">
        <x:v>44727</x:v>
      </x:c>
      <x:c r="E2397" s="8" t="str">
        <x:v>RAINBOW TROUT</x:v>
      </x:c>
      <x:c r="F2397" s="13" t="n">
        <x:v>350</x:v>
      </x:c>
      <x:c r="G2397" s="9" t="n">
        <x:v>20.6</x:v>
      </x:c>
      <x:c r="H2397" s="9" t="n">
        <x:v>91.5</x:v>
      </x:c>
      <x:c r="I2397" s="8" t="str">
        <x:f>B2397&amp;" / "&amp;C2397&amp;" / "&amp;E2397</x:f>
        <x:v>6724 / 2022 / RAINBOW TROUT</x:v>
      </x:c>
    </x:row>
    <x:row r="2398" ht="23" customHeight="1">
      <x:c r="A2398" s="8" t="str">
        <x:v>Nuggent Pond</x:v>
      </x:c>
      <x:c r="B2398" s="8" t="str">
        <x:v>6724</x:v>
      </x:c>
      <x:c r="C2398" s="17" t="n">
        <x:v>2022</x:v>
      </x:c>
      <x:c r="D2398" s="18" t="n">
        <x:v>44691</x:v>
      </x:c>
      <x:c r="E2398" s="8" t="str">
        <x:v>RAINBOW TROUT</x:v>
      </x:c>
      <x:c r="F2398" s="13" t="n">
        <x:v>350</x:v>
      </x:c>
      <x:c r="G2398" s="9" t="n">
        <x:v>20.7</x:v>
      </x:c>
      <x:c r="H2398" s="9" t="n">
        <x:v>97.3</x:v>
      </x:c>
      <x:c r="I2398" s="8" t="str">
        <x:f>B2398&amp;" / "&amp;C2398&amp;" / "&amp;E2398</x:f>
        <x:v>6724 / 2022 / RAINBOW TROUT</x:v>
      </x:c>
    </x:row>
    <x:row r="2399" ht="23" customHeight="1">
      <x:c r="A2399" s="8" t="str">
        <x:v>Nuggent Pond</x:v>
      </x:c>
      <x:c r="B2399" s="8" t="str">
        <x:v>6724</x:v>
      </x:c>
      <x:c r="C2399" s="17" t="n">
        <x:v>2021</x:v>
      </x:c>
      <x:c r="D2399" s="18" t="n">
        <x:v>44447</x:v>
      </x:c>
      <x:c r="E2399" s="8" t="str">
        <x:v>RAINBOW TROUT</x:v>
      </x:c>
      <x:c r="F2399" s="13" t="n">
        <x:v>338</x:v>
      </x:c>
      <x:c r="G2399" s="9" t="n">
        <x:v>21.8</x:v>
      </x:c>
      <x:c r="H2399" s="9" t="n">
        <x:v>101.1</x:v>
      </x:c>
      <x:c r="I2399" s="8" t="str">
        <x:f>B2399&amp;" / "&amp;C2399&amp;" / "&amp;E2399</x:f>
        <x:v>6724 / 2021 / RAINBOW TROUT</x:v>
      </x:c>
    </x:row>
    <x:row r="2400" ht="23" customHeight="1">
      <x:c r="A2400" s="8" t="str">
        <x:v>Nuggent Pond</x:v>
      </x:c>
      <x:c r="B2400" s="8" t="str">
        <x:v>6724</x:v>
      </x:c>
      <x:c r="C2400" s="17" t="n">
        <x:v>2021</x:v>
      </x:c>
      <x:c r="D2400" s="18" t="n">
        <x:v>44321</x:v>
      </x:c>
      <x:c r="E2400" s="8" t="str">
        <x:v>RAINBOW TROUT</x:v>
      </x:c>
      <x:c r="F2400" s="13" t="n">
        <x:v>400</x:v>
      </x:c>
      <x:c r="G2400" s="9" t="n">
        <x:v>21.1</x:v>
      </x:c>
      <x:c r="H2400" s="9" t="n">
        <x:v>97.5</x:v>
      </x:c>
      <x:c r="I2400" s="8" t="str">
        <x:f>B2400&amp;" / "&amp;C2400&amp;" / "&amp;E2400</x:f>
        <x:v>6724 / 2021 / RAINBOW TROUT</x:v>
      </x:c>
    </x:row>
    <x:row r="2401" ht="23" customHeight="1">
      <x:c r="A2401" s="8" t="str">
        <x:v>Obed Lake</x:v>
      </x:c>
      <x:c r="B2401" s="8" t="str">
        <x:v>5466</x:v>
      </x:c>
      <x:c r="C2401" s="17" t="n">
        <x:v>2026</x:v>
      </x:c>
      <x:c r="D2401" s="18" t="n">
        <x:v>46149</x:v>
      </x:c>
      <x:c r="E2401" s="8" t="str">
        <x:v>BROWN TROUT</x:v>
      </x:c>
      <x:c r="F2401" s="13" t="n">
        <x:v>6430</x:v>
      </x:c>
      <x:c r="G2401" s="9" t="n">
        <x:v>20.1</x:v>
      </x:c>
      <x:c r="H2401" s="9" t="n">
        <x:v>90</x:v>
      </x:c>
      <x:c r="I2401" s="8" t="str">
        <x:f>B2401&amp;" / "&amp;C2401&amp;" / "&amp;E2401</x:f>
        <x:v>5466 / 2026 / BROWN TROUT</x:v>
      </x:c>
    </x:row>
    <x:row r="2402" ht="23" customHeight="1">
      <x:c r="A2402" s="8" t="str">
        <x:v>Obed Lake</x:v>
      </x:c>
      <x:c r="B2402" s="8" t="str">
        <x:v>5466</x:v>
      </x:c>
      <x:c r="C2402" s="17" t="n">
        <x:v>2026</x:v>
      </x:c>
      <x:c r="D2402" s="18" t="n">
        <x:v>46149</x:v>
      </x:c>
      <x:c r="E2402" s="8" t="str">
        <x:v>BROWN TROUT</x:v>
      </x:c>
      <x:c r="F2402" s="13" t="n">
        <x:v>7070</x:v>
      </x:c>
      <x:c r="G2402" s="9" t="n">
        <x:v>19.7</x:v>
      </x:c>
      <x:c r="H2402" s="9" t="n">
        <x:v>84</x:v>
      </x:c>
      <x:c r="I2402" s="8" t="str">
        <x:f>B2402&amp;" / "&amp;C2402&amp;" / "&amp;E2402</x:f>
        <x:v>5466 / 2026 / BROWN TROUT</x:v>
      </x:c>
    </x:row>
    <x:row r="2403" ht="23" customHeight="1">
      <x:c r="A2403" s="8" t="str">
        <x:v>Obed Lake</x:v>
      </x:c>
      <x:c r="B2403" s="8" t="str">
        <x:v>5466</x:v>
      </x:c>
      <x:c r="C2403" s="17" t="n">
        <x:v>2025</x:v>
      </x:c>
      <x:c r="D2403" s="18" t="n">
        <x:v>45924</x:v>
      </x:c>
      <x:c r="E2403" s="8" t="str">
        <x:v>BROWN TROUT</x:v>
      </x:c>
      <x:c r="F2403" s="13" t="n">
        <x:v>5000</x:v>
      </x:c>
      <x:c r="G2403" s="9" t="n">
        <x:v>9.1</x:v>
      </x:c>
      <x:c r="H2403" s="9" t="n">
        <x:v>8.1</x:v>
      </x:c>
      <x:c r="I2403" s="8" t="str">
        <x:f>B2403&amp;" / "&amp;C2403&amp;" / "&amp;E2403</x:f>
        <x:v>5466 / 2025 / BROWN TROUT</x:v>
      </x:c>
    </x:row>
    <x:row r="2404" ht="23" customHeight="1">
      <x:c r="A2404" s="8" t="str">
        <x:v>Obed Lake</x:v>
      </x:c>
      <x:c r="B2404" s="8" t="str">
        <x:v>5466</x:v>
      </x:c>
      <x:c r="C2404" s="17" t="n">
        <x:v>2025</x:v>
      </x:c>
      <x:c r="D2404" s="18" t="n">
        <x:v>45802</x:v>
      </x:c>
      <x:c r="E2404" s="8" t="str">
        <x:v>BROWN TROUT</x:v>
      </x:c>
      <x:c r="F2404" s="13" t="n">
        <x:v>938</x:v>
      </x:c>
      <x:c r="G2404" s="9" t="n">
        <x:v>19.2</x:v>
      </x:c>
      <x:c r="H2404" s="9" t="n">
        <x:v>76.9</x:v>
      </x:c>
      <x:c r="I2404" s="8" t="str">
        <x:f>B2404&amp;" / "&amp;C2404&amp;" / "&amp;E2404</x:f>
        <x:v>5466 / 2025 / BROWN TROUT</x:v>
      </x:c>
    </x:row>
    <x:row r="2405" ht="23" customHeight="1">
      <x:c r="A2405" s="8" t="str">
        <x:v>Obed Lake</x:v>
      </x:c>
      <x:c r="B2405" s="8" t="str">
        <x:v>5466</x:v>
      </x:c>
      <x:c r="C2405" s="17" t="n">
        <x:v>2025</x:v>
      </x:c>
      <x:c r="D2405" s="18" t="n">
        <x:v>45798</x:v>
      </x:c>
      <x:c r="E2405" s="8" t="str">
        <x:v>BROWN TROUT</x:v>
      </x:c>
      <x:c r="F2405" s="13" t="n">
        <x:v>13062</x:v>
      </x:c>
      <x:c r="G2405" s="9" t="n">
        <x:v>19.2</x:v>
      </x:c>
      <x:c r="H2405" s="9" t="n">
        <x:v>76.6</x:v>
      </x:c>
      <x:c r="I2405" s="8" t="str">
        <x:f>B2405&amp;" / "&amp;C2405&amp;" / "&amp;E2405</x:f>
        <x:v>5466 / 2025 / BROWN TROUT</x:v>
      </x:c>
    </x:row>
    <x:row r="2406" ht="23" customHeight="1">
      <x:c r="A2406" s="8" t="str">
        <x:v>Obed Lake</x:v>
      </x:c>
      <x:c r="B2406" s="8" t="str">
        <x:v>5466</x:v>
      </x:c>
      <x:c r="C2406" s="17" t="n">
        <x:v>2024</x:v>
      </x:c>
      <x:c r="D2406" s="18" t="n">
        <x:v>45567</x:v>
      </x:c>
      <x:c r="E2406" s="8" t="str">
        <x:v>BROWN TROUT</x:v>
      </x:c>
      <x:c r="F2406" s="13" t="n">
        <x:v>20000</x:v>
      </x:c>
      <x:c r="G2406" s="9" t="n">
        <x:v>9.3</x:v>
      </x:c>
      <x:c r="H2406" s="9" t="n">
        <x:v>8.6</x:v>
      </x:c>
      <x:c r="I2406" s="8" t="str">
        <x:f>B2406&amp;" / "&amp;C2406&amp;" / "&amp;E2406</x:f>
        <x:v>5466 / 2024 / BROWN TROUT</x:v>
      </x:c>
    </x:row>
    <x:row r="2407" ht="23" customHeight="1">
      <x:c r="A2407" s="8" t="str">
        <x:v>Obed Lake</x:v>
      </x:c>
      <x:c r="B2407" s="8" t="str">
        <x:v>5466</x:v>
      </x:c>
      <x:c r="C2407" s="17" t="n">
        <x:v>2024</x:v>
      </x:c>
      <x:c r="D2407" s="18" t="n">
        <x:v>45442</x:v>
      </x:c>
      <x:c r="E2407" s="8" t="str">
        <x:v>BROWN TROUT</x:v>
      </x:c>
      <x:c r="F2407" s="13" t="n">
        <x:v>5323</x:v>
      </x:c>
      <x:c r="G2407" s="9" t="n">
        <x:v>20.3</x:v>
      </x:c>
      <x:c r="H2407" s="9" t="n">
        <x:v>90.1</x:v>
      </x:c>
      <x:c r="I2407" s="8" t="str">
        <x:f>B2407&amp;" / "&amp;C2407&amp;" / "&amp;E2407</x:f>
        <x:v>5466 / 2024 / BROWN TROUT</x:v>
      </x:c>
    </x:row>
    <x:row r="2408" ht="23" customHeight="1">
      <x:c r="A2408" s="8" t="str">
        <x:v>Obed Lake</x:v>
      </x:c>
      <x:c r="B2408" s="8" t="str">
        <x:v>5466</x:v>
      </x:c>
      <x:c r="C2408" s="17" t="n">
        <x:v>2023</x:v>
      </x:c>
      <x:c r="D2408" s="18" t="n">
        <x:v>45193</x:v>
      </x:c>
      <x:c r="E2408" s="8" t="str">
        <x:v>BROWN TROUT</x:v>
      </x:c>
      <x:c r="F2408" s="13" t="n">
        <x:v>1861</x:v>
      </x:c>
      <x:c r="G2408" s="9" t="n">
        <x:v>20.8</x:v>
      </x:c>
      <x:c r="H2408" s="9" t="n">
        <x:v>97.7</x:v>
      </x:c>
      <x:c r="I2408" s="8" t="str">
        <x:f>B2408&amp;" / "&amp;C2408&amp;" / "&amp;E2408</x:f>
        <x:v>5466 / 2023 / BROWN TROUT</x:v>
      </x:c>
    </x:row>
    <x:row r="2409" ht="23" customHeight="1">
      <x:c r="A2409" s="8" t="str">
        <x:v>Obed Lake</x:v>
      </x:c>
      <x:c r="B2409" s="8" t="str">
        <x:v>5466</x:v>
      </x:c>
      <x:c r="C2409" s="17" t="n">
        <x:v>2023</x:v>
      </x:c>
      <x:c r="D2409" s="18" t="n">
        <x:v>45193</x:v>
      </x:c>
      <x:c r="E2409" s="8" t="str">
        <x:v>BROWN TROUT</x:v>
      </x:c>
      <x:c r="F2409" s="13" t="n">
        <x:v>12000</x:v>
      </x:c>
      <x:c r="G2409" s="9" t="n">
        <x:v>9.1</x:v>
      </x:c>
      <x:c r="H2409" s="9" t="n">
        <x:v>8.1</x:v>
      </x:c>
      <x:c r="I2409" s="8" t="str">
        <x:f>B2409&amp;" / "&amp;C2409&amp;" / "&amp;E2409</x:f>
        <x:v>5466 / 2023 / BROWN TROUT</x:v>
      </x:c>
    </x:row>
    <x:row r="2410" ht="23" customHeight="1">
      <x:c r="A2410" s="8" t="str">
        <x:v>Obed Lake</x:v>
      </x:c>
      <x:c r="B2410" s="8" t="str">
        <x:v>5466</x:v>
      </x:c>
      <x:c r="C2410" s="17" t="n">
        <x:v>2023</x:v>
      </x:c>
      <x:c r="D2410" s="18" t="n">
        <x:v>45075</x:v>
      </x:c>
      <x:c r="E2410" s="8" t="str">
        <x:v>BROWN TROUT</x:v>
      </x:c>
      <x:c r="F2410" s="13" t="n">
        <x:v>5500</x:v>
      </x:c>
      <x:c r="G2410" s="9" t="n">
        <x:v>19.1</x:v>
      </x:c>
      <x:c r="H2410" s="9" t="n">
        <x:v>75.8</x:v>
      </x:c>
      <x:c r="I2410" s="8" t="str">
        <x:f>B2410&amp;" / "&amp;C2410&amp;" / "&amp;E2410</x:f>
        <x:v>5466 / 2023 / BROWN TROUT</x:v>
      </x:c>
    </x:row>
    <x:row r="2411" ht="23" customHeight="1">
      <x:c r="A2411" s="8" t="str">
        <x:v>Obed Lake</x:v>
      </x:c>
      <x:c r="B2411" s="8" t="str">
        <x:v>5466</x:v>
      </x:c>
      <x:c r="C2411" s="17" t="n">
        <x:v>2022</x:v>
      </x:c>
      <x:c r="D2411" s="18" t="n">
        <x:v>44825</x:v>
      </x:c>
      <x:c r="E2411" s="8" t="str">
        <x:v>BROWN TROUT</x:v>
      </x:c>
      <x:c r="F2411" s="13" t="n">
        <x:v>10000</x:v>
      </x:c>
      <x:c r="G2411" s="9" t="n">
        <x:v>9.7</x:v>
      </x:c>
      <x:c r="H2411" s="9" t="n">
        <x:v>10</x:v>
      </x:c>
      <x:c r="I2411" s="8" t="str">
        <x:f>B2411&amp;" / "&amp;C2411&amp;" / "&amp;E2411</x:f>
        <x:v>5466 / 2022 / BROWN TROUT</x:v>
      </x:c>
    </x:row>
    <x:row r="2412" ht="23" customHeight="1">
      <x:c r="A2412" s="8" t="str">
        <x:v>Obed Lake</x:v>
      </x:c>
      <x:c r="B2412" s="8" t="str">
        <x:v>5466</x:v>
      </x:c>
      <x:c r="C2412" s="17" t="n">
        <x:v>2022</x:v>
      </x:c>
      <x:c r="D2412" s="18" t="n">
        <x:v>44706</x:v>
      </x:c>
      <x:c r="E2412" s="8" t="str">
        <x:v>BROWN TROUT</x:v>
      </x:c>
      <x:c r="F2412" s="13" t="n">
        <x:v>250</x:v>
      </x:c>
      <x:c r="G2412" s="9" t="n">
        <x:v>17.7</x:v>
      </x:c>
      <x:c r="H2412" s="9" t="n">
        <x:v>61.3</x:v>
      </x:c>
      <x:c r="I2412" s="8" t="str">
        <x:f>B2412&amp;" / "&amp;C2412&amp;" / "&amp;E2412</x:f>
        <x:v>5466 / 2022 / BROWN TROUT</x:v>
      </x:c>
    </x:row>
    <x:row r="2413" ht="23" customHeight="1">
      <x:c r="A2413" s="8" t="str">
        <x:v>Obed Lake</x:v>
      </x:c>
      <x:c r="B2413" s="8" t="str">
        <x:v>5466</x:v>
      </x:c>
      <x:c r="C2413" s="17" t="n">
        <x:v>2022</x:v>
      </x:c>
      <x:c r="D2413" s="18" t="n">
        <x:v>44692</x:v>
      </x:c>
      <x:c r="E2413" s="8" t="str">
        <x:v>BROWN TROUT</x:v>
      </x:c>
      <x:c r="F2413" s="13" t="n">
        <x:v>14000</x:v>
      </x:c>
      <x:c r="G2413" s="9" t="n">
        <x:v>17.9</x:v>
      </x:c>
      <x:c r="H2413" s="9" t="n">
        <x:v>63.9</x:v>
      </x:c>
      <x:c r="I2413" s="8" t="str">
        <x:f>B2413&amp;" / "&amp;C2413&amp;" / "&amp;E2413</x:f>
        <x:v>5466 / 2022 / BROWN TROUT</x:v>
      </x:c>
    </x:row>
    <x:row r="2414" ht="23" customHeight="1">
      <x:c r="A2414" s="8" t="str">
        <x:v>Obed Lake</x:v>
      </x:c>
      <x:c r="B2414" s="8" t="str">
        <x:v>5466</x:v>
      </x:c>
      <x:c r="C2414" s="17" t="n">
        <x:v>2021</x:v>
      </x:c>
      <x:c r="D2414" s="18" t="n">
        <x:v>44334</x:v>
      </x:c>
      <x:c r="E2414" s="8" t="str">
        <x:v>BROWN TROUT</x:v>
      </x:c>
      <x:c r="F2414" s="13" t="n">
        <x:v>14000</x:v>
      </x:c>
      <x:c r="G2414" s="9" t="n">
        <x:v>18.1</x:v>
      </x:c>
      <x:c r="H2414" s="9" t="n">
        <x:v>65.4</x:v>
      </x:c>
      <x:c r="I2414" s="8" t="str">
        <x:f>B2414&amp;" / "&amp;C2414&amp;" / "&amp;E2414</x:f>
        <x:v>5466 / 2021 / BROWN TROUT</x:v>
      </x:c>
    </x:row>
    <x:row r="2415" ht="23" customHeight="1">
      <x:c r="A2415" s="8" t="str">
        <x:v>Obstruction Lakes</x:v>
      </x:c>
      <x:c r="B2415" s="8" t="str">
        <x:v>5467</x:v>
      </x:c>
      <x:c r="C2415" s="17" t="n">
        <x:v>2025</x:v>
      </x:c>
      <x:c r="D2415" s="18" t="n">
        <x:v>45924</x:v>
      </x:c>
      <x:c r="E2415" s="8" t="str">
        <x:v>CUTTHROAT TROUT</x:v>
      </x:c>
      <x:c r="F2415" s="13" t="n">
        <x:v>1068</x:v>
      </x:c>
      <x:c r="G2415" s="9" t="n">
        <x:v>4.7</x:v>
      </x:c>
      <x:c r="H2415" s="9" t="n">
        <x:v>1.1</x:v>
      </x:c>
      <x:c r="I2415" s="8" t="str">
        <x:f>B2415&amp;" / "&amp;C2415&amp;" / "&amp;E2415</x:f>
        <x:v>5467 / 2025 / CUTTHROAT TROUT</x:v>
      </x:c>
    </x:row>
    <x:row r="2416" ht="23" customHeight="1">
      <x:c r="A2416" s="8" t="str">
        <x:v>Obstruction Lakes</x:v>
      </x:c>
      <x:c r="B2416" s="8" t="str">
        <x:v>5467</x:v>
      </x:c>
      <x:c r="C2416" s="17" t="n">
        <x:v>2021</x:v>
      </x:c>
      <x:c r="D2416" s="18" t="n">
        <x:v>44446</x:v>
      </x:c>
      <x:c r="E2416" s="8" t="str">
        <x:v>CUTTHROAT TROUT</x:v>
      </x:c>
      <x:c r="F2416" s="13" t="n">
        <x:v>800</x:v>
      </x:c>
      <x:c r="G2416" s="9" t="n">
        <x:v>5.5</x:v>
      </x:c>
      <x:c r="H2416" s="9" t="n">
        <x:v>1.9</x:v>
      </x:c>
      <x:c r="I2416" s="8" t="str">
        <x:f>B2416&amp;" / "&amp;C2416&amp;" / "&amp;E2416</x:f>
        <x:v>5467 / 2021 / CUTTHROAT TROUT</x:v>
      </x:c>
    </x:row>
    <x:row r="2417" ht="23" customHeight="1">
      <x:c r="A2417" s="8" t="str">
        <x:v>Odlum Lake</x:v>
      </x:c>
      <x:c r="B2417" s="8" t="str">
        <x:v>18997</x:v>
      </x:c>
      <x:c r="C2417" s="17" t="n">
        <x:v>2021</x:v>
      </x:c>
      <x:c r="D2417" s="18" t="n">
        <x:v>44447</x:v>
      </x:c>
      <x:c r="E2417" s="8" t="str">
        <x:v>CUTTHROAT TROUT</x:v>
      </x:c>
      <x:c r="F2417" s="13" t="n">
        <x:v>400</x:v>
      </x:c>
      <x:c r="G2417" s="9" t="n">
        <x:v>4.9</x:v>
      </x:c>
      <x:c r="H2417" s="9" t="n">
        <x:v>1.3</x:v>
      </x:c>
      <x:c r="I2417" s="8" t="str">
        <x:f>B2417&amp;" / "&amp;C2417&amp;" / "&amp;E2417</x:f>
        <x:v>18997 / 2021 / CUTTHROAT TROUT</x:v>
      </x:c>
    </x:row>
    <x:row r="2418" ht="23" customHeight="1">
      <x:c r="A2418" s="8" t="str">
        <x:v>Ole Lake</x:v>
      </x:c>
      <x:c r="B2418" s="8" t="str">
        <x:v>5476</x:v>
      </x:c>
      <x:c r="C2418" s="17" t="n">
        <x:v>2026</x:v>
      </x:c>
      <x:c r="D2418" s="18" t="n">
        <x:v>46168</x:v>
      </x:c>
      <x:c r="E2418" s="8" t="str">
        <x:v>RAINBOW TROUT</x:v>
      </x:c>
      <x:c r="F2418" s="13" t="n">
        <x:v>3000</x:v>
      </x:c>
      <x:c r="G2418" s="9" t="n">
        <x:v>20.4</x:v>
      </x:c>
      <x:c r="H2418" s="9" t="n">
        <x:v>93.7</x:v>
      </x:c>
      <x:c r="I2418" s="8" t="str">
        <x:f>B2418&amp;" / "&amp;C2418&amp;" / "&amp;E2418</x:f>
        <x:v>5476 / 2026 / RAINBOW TROUT</x:v>
      </x:c>
    </x:row>
    <x:row r="2419" ht="23" customHeight="1">
      <x:c r="A2419" s="8" t="str">
        <x:v>Ole Lake</x:v>
      </x:c>
      <x:c r="B2419" s="8" t="str">
        <x:v>5476</x:v>
      </x:c>
      <x:c r="C2419" s="17" t="n">
        <x:v>2025</x:v>
      </x:c>
      <x:c r="D2419" s="18" t="n">
        <x:v>45797</x:v>
      </x:c>
      <x:c r="E2419" s="8" t="str">
        <x:v>RAINBOW TROUT</x:v>
      </x:c>
      <x:c r="F2419" s="13" t="n">
        <x:v>3000</x:v>
      </x:c>
      <x:c r="G2419" s="9" t="n">
        <x:v>20.6</x:v>
      </x:c>
      <x:c r="H2419" s="9" t="n">
        <x:v>96.6</x:v>
      </x:c>
      <x:c r="I2419" s="8" t="str">
        <x:f>B2419&amp;" / "&amp;C2419&amp;" / "&amp;E2419</x:f>
        <x:v>5476 / 2025 / RAINBOW TROUT</x:v>
      </x:c>
    </x:row>
    <x:row r="2420" ht="23" customHeight="1">
      <x:c r="A2420" s="8" t="str">
        <x:v>Ole Lake</x:v>
      </x:c>
      <x:c r="B2420" s="8" t="str">
        <x:v>5476</x:v>
      </x:c>
      <x:c r="C2420" s="17" t="n">
        <x:v>2024</x:v>
      </x:c>
      <x:c r="D2420" s="18" t="n">
        <x:v>45420</x:v>
      </x:c>
      <x:c r="E2420" s="8" t="str">
        <x:v>RAINBOW TROUT</x:v>
      </x:c>
      <x:c r="F2420" s="13" t="n">
        <x:v>1500</x:v>
      </x:c>
      <x:c r="G2420" s="9" t="n">
        <x:v>20.1</x:v>
      </x:c>
      <x:c r="H2420" s="9" t="n">
        <x:v>87.5</x:v>
      </x:c>
      <x:c r="I2420" s="8" t="str">
        <x:f>B2420&amp;" / "&amp;C2420&amp;" / "&amp;E2420</x:f>
        <x:v>5476 / 2024 / RAINBOW TROUT</x:v>
      </x:c>
    </x:row>
    <x:row r="2421" ht="23" customHeight="1">
      <x:c r="A2421" s="8" t="str">
        <x:v>Ole Lake</x:v>
      </x:c>
      <x:c r="B2421" s="8" t="str">
        <x:v>5476</x:v>
      </x:c>
      <x:c r="C2421" s="17" t="n">
        <x:v>2023</x:v>
      </x:c>
      <x:c r="D2421" s="18" t="n">
        <x:v>45055</x:v>
      </x:c>
      <x:c r="E2421" s="8" t="str">
        <x:v>RAINBOW TROUT</x:v>
      </x:c>
      <x:c r="F2421" s="13" t="n">
        <x:v>1506</x:v>
      </x:c>
      <x:c r="G2421" s="9" t="n">
        <x:v>19.9</x:v>
      </x:c>
      <x:c r="H2421" s="9" t="n">
        <x:v>87.4</x:v>
      </x:c>
      <x:c r="I2421" s="8" t="str">
        <x:f>B2421&amp;" / "&amp;C2421&amp;" / "&amp;E2421</x:f>
        <x:v>5476 / 2023 / RAINBOW TROUT</x:v>
      </x:c>
    </x:row>
    <x:row r="2422" ht="23" customHeight="1">
      <x:c r="A2422" s="8" t="str">
        <x:v>Ole Lake</x:v>
      </x:c>
      <x:c r="B2422" s="8" t="str">
        <x:v>5476</x:v>
      </x:c>
      <x:c r="C2422" s="17" t="n">
        <x:v>2022</x:v>
      </x:c>
      <x:c r="D2422" s="18" t="n">
        <x:v>44713</x:v>
      </x:c>
      <x:c r="E2422" s="8" t="str">
        <x:v>RAINBOW TROUT</x:v>
      </x:c>
      <x:c r="F2422" s="13" t="n">
        <x:v>3000</x:v>
      </x:c>
      <x:c r="G2422" s="9" t="n">
        <x:v>20.7</x:v>
      </x:c>
      <x:c r="H2422" s="9" t="n">
        <x:v>98.8</x:v>
      </x:c>
      <x:c r="I2422" s="8" t="str">
        <x:f>B2422&amp;" / "&amp;C2422&amp;" / "&amp;E2422</x:f>
        <x:v>5476 / 2022 / RAINBOW TROUT</x:v>
      </x:c>
    </x:row>
    <x:row r="2423" ht="23" customHeight="1">
      <x:c r="A2423" s="8" t="str">
        <x:v>Ole Lake</x:v>
      </x:c>
      <x:c r="B2423" s="8" t="str">
        <x:v>5476</x:v>
      </x:c>
      <x:c r="C2423" s="17" t="n">
        <x:v>2021</x:v>
      </x:c>
      <x:c r="D2423" s="18" t="n">
        <x:v>44334</x:v>
      </x:c>
      <x:c r="E2423" s="8" t="str">
        <x:v>RAINBOW TROUT</x:v>
      </x:c>
      <x:c r="F2423" s="13" t="n">
        <x:v>3000</x:v>
      </x:c>
      <x:c r="G2423" s="9" t="n">
        <x:v>19.4</x:v>
      </x:c>
      <x:c r="H2423" s="9" t="n">
        <x:v>81.4</x:v>
      </x:c>
      <x:c r="I2423" s="8" t="str">
        <x:f>B2423&amp;" / "&amp;C2423&amp;" / "&amp;E2423</x:f>
        <x:v>5476 / 2021 / RAINBOW TROUT</x:v>
      </x:c>
    </x:row>
    <x:row r="2424" ht="23" customHeight="1">
      <x:c r="A2424" s="8" t="str">
        <x:v>Open Creek Reservoir</x:v>
      </x:c>
      <x:c r="B2424" s="8" t="str">
        <x:v>6726</x:v>
      </x:c>
      <x:c r="C2424" s="17" t="n">
        <x:v>2026</x:v>
      </x:c>
      <x:c r="D2424" s="18" t="n">
        <x:v>46156</x:v>
      </x:c>
      <x:c r="E2424" s="8" t="str">
        <x:v>RAINBOW TROUT</x:v>
      </x:c>
      <x:c r="F2424" s="13" t="n">
        <x:v>3000</x:v>
      </x:c>
      <x:c r="G2424" s="9" t="n">
        <x:v>20.4</x:v>
      </x:c>
      <x:c r="H2424" s="9" t="n">
        <x:v>91.5</x:v>
      </x:c>
      <x:c r="I2424" s="8" t="str">
        <x:f>B2424&amp;" / "&amp;C2424&amp;" / "&amp;E2424</x:f>
        <x:v>6726 / 2026 / RAINBOW TROUT</x:v>
      </x:c>
    </x:row>
    <x:row r="2425" ht="23" customHeight="1">
      <x:c r="A2425" s="8" t="str">
        <x:v>Open Creek Reservoir</x:v>
      </x:c>
      <x:c r="B2425" s="8" t="str">
        <x:v>6726</x:v>
      </x:c>
      <x:c r="C2425" s="17" t="n">
        <x:v>2026</x:v>
      </x:c>
      <x:c r="D2425" s="18" t="n">
        <x:v>46156</x:v>
      </x:c>
      <x:c r="E2425" s="8" t="str">
        <x:v>RAINBOW TROUT</x:v>
      </x:c>
      <x:c r="F2425" s="13" t="n">
        <x:v>6000</x:v>
      </x:c>
      <x:c r="G2425" s="9" t="n">
        <x:v>20.8</x:v>
      </x:c>
      <x:c r="H2425" s="9" t="n">
        <x:v>96.7</x:v>
      </x:c>
      <x:c r="I2425" s="8" t="str">
        <x:f>B2425&amp;" / "&amp;C2425&amp;" / "&amp;E2425</x:f>
        <x:v>6726 / 2026 / RAINBOW TROUT</x:v>
      </x:c>
    </x:row>
    <x:row r="2426" ht="23" customHeight="1">
      <x:c r="A2426" s="8" t="str">
        <x:v>Open Creek Reservoir</x:v>
      </x:c>
      <x:c r="B2426" s="8" t="str">
        <x:v>6726</x:v>
      </x:c>
      <x:c r="C2426" s="17" t="n">
        <x:v>2025</x:v>
      </x:c>
      <x:c r="D2426" s="18" t="n">
        <x:v>45786</x:v>
      </x:c>
      <x:c r="E2426" s="8" t="str">
        <x:v>RAINBOW TROUT</x:v>
      </x:c>
      <x:c r="F2426" s="13" t="n">
        <x:v>6000</x:v>
      </x:c>
      <x:c r="G2426" s="9" t="n">
        <x:v>20.3</x:v>
      </x:c>
      <x:c r="H2426" s="9" t="n">
        <x:v>90.7</x:v>
      </x:c>
      <x:c r="I2426" s="8" t="str">
        <x:f>B2426&amp;" / "&amp;C2426&amp;" / "&amp;E2426</x:f>
        <x:v>6726 / 2025 / RAINBOW TROUT</x:v>
      </x:c>
    </x:row>
    <x:row r="2427" ht="23" customHeight="1">
      <x:c r="A2427" s="8" t="str">
        <x:v>Open Creek Reservoir</x:v>
      </x:c>
      <x:c r="B2427" s="8" t="str">
        <x:v>6726</x:v>
      </x:c>
      <x:c r="C2427" s="17" t="n">
        <x:v>2024</x:v>
      </x:c>
      <x:c r="D2427" s="18" t="n">
        <x:v>45447</x:v>
      </x:c>
      <x:c r="E2427" s="8" t="str">
        <x:v>RAINBOW TROUT</x:v>
      </x:c>
      <x:c r="F2427" s="13" t="n">
        <x:v>1000</x:v>
      </x:c>
      <x:c r="G2427" s="9" t="n">
        <x:v>22</x:v>
      </x:c>
      <x:c r="H2427" s="9" t="n">
        <x:v>96</x:v>
      </x:c>
      <x:c r="I2427" s="8" t="str">
        <x:f>B2427&amp;" / "&amp;C2427&amp;" / "&amp;E2427</x:f>
        <x:v>6726 / 2024 / RAINBOW TROUT</x:v>
      </x:c>
    </x:row>
    <x:row r="2428" ht="23" customHeight="1">
      <x:c r="A2428" s="8" t="str">
        <x:v>Open Creek Reservoir</x:v>
      </x:c>
      <x:c r="B2428" s="8" t="str">
        <x:v>6726</x:v>
      </x:c>
      <x:c r="C2428" s="17" t="n">
        <x:v>2024</x:v>
      </x:c>
      <x:c r="D2428" s="18" t="n">
        <x:v>45422</x:v>
      </x:c>
      <x:c r="E2428" s="8" t="str">
        <x:v>RAINBOW TROUT</x:v>
      </x:c>
      <x:c r="F2428" s="13" t="n">
        <x:v>25</x:v>
      </x:c>
      <x:c r="G2428" s="9" t="n">
        <x:v>35.1</x:v>
      </x:c>
      <x:c r="H2428" s="9" t="n">
        <x:v>1610</x:v>
      </x:c>
      <x:c r="I2428" s="8" t="str">
        <x:f>B2428&amp;" / "&amp;C2428&amp;" / "&amp;E2428</x:f>
        <x:v>6726 / 2024 / RAINBOW TROUT</x:v>
      </x:c>
    </x:row>
    <x:row r="2429" ht="23" customHeight="1">
      <x:c r="A2429" s="8" t="str">
        <x:v>Open Creek Reservoir</x:v>
      </x:c>
      <x:c r="B2429" s="8" t="str">
        <x:v>6726</x:v>
      </x:c>
      <x:c r="C2429" s="17" t="n">
        <x:v>2024</x:v>
      </x:c>
      <x:c r="D2429" s="18" t="n">
        <x:v>45422</x:v>
      </x:c>
      <x:c r="E2429" s="8" t="str">
        <x:v>RAINBOW TROUT</x:v>
      </x:c>
      <x:c r="F2429" s="13" t="n">
        <x:v>25</x:v>
      </x:c>
      <x:c r="G2429" s="9" t="n">
        <x:v>50.1</x:v>
      </x:c>
      <x:c r="H2429" s="9" t="n">
        <x:v>2370</x:v>
      </x:c>
      <x:c r="I2429" s="8" t="str">
        <x:f>B2429&amp;" / "&amp;C2429&amp;" / "&amp;E2429</x:f>
        <x:v>6726 / 2024 / RAINBOW TROUT</x:v>
      </x:c>
    </x:row>
    <x:row r="2430" ht="23" customHeight="1">
      <x:c r="A2430" s="8" t="str">
        <x:v>Open Creek Reservoir</x:v>
      </x:c>
      <x:c r="B2430" s="8" t="str">
        <x:v>6726</x:v>
      </x:c>
      <x:c r="C2430" s="17" t="n">
        <x:v>2024</x:v>
      </x:c>
      <x:c r="D2430" s="18" t="n">
        <x:v>45414</x:v>
      </x:c>
      <x:c r="E2430" s="8" t="str">
        <x:v>RAINBOW TROUT</x:v>
      </x:c>
      <x:c r="F2430" s="13" t="n">
        <x:v>2400</x:v>
      </x:c>
      <x:c r="G2430" s="9" t="n">
        <x:v>20</x:v>
      </x:c>
      <x:c r="H2430" s="9" t="n">
        <x:v>86.1</x:v>
      </x:c>
      <x:c r="I2430" s="8" t="str">
        <x:f>B2430&amp;" / "&amp;C2430&amp;" / "&amp;E2430</x:f>
        <x:v>6726 / 2024 / RAINBOW TROUT</x:v>
      </x:c>
    </x:row>
    <x:row r="2431" ht="23" customHeight="1">
      <x:c r="A2431" s="8" t="str">
        <x:v>Open Creek Reservoir</x:v>
      </x:c>
      <x:c r="B2431" s="8" t="str">
        <x:v>6726</x:v>
      </x:c>
      <x:c r="C2431" s="17" t="n">
        <x:v>2023</x:v>
      </x:c>
      <x:c r="D2431" s="18" t="n">
        <x:v>45181</x:v>
      </x:c>
      <x:c r="E2431" s="8" t="str">
        <x:v>RAINBOW TROUT</x:v>
      </x:c>
      <x:c r="F2431" s="13" t="n">
        <x:v>2000</x:v>
      </x:c>
      <x:c r="G2431" s="9" t="n">
        <x:v>14.2</x:v>
      </x:c>
      <x:c r="H2431" s="9" t="n">
        <x:v>31.1</x:v>
      </x:c>
      <x:c r="I2431" s="8" t="str">
        <x:f>B2431&amp;" / "&amp;C2431&amp;" / "&amp;E2431</x:f>
        <x:v>6726 / 2023 / RAINBOW TROUT</x:v>
      </x:c>
    </x:row>
    <x:row r="2432" ht="23" customHeight="1">
      <x:c r="A2432" s="8" t="str">
        <x:v>Open Creek Reservoir</x:v>
      </x:c>
      <x:c r="B2432" s="8" t="str">
        <x:v>6726</x:v>
      </x:c>
      <x:c r="C2432" s="17" t="n">
        <x:v>2023</x:v>
      </x:c>
      <x:c r="D2432" s="18" t="n">
        <x:v>45062</x:v>
      </x:c>
      <x:c r="E2432" s="8" t="str">
        <x:v>RAINBOW TROUT</x:v>
      </x:c>
      <x:c r="F2432" s="13" t="n">
        <x:v>4000</x:v>
      </x:c>
      <x:c r="G2432" s="9" t="n">
        <x:v>20.2</x:v>
      </x:c>
      <x:c r="H2432" s="9" t="n">
        <x:v>89.3</x:v>
      </x:c>
      <x:c r="I2432" s="8" t="str">
        <x:f>B2432&amp;" / "&amp;C2432&amp;" / "&amp;E2432</x:f>
        <x:v>6726 / 2023 / RAINBOW TROUT</x:v>
      </x:c>
    </x:row>
    <x:row r="2433" ht="23" customHeight="1">
      <x:c r="A2433" s="8" t="str">
        <x:v>Open Creek Reservoir</x:v>
      </x:c>
      <x:c r="B2433" s="8" t="str">
        <x:v>6726</x:v>
      </x:c>
      <x:c r="C2433" s="17" t="n">
        <x:v>2023</x:v>
      </x:c>
      <x:c r="D2433" s="18" t="n">
        <x:v>45054</x:v>
      </x:c>
      <x:c r="E2433" s="8" t="str">
        <x:v>RAINBOW TROUT</x:v>
      </x:c>
      <x:c r="F2433" s="13" t="n">
        <x:v>20</x:v>
      </x:c>
      <x:c r="G2433" s="9" t="n">
        <x:v>50</x:v>
      </x:c>
      <x:c r="H2433" s="9" t="n">
        <x:v>3800</x:v>
      </x:c>
      <x:c r="I2433" s="8" t="str">
        <x:f>B2433&amp;" / "&amp;C2433&amp;" / "&amp;E2433</x:f>
        <x:v>6726 / 2023 / RAINBOW TROUT</x:v>
      </x:c>
    </x:row>
    <x:row r="2434" ht="23" customHeight="1">
      <x:c r="A2434" s="8" t="str">
        <x:v>Open Creek Reservoir</x:v>
      </x:c>
      <x:c r="B2434" s="8" t="str">
        <x:v>6726</x:v>
      </x:c>
      <x:c r="C2434" s="17" t="n">
        <x:v>2022</x:v>
      </x:c>
      <x:c r="D2434" s="18" t="n">
        <x:v>44696</x:v>
      </x:c>
      <x:c r="E2434" s="8" t="str">
        <x:v>RAINBOW TROUT</x:v>
      </x:c>
      <x:c r="F2434" s="13" t="n">
        <x:v>20</x:v>
      </x:c>
      <x:c r="G2434" s="9" t="n">
        <x:v>55</x:v>
      </x:c>
      <x:c r="H2434" s="9" t="n">
        <x:v>1200</x:v>
      </x:c>
      <x:c r="I2434" s="8" t="str">
        <x:f>B2434&amp;" / "&amp;C2434&amp;" / "&amp;E2434</x:f>
        <x:v>6726 / 2022 / RAINBOW TROUT</x:v>
      </x:c>
    </x:row>
    <x:row r="2435" ht="23" customHeight="1">
      <x:c r="A2435" s="8" t="str">
        <x:v>Open Creek Reservoir</x:v>
      </x:c>
      <x:c r="B2435" s="8" t="str">
        <x:v>6726</x:v>
      </x:c>
      <x:c r="C2435" s="17" t="n">
        <x:v>2022</x:v>
      </x:c>
      <x:c r="D2435" s="18" t="n">
        <x:v>44691</x:v>
      </x:c>
      <x:c r="E2435" s="8" t="str">
        <x:v>RAINBOW TROUT</x:v>
      </x:c>
      <x:c r="F2435" s="13" t="n">
        <x:v>6000</x:v>
      </x:c>
      <x:c r="G2435" s="9" t="n">
        <x:v>20</x:v>
      </x:c>
      <x:c r="H2435" s="9" t="n">
        <x:v>87</x:v>
      </x:c>
      <x:c r="I2435" s="8" t="str">
        <x:f>B2435&amp;" / "&amp;C2435&amp;" / "&amp;E2435</x:f>
        <x:v>6726 / 2022 / RAINBOW TROUT</x:v>
      </x:c>
    </x:row>
    <x:row r="2436" ht="23" customHeight="1">
      <x:c r="A2436" s="8" t="str">
        <x:v>Open Creek Reservoir</x:v>
      </x:c>
      <x:c r="B2436" s="8" t="str">
        <x:v>6726</x:v>
      </x:c>
      <x:c r="C2436" s="17" t="n">
        <x:v>2021</x:v>
      </x:c>
      <x:c r="D2436" s="18" t="n">
        <x:v>44325</x:v>
      </x:c>
      <x:c r="E2436" s="8" t="str">
        <x:v>RAINBOW TROUT</x:v>
      </x:c>
      <x:c r="F2436" s="13" t="n">
        <x:v>65</x:v>
      </x:c>
      <x:c r="G2436" s="9" t="n">
        <x:v>50</x:v>
      </x:c>
      <x:c r="H2436" s="9" t="n">
        <x:v>2660</x:v>
      </x:c>
      <x:c r="I2436" s="8" t="str">
        <x:f>B2436&amp;" / "&amp;C2436&amp;" / "&amp;E2436</x:f>
        <x:v>6726 / 2021 / RAINBOW TROUT</x:v>
      </x:c>
    </x:row>
    <x:row r="2437" ht="23" customHeight="1">
      <x:c r="A2437" s="8" t="str">
        <x:v>Open Creek Reservoir</x:v>
      </x:c>
      <x:c r="B2437" s="8" t="str">
        <x:v>6726</x:v>
      </x:c>
      <x:c r="C2437" s="17" t="n">
        <x:v>2021</x:v>
      </x:c>
      <x:c r="D2437" s="18" t="n">
        <x:v>44319</x:v>
      </x:c>
      <x:c r="E2437" s="8" t="str">
        <x:v>RAINBOW TROUT</x:v>
      </x:c>
      <x:c r="F2437" s="13" t="n">
        <x:v>25</x:v>
      </x:c>
      <x:c r="G2437" s="9" t="n">
        <x:v>30</x:v>
      </x:c>
      <x:c r="H2437" s="9" t="n">
        <x:v>400</x:v>
      </x:c>
      <x:c r="I2437" s="8" t="str">
        <x:f>B2437&amp;" / "&amp;C2437&amp;" / "&amp;E2437</x:f>
        <x:v>6726 / 2021 / RAINBOW TROUT</x:v>
      </x:c>
    </x:row>
    <x:row r="2438" ht="23" customHeight="1">
      <x:c r="A2438" s="8" t="str">
        <x:v>Open Creek Reservoir</x:v>
      </x:c>
      <x:c r="B2438" s="8" t="str">
        <x:v>6726</x:v>
      </x:c>
      <x:c r="C2438" s="17" t="n">
        <x:v>2021</x:v>
      </x:c>
      <x:c r="D2438" s="18" t="n">
        <x:v>44319</x:v>
      </x:c>
      <x:c r="E2438" s="8" t="str">
        <x:v>RAINBOW TROUT</x:v>
      </x:c>
      <x:c r="F2438" s="13" t="n">
        <x:v>25</x:v>
      </x:c>
      <x:c r="G2438" s="9" t="n">
        <x:v>28</x:v>
      </x:c>
      <x:c r="H2438" s="9" t="n">
        <x:v>200</x:v>
      </x:c>
      <x:c r="I2438" s="8" t="str">
        <x:f>B2438&amp;" / "&amp;C2438&amp;" / "&amp;E2438</x:f>
        <x:v>6726 / 2021 / RAINBOW TROUT</x:v>
      </x:c>
    </x:row>
    <x:row r="2439" ht="23" customHeight="1">
      <x:c r="A2439" s="8" t="str">
        <x:v>Open Creek Reservoir</x:v>
      </x:c>
      <x:c r="B2439" s="8" t="str">
        <x:v>6726</x:v>
      </x:c>
      <x:c r="C2439" s="17" t="n">
        <x:v>2021</x:v>
      </x:c>
      <x:c r="D2439" s="18" t="n">
        <x:v>44319</x:v>
      </x:c>
      <x:c r="E2439" s="8" t="str">
        <x:v>RAINBOW TROUT</x:v>
      </x:c>
      <x:c r="F2439" s="13" t="n">
        <x:v>2000</x:v>
      </x:c>
      <x:c r="G2439" s="9" t="n">
        <x:v>18.2</x:v>
      </x:c>
      <x:c r="H2439" s="9" t="n">
        <x:v>67</x:v>
      </x:c>
      <x:c r="I2439" s="8" t="str">
        <x:f>B2439&amp;" / "&amp;C2439&amp;" / "&amp;E2439</x:f>
        <x:v>6726 / 2021 / RAINBOW TROUT</x:v>
      </x:c>
    </x:row>
    <x:row r="2440" ht="23" customHeight="1">
      <x:c r="A2440" s="8" t="str">
        <x:v>Open Creek Reservoir</x:v>
      </x:c>
      <x:c r="B2440" s="8" t="str">
        <x:v>6726</x:v>
      </x:c>
      <x:c r="C2440" s="17" t="n">
        <x:v>2021</x:v>
      </x:c>
      <x:c r="D2440" s="18" t="n">
        <x:v>44318</x:v>
      </x:c>
      <x:c r="E2440" s="8" t="str">
        <x:v>RAINBOW TROUT</x:v>
      </x:c>
      <x:c r="F2440" s="13" t="n">
        <x:v>4000</x:v>
      </x:c>
      <x:c r="G2440" s="9" t="n">
        <x:v>18.2</x:v>
      </x:c>
      <x:c r="H2440" s="9" t="n">
        <x:v>67</x:v>
      </x:c>
      <x:c r="I2440" s="8" t="str">
        <x:f>B2440&amp;" / "&amp;C2440&amp;" / "&amp;E2440</x:f>
        <x:v>6726 / 2021 / RAINBOW TROUT</x:v>
      </x:c>
    </x:row>
    <x:row r="2441" ht="23" customHeight="1">
      <x:c r="A2441" s="8" t="str">
        <x:v>Oyen Pond</x:v>
      </x:c>
      <x:c r="B2441" s="8" t="str">
        <x:v>18020</x:v>
      </x:c>
      <x:c r="C2441" s="17" t="n">
        <x:v>2026</x:v>
      </x:c>
      <x:c r="D2441" s="18" t="n">
        <x:v>46142</x:v>
      </x:c>
      <x:c r="E2441" s="8" t="str">
        <x:v>RAINBOW TROUT</x:v>
      </x:c>
      <x:c r="F2441" s="13" t="n">
        <x:v>300</x:v>
      </x:c>
      <x:c r="G2441" s="9" t="n">
        <x:v>20.1</x:v>
      </x:c>
      <x:c r="H2441" s="9" t="n">
        <x:v>92.6</x:v>
      </x:c>
      <x:c r="I2441" s="8" t="str">
        <x:f>B2441&amp;" / "&amp;C2441&amp;" / "&amp;E2441</x:f>
        <x:v>18020 / 2026 / RAINBOW TROUT</x:v>
      </x:c>
    </x:row>
    <x:row r="2442" ht="23" customHeight="1">
      <x:c r="A2442" s="8" t="str">
        <x:v>Oyen Pond</x:v>
      </x:c>
      <x:c r="B2442" s="8" t="str">
        <x:v>18020</x:v>
      </x:c>
      <x:c r="C2442" s="17" t="n">
        <x:v>2025</x:v>
      </x:c>
      <x:c r="D2442" s="18" t="n">
        <x:v>45782</x:v>
      </x:c>
      <x:c r="E2442" s="8" t="str">
        <x:v>RAINBOW TROUT</x:v>
      </x:c>
      <x:c r="F2442" s="13" t="n">
        <x:v>300</x:v>
      </x:c>
      <x:c r="G2442" s="9" t="n">
        <x:v>20.4</x:v>
      </x:c>
      <x:c r="H2442" s="9" t="n">
        <x:v>93.3</x:v>
      </x:c>
      <x:c r="I2442" s="8" t="str">
        <x:f>B2442&amp;" / "&amp;C2442&amp;" / "&amp;E2442</x:f>
        <x:v>18020 / 2025 / RAINBOW TROUT</x:v>
      </x:c>
    </x:row>
    <x:row r="2443" ht="23" customHeight="1">
      <x:c r="A2443" s="8" t="str">
        <x:v>Oyen Pond</x:v>
      </x:c>
      <x:c r="B2443" s="8" t="str">
        <x:v>18020</x:v>
      </x:c>
      <x:c r="C2443" s="17" t="n">
        <x:v>2024</x:v>
      </x:c>
      <x:c r="D2443" s="18" t="n">
        <x:v>45450</x:v>
      </x:c>
      <x:c r="E2443" s="8" t="str">
        <x:v>RAINBOW TROUT</x:v>
      </x:c>
      <x:c r="F2443" s="13" t="n">
        <x:v>350</x:v>
      </x:c>
      <x:c r="G2443" s="9" t="n">
        <x:v>21.6</x:v>
      </x:c>
      <x:c r="H2443" s="9" t="n">
        <x:v>96</x:v>
      </x:c>
      <x:c r="I2443" s="8" t="str">
        <x:f>B2443&amp;" / "&amp;C2443&amp;" / "&amp;E2443</x:f>
        <x:v>18020 / 2024 / RAINBOW TROUT</x:v>
      </x:c>
    </x:row>
    <x:row r="2444" ht="23" customHeight="1">
      <x:c r="A2444" s="8" t="str">
        <x:v>Oyen Pond</x:v>
      </x:c>
      <x:c r="B2444" s="8" t="str">
        <x:v>18020</x:v>
      </x:c>
      <x:c r="C2444" s="17" t="n">
        <x:v>2023</x:v>
      </x:c>
      <x:c r="D2444" s="18" t="n">
        <x:v>45047</x:v>
      </x:c>
      <x:c r="E2444" s="8" t="str">
        <x:v>RAINBOW TROUT</x:v>
      </x:c>
      <x:c r="F2444" s="13" t="n">
        <x:v>350</x:v>
      </x:c>
      <x:c r="G2444" s="9" t="n">
        <x:v>20.5</x:v>
      </x:c>
      <x:c r="H2444" s="9" t="n">
        <x:v>89.9</x:v>
      </x:c>
      <x:c r="I2444" s="8" t="str">
        <x:f>B2444&amp;" / "&amp;C2444&amp;" / "&amp;E2444</x:f>
        <x:v>18020 / 2023 / RAINBOW TROUT</x:v>
      </x:c>
    </x:row>
    <x:row r="2445" ht="23" customHeight="1">
      <x:c r="A2445" s="8" t="str">
        <x:v>Oyen Pond</x:v>
      </x:c>
      <x:c r="B2445" s="8" t="str">
        <x:v>18020</x:v>
      </x:c>
      <x:c r="C2445" s="17" t="n">
        <x:v>2022</x:v>
      </x:c>
      <x:c r="D2445" s="18" t="n">
        <x:v>44693</x:v>
      </x:c>
      <x:c r="E2445" s="8" t="str">
        <x:v>RAINBOW TROUT</x:v>
      </x:c>
      <x:c r="F2445" s="13" t="n">
        <x:v>350</x:v>
      </x:c>
      <x:c r="G2445" s="9" t="n">
        <x:v>20.7</x:v>
      </x:c>
      <x:c r="H2445" s="9" t="n">
        <x:v>97.3</x:v>
      </x:c>
      <x:c r="I2445" s="8" t="str">
        <x:f>B2445&amp;" / "&amp;C2445&amp;" / "&amp;E2445</x:f>
        <x:v>18020 / 2022 / RAINBOW TROUT</x:v>
      </x:c>
    </x:row>
    <x:row r="2446" ht="23" customHeight="1">
      <x:c r="A2446" s="8" t="str">
        <x:v>Oyen Pond</x:v>
      </x:c>
      <x:c r="B2446" s="8" t="str">
        <x:v>18020</x:v>
      </x:c>
      <x:c r="C2446" s="17" t="n">
        <x:v>2021</x:v>
      </x:c>
      <x:c r="D2446" s="18" t="n">
        <x:v>44318</x:v>
      </x:c>
      <x:c r="E2446" s="8" t="str">
        <x:v>RAINBOW TROUT</x:v>
      </x:c>
      <x:c r="F2446" s="13" t="n">
        <x:v>300</x:v>
      </x:c>
      <x:c r="G2446" s="9" t="n">
        <x:v>20.4</x:v>
      </x:c>
      <x:c r="H2446" s="9" t="n">
        <x:v>95.6</x:v>
      </x:c>
      <x:c r="I2446" s="8" t="str">
        <x:f>B2446&amp;" / "&amp;C2446&amp;" / "&amp;E2446</x:f>
        <x:v>18020 / 2021 / RAINBOW TROUT</x:v>
      </x:c>
    </x:row>
    <x:row r="2447" ht="23" customHeight="1">
      <x:c r="A2447" s="8" t="str">
        <x:v>Oyen Reservoir</x:v>
      </x:c>
      <x:c r="B2447" s="8" t="str">
        <x:v>6714</x:v>
      </x:c>
      <x:c r="C2447" s="17" t="n">
        <x:v>2023</x:v>
      </x:c>
      <x:c r="D2447" s="18" t="n">
        <x:v>45047</x:v>
      </x:c>
      <x:c r="E2447" s="8" t="str">
        <x:v>RAINBOW TROUT</x:v>
      </x:c>
      <x:c r="F2447" s="13" t="n">
        <x:v>300</x:v>
      </x:c>
      <x:c r="G2447" s="9" t="n">
        <x:v>20.5</x:v>
      </x:c>
      <x:c r="H2447" s="9" t="n">
        <x:v>89.9</x:v>
      </x:c>
      <x:c r="I2447" s="8" t="str">
        <x:f>B2447&amp;" / "&amp;C2447&amp;" / "&amp;E2447</x:f>
        <x:v>6714 / 2023 / RAINBOW TROUT</x:v>
      </x:c>
    </x:row>
    <x:row r="2448" ht="23" customHeight="1">
      <x:c r="A2448" s="8" t="str">
        <x:v>Oyen Reservoir</x:v>
      </x:c>
      <x:c r="B2448" s="8" t="str">
        <x:v>6714</x:v>
      </x:c>
      <x:c r="C2448" s="17" t="n">
        <x:v>2022</x:v>
      </x:c>
      <x:c r="D2448" s="18" t="n">
        <x:v>44693</x:v>
      </x:c>
      <x:c r="E2448" s="8" t="str">
        <x:v>RAINBOW TROUT</x:v>
      </x:c>
      <x:c r="F2448" s="13" t="n">
        <x:v>300</x:v>
      </x:c>
      <x:c r="G2448" s="9" t="n">
        <x:v>20.7</x:v>
      </x:c>
      <x:c r="H2448" s="9" t="n">
        <x:v>97.3</x:v>
      </x:c>
      <x:c r="I2448" s="8" t="str">
        <x:f>B2448&amp;" / "&amp;C2448&amp;" / "&amp;E2448</x:f>
        <x:v>6714 / 2022 / RAINBOW TROUT</x:v>
      </x:c>
    </x:row>
    <x:row r="2449" ht="23" customHeight="1">
      <x:c r="A2449" s="8" t="str">
        <x:v>Oyen Reservoir</x:v>
      </x:c>
      <x:c r="B2449" s="8" t="str">
        <x:v>6714</x:v>
      </x:c>
      <x:c r="C2449" s="17" t="n">
        <x:v>2021</x:v>
      </x:c>
      <x:c r="D2449" s="18" t="n">
        <x:v>44318</x:v>
      </x:c>
      <x:c r="E2449" s="8" t="str">
        <x:v>RAINBOW TROUT</x:v>
      </x:c>
      <x:c r="F2449" s="13" t="n">
        <x:v>250</x:v>
      </x:c>
      <x:c r="G2449" s="9" t="n">
        <x:v>20.4</x:v>
      </x:c>
      <x:c r="H2449" s="9" t="n">
        <x:v>95.6</x:v>
      </x:c>
      <x:c r="I2449" s="8" t="str">
        <x:f>B2449&amp;" / "&amp;C2449&amp;" / "&amp;E2449</x:f>
        <x:v>6714 / 2021 / RAINBOW TROUT</x:v>
      </x:c>
    </x:row>
    <x:row r="2450" ht="23" customHeight="1">
      <x:c r="A2450" s="8" t="str">
        <x:v>Parker Lake</x:v>
      </x:c>
      <x:c r="B2450" s="8" t="str">
        <x:v>5521</x:v>
      </x:c>
      <x:c r="C2450" s="17" t="n">
        <x:v>2025</x:v>
      </x:c>
      <x:c r="D2450" s="18" t="n">
        <x:v>45917</x:v>
      </x:c>
      <x:c r="E2450" s="8" t="str">
        <x:v>RAINBOW TROUT</x:v>
      </x:c>
      <x:c r="F2450" s="13" t="n">
        <x:v>7000</x:v>
      </x:c>
      <x:c r="G2450" s="9" t="n">
        <x:v>5.9</x:v>
      </x:c>
      <x:c r="H2450" s="9" t="n">
        <x:v>2.3</x:v>
      </x:c>
      <x:c r="I2450" s="8" t="str">
        <x:f>B2450&amp;" / "&amp;C2450&amp;" / "&amp;E2450</x:f>
        <x:v>5521 / 2025 / RAINBOW TROUT</x:v>
      </x:c>
    </x:row>
    <x:row r="2451" ht="23" customHeight="1">
      <x:c r="A2451" s="8" t="str">
        <x:v>Parker Lake</x:v>
      </x:c>
      <x:c r="B2451" s="8" t="str">
        <x:v>5521</x:v>
      </x:c>
      <x:c r="C2451" s="17" t="n">
        <x:v>2023</x:v>
      </x:c>
      <x:c r="D2451" s="18" t="n">
        <x:v>45209</x:v>
      </x:c>
      <x:c r="E2451" s="8" t="str">
        <x:v>BROOK TROUT</x:v>
      </x:c>
      <x:c r="F2451" s="13" t="n">
        <x:v>2700</x:v>
      </x:c>
      <x:c r="G2451" s="9" t="n">
        <x:v>12.1</x:v>
      </x:c>
      <x:c r="H2451" s="9" t="n">
        <x:v>19.3</x:v>
      </x:c>
      <x:c r="I2451" s="8" t="str">
        <x:f>B2451&amp;" / "&amp;C2451&amp;" / "&amp;E2451</x:f>
        <x:v>5521 / 2023 / BROOK TROUT</x:v>
      </x:c>
    </x:row>
    <x:row r="2452" ht="23" customHeight="1">
      <x:c r="A2452" s="8" t="str">
        <x:v>Parker Lake</x:v>
      </x:c>
      <x:c r="B2452" s="8" t="str">
        <x:v>5521</x:v>
      </x:c>
      <x:c r="C2452" s="17" t="n">
        <x:v>2022</x:v>
      </x:c>
      <x:c r="D2452" s="18" t="n">
        <x:v>44837</x:v>
      </x:c>
      <x:c r="E2452" s="8" t="str">
        <x:v>RAINBOW TROUT</x:v>
      </x:c>
      <x:c r="F2452" s="13" t="n">
        <x:v>7800</x:v>
      </x:c>
      <x:c r="G2452" s="9" t="n">
        <x:v>7.9</x:v>
      </x:c>
      <x:c r="H2452" s="9" t="n">
        <x:v>5.4</x:v>
      </x:c>
      <x:c r="I2452" s="8" t="str">
        <x:f>B2452&amp;" / "&amp;C2452&amp;" / "&amp;E2452</x:f>
        <x:v>5521 / 2022 / RAINBOW TROUT</x:v>
      </x:c>
    </x:row>
    <x:row r="2453" ht="23" customHeight="1">
      <x:c r="A2453" s="8" t="str">
        <x:v>Parker Lake</x:v>
      </x:c>
      <x:c r="B2453" s="8" t="str">
        <x:v>5521</x:v>
      </x:c>
      <x:c r="C2453" s="17" t="n">
        <x:v>2021</x:v>
      </x:c>
      <x:c r="D2453" s="18" t="n">
        <x:v>44482</x:v>
      </x:c>
      <x:c r="E2453" s="8" t="str">
        <x:v>RAINBOW TROUT</x:v>
      </x:c>
      <x:c r="F2453" s="13" t="n">
        <x:v>7800</x:v>
      </x:c>
      <x:c r="G2453" s="9" t="n">
        <x:v>7.4</x:v>
      </x:c>
      <x:c r="H2453" s="9" t="n">
        <x:v>4.5</x:v>
      </x:c>
      <x:c r="I2453" s="8" t="str">
        <x:f>B2453&amp;" / "&amp;C2453&amp;" / "&amp;E2453</x:f>
        <x:v>5521 / 2021 / RAINBOW TROUT</x:v>
      </x:c>
    </x:row>
    <x:row r="2454" ht="23" customHeight="1">
      <x:c r="A2454" s="8" t="str">
        <x:v>Peanut Lake</x:v>
      </x:c>
      <x:c r="B2454" s="8" t="str">
        <x:v>5538</x:v>
      </x:c>
      <x:c r="C2454" s="17" t="n">
        <x:v>2026</x:v>
      </x:c>
      <x:c r="D2454" s="18" t="n">
        <x:v>46156</x:v>
      </x:c>
      <x:c r="E2454" s="8" t="str">
        <x:v>BROOK TROUT</x:v>
      </x:c>
      <x:c r="F2454" s="13" t="n">
        <x:v>5000</x:v>
      </x:c>
      <x:c r="G2454" s="9" t="n">
        <x:v>20.1</x:v>
      </x:c>
      <x:c r="H2454" s="9" t="n">
        <x:v>90</x:v>
      </x:c>
      <x:c r="I2454" s="8" t="str">
        <x:f>B2454&amp;" / "&amp;C2454&amp;" / "&amp;E2454</x:f>
        <x:v>5538 / 2026 / BROOK TROUT</x:v>
      </x:c>
    </x:row>
    <x:row r="2455" ht="23" customHeight="1">
      <x:c r="A2455" s="8" t="str">
        <x:v>Peanut Lake</x:v>
      </x:c>
      <x:c r="B2455" s="8" t="str">
        <x:v>5538</x:v>
      </x:c>
      <x:c r="C2455" s="17" t="n">
        <x:v>2025</x:v>
      </x:c>
      <x:c r="D2455" s="18" t="n">
        <x:v>45776</x:v>
      </x:c>
      <x:c r="E2455" s="8" t="str">
        <x:v>BROOK TROUT</x:v>
      </x:c>
      <x:c r="F2455" s="13" t="n">
        <x:v>5000</x:v>
      </x:c>
      <x:c r="G2455" s="9" t="n">
        <x:v>19.5</x:v>
      </x:c>
      <x:c r="H2455" s="9" t="n">
        <x:v>80</x:v>
      </x:c>
      <x:c r="I2455" s="8" t="str">
        <x:f>B2455&amp;" / "&amp;C2455&amp;" / "&amp;E2455</x:f>
        <x:v>5538 / 2025 / BROOK TROUT</x:v>
      </x:c>
    </x:row>
    <x:row r="2456" ht="23" customHeight="1">
      <x:c r="A2456" s="8" t="str">
        <x:v>Peanut Lake</x:v>
      </x:c>
      <x:c r="B2456" s="8" t="str">
        <x:v>5538</x:v>
      </x:c>
      <x:c r="C2456" s="17" t="n">
        <x:v>2025</x:v>
      </x:c>
      <x:c r="D2456" s="18" t="n">
        <x:v>45937</x:v>
      </x:c>
      <x:c r="E2456" s="8" t="str">
        <x:v>RAINBOW TROUT</x:v>
      </x:c>
      <x:c r="F2456" s="13" t="n">
        <x:v>3000</x:v>
      </x:c>
      <x:c r="G2456" s="9" t="n">
        <x:v>20.4</x:v>
      </x:c>
      <x:c r="H2456" s="9" t="n">
        <x:v>94.5</x:v>
      </x:c>
      <x:c r="I2456" s="8" t="str">
        <x:f>B2456&amp;" / "&amp;C2456&amp;" / "&amp;E2456</x:f>
        <x:v>5538 / 2025 / RAINBOW TROUT</x:v>
      </x:c>
    </x:row>
    <x:row r="2457" ht="23" customHeight="1">
      <x:c r="A2457" s="8" t="str">
        <x:v>Peanut Lake</x:v>
      </x:c>
      <x:c r="B2457" s="8" t="str">
        <x:v>5538</x:v>
      </x:c>
      <x:c r="C2457" s="17" t="n">
        <x:v>2025</x:v>
      </x:c>
      <x:c r="D2457" s="18" t="n">
        <x:v>45937</x:v>
      </x:c>
      <x:c r="E2457" s="8" t="str">
        <x:v>RAINBOW TROUT</x:v>
      </x:c>
      <x:c r="F2457" s="13" t="n">
        <x:v>13200</x:v>
      </x:c>
      <x:c r="G2457" s="9" t="n">
        <x:v>20.4</x:v>
      </x:c>
      <x:c r="H2457" s="9" t="n">
        <x:v>94.3</x:v>
      </x:c>
      <x:c r="I2457" s="8" t="str">
        <x:f>B2457&amp;" / "&amp;C2457&amp;" / "&amp;E2457</x:f>
        <x:v>5538 / 2025 / RAINBOW TROUT</x:v>
      </x:c>
    </x:row>
    <x:row r="2458" ht="23" customHeight="1">
      <x:c r="A2458" s="8" t="str">
        <x:v>Peanut Lake</x:v>
      </x:c>
      <x:c r="B2458" s="8" t="str">
        <x:v>5538</x:v>
      </x:c>
      <x:c r="C2458" s="17" t="n">
        <x:v>2024</x:v>
      </x:c>
      <x:c r="D2458" s="18" t="n">
        <x:v>45412</x:v>
      </x:c>
      <x:c r="E2458" s="8" t="str">
        <x:v>BROOK TROUT</x:v>
      </x:c>
      <x:c r="F2458" s="13" t="n">
        <x:v>2500</x:v>
      </x:c>
      <x:c r="G2458" s="9" t="n">
        <x:v>19.6</x:v>
      </x:c>
      <x:c r="H2458" s="9" t="n">
        <x:v>81.9</x:v>
      </x:c>
      <x:c r="I2458" s="8" t="str">
        <x:f>B2458&amp;" / "&amp;C2458&amp;" / "&amp;E2458</x:f>
        <x:v>5538 / 2024 / BROOK TROUT</x:v>
      </x:c>
    </x:row>
    <x:row r="2459" ht="23" customHeight="1">
      <x:c r="A2459" s="8" t="str">
        <x:v>Peanut Lake</x:v>
      </x:c>
      <x:c r="B2459" s="8" t="str">
        <x:v>5538</x:v>
      </x:c>
      <x:c r="C2459" s="17" t="n">
        <x:v>2024</x:v>
      </x:c>
      <x:c r="D2459" s="18" t="n">
        <x:v>45565</x:v>
      </x:c>
      <x:c r="E2459" s="8" t="str">
        <x:v>RAINBOW TROUT</x:v>
      </x:c>
      <x:c r="F2459" s="13" t="n">
        <x:v>9200</x:v>
      </x:c>
      <x:c r="G2459" s="9" t="n">
        <x:v>20</x:v>
      </x:c>
      <x:c r="H2459" s="9" t="n">
        <x:v>86.8</x:v>
      </x:c>
      <x:c r="I2459" s="8" t="str">
        <x:f>B2459&amp;" / "&amp;C2459&amp;" / "&amp;E2459</x:f>
        <x:v>5538 / 2024 / RAINBOW TROUT</x:v>
      </x:c>
    </x:row>
    <x:row r="2460" ht="23" customHeight="1">
      <x:c r="A2460" s="8" t="str">
        <x:v>Peanut Lake</x:v>
      </x:c>
      <x:c r="B2460" s="8" t="str">
        <x:v>5538</x:v>
      </x:c>
      <x:c r="C2460" s="17" t="n">
        <x:v>2024</x:v>
      </x:c>
      <x:c r="D2460" s="18" t="n">
        <x:v>45565</x:v>
      </x:c>
      <x:c r="E2460" s="8" t="str">
        <x:v>RAINBOW TROUT</x:v>
      </x:c>
      <x:c r="F2460" s="13" t="n">
        <x:v>5000</x:v>
      </x:c>
      <x:c r="G2460" s="9" t="n">
        <x:v>17</x:v>
      </x:c>
      <x:c r="H2460" s="9" t="n">
        <x:v>54.7</x:v>
      </x:c>
      <x:c r="I2460" s="8" t="str">
        <x:f>B2460&amp;" / "&amp;C2460&amp;" / "&amp;E2460</x:f>
        <x:v>5538 / 2024 / RAINBOW TROUT</x:v>
      </x:c>
    </x:row>
    <x:row r="2461" ht="23" customHeight="1">
      <x:c r="A2461" s="8" t="str">
        <x:v>Peanut Lake</x:v>
      </x:c>
      <x:c r="B2461" s="8" t="str">
        <x:v>5538</x:v>
      </x:c>
      <x:c r="C2461" s="17" t="n">
        <x:v>2023</x:v>
      </x:c>
      <x:c r="D2461" s="18" t="n">
        <x:v>45195</x:v>
      </x:c>
      <x:c r="E2461" s="8" t="str">
        <x:v>BROOK TROUT</x:v>
      </x:c>
      <x:c r="F2461" s="13" t="n">
        <x:v>8000</x:v>
      </x:c>
      <x:c r="G2461" s="9" t="n">
        <x:v>11.6</x:v>
      </x:c>
      <x:c r="H2461" s="9" t="n">
        <x:v>16.9</x:v>
      </x:c>
      <x:c r="I2461" s="8" t="str">
        <x:f>B2461&amp;" / "&amp;C2461&amp;" / "&amp;E2461</x:f>
        <x:v>5538 / 2023 / BROOK TROUT</x:v>
      </x:c>
    </x:row>
    <x:row r="2462" ht="23" customHeight="1">
      <x:c r="A2462" s="8" t="str">
        <x:v>Peanut Lake</x:v>
      </x:c>
      <x:c r="B2462" s="8" t="str">
        <x:v>5538</x:v>
      </x:c>
      <x:c r="C2462" s="17" t="n">
        <x:v>2023</x:v>
      </x:c>
      <x:c r="D2462" s="18" t="n">
        <x:v>45195</x:v>
      </x:c>
      <x:c r="E2462" s="8" t="str">
        <x:v>BROOK TROUT</x:v>
      </x:c>
      <x:c r="F2462" s="13" t="n">
        <x:v>500</x:v>
      </x:c>
      <x:c r="G2462" s="9" t="n">
        <x:v>22.8</x:v>
      </x:c>
      <x:c r="H2462" s="9" t="n">
        <x:v>128.8</x:v>
      </x:c>
      <x:c r="I2462" s="8" t="str">
        <x:f>B2462&amp;" / "&amp;C2462&amp;" / "&amp;E2462</x:f>
        <x:v>5538 / 2023 / BROOK TROUT</x:v>
      </x:c>
    </x:row>
    <x:row r="2463" ht="23" customHeight="1">
      <x:c r="A2463" s="8" t="str">
        <x:v>Peanut Lake</x:v>
      </x:c>
      <x:c r="B2463" s="8" t="str">
        <x:v>5538</x:v>
      </x:c>
      <x:c r="C2463" s="17" t="n">
        <x:v>2023</x:v>
      </x:c>
      <x:c r="D2463" s="18" t="n">
        <x:v>45195</x:v>
      </x:c>
      <x:c r="E2463" s="8" t="str">
        <x:v>RAINBOW TROUT</x:v>
      </x:c>
      <x:c r="F2463" s="13" t="n">
        <x:v>4029</x:v>
      </x:c>
      <x:c r="G2463" s="9" t="n">
        <x:v>18.1</x:v>
      </x:c>
      <x:c r="H2463" s="9" t="n">
        <x:v>69.8</x:v>
      </x:c>
      <x:c r="I2463" s="8" t="str">
        <x:f>B2463&amp;" / "&amp;C2463&amp;" / "&amp;E2463</x:f>
        <x:v>5538 / 2023 / RAINBOW TROUT</x:v>
      </x:c>
    </x:row>
    <x:row r="2464" ht="23" customHeight="1">
      <x:c r="A2464" s="8" t="str">
        <x:v>Peanut Lake</x:v>
      </x:c>
      <x:c r="B2464" s="8" t="str">
        <x:v>5538</x:v>
      </x:c>
      <x:c r="C2464" s="17" t="n">
        <x:v>2022</x:v>
      </x:c>
      <x:c r="D2464" s="18" t="n">
        <x:v>44691</x:v>
      </x:c>
      <x:c r="E2464" s="8" t="str">
        <x:v>BROOK TROUT</x:v>
      </x:c>
      <x:c r="F2464" s="13" t="n">
        <x:v>5000</x:v>
      </x:c>
      <x:c r="G2464" s="9" t="n">
        <x:v>19.4</x:v>
      </x:c>
      <x:c r="H2464" s="9" t="n">
        <x:v>80.6</x:v>
      </x:c>
      <x:c r="I2464" s="8" t="str">
        <x:f>B2464&amp;" / "&amp;C2464&amp;" / "&amp;E2464</x:f>
        <x:v>5538 / 2022 / BROOK TROUT</x:v>
      </x:c>
    </x:row>
    <x:row r="2465" ht="23" customHeight="1">
      <x:c r="A2465" s="8" t="str">
        <x:v>Peanut Lake</x:v>
      </x:c>
      <x:c r="B2465" s="8" t="str">
        <x:v>5538</x:v>
      </x:c>
      <x:c r="C2465" s="17" t="n">
        <x:v>2021</x:v>
      </x:c>
      <x:c r="D2465" s="18" t="n">
        <x:v>44336</x:v>
      </x:c>
      <x:c r="E2465" s="8" t="str">
        <x:v>BROOK TROUT</x:v>
      </x:c>
      <x:c r="F2465" s="13" t="n">
        <x:v>5000</x:v>
      </x:c>
      <x:c r="G2465" s="9" t="n">
        <x:v>18.6</x:v>
      </x:c>
      <x:c r="H2465" s="9" t="n">
        <x:v>71</x:v>
      </x:c>
      <x:c r="I2465" s="8" t="str">
        <x:f>B2465&amp;" / "&amp;C2465&amp;" / "&amp;E2465</x:f>
        <x:v>5538 / 2021 / BROOK TROUT</x:v>
      </x:c>
    </x:row>
    <x:row r="2466" ht="23" customHeight="1">
      <x:c r="A2466" s="8" t="str">
        <x:v>Peanut Lake</x:v>
      </x:c>
      <x:c r="B2466" s="8" t="str">
        <x:v>5538</x:v>
      </x:c>
      <x:c r="C2466" s="17" t="n">
        <x:v>2021</x:v>
      </x:c>
      <x:c r="D2466" s="18" t="n">
        <x:v>44467</x:v>
      </x:c>
      <x:c r="E2466" s="8" t="str">
        <x:v>RAINBOW TROUT</x:v>
      </x:c>
      <x:c r="F2466" s="13" t="n">
        <x:v>7050</x:v>
      </x:c>
      <x:c r="G2466" s="9" t="n">
        <x:v>17.4</x:v>
      </x:c>
      <x:c r="H2466" s="9" t="n">
        <x:v>58.6</x:v>
      </x:c>
      <x:c r="I2466" s="8" t="str">
        <x:f>B2466&amp;" / "&amp;C2466&amp;" / "&amp;E2466</x:f>
        <x:v>5538 / 2021 / RAINBOW TROUT</x:v>
      </x:c>
    </x:row>
    <x:row r="2467" ht="23" customHeight="1">
      <x:c r="A2467" s="8" t="str">
        <x:v>Peanut Lake</x:v>
      </x:c>
      <x:c r="B2467" s="8" t="str">
        <x:v>5538</x:v>
      </x:c>
      <x:c r="C2467" s="17" t="n">
        <x:v>2021</x:v>
      </x:c>
      <x:c r="D2467" s="18" t="n">
        <x:v>44467</x:v>
      </x:c>
      <x:c r="E2467" s="8" t="str">
        <x:v>RAINBOW TROUT</x:v>
      </x:c>
      <x:c r="F2467" s="13" t="n">
        <x:v>7950</x:v>
      </x:c>
      <x:c r="G2467" s="9" t="n">
        <x:v>18.3</x:v>
      </x:c>
      <x:c r="H2467" s="9" t="n">
        <x:v>67.4</x:v>
      </x:c>
      <x:c r="I2467" s="8" t="str">
        <x:f>B2467&amp;" / "&amp;C2467&amp;" / "&amp;E2467</x:f>
        <x:v>5538 / 2021 / RAINBOW TROUT</x:v>
      </x:c>
    </x:row>
    <x:row r="2468" ht="23" customHeight="1">
      <x:c r="A2468" s="8" t="str">
        <x:v>Peppers Lake</x:v>
      </x:c>
      <x:c r="B2468" s="8" t="str">
        <x:v>5555</x:v>
      </x:c>
      <x:c r="C2468" s="17" t="n">
        <x:v>2026</x:v>
      </x:c>
      <x:c r="D2468" s="18" t="n">
        <x:v>46163</x:v>
      </x:c>
      <x:c r="E2468" s="8" t="str">
        <x:v>BROOK TROUT</x:v>
      </x:c>
      <x:c r="F2468" s="13" t="n">
        <x:v>4000</x:v>
      </x:c>
      <x:c r="G2468" s="9" t="n">
        <x:v>19.5</x:v>
      </x:c>
      <x:c r="H2468" s="9" t="n">
        <x:v>80.4</x:v>
      </x:c>
      <x:c r="I2468" s="8" t="str">
        <x:f>B2468&amp;" / "&amp;C2468&amp;" / "&amp;E2468</x:f>
        <x:v>5555 / 2026 / BROOK TROUT</x:v>
      </x:c>
    </x:row>
    <x:row r="2469" ht="23" customHeight="1">
      <x:c r="A2469" s="8" t="str">
        <x:v>Peppers Lake</x:v>
      </x:c>
      <x:c r="B2469" s="8" t="str">
        <x:v>5555</x:v>
      </x:c>
      <x:c r="C2469" s="17" t="n">
        <x:v>2026</x:v>
      </x:c>
      <x:c r="D2469" s="18" t="n">
        <x:v>46163</x:v>
      </x:c>
      <x:c r="E2469" s="8" t="str">
        <x:v>RAINBOW TROUT</x:v>
      </x:c>
      <x:c r="F2469" s="13" t="n">
        <x:v>2800</x:v>
      </x:c>
      <x:c r="G2469" s="9" t="n">
        <x:v>20.3</x:v>
      </x:c>
      <x:c r="H2469" s="9" t="n">
        <x:v>90.9</x:v>
      </x:c>
      <x:c r="I2469" s="8" t="str">
        <x:f>B2469&amp;" / "&amp;C2469&amp;" / "&amp;E2469</x:f>
        <x:v>5555 / 2026 / RAINBOW TROUT</x:v>
      </x:c>
    </x:row>
    <x:row r="2470" ht="23" customHeight="1">
      <x:c r="A2470" s="8" t="str">
        <x:v>Peppers Lake</x:v>
      </x:c>
      <x:c r="B2470" s="8" t="str">
        <x:v>5555</x:v>
      </x:c>
      <x:c r="C2470" s="17" t="n">
        <x:v>2025</x:v>
      </x:c>
      <x:c r="D2470" s="18" t="n">
        <x:v>45802</x:v>
      </x:c>
      <x:c r="E2470" s="8" t="str">
        <x:v>BROOK TROUT</x:v>
      </x:c>
      <x:c r="F2470" s="13" t="n">
        <x:v>4000</x:v>
      </x:c>
      <x:c r="G2470" s="9" t="n">
        <x:v>19.2</x:v>
      </x:c>
      <x:c r="H2470" s="9" t="n">
        <x:v>76.9</x:v>
      </x:c>
      <x:c r="I2470" s="8" t="str">
        <x:f>B2470&amp;" / "&amp;C2470&amp;" / "&amp;E2470</x:f>
        <x:v>5555 / 2025 / BROOK TROUT</x:v>
      </x:c>
    </x:row>
    <x:row r="2471" ht="23" customHeight="1">
      <x:c r="A2471" s="8" t="str">
        <x:v>Peppers Lake</x:v>
      </x:c>
      <x:c r="B2471" s="8" t="str">
        <x:v>5555</x:v>
      </x:c>
      <x:c r="C2471" s="17" t="n">
        <x:v>2025</x:v>
      </x:c>
      <x:c r="D2471" s="18" t="n">
        <x:v>45802</x:v>
      </x:c>
      <x:c r="E2471" s="8" t="str">
        <x:v>RAINBOW TROUT</x:v>
      </x:c>
      <x:c r="F2471" s="13" t="n">
        <x:v>2800</x:v>
      </x:c>
      <x:c r="G2471" s="9" t="n">
        <x:v>21.2</x:v>
      </x:c>
      <x:c r="H2471" s="9" t="n">
        <x:v>103.5</x:v>
      </x:c>
      <x:c r="I2471" s="8" t="str">
        <x:f>B2471&amp;" / "&amp;C2471&amp;" / "&amp;E2471</x:f>
        <x:v>5555 / 2025 / RAINBOW TROUT</x:v>
      </x:c>
    </x:row>
    <x:row r="2472" ht="23" customHeight="1">
      <x:c r="A2472" s="8" t="str">
        <x:v>Peppers Lake</x:v>
      </x:c>
      <x:c r="B2472" s="8" t="str">
        <x:v>5555</x:v>
      </x:c>
      <x:c r="C2472" s="17" t="n">
        <x:v>2024</x:v>
      </x:c>
      <x:c r="D2472" s="18" t="n">
        <x:v>45441</x:v>
      </x:c>
      <x:c r="E2472" s="8" t="str">
        <x:v>BROOK TROUT</x:v>
      </x:c>
      <x:c r="F2472" s="13" t="n">
        <x:v>3500</x:v>
      </x:c>
      <x:c r="G2472" s="9" t="n">
        <x:v>19.2</x:v>
      </x:c>
      <x:c r="H2472" s="9" t="n">
        <x:v>76.5</x:v>
      </x:c>
      <x:c r="I2472" s="8" t="str">
        <x:f>B2472&amp;" / "&amp;C2472&amp;" / "&amp;E2472</x:f>
        <x:v>5555 / 2024 / BROOK TROUT</x:v>
      </x:c>
    </x:row>
    <x:row r="2473" ht="23" customHeight="1">
      <x:c r="A2473" s="8" t="str">
        <x:v>Peppers Lake</x:v>
      </x:c>
      <x:c r="B2473" s="8" t="str">
        <x:v>5555</x:v>
      </x:c>
      <x:c r="C2473" s="17" t="n">
        <x:v>2024</x:v>
      </x:c>
      <x:c r="D2473" s="18" t="n">
        <x:v>45441</x:v>
      </x:c>
      <x:c r="E2473" s="8" t="str">
        <x:v>RAINBOW TROUT</x:v>
      </x:c>
      <x:c r="F2473" s="13" t="n">
        <x:v>1400</x:v>
      </x:c>
      <x:c r="G2473" s="9" t="n">
        <x:v>21</x:v>
      </x:c>
      <x:c r="H2473" s="9" t="n">
        <x:v>100</x:v>
      </x:c>
      <x:c r="I2473" s="8" t="str">
        <x:f>B2473&amp;" / "&amp;C2473&amp;" / "&amp;E2473</x:f>
        <x:v>5555 / 2024 / RAINBOW TROUT</x:v>
      </x:c>
    </x:row>
    <x:row r="2474" ht="23" customHeight="1">
      <x:c r="A2474" s="8" t="str">
        <x:v>Peppers Lake</x:v>
      </x:c>
      <x:c r="B2474" s="8" t="str">
        <x:v>5555</x:v>
      </x:c>
      <x:c r="C2474" s="17" t="n">
        <x:v>2023</x:v>
      </x:c>
      <x:c r="D2474" s="18" t="n">
        <x:v>45184</x:v>
      </x:c>
      <x:c r="E2474" s="8" t="str">
        <x:v>BROOK TROUT</x:v>
      </x:c>
      <x:c r="F2474" s="13" t="n">
        <x:v>5000</x:v>
      </x:c>
      <x:c r="G2474" s="9" t="n">
        <x:v>11.3</x:v>
      </x:c>
      <x:c r="H2474" s="9" t="n">
        <x:v>15.7</x:v>
      </x:c>
      <x:c r="I2474" s="8" t="str">
        <x:f>B2474&amp;" / "&amp;C2474&amp;" / "&amp;E2474</x:f>
        <x:v>5555 / 2023 / BROOK TROUT</x:v>
      </x:c>
    </x:row>
    <x:row r="2475" ht="23" customHeight="1">
      <x:c r="A2475" s="8" t="str">
        <x:v>Peppers Lake</x:v>
      </x:c>
      <x:c r="B2475" s="8" t="str">
        <x:v>5555</x:v>
      </x:c>
      <x:c r="C2475" s="17" t="n">
        <x:v>2023</x:v>
      </x:c>
      <x:c r="D2475" s="18" t="n">
        <x:v>45057</x:v>
      </x:c>
      <x:c r="E2475" s="8" t="str">
        <x:v>BROOK TROUT</x:v>
      </x:c>
      <x:c r="F2475" s="13" t="n">
        <x:v>3000</x:v>
      </x:c>
      <x:c r="G2475" s="9" t="n">
        <x:v>20.7</x:v>
      </x:c>
      <x:c r="H2475" s="9" t="n">
        <x:v>90.3</x:v>
      </x:c>
      <x:c r="I2475" s="8" t="str">
        <x:f>B2475&amp;" / "&amp;C2475&amp;" / "&amp;E2475</x:f>
        <x:v>5555 / 2023 / BROOK TROUT</x:v>
      </x:c>
    </x:row>
    <x:row r="2476" ht="23" customHeight="1">
      <x:c r="A2476" s="8" t="str">
        <x:v>Peppers Lake</x:v>
      </x:c>
      <x:c r="B2476" s="8" t="str">
        <x:v>5555</x:v>
      </x:c>
      <x:c r="C2476" s="17" t="n">
        <x:v>2023</x:v>
      </x:c>
      <x:c r="D2476" s="18" t="n">
        <x:v>45184</x:v>
      </x:c>
      <x:c r="E2476" s="8" t="str">
        <x:v>RAINBOW TROUT</x:v>
      </x:c>
      <x:c r="F2476" s="13" t="n">
        <x:v>1000</x:v>
      </x:c>
      <x:c r="G2476" s="9" t="n">
        <x:v>14.1</x:v>
      </x:c>
      <x:c r="H2476" s="9" t="n">
        <x:v>30.3</x:v>
      </x:c>
      <x:c r="I2476" s="8" t="str">
        <x:f>B2476&amp;" / "&amp;C2476&amp;" / "&amp;E2476</x:f>
        <x:v>5555 / 2023 / RAINBOW TROUT</x:v>
      </x:c>
    </x:row>
    <x:row r="2477" ht="23" customHeight="1">
      <x:c r="A2477" s="8" t="str">
        <x:v>Peppers Lake</x:v>
      </x:c>
      <x:c r="B2477" s="8" t="str">
        <x:v>5555</x:v>
      </x:c>
      <x:c r="C2477" s="17" t="n">
        <x:v>2023</x:v>
      </x:c>
      <x:c r="D2477" s="18" t="n">
        <x:v>45062</x:v>
      </x:c>
      <x:c r="E2477" s="8" t="str">
        <x:v>RAINBOW TROUT</x:v>
      </x:c>
      <x:c r="F2477" s="13" t="n">
        <x:v>1406</x:v>
      </x:c>
      <x:c r="G2477" s="9" t="n">
        <x:v>21</x:v>
      </x:c>
      <x:c r="H2477" s="9" t="n">
        <x:v>100.4</x:v>
      </x:c>
      <x:c r="I2477" s="8" t="str">
        <x:f>B2477&amp;" / "&amp;C2477&amp;" / "&amp;E2477</x:f>
        <x:v>5555 / 2023 / RAINBOW TROUT</x:v>
      </x:c>
    </x:row>
    <x:row r="2478" ht="23" customHeight="1">
      <x:c r="A2478" s="8" t="str">
        <x:v>Peppers Lake</x:v>
      </x:c>
      <x:c r="B2478" s="8" t="str">
        <x:v>5555</x:v>
      </x:c>
      <x:c r="C2478" s="17" t="n">
        <x:v>2022</x:v>
      </x:c>
      <x:c r="D2478" s="18" t="n">
        <x:v>44824</x:v>
      </x:c>
      <x:c r="E2478" s="8" t="str">
        <x:v>BROOK TROUT</x:v>
      </x:c>
      <x:c r="F2478" s="13" t="n">
        <x:v>3400</x:v>
      </x:c>
      <x:c r="G2478" s="9" t="n">
        <x:v>10.5</x:v>
      </x:c>
      <x:c r="H2478" s="9" t="n">
        <x:v>12.7</x:v>
      </x:c>
      <x:c r="I2478" s="8" t="str">
        <x:f>B2478&amp;" / "&amp;C2478&amp;" / "&amp;E2478</x:f>
        <x:v>5555 / 2022 / BROOK TROUT</x:v>
      </x:c>
    </x:row>
    <x:row r="2479" ht="23" customHeight="1">
      <x:c r="A2479" s="8" t="str">
        <x:v>Peppers Lake</x:v>
      </x:c>
      <x:c r="B2479" s="8" t="str">
        <x:v>5555</x:v>
      </x:c>
      <x:c r="C2479" s="17" t="n">
        <x:v>2022</x:v>
      </x:c>
      <x:c r="D2479" s="18" t="n">
        <x:v>44712</x:v>
      </x:c>
      <x:c r="E2479" s="8" t="str">
        <x:v>BROOK TROUT</x:v>
      </x:c>
      <x:c r="F2479" s="13" t="n">
        <x:v>1711</x:v>
      </x:c>
      <x:c r="G2479" s="9" t="n">
        <x:v>21.3</x:v>
      </x:c>
      <x:c r="H2479" s="9" t="n">
        <x:v>93.5</x:v>
      </x:c>
      <x:c r="I2479" s="8" t="str">
        <x:f>B2479&amp;" / "&amp;C2479&amp;" / "&amp;E2479</x:f>
        <x:v>5555 / 2022 / BROOK TROUT</x:v>
      </x:c>
    </x:row>
    <x:row r="2480" ht="23" customHeight="1">
      <x:c r="A2480" s="8" t="str">
        <x:v>Peppers Lake</x:v>
      </x:c>
      <x:c r="B2480" s="8" t="str">
        <x:v>5555</x:v>
      </x:c>
      <x:c r="C2480" s="17" t="n">
        <x:v>2022</x:v>
      </x:c>
      <x:c r="D2480" s="18" t="n">
        <x:v>44710</x:v>
      </x:c>
      <x:c r="E2480" s="8" t="str">
        <x:v>BROOK TROUT</x:v>
      </x:c>
      <x:c r="F2480" s="13" t="n">
        <x:v>1786</x:v>
      </x:c>
      <x:c r="G2480" s="9" t="n">
        <x:v>21.3</x:v>
      </x:c>
      <x:c r="H2480" s="9" t="n">
        <x:v>93.5</x:v>
      </x:c>
      <x:c r="I2480" s="8" t="str">
        <x:f>B2480&amp;" / "&amp;C2480&amp;" / "&amp;E2480</x:f>
        <x:v>5555 / 2022 / BROOK TROUT</x:v>
      </x:c>
    </x:row>
    <x:row r="2481" ht="23" customHeight="1">
      <x:c r="A2481" s="8" t="str">
        <x:v>Peppers Lake</x:v>
      </x:c>
      <x:c r="B2481" s="8" t="str">
        <x:v>5555</x:v>
      </x:c>
      <x:c r="C2481" s="17" t="n">
        <x:v>2022</x:v>
      </x:c>
      <x:c r="D2481" s="18" t="n">
        <x:v>44707</x:v>
      </x:c>
      <x:c r="E2481" s="8" t="str">
        <x:v>BROOK TROUT</x:v>
      </x:c>
      <x:c r="F2481" s="13" t="n">
        <x:v>522</x:v>
      </x:c>
      <x:c r="G2481" s="9" t="n">
        <x:v>20.3</x:v>
      </x:c>
      <x:c r="H2481" s="9" t="n">
        <x:v>90.1</x:v>
      </x:c>
      <x:c r="I2481" s="8" t="str">
        <x:f>B2481&amp;" / "&amp;C2481&amp;" / "&amp;E2481</x:f>
        <x:v>5555 / 2022 / BROOK TROUT</x:v>
      </x:c>
    </x:row>
    <x:row r="2482" ht="23" customHeight="1">
      <x:c r="A2482" s="8" t="str">
        <x:v>Peppers Lake</x:v>
      </x:c>
      <x:c r="B2482" s="8" t="str">
        <x:v>5555</x:v>
      </x:c>
      <x:c r="C2482" s="17" t="n">
        <x:v>2022</x:v>
      </x:c>
      <x:c r="D2482" s="18" t="n">
        <x:v>44707</x:v>
      </x:c>
      <x:c r="E2482" s="8" t="str">
        <x:v>RAINBOW TROUT</x:v>
      </x:c>
      <x:c r="F2482" s="13" t="n">
        <x:v>971</x:v>
      </x:c>
      <x:c r="G2482" s="9" t="n">
        <x:v>22.4</x:v>
      </x:c>
      <x:c r="H2482" s="9" t="n">
        <x:v>100.1</x:v>
      </x:c>
      <x:c r="I2482" s="8" t="str">
        <x:f>B2482&amp;" / "&amp;C2482&amp;" / "&amp;E2482</x:f>
        <x:v>5555 / 2022 / RAINBOW TROUT</x:v>
      </x:c>
    </x:row>
    <x:row r="2483" ht="23" customHeight="1">
      <x:c r="A2483" s="8" t="str">
        <x:v>Peppers Lake</x:v>
      </x:c>
      <x:c r="B2483" s="8" t="str">
        <x:v>5555</x:v>
      </x:c>
      <x:c r="C2483" s="17" t="n">
        <x:v>2022</x:v>
      </x:c>
      <x:c r="D2483" s="18" t="n">
        <x:v>44706</x:v>
      </x:c>
      <x:c r="E2483" s="8" t="str">
        <x:v>RAINBOW TROUT</x:v>
      </x:c>
      <x:c r="F2483" s="13" t="n">
        <x:v>2000</x:v>
      </x:c>
      <x:c r="G2483" s="9" t="n">
        <x:v>22.4</x:v>
      </x:c>
      <x:c r="H2483" s="9" t="n">
        <x:v>100.1</x:v>
      </x:c>
      <x:c r="I2483" s="8" t="str">
        <x:f>B2483&amp;" / "&amp;C2483&amp;" / "&amp;E2483</x:f>
        <x:v>5555 / 2022 / RAINBOW TROUT</x:v>
      </x:c>
    </x:row>
    <x:row r="2484" ht="23" customHeight="1">
      <x:c r="A2484" s="8" t="str">
        <x:v>Peppers Lake</x:v>
      </x:c>
      <x:c r="B2484" s="8" t="str">
        <x:v>5555</x:v>
      </x:c>
      <x:c r="C2484" s="17" t="n">
        <x:v>2021</x:v>
      </x:c>
      <x:c r="D2484" s="18" t="n">
        <x:v>44334</x:v>
      </x:c>
      <x:c r="E2484" s="8" t="str">
        <x:v>BROOK TROUT</x:v>
      </x:c>
      <x:c r="F2484" s="13" t="n">
        <x:v>4000</x:v>
      </x:c>
      <x:c r="G2484" s="9" t="n">
        <x:v>18.5</x:v>
      </x:c>
      <x:c r="H2484" s="9" t="n">
        <x:v>79.3</x:v>
      </x:c>
      <x:c r="I2484" s="8" t="str">
        <x:f>B2484&amp;" / "&amp;C2484&amp;" / "&amp;E2484</x:f>
        <x:v>5555 / 2021 / BROOK TROUT</x:v>
      </x:c>
    </x:row>
    <x:row r="2485" ht="23" customHeight="1">
      <x:c r="A2485" s="8" t="str">
        <x:v>Peppers Lake</x:v>
      </x:c>
      <x:c r="B2485" s="8" t="str">
        <x:v>5555</x:v>
      </x:c>
      <x:c r="C2485" s="17" t="n">
        <x:v>2021</x:v>
      </x:c>
      <x:c r="D2485" s="18" t="n">
        <x:v>44333</x:v>
      </x:c>
      <x:c r="E2485" s="8" t="str">
        <x:v>RAINBOW TROUT</x:v>
      </x:c>
      <x:c r="F2485" s="13" t="n">
        <x:v>2800</x:v>
      </x:c>
      <x:c r="G2485" s="9" t="n">
        <x:v>16.3</x:v>
      </x:c>
      <x:c r="H2485" s="9" t="n">
        <x:v>47.7</x:v>
      </x:c>
      <x:c r="I2485" s="8" t="str">
        <x:f>B2485&amp;" / "&amp;C2485&amp;" / "&amp;E2485</x:f>
        <x:v>5555 / 2021 / RAINBOW TROUT</x:v>
      </x:c>
    </x:row>
    <x:row r="2486" ht="23" customHeight="1">
      <x:c r="A2486" s="8" t="str">
        <x:v>Petite Lake</x:v>
      </x:c>
      <x:c r="B2486" s="8" t="str">
        <x:v>5565</x:v>
      </x:c>
      <x:c r="C2486" s="17" t="n">
        <x:v>2026</x:v>
      </x:c>
      <x:c r="D2486" s="18" t="n">
        <x:v>46163</x:v>
      </x:c>
      <x:c r="E2486" s="8" t="str">
        <x:v>RAINBOW TROUT</x:v>
      </x:c>
      <x:c r="F2486" s="13" t="n">
        <x:v>2000</x:v>
      </x:c>
      <x:c r="G2486" s="9" t="n">
        <x:v>16</x:v>
      </x:c>
      <x:c r="H2486" s="9" t="n">
        <x:v>43</x:v>
      </x:c>
      <x:c r="I2486" s="8" t="str">
        <x:f>B2486&amp;" / "&amp;C2486&amp;" / "&amp;E2486</x:f>
        <x:v>5565 / 2026 / RAINBOW TROUT</x:v>
      </x:c>
    </x:row>
    <x:row r="2487" ht="23" customHeight="1">
      <x:c r="A2487" s="8" t="str">
        <x:v>Petite Lake</x:v>
      </x:c>
      <x:c r="B2487" s="8" t="str">
        <x:v>5565</x:v>
      </x:c>
      <x:c r="C2487" s="17" t="n">
        <x:v>2025</x:v>
      </x:c>
      <x:c r="D2487" s="18" t="n">
        <x:v>45799</x:v>
      </x:c>
      <x:c r="E2487" s="8" t="str">
        <x:v>RAINBOW TROUT</x:v>
      </x:c>
      <x:c r="F2487" s="13" t="n">
        <x:v>2000</x:v>
      </x:c>
      <x:c r="G2487" s="9" t="n">
        <x:v>17.7</x:v>
      </x:c>
      <x:c r="H2487" s="9" t="n">
        <x:v>61.5</x:v>
      </x:c>
      <x:c r="I2487" s="8" t="str">
        <x:f>B2487&amp;" / "&amp;C2487&amp;" / "&amp;E2487</x:f>
        <x:v>5565 / 2025 / RAINBOW TROUT</x:v>
      </x:c>
    </x:row>
    <x:row r="2488" ht="23" customHeight="1">
      <x:c r="A2488" s="8" t="str">
        <x:v>Petite Lake</x:v>
      </x:c>
      <x:c r="B2488" s="8" t="str">
        <x:v>5565</x:v>
      </x:c>
      <x:c r="C2488" s="17" t="n">
        <x:v>2024</x:v>
      </x:c>
      <x:c r="D2488" s="18" t="n">
        <x:v>45439</x:v>
      </x:c>
      <x:c r="E2488" s="8" t="str">
        <x:v>RAINBOW TROUT</x:v>
      </x:c>
      <x:c r="F2488" s="13" t="n">
        <x:v>1000</x:v>
      </x:c>
      <x:c r="G2488" s="9" t="n">
        <x:v>20.5</x:v>
      </x:c>
      <x:c r="H2488" s="9" t="n">
        <x:v>93.6</x:v>
      </x:c>
      <x:c r="I2488" s="8" t="str">
        <x:f>B2488&amp;" / "&amp;C2488&amp;" / "&amp;E2488</x:f>
        <x:v>5565 / 2024 / RAINBOW TROUT</x:v>
      </x:c>
    </x:row>
    <x:row r="2489" ht="23" customHeight="1">
      <x:c r="A2489" s="8" t="str">
        <x:v>Petite Lake</x:v>
      </x:c>
      <x:c r="B2489" s="8" t="str">
        <x:v>5565</x:v>
      </x:c>
      <x:c r="C2489" s="17" t="n">
        <x:v>2023</x:v>
      </x:c>
      <x:c r="D2489" s="18" t="n">
        <x:v>45075</x:v>
      </x:c>
      <x:c r="E2489" s="8" t="str">
        <x:v>RAINBOW TROUT</x:v>
      </x:c>
      <x:c r="F2489" s="13" t="n">
        <x:v>948</x:v>
      </x:c>
      <x:c r="G2489" s="9" t="n">
        <x:v>18</x:v>
      </x:c>
      <x:c r="H2489" s="9" t="n">
        <x:v>63.3</x:v>
      </x:c>
      <x:c r="I2489" s="8" t="str">
        <x:f>B2489&amp;" / "&amp;C2489&amp;" / "&amp;E2489</x:f>
        <x:v>5565 / 2023 / RAINBOW TROUT</x:v>
      </x:c>
    </x:row>
    <x:row r="2490" ht="23" customHeight="1">
      <x:c r="A2490" s="8" t="str">
        <x:v>Petite Lake</x:v>
      </x:c>
      <x:c r="B2490" s="8" t="str">
        <x:v>5565</x:v>
      </x:c>
      <x:c r="C2490" s="17" t="n">
        <x:v>2022</x:v>
      </x:c>
      <x:c r="D2490" s="18" t="n">
        <x:v>44710</x:v>
      </x:c>
      <x:c r="E2490" s="8" t="str">
        <x:v>RAINBOW TROUT</x:v>
      </x:c>
      <x:c r="F2490" s="13" t="n">
        <x:v>2000</x:v>
      </x:c>
      <x:c r="G2490" s="9" t="n">
        <x:v>19.1</x:v>
      </x:c>
      <x:c r="H2490" s="9" t="n">
        <x:v>75.9</x:v>
      </x:c>
      <x:c r="I2490" s="8" t="str">
        <x:f>B2490&amp;" / "&amp;C2490&amp;" / "&amp;E2490</x:f>
        <x:v>5565 / 2022 / RAINBOW TROUT</x:v>
      </x:c>
    </x:row>
    <x:row r="2491" ht="23" customHeight="1">
      <x:c r="A2491" s="8" t="str">
        <x:v>Petite Lake</x:v>
      </x:c>
      <x:c r="B2491" s="8" t="str">
        <x:v>5565</x:v>
      </x:c>
      <x:c r="C2491" s="17" t="n">
        <x:v>2021</x:v>
      </x:c>
      <x:c r="D2491" s="18" t="n">
        <x:v>44349</x:v>
      </x:c>
      <x:c r="E2491" s="8" t="str">
        <x:v>RAINBOW TROUT</x:v>
      </x:c>
      <x:c r="F2491" s="13" t="n">
        <x:v>1300</x:v>
      </x:c>
      <x:c r="G2491" s="9" t="n">
        <x:v>20.8</x:v>
      </x:c>
      <x:c r="H2491" s="9" t="n">
        <x:v>99</x:v>
      </x:c>
      <x:c r="I2491" s="8" t="str">
        <x:f>B2491&amp;" / "&amp;C2491&amp;" / "&amp;E2491</x:f>
        <x:v>5565 / 2021 / RAINBOW TROUT</x:v>
      </x:c>
    </x:row>
    <x:row r="2492" ht="23" customHeight="1">
      <x:c r="A2492" s="8" t="str">
        <x:v>Petite Lake</x:v>
      </x:c>
      <x:c r="B2492" s="8" t="str">
        <x:v>5565</x:v>
      </x:c>
      <x:c r="C2492" s="17" t="n">
        <x:v>2021</x:v>
      </x:c>
      <x:c r="D2492" s="18" t="n">
        <x:v>44335</x:v>
      </x:c>
      <x:c r="E2492" s="8" t="str">
        <x:v>RAINBOW TROUT</x:v>
      </x:c>
      <x:c r="F2492" s="13" t="n">
        <x:v>700</x:v>
      </x:c>
      <x:c r="G2492" s="9" t="n">
        <x:v>20.4</x:v>
      </x:c>
      <x:c r="H2492" s="9" t="n">
        <x:v>93.4</x:v>
      </x:c>
      <x:c r="I2492" s="8" t="str">
        <x:f>B2492&amp;" / "&amp;C2492&amp;" / "&amp;E2492</x:f>
        <x:v>5565 / 2021 / RAINBOW TROUT</x:v>
      </x:c>
    </x:row>
    <x:row r="2493" ht="23" customHeight="1">
      <x:c r="A2493" s="8" t="str">
        <x:v>Phyllis Lake</x:v>
      </x:c>
      <x:c r="B2493" s="8" t="str">
        <x:v>5569</x:v>
      </x:c>
      <x:c r="C2493" s="17" t="n">
        <x:v>2026</x:v>
      </x:c>
      <x:c r="D2493" s="18" t="n">
        <x:v>46154</x:v>
      </x:c>
      <x:c r="E2493" s="8" t="str">
        <x:v>RAINBOW TROUT</x:v>
      </x:c>
      <x:c r="F2493" s="13" t="n">
        <x:v>3182</x:v>
      </x:c>
      <x:c r="G2493" s="9" t="n">
        <x:v>20.5</x:v>
      </x:c>
      <x:c r="H2493" s="9" t="n">
        <x:v>93.5</x:v>
      </x:c>
      <x:c r="I2493" s="8" t="str">
        <x:f>B2493&amp;" / "&amp;C2493&amp;" / "&amp;E2493</x:f>
        <x:v>5569 / 2026 / RAINBOW TROUT</x:v>
      </x:c>
    </x:row>
    <x:row r="2494" ht="23" customHeight="1">
      <x:c r="A2494" s="8" t="str">
        <x:v>Phyllis Lake</x:v>
      </x:c>
      <x:c r="B2494" s="8" t="str">
        <x:v>5569</x:v>
      </x:c>
      <x:c r="C2494" s="17" t="n">
        <x:v>2026</x:v>
      </x:c>
      <x:c r="D2494" s="18" t="n">
        <x:v>46154</x:v>
      </x:c>
      <x:c r="E2494" s="8" t="str">
        <x:v>RAINBOW TROUT</x:v>
      </x:c>
      <x:c r="F2494" s="13" t="n">
        <x:v>6818</x:v>
      </x:c>
      <x:c r="G2494" s="9" t="n">
        <x:v>20.8</x:v>
      </x:c>
      <x:c r="H2494" s="9" t="n">
        <x:v>97.7</x:v>
      </x:c>
      <x:c r="I2494" s="8" t="str">
        <x:f>B2494&amp;" / "&amp;C2494&amp;" / "&amp;E2494</x:f>
        <x:v>5569 / 2026 / RAINBOW TROUT</x:v>
      </x:c>
    </x:row>
    <x:row r="2495" ht="23" customHeight="1">
      <x:c r="A2495" s="8" t="str">
        <x:v>Phyllis Lake</x:v>
      </x:c>
      <x:c r="B2495" s="8" t="str">
        <x:v>5569</x:v>
      </x:c>
      <x:c r="C2495" s="17" t="n">
        <x:v>2025</x:v>
      </x:c>
      <x:c r="D2495" s="18" t="n">
        <x:v>45779</x:v>
      </x:c>
      <x:c r="E2495" s="8" t="str">
        <x:v>RAINBOW TROUT</x:v>
      </x:c>
      <x:c r="F2495" s="13" t="n">
        <x:v>10000</x:v>
      </x:c>
      <x:c r="G2495" s="9" t="n">
        <x:v>20.1</x:v>
      </x:c>
      <x:c r="H2495" s="9" t="n">
        <x:v>88</x:v>
      </x:c>
      <x:c r="I2495" s="8" t="str">
        <x:f>B2495&amp;" / "&amp;C2495&amp;" / "&amp;E2495</x:f>
        <x:v>5569 / 2025 / RAINBOW TROUT</x:v>
      </x:c>
    </x:row>
    <x:row r="2496" ht="23" customHeight="1">
      <x:c r="A2496" s="8" t="str">
        <x:v>Phyllis Lake</x:v>
      </x:c>
      <x:c r="B2496" s="8" t="str">
        <x:v>5569</x:v>
      </x:c>
      <x:c r="C2496" s="17" t="n">
        <x:v>2024</x:v>
      </x:c>
      <x:c r="D2496" s="18" t="n">
        <x:v>45570</x:v>
      </x:c>
      <x:c r="E2496" s="8" t="str">
        <x:v>RAINBOW TROUT</x:v>
      </x:c>
      <x:c r="F2496" s="13" t="n">
        <x:v>50</x:v>
      </x:c>
      <x:c r="G2496" s="9" t="n">
        <x:v>65</x:v>
      </x:c>
      <x:c r="H2496" s="9" t="n">
        <x:v>9000</x:v>
      </x:c>
      <x:c r="I2496" s="8" t="str">
        <x:f>B2496&amp;" / "&amp;C2496&amp;" / "&amp;E2496</x:f>
        <x:v>5569 / 2024 / RAINBOW TROUT</x:v>
      </x:c>
    </x:row>
    <x:row r="2497" ht="23" customHeight="1">
      <x:c r="A2497" s="8" t="str">
        <x:v>Phyllis Lake</x:v>
      </x:c>
      <x:c r="B2497" s="8" t="str">
        <x:v>5569</x:v>
      </x:c>
      <x:c r="C2497" s="17" t="n">
        <x:v>2024</x:v>
      </x:c>
      <x:c r="D2497" s="18" t="n">
        <x:v>45560</x:v>
      </x:c>
      <x:c r="E2497" s="8" t="str">
        <x:v>RAINBOW TROUT</x:v>
      </x:c>
      <x:c r="F2497" s="13" t="n">
        <x:v>3350</x:v>
      </x:c>
      <x:c r="G2497" s="9" t="n">
        <x:v>18</x:v>
      </x:c>
      <x:c r="H2497" s="9" t="n">
        <x:v>64.7</x:v>
      </x:c>
      <x:c r="I2497" s="8" t="str">
        <x:f>B2497&amp;" / "&amp;C2497&amp;" / "&amp;E2497</x:f>
        <x:v>5569 / 2024 / RAINBOW TROUT</x:v>
      </x:c>
    </x:row>
    <x:row r="2498" ht="23" customHeight="1">
      <x:c r="A2498" s="8" t="str">
        <x:v>Phyllis Lake</x:v>
      </x:c>
      <x:c r="B2498" s="8" t="str">
        <x:v>5569</x:v>
      </x:c>
      <x:c r="C2498" s="17" t="n">
        <x:v>2024</x:v>
      </x:c>
      <x:c r="D2498" s="18" t="n">
        <x:v>45560</x:v>
      </x:c>
      <x:c r="E2498" s="8" t="str">
        <x:v>RAINBOW TROUT</x:v>
      </x:c>
      <x:c r="F2498" s="13" t="n">
        <x:v>4350</x:v>
      </x:c>
      <x:c r="G2498" s="9" t="n">
        <x:v>19.5</x:v>
      </x:c>
      <x:c r="H2498" s="9" t="n">
        <x:v>81.6</x:v>
      </x:c>
      <x:c r="I2498" s="8" t="str">
        <x:f>B2498&amp;" / "&amp;C2498&amp;" / "&amp;E2498</x:f>
        <x:v>5569 / 2024 / RAINBOW TROUT</x:v>
      </x:c>
    </x:row>
    <x:row r="2499" ht="23" customHeight="1">
      <x:c r="A2499" s="8" t="str">
        <x:v>Phyllis Lake</x:v>
      </x:c>
      <x:c r="B2499" s="8" t="str">
        <x:v>5569</x:v>
      </x:c>
      <x:c r="C2499" s="17" t="n">
        <x:v>2024</x:v>
      </x:c>
      <x:c r="D2499" s="18" t="n">
        <x:v>45560</x:v>
      </x:c>
      <x:c r="E2499" s="8" t="str">
        <x:v>RAINBOW TROUT</x:v>
      </x:c>
      <x:c r="F2499" s="13" t="n">
        <x:v>2300</x:v>
      </x:c>
      <x:c r="G2499" s="9" t="n">
        <x:v>21.2</x:v>
      </x:c>
      <x:c r="H2499" s="9" t="n">
        <x:v>105.2</x:v>
      </x:c>
      <x:c r="I2499" s="8" t="str">
        <x:f>B2499&amp;" / "&amp;C2499&amp;" / "&amp;E2499</x:f>
        <x:v>5569 / 2024 / RAINBOW TROUT</x:v>
      </x:c>
    </x:row>
    <x:row r="2500" ht="23" customHeight="1">
      <x:c r="A2500" s="8" t="str">
        <x:v>Phyllis Lake</x:v>
      </x:c>
      <x:c r="B2500" s="8" t="str">
        <x:v>5569</x:v>
      </x:c>
      <x:c r="C2500" s="17" t="n">
        <x:v>2024</x:v>
      </x:c>
      <x:c r="D2500" s="18" t="n">
        <x:v>45418</x:v>
      </x:c>
      <x:c r="E2500" s="8" t="str">
        <x:v>RAINBOW TROUT</x:v>
      </x:c>
      <x:c r="F2500" s="13" t="n">
        <x:v>5000</x:v>
      </x:c>
      <x:c r="G2500" s="9" t="n">
        <x:v>20.3</x:v>
      </x:c>
      <x:c r="H2500" s="9" t="n">
        <x:v>89.7</x:v>
      </x:c>
      <x:c r="I2500" s="8" t="str">
        <x:f>B2500&amp;" / "&amp;C2500&amp;" / "&amp;E2500</x:f>
        <x:v>5569 / 2024 / RAINBOW TROUT</x:v>
      </x:c>
    </x:row>
    <x:row r="2501" ht="23" customHeight="1">
      <x:c r="A2501" s="8" t="str">
        <x:v>Phyllis Lake</x:v>
      </x:c>
      <x:c r="B2501" s="8" t="str">
        <x:v>5569</x:v>
      </x:c>
      <x:c r="C2501" s="17" t="n">
        <x:v>2023</x:v>
      </x:c>
      <x:c r="D2501" s="18" t="n">
        <x:v>45187</x:v>
      </x:c>
      <x:c r="E2501" s="8" t="str">
        <x:v>RAINBOW TROUT</x:v>
      </x:c>
      <x:c r="F2501" s="13" t="n">
        <x:v>7500</x:v>
      </x:c>
      <x:c r="G2501" s="9" t="n">
        <x:v>14.4</x:v>
      </x:c>
      <x:c r="H2501" s="9" t="n">
        <x:v>32.2</x:v>
      </x:c>
      <x:c r="I2501" s="8" t="str">
        <x:f>B2501&amp;" / "&amp;C2501&amp;" / "&amp;E2501</x:f>
        <x:v>5569 / 2023 / RAINBOW TROUT</x:v>
      </x:c>
    </x:row>
    <x:row r="2502" ht="23" customHeight="1">
      <x:c r="A2502" s="8" t="str">
        <x:v>Phyllis Lake</x:v>
      </x:c>
      <x:c r="B2502" s="8" t="str">
        <x:v>5569</x:v>
      </x:c>
      <x:c r="C2502" s="17" t="n">
        <x:v>2023</x:v>
      </x:c>
      <x:c r="D2502" s="18" t="n">
        <x:v>45056</x:v>
      </x:c>
      <x:c r="E2502" s="8" t="str">
        <x:v>RAINBOW TROUT</x:v>
      </x:c>
      <x:c r="F2502" s="13" t="n">
        <x:v>4050</x:v>
      </x:c>
      <x:c r="G2502" s="9" t="n">
        <x:v>19.6</x:v>
      </x:c>
      <x:c r="H2502" s="9" t="n">
        <x:v>83.1</x:v>
      </x:c>
      <x:c r="I2502" s="8" t="str">
        <x:f>B2502&amp;" / "&amp;C2502&amp;" / "&amp;E2502</x:f>
        <x:v>5569 / 2023 / RAINBOW TROUT</x:v>
      </x:c>
    </x:row>
    <x:row r="2503" ht="23" customHeight="1">
      <x:c r="A2503" s="8" t="str">
        <x:v>Phyllis Lake</x:v>
      </x:c>
      <x:c r="B2503" s="8" t="str">
        <x:v>5569</x:v>
      </x:c>
      <x:c r="C2503" s="17" t="n">
        <x:v>2023</x:v>
      </x:c>
      <x:c r="D2503" s="18" t="n">
        <x:v>45053</x:v>
      </x:c>
      <x:c r="E2503" s="8" t="str">
        <x:v>RAINBOW TROUT</x:v>
      </x:c>
      <x:c r="F2503" s="13" t="n">
        <x:v>7500</x:v>
      </x:c>
      <x:c r="G2503" s="9" t="n">
        <x:v>9.1</x:v>
      </x:c>
      <x:c r="H2503" s="9" t="n">
        <x:v>8.6</x:v>
      </x:c>
      <x:c r="I2503" s="8" t="str">
        <x:f>B2503&amp;" / "&amp;C2503&amp;" / "&amp;E2503</x:f>
        <x:v>5569 / 2023 / RAINBOW TROUT</x:v>
      </x:c>
    </x:row>
    <x:row r="2504" ht="23" customHeight="1">
      <x:c r="A2504" s="8" t="str">
        <x:v>Phyllis Lake</x:v>
      </x:c>
      <x:c r="B2504" s="8" t="str">
        <x:v>5569</x:v>
      </x:c>
      <x:c r="C2504" s="17" t="n">
        <x:v>2022</x:v>
      </x:c>
      <x:c r="D2504" s="18" t="n">
        <x:v>44734</x:v>
      </x:c>
      <x:c r="E2504" s="8" t="str">
        <x:v>RAINBOW TROUT</x:v>
      </x:c>
      <x:c r="F2504" s="13" t="n">
        <x:v>260</x:v>
      </x:c>
      <x:c r="G2504" s="9" t="n">
        <x:v>30.1</x:v>
      </x:c>
      <x:c r="H2504" s="9" t="n">
        <x:v>1600</x:v>
      </x:c>
      <x:c r="I2504" s="8" t="str">
        <x:f>B2504&amp;" / "&amp;C2504&amp;" / "&amp;E2504</x:f>
        <x:v>5569 / 2022 / RAINBOW TROUT</x:v>
      </x:c>
    </x:row>
    <x:row r="2505" ht="23" customHeight="1">
      <x:c r="A2505" s="8" t="str">
        <x:v>Phyllis Lake</x:v>
      </x:c>
      <x:c r="B2505" s="8" t="str">
        <x:v>5569</x:v>
      </x:c>
      <x:c r="C2505" s="17" t="n">
        <x:v>2022</x:v>
      </x:c>
      <x:c r="D2505" s="18" t="n">
        <x:v>44694</x:v>
      </x:c>
      <x:c r="E2505" s="8" t="str">
        <x:v>RAINBOW TROUT</x:v>
      </x:c>
      <x:c r="F2505" s="13" t="n">
        <x:v>10000</x:v>
      </x:c>
      <x:c r="G2505" s="9" t="n">
        <x:v>20</x:v>
      </x:c>
      <x:c r="H2505" s="9" t="n">
        <x:v>87.8</x:v>
      </x:c>
      <x:c r="I2505" s="8" t="str">
        <x:f>B2505&amp;" / "&amp;C2505&amp;" / "&amp;E2505</x:f>
        <x:v>5569 / 2022 / RAINBOW TROUT</x:v>
      </x:c>
    </x:row>
    <x:row r="2506" ht="23" customHeight="1">
      <x:c r="A2506" s="8" t="str">
        <x:v>Phyllis Lake</x:v>
      </x:c>
      <x:c r="B2506" s="8" t="str">
        <x:v>5569</x:v>
      </x:c>
      <x:c r="C2506" s="17" t="n">
        <x:v>2021</x:v>
      </x:c>
      <x:c r="D2506" s="18" t="n">
        <x:v>44330</x:v>
      </x:c>
      <x:c r="E2506" s="8" t="str">
        <x:v>RAINBOW TROUT</x:v>
      </x:c>
      <x:c r="F2506" s="13" t="n">
        <x:v>496</x:v>
      </x:c>
      <x:c r="G2506" s="9" t="n">
        <x:v>21.6</x:v>
      </x:c>
      <x:c r="H2506" s="9" t="n">
        <x:v>118.3</x:v>
      </x:c>
      <x:c r="I2506" s="8" t="str">
        <x:f>B2506&amp;" / "&amp;C2506&amp;" / "&amp;E2506</x:f>
        <x:v>5569 / 2021 / RAINBOW TROUT</x:v>
      </x:c>
    </x:row>
    <x:row r="2507" ht="23" customHeight="1">
      <x:c r="A2507" s="8" t="str">
        <x:v>Phyllis Lake</x:v>
      </x:c>
      <x:c r="B2507" s="8" t="str">
        <x:v>5569</x:v>
      </x:c>
      <x:c r="C2507" s="17" t="n">
        <x:v>2021</x:v>
      </x:c>
      <x:c r="D2507" s="18" t="n">
        <x:v>44322</x:v>
      </x:c>
      <x:c r="E2507" s="8" t="str">
        <x:v>RAINBOW TROUT</x:v>
      </x:c>
      <x:c r="F2507" s="13" t="n">
        <x:v>5001</x:v>
      </x:c>
      <x:c r="G2507" s="9" t="n">
        <x:v>22</x:v>
      </x:c>
      <x:c r="H2507" s="9" t="n">
        <x:v>117.7</x:v>
      </x:c>
      <x:c r="I2507" s="8" t="str">
        <x:f>B2507&amp;" / "&amp;C2507&amp;" / "&amp;E2507</x:f>
        <x:v>5569 / 2021 / RAINBOW TROUT</x:v>
      </x:c>
    </x:row>
    <x:row r="2508" ht="23" customHeight="1">
      <x:c r="A2508" s="8" t="str">
        <x:v>Phyllis Lake</x:v>
      </x:c>
      <x:c r="B2508" s="8" t="str">
        <x:v>5569</x:v>
      </x:c>
      <x:c r="C2508" s="17" t="n">
        <x:v>2021</x:v>
      </x:c>
      <x:c r="D2508" s="18" t="n">
        <x:v>44322</x:v>
      </x:c>
      <x:c r="E2508" s="8" t="str">
        <x:v>RAINBOW TROUT</x:v>
      </x:c>
      <x:c r="F2508" s="13" t="n">
        <x:v>4503</x:v>
      </x:c>
      <x:c r="G2508" s="9" t="n">
        <x:v>20.9</x:v>
      </x:c>
      <x:c r="H2508" s="9" t="n">
        <x:v>101.6</x:v>
      </x:c>
      <x:c r="I2508" s="8" t="str">
        <x:f>B2508&amp;" / "&amp;C2508&amp;" / "&amp;E2508</x:f>
        <x:v>5569 / 2021 / RAINBOW TROUT</x:v>
      </x:c>
    </x:row>
    <x:row r="2509" ht="23" customHeight="1">
      <x:c r="A2509" s="8" t="str">
        <x:v>Phyllis Lake</x:v>
      </x:c>
      <x:c r="B2509" s="8" t="str">
        <x:v>5569</x:v>
      </x:c>
      <x:c r="C2509" s="17" t="n">
        <x:v>2021</x:v>
      </x:c>
      <x:c r="D2509" s="18" t="n">
        <x:v>44321</x:v>
      </x:c>
      <x:c r="E2509" s="8" t="str">
        <x:v>RAINBOW TROUT</x:v>
      </x:c>
      <x:c r="F2509" s="13" t="n">
        <x:v>100</x:v>
      </x:c>
      <x:c r="G2509" s="9" t="n">
        <x:v>50</x:v>
      </x:c>
      <x:c r="H2509" s="9" t="n">
        <x:v>2600</x:v>
      </x:c>
      <x:c r="I2509" s="8" t="str">
        <x:f>B2509&amp;" / "&amp;C2509&amp;" / "&amp;E2509</x:f>
        <x:v>5569 / 2021 / RAINBOW TROUT</x:v>
      </x:c>
    </x:row>
    <x:row r="2510" ht="23" customHeight="1">
      <x:c r="A2510" s="8" t="str">
        <x:v>Pine Coulee Reservoir</x:v>
      </x:c>
      <x:c r="B2510" s="8" t="str">
        <x:v>18007</x:v>
      </x:c>
      <x:c r="C2510" s="17" t="n">
        <x:v>2026</x:v>
      </x:c>
      <x:c r="D2510" s="18" t="n">
        <x:v>46126</x:v>
      </x:c>
      <x:c r="E2510" s="8" t="str">
        <x:v>RAINBOW TROUT</x:v>
      </x:c>
      <x:c r="F2510" s="13" t="n">
        <x:v>5000</x:v>
      </x:c>
      <x:c r="G2510" s="9" t="n">
        <x:v>20</x:v>
      </x:c>
      <x:c r="H2510" s="9" t="n">
        <x:v>86.7</x:v>
      </x:c>
      <x:c r="I2510" s="8" t="str">
        <x:f>B2510&amp;" / "&amp;C2510&amp;" / "&amp;E2510</x:f>
        <x:v>18007 / 2026 / RAINBOW TROUT</x:v>
      </x:c>
    </x:row>
    <x:row r="2511" ht="23" customHeight="1">
      <x:c r="A2511" s="8" t="str">
        <x:v>Pine Coulee Reservoir</x:v>
      </x:c>
      <x:c r="B2511" s="8" t="str">
        <x:v>18007</x:v>
      </x:c>
      <x:c r="C2511" s="17" t="n">
        <x:v>2025</x:v>
      </x:c>
      <x:c r="D2511" s="18" t="n">
        <x:v>45922</x:v>
      </x:c>
      <x:c r="E2511" s="8" t="str">
        <x:v>RAINBOW TROUT</x:v>
      </x:c>
      <x:c r="F2511" s="13" t="n">
        <x:v>5000</x:v>
      </x:c>
      <x:c r="G2511" s="9" t="n">
        <x:v>20.2</x:v>
      </x:c>
      <x:c r="H2511" s="9" t="n">
        <x:v>89.1</x:v>
      </x:c>
      <x:c r="I2511" s="8" t="str">
        <x:f>B2511&amp;" / "&amp;C2511&amp;" / "&amp;E2511</x:f>
        <x:v>18007 / 2025 / RAINBOW TROUT</x:v>
      </x:c>
    </x:row>
    <x:row r="2512" ht="23" customHeight="1">
      <x:c r="A2512" s="8" t="str">
        <x:v>Pine Coulee Reservoir</x:v>
      </x:c>
      <x:c r="B2512" s="8" t="str">
        <x:v>18007</x:v>
      </x:c>
      <x:c r="C2512" s="17" t="n">
        <x:v>2025</x:v>
      </x:c>
      <x:c r="D2512" s="18" t="n">
        <x:v>45763</x:v>
      </x:c>
      <x:c r="E2512" s="8" t="str">
        <x:v>RAINBOW TROUT</x:v>
      </x:c>
      <x:c r="F2512" s="13" t="n">
        <x:v>5000</x:v>
      </x:c>
      <x:c r="G2512" s="9" t="n">
        <x:v>20.1</x:v>
      </x:c>
      <x:c r="H2512" s="9" t="n">
        <x:v>87.8</x:v>
      </x:c>
      <x:c r="I2512" s="8" t="str">
        <x:f>B2512&amp;" / "&amp;C2512&amp;" / "&amp;E2512</x:f>
        <x:v>18007 / 2025 / RAINBOW TROUT</x:v>
      </x:c>
    </x:row>
    <x:row r="2513" ht="23" customHeight="1">
      <x:c r="A2513" s="8" t="str">
        <x:v>Pine Coulee Reservoir</x:v>
      </x:c>
      <x:c r="B2513" s="8" t="str">
        <x:v>18007</x:v>
      </x:c>
      <x:c r="C2513" s="17" t="n">
        <x:v>2024</x:v>
      </x:c>
      <x:c r="D2513" s="18" t="n">
        <x:v>45555</x:v>
      </x:c>
      <x:c r="E2513" s="8" t="str">
        <x:v>RAINBOW TROUT</x:v>
      </x:c>
      <x:c r="F2513" s="13" t="n">
        <x:v>31959</x:v>
      </x:c>
      <x:c r="G2513" s="9" t="n">
        <x:v>11.8</x:v>
      </x:c>
      <x:c r="H2513" s="9" t="n">
        <x:v>17.9</x:v>
      </x:c>
      <x:c r="I2513" s="8" t="str">
        <x:f>B2513&amp;" / "&amp;C2513&amp;" / "&amp;E2513</x:f>
        <x:v>18007 / 2024 / RAINBOW TROUT</x:v>
      </x:c>
    </x:row>
    <x:row r="2514" ht="23" customHeight="1">
      <x:c r="A2514" s="8" t="str">
        <x:v>Pine Coulee Reservoir</x:v>
      </x:c>
      <x:c r="B2514" s="8" t="str">
        <x:v>18007</x:v>
      </x:c>
      <x:c r="C2514" s="17" t="n">
        <x:v>2024</x:v>
      </x:c>
      <x:c r="D2514" s="18" t="n">
        <x:v>45397</x:v>
      </x:c>
      <x:c r="E2514" s="8" t="str">
        <x:v>RAINBOW TROUT</x:v>
      </x:c>
      <x:c r="F2514" s="13" t="n">
        <x:v>3750</x:v>
      </x:c>
      <x:c r="G2514" s="9" t="n">
        <x:v>20.4</x:v>
      </x:c>
      <x:c r="H2514" s="9" t="n">
        <x:v>91.2</x:v>
      </x:c>
      <x:c r="I2514" s="8" t="str">
        <x:f>B2514&amp;" / "&amp;C2514&amp;" / "&amp;E2514</x:f>
        <x:v>18007 / 2024 / RAINBOW TROUT</x:v>
      </x:c>
    </x:row>
    <x:row r="2515" ht="23" customHeight="1">
      <x:c r="A2515" s="8" t="str">
        <x:v>Pine Coulee Reservoir</x:v>
      </x:c>
      <x:c r="B2515" s="8" t="str">
        <x:v>18007</x:v>
      </x:c>
      <x:c r="C2515" s="17" t="n">
        <x:v>2023</x:v>
      </x:c>
      <x:c r="D2515" s="18" t="n">
        <x:v>45177</x:v>
      </x:c>
      <x:c r="E2515" s="8" t="str">
        <x:v>RAINBOW TROUT</x:v>
      </x:c>
      <x:c r="F2515" s="13" t="n">
        <x:v>30000</x:v>
      </x:c>
      <x:c r="G2515" s="9" t="n">
        <x:v>13.4</x:v>
      </x:c>
      <x:c r="H2515" s="9" t="n">
        <x:v>25.9</x:v>
      </x:c>
      <x:c r="I2515" s="8" t="str">
        <x:f>B2515&amp;" / "&amp;C2515&amp;" / "&amp;E2515</x:f>
        <x:v>18007 / 2023 / RAINBOW TROUT</x:v>
      </x:c>
    </x:row>
    <x:row r="2516" ht="23" customHeight="1">
      <x:c r="A2516" s="8" t="str">
        <x:v>Pine Coulee Reservoir</x:v>
      </x:c>
      <x:c r="B2516" s="8" t="str">
        <x:v>18007</x:v>
      </x:c>
      <x:c r="C2516" s="17" t="n">
        <x:v>2023</x:v>
      </x:c>
      <x:c r="D2516" s="18" t="n">
        <x:v>45039</x:v>
      </x:c>
      <x:c r="E2516" s="8" t="str">
        <x:v>RAINBOW TROUT</x:v>
      </x:c>
      <x:c r="F2516" s="13" t="n">
        <x:v>3765</x:v>
      </x:c>
      <x:c r="G2516" s="9" t="n">
        <x:v>20.9</x:v>
      </x:c>
      <x:c r="H2516" s="9" t="n">
        <x:v>100.8</x:v>
      </x:c>
      <x:c r="I2516" s="8" t="str">
        <x:f>B2516&amp;" / "&amp;C2516&amp;" / "&amp;E2516</x:f>
        <x:v>18007 / 2023 / RAINBOW TROUT</x:v>
      </x:c>
    </x:row>
    <x:row r="2517" ht="23" customHeight="1">
      <x:c r="A2517" s="8" t="str">
        <x:v>Pine Coulee Reservoir</x:v>
      </x:c>
      <x:c r="B2517" s="8" t="str">
        <x:v>18007</x:v>
      </x:c>
      <x:c r="C2517" s="17" t="n">
        <x:v>2022</x:v>
      </x:c>
      <x:c r="D2517" s="18" t="n">
        <x:v>44668</x:v>
      </x:c>
      <x:c r="E2517" s="8" t="str">
        <x:v>RAINBOW TROUT</x:v>
      </x:c>
      <x:c r="F2517" s="13" t="n">
        <x:v>7500</x:v>
      </x:c>
      <x:c r="G2517" s="9" t="n">
        <x:v>20.7</x:v>
      </x:c>
      <x:c r="H2517" s="9" t="n">
        <x:v>96.2</x:v>
      </x:c>
      <x:c r="I2517" s="8" t="str">
        <x:f>B2517&amp;" / "&amp;C2517&amp;" / "&amp;E2517</x:f>
        <x:v>18007 / 2022 / RAINBOW TROUT</x:v>
      </x:c>
    </x:row>
    <x:row r="2518" ht="23" customHeight="1">
      <x:c r="A2518" s="8" t="str">
        <x:v>Pine Coulee Reservoir</x:v>
      </x:c>
      <x:c r="B2518" s="8" t="str">
        <x:v>18007</x:v>
      </x:c>
      <x:c r="C2518" s="17" t="n">
        <x:v>2021</x:v>
      </x:c>
      <x:c r="D2518" s="18" t="n">
        <x:v>44455</x:v>
      </x:c>
      <x:c r="E2518" s="8" t="str">
        <x:v>RAINBOW TROUT</x:v>
      </x:c>
      <x:c r="F2518" s="13" t="n">
        <x:v>31596</x:v>
      </x:c>
      <x:c r="G2518" s="9" t="n">
        <x:v>4.7</x:v>
      </x:c>
      <x:c r="H2518" s="9" t="n">
        <x:v>1.2</x:v>
      </x:c>
      <x:c r="I2518" s="8" t="str">
        <x:f>B2518&amp;" / "&amp;C2518&amp;" / "&amp;E2518</x:f>
        <x:v>18007 / 2021 / RAINBOW TROUT</x:v>
      </x:c>
    </x:row>
    <x:row r="2519" ht="23" customHeight="1">
      <x:c r="A2519" s="8" t="str">
        <x:v>Pine Coulee Reservoir</x:v>
      </x:c>
      <x:c r="B2519" s="8" t="str">
        <x:v>18007</x:v>
      </x:c>
      <x:c r="C2519" s="17" t="n">
        <x:v>2021</x:v>
      </x:c>
      <x:c r="D2519" s="18" t="n">
        <x:v>44299</x:v>
      </x:c>
      <x:c r="E2519" s="8" t="str">
        <x:v>RAINBOW TROUT</x:v>
      </x:c>
      <x:c r="F2519" s="13" t="n">
        <x:v>7500</x:v>
      </x:c>
      <x:c r="G2519" s="9" t="n">
        <x:v>20.3</x:v>
      </x:c>
      <x:c r="H2519" s="9" t="n">
        <x:v>92</x:v>
      </x:c>
      <x:c r="I2519" s="8" t="str">
        <x:f>B2519&amp;" / "&amp;C2519&amp;" / "&amp;E2519</x:f>
        <x:v>18007 / 2021 / RAINBOW TROUT</x:v>
      </x:c>
    </x:row>
    <x:row r="2520" ht="23" customHeight="1">
      <x:c r="A2520" s="8" t="str">
        <x:v>Pinehurst Lake</x:v>
      </x:c>
      <x:c r="B2520" s="8" t="str">
        <x:v>5581</x:v>
      </x:c>
      <x:c r="C2520" s="17" t="n">
        <x:v>2025</x:v>
      </x:c>
      <x:c r="D2520" s="18" t="n">
        <x:v>45812</x:v>
      </x:c>
      <x:c r="E2520" s="8" t="str">
        <x:v>WALLEYE</x:v>
      </x:c>
      <x:c r="F2520" s="13" t="n">
        <x:v>349736</x:v>
      </x:c>
      <x:c r="G2520" s="9" t="n">
        <x:v>0.4</x:v>
      </x:c>
      <x:c r="H2520" s="9" t="str">
        <x:v>Unknown</x:v>
      </x:c>
      <x:c r="I2520" s="8" t="str">
        <x:f>B2520&amp;" / "&amp;C2520&amp;" / "&amp;E2520</x:f>
        <x:v>5581 / 2025 / WALLEYE</x:v>
      </x:c>
    </x:row>
    <x:row r="2521" ht="23" customHeight="1">
      <x:c r="A2521" s="8" t="str">
        <x:v>Pinehurst Lake</x:v>
      </x:c>
      <x:c r="B2521" s="8" t="str">
        <x:v>5581</x:v>
      </x:c>
      <x:c r="C2521" s="17" t="n">
        <x:v>2025</x:v>
      </x:c>
      <x:c r="D2521" s="18" t="n">
        <x:v>45810</x:v>
      </x:c>
      <x:c r="E2521" s="8" t="str">
        <x:v>WALLEYE</x:v>
      </x:c>
      <x:c r="F2521" s="13" t="n">
        <x:v>181675</x:v>
      </x:c>
      <x:c r="G2521" s="9" t="n">
        <x:v>0.4</x:v>
      </x:c>
      <x:c r="H2521" s="9" t="str">
        <x:v>Unknown</x:v>
      </x:c>
      <x:c r="I2521" s="8" t="str">
        <x:f>B2521&amp;" / "&amp;C2521&amp;" / "&amp;E2521</x:f>
        <x:v>5581 / 2025 / WALLEYE</x:v>
      </x:c>
    </x:row>
    <x:row r="2522" ht="23" customHeight="1">
      <x:c r="A2522" s="8" t="str">
        <x:v>Pinehurst Lake</x:v>
      </x:c>
      <x:c r="B2522" s="8" t="str">
        <x:v>5581</x:v>
      </x:c>
      <x:c r="C2522" s="17" t="n">
        <x:v>2025</x:v>
      </x:c>
      <x:c r="D2522" s="18" t="n">
        <x:v>45807</x:v>
      </x:c>
      <x:c r="E2522" s="8" t="str">
        <x:v>WALLEYE</x:v>
      </x:c>
      <x:c r="F2522" s="13" t="n">
        <x:v>1035348</x:v>
      </x:c>
      <x:c r="G2522" s="9" t="n">
        <x:v>0.4</x:v>
      </x:c>
      <x:c r="H2522" s="9" t="str">
        <x:v>Unknown</x:v>
      </x:c>
      <x:c r="I2522" s="8" t="str">
        <x:f>B2522&amp;" / "&amp;C2522&amp;" / "&amp;E2522</x:f>
        <x:v>5581 / 2025 / WALLEYE</x:v>
      </x:c>
    </x:row>
    <x:row r="2523" ht="23" customHeight="1">
      <x:c r="A2523" s="8" t="str">
        <x:v>Pinehurst Lake</x:v>
      </x:c>
      <x:c r="B2523" s="8" t="str">
        <x:v>5581</x:v>
      </x:c>
      <x:c r="C2523" s="17" t="n">
        <x:v>2025</x:v>
      </x:c>
      <x:c r="D2523" s="18" t="n">
        <x:v>45806</x:v>
      </x:c>
      <x:c r="E2523" s="8" t="str">
        <x:v>WALLEYE</x:v>
      </x:c>
      <x:c r="F2523" s="13" t="n">
        <x:v>918256</x:v>
      </x:c>
      <x:c r="G2523" s="9" t="n">
        <x:v>0.4</x:v>
      </x:c>
      <x:c r="H2523" s="9" t="str">
        <x:v>Unknown</x:v>
      </x:c>
      <x:c r="I2523" s="8" t="str">
        <x:f>B2523&amp;" / "&amp;C2523&amp;" / "&amp;E2523</x:f>
        <x:v>5581 / 2025 / WALLEYE</x:v>
      </x:c>
    </x:row>
    <x:row r="2524" ht="23" customHeight="1">
      <x:c r="A2524" s="8" t="str">
        <x:v>Pit 24</x:v>
      </x:c>
      <x:c r="B2524" s="8" t="str">
        <x:v>23789</x:v>
      </x:c>
      <x:c r="C2524" s="17" t="n">
        <x:v>2026</x:v>
      </x:c>
      <x:c r="D2524" s="18" t="n">
        <x:v>46168</x:v>
      </x:c>
      <x:c r="E2524" s="8" t="str">
        <x:v>BROWN TROUT</x:v>
      </x:c>
      <x:c r="F2524" s="13" t="n">
        <x:v>250</x:v>
      </x:c>
      <x:c r="G2524" s="9" t="n">
        <x:v>18.8</x:v>
      </x:c>
      <x:c r="H2524" s="9" t="n">
        <x:v>71.2</x:v>
      </x:c>
      <x:c r="I2524" s="8" t="str">
        <x:f>B2524&amp;" / "&amp;C2524&amp;" / "&amp;E2524</x:f>
        <x:v>23789 / 2026 / BROWN TROUT</x:v>
      </x:c>
    </x:row>
    <x:row r="2525" ht="23" customHeight="1">
      <x:c r="A2525" s="8" t="str">
        <x:v>Pit 24</x:v>
      </x:c>
      <x:c r="B2525" s="8" t="str">
        <x:v>23789</x:v>
      </x:c>
      <x:c r="C2525" s="17" t="n">
        <x:v>2026</x:v>
      </x:c>
      <x:c r="D2525" s="18" t="n">
        <x:v>46168</x:v>
      </x:c>
      <x:c r="E2525" s="8" t="str">
        <x:v>RAINBOW TROUT</x:v>
      </x:c>
      <x:c r="F2525" s="13" t="n">
        <x:v>750</x:v>
      </x:c>
      <x:c r="G2525" s="9" t="n">
        <x:v>20.7</x:v>
      </x:c>
      <x:c r="H2525" s="9" t="n">
        <x:v>95.2</x:v>
      </x:c>
      <x:c r="I2525" s="8" t="str">
        <x:f>B2525&amp;" / "&amp;C2525&amp;" / "&amp;E2525</x:f>
        <x:v>23789 / 2026 / RAINBOW TROUT</x:v>
      </x:c>
    </x:row>
    <x:row r="2526" ht="23" customHeight="1">
      <x:c r="A2526" s="8" t="str">
        <x:v>Pit 24</x:v>
      </x:c>
      <x:c r="B2526" s="8" t="str">
        <x:v>23789</x:v>
      </x:c>
      <x:c r="C2526" s="17" t="n">
        <x:v>2025</x:v>
      </x:c>
      <x:c r="D2526" s="18" t="n">
        <x:v>45803</x:v>
      </x:c>
      <x:c r="E2526" s="8" t="str">
        <x:v>RAINBOW TROUT</x:v>
      </x:c>
      <x:c r="F2526" s="13" t="n">
        <x:v>750</x:v>
      </x:c>
      <x:c r="G2526" s="9" t="n">
        <x:v>21.2</x:v>
      </x:c>
      <x:c r="H2526" s="9" t="n">
        <x:v>102.2</x:v>
      </x:c>
      <x:c r="I2526" s="8" t="str">
        <x:f>B2526&amp;" / "&amp;C2526&amp;" / "&amp;E2526</x:f>
        <x:v>23789 / 2025 / RAINBOW TROUT</x:v>
      </x:c>
    </x:row>
    <x:row r="2527" ht="23" customHeight="1">
      <x:c r="A2527" s="8" t="str">
        <x:v>Pit 24</x:v>
      </x:c>
      <x:c r="B2527" s="8" t="str">
        <x:v>23789</x:v>
      </x:c>
      <x:c r="C2527" s="17" t="n">
        <x:v>2024</x:v>
      </x:c>
      <x:c r="D2527" s="18" t="n">
        <x:v>45435</x:v>
      </x:c>
      <x:c r="E2527" s="8" t="str">
        <x:v>BROWN TROUT</x:v>
      </x:c>
      <x:c r="F2527" s="13" t="n">
        <x:v>250</x:v>
      </x:c>
      <x:c r="G2527" s="9" t="n">
        <x:v>20.6</x:v>
      </x:c>
      <x:c r="H2527" s="9" t="n">
        <x:v>94.4</x:v>
      </x:c>
      <x:c r="I2527" s="8" t="str">
        <x:f>B2527&amp;" / "&amp;C2527&amp;" / "&amp;E2527</x:f>
        <x:v>23789 / 2024 / BROWN TROUT</x:v>
      </x:c>
    </x:row>
    <x:row r="2528" ht="23" customHeight="1">
      <x:c r="A2528" s="8" t="str">
        <x:v>Pit 24</x:v>
      </x:c>
      <x:c r="B2528" s="8" t="str">
        <x:v>23789</x:v>
      </x:c>
      <x:c r="C2528" s="17" t="n">
        <x:v>2024</x:v>
      </x:c>
      <x:c r="D2528" s="18" t="n">
        <x:v>45435</x:v>
      </x:c>
      <x:c r="E2528" s="8" t="str">
        <x:v>RAINBOW TROUT</x:v>
      </x:c>
      <x:c r="F2528" s="13" t="n">
        <x:v>375</x:v>
      </x:c>
      <x:c r="G2528" s="9" t="n">
        <x:v>20.7</x:v>
      </x:c>
      <x:c r="H2528" s="9" t="n">
        <x:v>96</x:v>
      </x:c>
      <x:c r="I2528" s="8" t="str">
        <x:f>B2528&amp;" / "&amp;C2528&amp;" / "&amp;E2528</x:f>
        <x:v>23789 / 2024 / RAINBOW TROUT</x:v>
      </x:c>
    </x:row>
    <x:row r="2529" ht="23" customHeight="1">
      <x:c r="A2529" s="8" t="str">
        <x:v>Pit 24</x:v>
      </x:c>
      <x:c r="B2529" s="8" t="str">
        <x:v>23789</x:v>
      </x:c>
      <x:c r="C2529" s="17" t="n">
        <x:v>2023</x:v>
      </x:c>
      <x:c r="D2529" s="18" t="n">
        <x:v>45201</x:v>
      </x:c>
      <x:c r="E2529" s="8" t="str">
        <x:v>BROWN TROUT</x:v>
      </x:c>
      <x:c r="F2529" s="13" t="n">
        <x:v>250</x:v>
      </x:c>
      <x:c r="G2529" s="9" t="n">
        <x:v>20.9</x:v>
      </x:c>
      <x:c r="H2529" s="9" t="n">
        <x:v>98.4</x:v>
      </x:c>
      <x:c r="I2529" s="8" t="str">
        <x:f>B2529&amp;" / "&amp;C2529&amp;" / "&amp;E2529</x:f>
        <x:v>23789 / 2023 / BROWN TROUT</x:v>
      </x:c>
    </x:row>
    <x:row r="2530" ht="23" customHeight="1">
      <x:c r="A2530" s="8" t="str">
        <x:v>Pit 24</x:v>
      </x:c>
      <x:c r="B2530" s="8" t="str">
        <x:v>23789</x:v>
      </x:c>
      <x:c r="C2530" s="17" t="n">
        <x:v>2023</x:v>
      </x:c>
      <x:c r="D2530" s="18" t="n">
        <x:v>45201</x:v>
      </x:c>
      <x:c r="E2530" s="8" t="str">
        <x:v>RAINBOW TROUT</x:v>
      </x:c>
      <x:c r="F2530" s="13" t="n">
        <x:v>377</x:v>
      </x:c>
      <x:c r="G2530" s="9" t="n">
        <x:v>20.3</x:v>
      </x:c>
      <x:c r="H2530" s="9" t="n">
        <x:v>90.2</x:v>
      </x:c>
      <x:c r="I2530" s="8" t="str">
        <x:f>B2530&amp;" / "&amp;C2530&amp;" / "&amp;E2530</x:f>
        <x:v>23789 / 2023 / RAINBOW TROUT</x:v>
      </x:c>
    </x:row>
    <x:row r="2531" ht="23" customHeight="1">
      <x:c r="A2531" s="8" t="str">
        <x:v>Pit 24</x:v>
      </x:c>
      <x:c r="B2531" s="8" t="str">
        <x:v>23789</x:v>
      </x:c>
      <x:c r="C2531" s="17" t="n">
        <x:v>2022</x:v>
      </x:c>
      <x:c r="D2531" s="18" t="n">
        <x:v>44706</x:v>
      </x:c>
      <x:c r="E2531" s="8" t="str">
        <x:v>RAINBOW TROUT</x:v>
      </x:c>
      <x:c r="F2531" s="13" t="n">
        <x:v>750</x:v>
      </x:c>
      <x:c r="G2531" s="9" t="n">
        <x:v>21.1</x:v>
      </x:c>
      <x:c r="H2531" s="9" t="n">
        <x:v>102.9</x:v>
      </x:c>
      <x:c r="I2531" s="8" t="str">
        <x:f>B2531&amp;" / "&amp;C2531&amp;" / "&amp;E2531</x:f>
        <x:v>23789 / 2022 / RAINBOW TROUT</x:v>
      </x:c>
    </x:row>
    <x:row r="2532" ht="23" customHeight="1">
      <x:c r="A2532" s="8" t="str">
        <x:v>Pit 24</x:v>
      </x:c>
      <x:c r="B2532" s="8" t="str">
        <x:v>23789</x:v>
      </x:c>
      <x:c r="C2532" s="17" t="n">
        <x:v>2021</x:v>
      </x:c>
      <x:c r="D2532" s="18" t="n">
        <x:v>44340</x:v>
      </x:c>
      <x:c r="E2532" s="8" t="str">
        <x:v>BROWN TROUT</x:v>
      </x:c>
      <x:c r="F2532" s="13" t="n">
        <x:v>250</x:v>
      </x:c>
      <x:c r="G2532" s="9" t="n">
        <x:v>18.8</x:v>
      </x:c>
      <x:c r="H2532" s="9" t="n">
        <x:v>73.2</x:v>
      </x:c>
      <x:c r="I2532" s="8" t="str">
        <x:f>B2532&amp;" / "&amp;C2532&amp;" / "&amp;E2532</x:f>
        <x:v>23789 / 2021 / BROWN TROUT</x:v>
      </x:c>
    </x:row>
    <x:row r="2533" ht="23" customHeight="1">
      <x:c r="A2533" s="8" t="str">
        <x:v>Pit 24</x:v>
      </x:c>
      <x:c r="B2533" s="8" t="str">
        <x:v>23789</x:v>
      </x:c>
      <x:c r="C2533" s="17" t="n">
        <x:v>2021</x:v>
      </x:c>
      <x:c r="D2533" s="18" t="n">
        <x:v>44340</x:v>
      </x:c>
      <x:c r="E2533" s="8" t="str">
        <x:v>RAINBOW TROUT</x:v>
      </x:c>
      <x:c r="F2533" s="13" t="n">
        <x:v>750</x:v>
      </x:c>
      <x:c r="G2533" s="9" t="n">
        <x:v>20.8</x:v>
      </x:c>
      <x:c r="H2533" s="9" t="n">
        <x:v>99</x:v>
      </x:c>
      <x:c r="I2533" s="8" t="str">
        <x:f>B2533&amp;" / "&amp;C2533&amp;" / "&amp;E2533</x:f>
        <x:v>23789 / 2021 / RAINBOW TROUT</x:v>
      </x:c>
    </x:row>
    <x:row r="2534" ht="23" customHeight="1">
      <x:c r="A2534" s="8" t="str">
        <x:v>Pit 35</x:v>
      </x:c>
      <x:c r="B2534" s="8" t="str">
        <x:v>23790</x:v>
      </x:c>
      <x:c r="C2534" s="17" t="n">
        <x:v>2026</x:v>
      </x:c>
      <x:c r="D2534" s="18" t="n">
        <x:v>46167</x:v>
      </x:c>
      <x:c r="E2534" s="8" t="str">
        <x:v>RAINBOW TROUT</x:v>
      </x:c>
      <x:c r="F2534" s="13" t="n">
        <x:v>390</x:v>
      </x:c>
      <x:c r="G2534" s="9" t="n">
        <x:v>20.7</x:v>
      </x:c>
      <x:c r="H2534" s="9" t="n">
        <x:v>95.2</x:v>
      </x:c>
      <x:c r="I2534" s="8" t="str">
        <x:f>B2534&amp;" / "&amp;C2534&amp;" / "&amp;E2534</x:f>
        <x:v>23790 / 2026 / RAINBOW TROUT</x:v>
      </x:c>
    </x:row>
    <x:row r="2535" ht="23" customHeight="1">
      <x:c r="A2535" s="8" t="str">
        <x:v>Pit 35</x:v>
      </x:c>
      <x:c r="B2535" s="8" t="str">
        <x:v>23790</x:v>
      </x:c>
      <x:c r="C2535" s="17" t="n">
        <x:v>2025</x:v>
      </x:c>
      <x:c r="D2535" s="18" t="n">
        <x:v>45802</x:v>
      </x:c>
      <x:c r="E2535" s="8" t="str">
        <x:v>RAINBOW TROUT</x:v>
      </x:c>
      <x:c r="F2535" s="13" t="n">
        <x:v>390</x:v>
      </x:c>
      <x:c r="G2535" s="9" t="n">
        <x:v>21.1</x:v>
      </x:c>
      <x:c r="H2535" s="9" t="n">
        <x:v>102</x:v>
      </x:c>
      <x:c r="I2535" s="8" t="str">
        <x:f>B2535&amp;" / "&amp;C2535&amp;" / "&amp;E2535</x:f>
        <x:v>23790 / 2025 / RAINBOW TROUT</x:v>
      </x:c>
    </x:row>
    <x:row r="2536" ht="23" customHeight="1">
      <x:c r="A2536" s="8" t="str">
        <x:v>Pit 35</x:v>
      </x:c>
      <x:c r="B2536" s="8" t="str">
        <x:v>23790</x:v>
      </x:c>
      <x:c r="C2536" s="17" t="n">
        <x:v>2024</x:v>
      </x:c>
      <x:c r="D2536" s="18" t="n">
        <x:v>45433</x:v>
      </x:c>
      <x:c r="E2536" s="8" t="str">
        <x:v>RAINBOW TROUT</x:v>
      </x:c>
      <x:c r="F2536" s="13" t="n">
        <x:v>195</x:v>
      </x:c>
      <x:c r="G2536" s="9" t="n">
        <x:v>20.7</x:v>
      </x:c>
      <x:c r="H2536" s="9" t="n">
        <x:v>96</x:v>
      </x:c>
      <x:c r="I2536" s="8" t="str">
        <x:f>B2536&amp;" / "&amp;C2536&amp;" / "&amp;E2536</x:f>
        <x:v>23790 / 2024 / RAINBOW TROUT</x:v>
      </x:c>
    </x:row>
    <x:row r="2537" ht="23" customHeight="1">
      <x:c r="A2537" s="8" t="str">
        <x:v>Pit 35</x:v>
      </x:c>
      <x:c r="B2537" s="8" t="str">
        <x:v>23790</x:v>
      </x:c>
      <x:c r="C2537" s="17" t="n">
        <x:v>2023</x:v>
      </x:c>
      <x:c r="D2537" s="18" t="n">
        <x:v>45200</x:v>
      </x:c>
      <x:c r="E2537" s="8" t="str">
        <x:v>RAINBOW TROUT</x:v>
      </x:c>
      <x:c r="F2537" s="13" t="n">
        <x:v>196</x:v>
      </x:c>
      <x:c r="G2537" s="9" t="n">
        <x:v>20.5</x:v>
      </x:c>
      <x:c r="H2537" s="9" t="n">
        <x:v>92.9</x:v>
      </x:c>
      <x:c r="I2537" s="8" t="str">
        <x:f>B2537&amp;" / "&amp;C2537&amp;" / "&amp;E2537</x:f>
        <x:v>23790 / 2023 / RAINBOW TROUT</x:v>
      </x:c>
    </x:row>
    <x:row r="2538" ht="23" customHeight="1">
      <x:c r="A2538" s="8" t="str">
        <x:v>Pit 35</x:v>
      </x:c>
      <x:c r="B2538" s="8" t="str">
        <x:v>23790</x:v>
      </x:c>
      <x:c r="C2538" s="17" t="n">
        <x:v>2022</x:v>
      </x:c>
      <x:c r="D2538" s="18" t="n">
        <x:v>44705</x:v>
      </x:c>
      <x:c r="E2538" s="8" t="str">
        <x:v>RAINBOW TROUT</x:v>
      </x:c>
      <x:c r="F2538" s="13" t="n">
        <x:v>390</x:v>
      </x:c>
      <x:c r="G2538" s="9" t="n">
        <x:v>21.5</x:v>
      </x:c>
      <x:c r="H2538" s="9" t="n">
        <x:v>108</x:v>
      </x:c>
      <x:c r="I2538" s="8" t="str">
        <x:f>B2538&amp;" / "&amp;C2538&amp;" / "&amp;E2538</x:f>
        <x:v>23790 / 2022 / RAINBOW TROUT</x:v>
      </x:c>
    </x:row>
    <x:row r="2539" ht="23" customHeight="1">
      <x:c r="A2539" s="8" t="str">
        <x:v>Pit 35</x:v>
      </x:c>
      <x:c r="B2539" s="8" t="str">
        <x:v>23790</x:v>
      </x:c>
      <x:c r="C2539" s="17" t="n">
        <x:v>2021</x:v>
      </x:c>
      <x:c r="D2539" s="18" t="n">
        <x:v>44355</x:v>
      </x:c>
      <x:c r="E2539" s="8" t="str">
        <x:v>RAINBOW TROUT</x:v>
      </x:c>
      <x:c r="F2539" s="13" t="n">
        <x:v>390</x:v>
      </x:c>
      <x:c r="G2539" s="9" t="n">
        <x:v>22.4</x:v>
      </x:c>
      <x:c r="H2539" s="9" t="n">
        <x:v>124.8</x:v>
      </x:c>
      <x:c r="I2539" s="8" t="str">
        <x:f>B2539&amp;" / "&amp;C2539&amp;" / "&amp;E2539</x:f>
        <x:v>23790 / 2021 / RAINBOW TROUT</x:v>
      </x:c>
    </x:row>
    <x:row r="2540" ht="23" customHeight="1">
      <x:c r="A2540" s="8" t="str">
        <x:v>Pit 44</x:v>
      </x:c>
      <x:c r="B2540" s="8" t="str">
        <x:v>24312</x:v>
      </x:c>
      <x:c r="C2540" s="17" t="n">
        <x:v>2026</x:v>
      </x:c>
      <x:c r="D2540" s="18" t="n">
        <x:v>46167</x:v>
      </x:c>
      <x:c r="E2540" s="8" t="str">
        <x:v>RAINBOW TROUT</x:v>
      </x:c>
      <x:c r="F2540" s="13" t="n">
        <x:v>1100</x:v>
      </x:c>
      <x:c r="G2540" s="9" t="n">
        <x:v>20.7</x:v>
      </x:c>
      <x:c r="H2540" s="9" t="n">
        <x:v>95.2</x:v>
      </x:c>
      <x:c r="I2540" s="8" t="str">
        <x:f>B2540&amp;" / "&amp;C2540&amp;" / "&amp;E2540</x:f>
        <x:v>24312 / 2026 / RAINBOW TROUT</x:v>
      </x:c>
    </x:row>
    <x:row r="2541" ht="23" customHeight="1">
      <x:c r="A2541" s="8" t="str">
        <x:v>Pit 44</x:v>
      </x:c>
      <x:c r="B2541" s="8" t="str">
        <x:v>24312</x:v>
      </x:c>
      <x:c r="C2541" s="17" t="n">
        <x:v>2025</x:v>
      </x:c>
      <x:c r="D2541" s="18" t="n">
        <x:v>45802</x:v>
      </x:c>
      <x:c r="E2541" s="8" t="str">
        <x:v>RAINBOW TROUT</x:v>
      </x:c>
      <x:c r="F2541" s="13" t="n">
        <x:v>1100</x:v>
      </x:c>
      <x:c r="G2541" s="9" t="n">
        <x:v>21.1</x:v>
      </x:c>
      <x:c r="H2541" s="9" t="n">
        <x:v>102</x:v>
      </x:c>
      <x:c r="I2541" s="8" t="str">
        <x:f>B2541&amp;" / "&amp;C2541&amp;" / "&amp;E2541</x:f>
        <x:v>24312 / 2025 / RAINBOW TROUT</x:v>
      </x:c>
    </x:row>
    <x:row r="2542" ht="23" customHeight="1">
      <x:c r="A2542" s="8" t="str">
        <x:v>Pit 44</x:v>
      </x:c>
      <x:c r="B2542" s="8" t="str">
        <x:v>24312</x:v>
      </x:c>
      <x:c r="C2542" s="17" t="n">
        <x:v>2024</x:v>
      </x:c>
      <x:c r="D2542" s="18" t="n">
        <x:v>45433</x:v>
      </x:c>
      <x:c r="E2542" s="8" t="str">
        <x:v>RAINBOW TROUT</x:v>
      </x:c>
      <x:c r="F2542" s="13" t="n">
        <x:v>550</x:v>
      </x:c>
      <x:c r="G2542" s="9" t="n">
        <x:v>20.7</x:v>
      </x:c>
      <x:c r="H2542" s="9" t="n">
        <x:v>96</x:v>
      </x:c>
      <x:c r="I2542" s="8" t="str">
        <x:f>B2542&amp;" / "&amp;C2542&amp;" / "&amp;E2542</x:f>
        <x:v>24312 / 2024 / RAINBOW TROUT</x:v>
      </x:c>
    </x:row>
    <x:row r="2543" ht="23" customHeight="1">
      <x:c r="A2543" s="8" t="str">
        <x:v>Pit 44</x:v>
      </x:c>
      <x:c r="B2543" s="8" t="str">
        <x:v>24312</x:v>
      </x:c>
      <x:c r="C2543" s="17" t="n">
        <x:v>2023</x:v>
      </x:c>
      <x:c r="D2543" s="18" t="n">
        <x:v>45200</x:v>
      </x:c>
      <x:c r="E2543" s="8" t="str">
        <x:v>RAINBOW TROUT</x:v>
      </x:c>
      <x:c r="F2543" s="13" t="n">
        <x:v>552</x:v>
      </x:c>
      <x:c r="G2543" s="9" t="n">
        <x:v>20.7</x:v>
      </x:c>
      <x:c r="H2543" s="9" t="n">
        <x:v>96.4</x:v>
      </x:c>
      <x:c r="I2543" s="8" t="str">
        <x:f>B2543&amp;" / "&amp;C2543&amp;" / "&amp;E2543</x:f>
        <x:v>24312 / 2023 / RAINBOW TROUT</x:v>
      </x:c>
    </x:row>
    <x:row r="2544" ht="23" customHeight="1">
      <x:c r="A2544" s="8" t="str">
        <x:v>Pit 44</x:v>
      </x:c>
      <x:c r="B2544" s="8" t="str">
        <x:v>24312</x:v>
      </x:c>
      <x:c r="C2544" s="17" t="n">
        <x:v>2022</x:v>
      </x:c>
      <x:c r="D2544" s="18" t="n">
        <x:v>44705</x:v>
      </x:c>
      <x:c r="E2544" s="8" t="str">
        <x:v>RAINBOW TROUT</x:v>
      </x:c>
      <x:c r="F2544" s="13" t="n">
        <x:v>1100</x:v>
      </x:c>
      <x:c r="G2544" s="9" t="n">
        <x:v>21</x:v>
      </x:c>
      <x:c r="H2544" s="9" t="n">
        <x:v>101</x:v>
      </x:c>
      <x:c r="I2544" s="8" t="str">
        <x:f>B2544&amp;" / "&amp;C2544&amp;" / "&amp;E2544</x:f>
        <x:v>24312 / 2022 / RAINBOW TROUT</x:v>
      </x:c>
    </x:row>
    <x:row r="2545" ht="23" customHeight="1">
      <x:c r="A2545" s="8" t="str">
        <x:v>Pit 44</x:v>
      </x:c>
      <x:c r="B2545" s="8" t="str">
        <x:v>24312</x:v>
      </x:c>
      <x:c r="C2545" s="17" t="n">
        <x:v>2021</x:v>
      </x:c>
      <x:c r="D2545" s="18" t="n">
        <x:v>44355</x:v>
      </x:c>
      <x:c r="E2545" s="8" t="str">
        <x:v>RAINBOW TROUT</x:v>
      </x:c>
      <x:c r="F2545" s="13" t="n">
        <x:v>1100</x:v>
      </x:c>
      <x:c r="G2545" s="9" t="n">
        <x:v>22.4</x:v>
      </x:c>
      <x:c r="H2545" s="9" t="n">
        <x:v>124.8</x:v>
      </x:c>
      <x:c r="I2545" s="8" t="str">
        <x:f>B2545&amp;" / "&amp;C2545&amp;" / "&amp;E2545</x:f>
        <x:v>24312 / 2021 / RAINBOW TROUT</x:v>
      </x:c>
    </x:row>
    <x:row r="2546" ht="23" customHeight="1">
      <x:c r="A2546" s="8" t="str">
        <x:v>Pit 45</x:v>
      </x:c>
      <x:c r="B2546" s="8" t="str">
        <x:v>23791</x:v>
      </x:c>
      <x:c r="C2546" s="17" t="n">
        <x:v>2026</x:v>
      </x:c>
      <x:c r="D2546" s="18" t="n">
        <x:v>46167</x:v>
      </x:c>
      <x:c r="E2546" s="8" t="str">
        <x:v>RAINBOW TROUT</x:v>
      </x:c>
      <x:c r="F2546" s="13" t="n">
        <x:v>1100</x:v>
      </x:c>
      <x:c r="G2546" s="9" t="n">
        <x:v>20.7</x:v>
      </x:c>
      <x:c r="H2546" s="9" t="n">
        <x:v>95.2</x:v>
      </x:c>
      <x:c r="I2546" s="8" t="str">
        <x:f>B2546&amp;" / "&amp;C2546&amp;" / "&amp;E2546</x:f>
        <x:v>23791 / 2026 / RAINBOW TROUT</x:v>
      </x:c>
    </x:row>
    <x:row r="2547" ht="23" customHeight="1">
      <x:c r="A2547" s="8" t="str">
        <x:v>Pit 45</x:v>
      </x:c>
      <x:c r="B2547" s="8" t="str">
        <x:v>23791</x:v>
      </x:c>
      <x:c r="C2547" s="17" t="n">
        <x:v>2025</x:v>
      </x:c>
      <x:c r="D2547" s="18" t="n">
        <x:v>45802</x:v>
      </x:c>
      <x:c r="E2547" s="8" t="str">
        <x:v>RAINBOW TROUT</x:v>
      </x:c>
      <x:c r="F2547" s="13" t="n">
        <x:v>1100</x:v>
      </x:c>
      <x:c r="G2547" s="9" t="n">
        <x:v>21.1</x:v>
      </x:c>
      <x:c r="H2547" s="9" t="n">
        <x:v>102</x:v>
      </x:c>
      <x:c r="I2547" s="8" t="str">
        <x:f>B2547&amp;" / "&amp;C2547&amp;" / "&amp;E2547</x:f>
        <x:v>23791 / 2025 / RAINBOW TROUT</x:v>
      </x:c>
    </x:row>
    <x:row r="2548" ht="23" customHeight="1">
      <x:c r="A2548" s="8" t="str">
        <x:v>Pit 45</x:v>
      </x:c>
      <x:c r="B2548" s="8" t="str">
        <x:v>23791</x:v>
      </x:c>
      <x:c r="C2548" s="17" t="n">
        <x:v>2024</x:v>
      </x:c>
      <x:c r="D2548" s="18" t="n">
        <x:v>45433</x:v>
      </x:c>
      <x:c r="E2548" s="8" t="str">
        <x:v>RAINBOW TROUT</x:v>
      </x:c>
      <x:c r="F2548" s="13" t="n">
        <x:v>550</x:v>
      </x:c>
      <x:c r="G2548" s="9" t="n">
        <x:v>20.7</x:v>
      </x:c>
      <x:c r="H2548" s="9" t="n">
        <x:v>96</x:v>
      </x:c>
      <x:c r="I2548" s="8" t="str">
        <x:f>B2548&amp;" / "&amp;C2548&amp;" / "&amp;E2548</x:f>
        <x:v>23791 / 2024 / RAINBOW TROUT</x:v>
      </x:c>
    </x:row>
    <x:row r="2549" ht="23" customHeight="1">
      <x:c r="A2549" s="8" t="str">
        <x:v>Pit 45</x:v>
      </x:c>
      <x:c r="B2549" s="8" t="str">
        <x:v>23791</x:v>
      </x:c>
      <x:c r="C2549" s="17" t="n">
        <x:v>2023</x:v>
      </x:c>
      <x:c r="D2549" s="18" t="n">
        <x:v>45200</x:v>
      </x:c>
      <x:c r="E2549" s="8" t="str">
        <x:v>RAINBOW TROUT</x:v>
      </x:c>
      <x:c r="F2549" s="13" t="n">
        <x:v>552</x:v>
      </x:c>
      <x:c r="G2549" s="9" t="n">
        <x:v>20.7</x:v>
      </x:c>
      <x:c r="H2549" s="9" t="n">
        <x:v>96.4</x:v>
      </x:c>
      <x:c r="I2549" s="8" t="str">
        <x:f>B2549&amp;" / "&amp;C2549&amp;" / "&amp;E2549</x:f>
        <x:v>23791 / 2023 / RAINBOW TROUT</x:v>
      </x:c>
    </x:row>
    <x:row r="2550" ht="23" customHeight="1">
      <x:c r="A2550" s="8" t="str">
        <x:v>Pit 45</x:v>
      </x:c>
      <x:c r="B2550" s="8" t="str">
        <x:v>23791</x:v>
      </x:c>
      <x:c r="C2550" s="17" t="n">
        <x:v>2022</x:v>
      </x:c>
      <x:c r="D2550" s="18" t="n">
        <x:v>44705</x:v>
      </x:c>
      <x:c r="E2550" s="8" t="str">
        <x:v>RAINBOW TROUT</x:v>
      </x:c>
      <x:c r="F2550" s="13" t="n">
        <x:v>1100</x:v>
      </x:c>
      <x:c r="G2550" s="9" t="n">
        <x:v>21.7</x:v>
      </x:c>
      <x:c r="H2550" s="9" t="n">
        <x:v>112</x:v>
      </x:c>
      <x:c r="I2550" s="8" t="str">
        <x:f>B2550&amp;" / "&amp;C2550&amp;" / "&amp;E2550</x:f>
        <x:v>23791 / 2022 / RAINBOW TROUT</x:v>
      </x:c>
    </x:row>
    <x:row r="2551" ht="23" customHeight="1">
      <x:c r="A2551" s="8" t="str">
        <x:v>Pit 45</x:v>
      </x:c>
      <x:c r="B2551" s="8" t="str">
        <x:v>23791</x:v>
      </x:c>
      <x:c r="C2551" s="17" t="n">
        <x:v>2021</x:v>
      </x:c>
      <x:c r="D2551" s="18" t="n">
        <x:v>44355</x:v>
      </x:c>
      <x:c r="E2551" s="8" t="str">
        <x:v>RAINBOW TROUT</x:v>
      </x:c>
      <x:c r="F2551" s="13" t="n">
        <x:v>1100</x:v>
      </x:c>
      <x:c r="G2551" s="9" t="n">
        <x:v>22.4</x:v>
      </x:c>
      <x:c r="H2551" s="9" t="n">
        <x:v>124.8</x:v>
      </x:c>
      <x:c r="I2551" s="8" t="str">
        <x:f>B2551&amp;" / "&amp;C2551&amp;" / "&amp;E2551</x:f>
        <x:v>23791 / 2021 / RAINBOW TROUT</x:v>
      </x:c>
    </x:row>
    <x:row r="2552" ht="23" customHeight="1">
      <x:c r="A2552" s="8" t="str">
        <x:v>Pleasure Island Reservoir</x:v>
      </x:c>
      <x:c r="B2552" s="8" t="str">
        <x:v>6706</x:v>
      </x:c>
      <x:c r="C2552" s="17" t="n">
        <x:v>2026</x:v>
      </x:c>
      <x:c r="D2552" s="18" t="n">
        <x:v>46143</x:v>
      </x:c>
      <x:c r="E2552" s="8" t="str">
        <x:v>BROOK TROUT</x:v>
      </x:c>
      <x:c r="F2552" s="13" t="n">
        <x:v>1070</x:v>
      </x:c>
      <x:c r="G2552" s="9" t="n">
        <x:v>18.7</x:v>
      </x:c>
      <x:c r="H2552" s="9" t="n">
        <x:v>71</x:v>
      </x:c>
      <x:c r="I2552" s="8" t="str">
        <x:f>B2552&amp;" / "&amp;C2552&amp;" / "&amp;E2552</x:f>
        <x:v>6706 / 2026 / BROOK TROUT</x:v>
      </x:c>
    </x:row>
    <x:row r="2553" ht="23" customHeight="1">
      <x:c r="A2553" s="8" t="str">
        <x:v>Pleasure Island Reservoir</x:v>
      </x:c>
      <x:c r="B2553" s="8" t="str">
        <x:v>6706</x:v>
      </x:c>
      <x:c r="C2553" s="17" t="n">
        <x:v>2026</x:v>
      </x:c>
      <x:c r="D2553" s="18" t="n">
        <x:v>46143</x:v>
      </x:c>
      <x:c r="E2553" s="8" t="str">
        <x:v>BROWN TROUT</x:v>
      </x:c>
      <x:c r="F2553" s="13" t="n">
        <x:v>160</x:v>
      </x:c>
      <x:c r="G2553" s="9" t="n">
        <x:v>18</x:v>
      </x:c>
      <x:c r="H2553" s="9" t="n">
        <x:v>62.5</x:v>
      </x:c>
      <x:c r="I2553" s="8" t="str">
        <x:f>B2553&amp;" / "&amp;C2553&amp;" / "&amp;E2553</x:f>
        <x:v>6706 / 2026 / BROWN TROUT</x:v>
      </x:c>
    </x:row>
    <x:row r="2554" ht="23" customHeight="1">
      <x:c r="A2554" s="8" t="str">
        <x:v>Pleasure Island Reservoir</x:v>
      </x:c>
      <x:c r="B2554" s="8" t="str">
        <x:v>6706</x:v>
      </x:c>
      <x:c r="C2554" s="17" t="n">
        <x:v>2026</x:v>
      </x:c>
      <x:c r="D2554" s="18" t="n">
        <x:v>46181</x:v>
      </x:c>
      <x:c r="E2554" s="8" t="str">
        <x:v>RAINBOW TROUT</x:v>
      </x:c>
      <x:c r="F2554" s="13" t="n">
        <x:v>1180</x:v>
      </x:c>
      <x:c r="G2554" s="9" t="n">
        <x:v>20.4</x:v>
      </x:c>
      <x:c r="H2554" s="9" t="n">
        <x:v>93.4</x:v>
      </x:c>
      <x:c r="I2554" s="8" t="str">
        <x:f>B2554&amp;" / "&amp;C2554&amp;" / "&amp;E2554</x:f>
        <x:v>6706 / 2026 / RAINBOW TROUT</x:v>
      </x:c>
    </x:row>
    <x:row r="2555" ht="23" customHeight="1">
      <x:c r="A2555" s="8" t="str">
        <x:v>Pleasure Island Reservoir</x:v>
      </x:c>
      <x:c r="B2555" s="8" t="str">
        <x:v>6706</x:v>
      </x:c>
      <x:c r="C2555" s="17" t="n">
        <x:v>2026</x:v>
      </x:c>
      <x:c r="D2555" s="18" t="n">
        <x:v>46143</x:v>
      </x:c>
      <x:c r="E2555" s="8" t="str">
        <x:v>RAINBOW TROUT</x:v>
      </x:c>
      <x:c r="F2555" s="13" t="n">
        <x:v>200</x:v>
      </x:c>
      <x:c r="G2555" s="9" t="n">
        <x:v>23</x:v>
      </x:c>
      <x:c r="H2555" s="9" t="n">
        <x:v>131.4</x:v>
      </x:c>
      <x:c r="I2555" s="8" t="str">
        <x:f>B2555&amp;" / "&amp;C2555&amp;" / "&amp;E2555</x:f>
        <x:v>6706 / 2026 / RAINBOW TROUT</x:v>
      </x:c>
    </x:row>
    <x:row r="2556" ht="23" customHeight="1">
      <x:c r="A2556" s="8" t="str">
        <x:v>Pleasure Island Reservoir</x:v>
      </x:c>
      <x:c r="B2556" s="8" t="str">
        <x:v>6706</x:v>
      </x:c>
      <x:c r="C2556" s="17" t="n">
        <x:v>2026</x:v>
      </x:c>
      <x:c r="D2556" s="18" t="n">
        <x:v>46143</x:v>
      </x:c>
      <x:c r="E2556" s="8" t="str">
        <x:v>TIGER TROUT</x:v>
      </x:c>
      <x:c r="F2556" s="13" t="n">
        <x:v>200</x:v>
      </x:c>
      <x:c r="G2556" s="9" t="n">
        <x:v>17.4</x:v>
      </x:c>
      <x:c r="H2556" s="9" t="n">
        <x:v>57</x:v>
      </x:c>
      <x:c r="I2556" s="8" t="str">
        <x:f>B2556&amp;" / "&amp;C2556&amp;" / "&amp;E2556</x:f>
        <x:v>6706 / 2026 / TIGER TROUT</x:v>
      </x:c>
    </x:row>
    <x:row r="2557" ht="23" customHeight="1">
      <x:c r="A2557" s="8" t="str">
        <x:v>Pleasure Island Reservoir</x:v>
      </x:c>
      <x:c r="B2557" s="8" t="str">
        <x:v>6706</x:v>
      </x:c>
      <x:c r="C2557" s="17" t="n">
        <x:v>2025</x:v>
      </x:c>
      <x:c r="D2557" s="18" t="n">
        <x:v>45769</x:v>
      </x:c>
      <x:c r="E2557" s="8" t="str">
        <x:v>BROOK TROUT</x:v>
      </x:c>
      <x:c r="F2557" s="13" t="n">
        <x:v>1070</x:v>
      </x:c>
      <x:c r="G2557" s="9" t="n">
        <x:v>20.2</x:v>
      </x:c>
      <x:c r="H2557" s="9" t="n">
        <x:v>89.3</x:v>
      </x:c>
      <x:c r="I2557" s="8" t="str">
        <x:f>B2557&amp;" / "&amp;C2557&amp;" / "&amp;E2557</x:f>
        <x:v>6706 / 2025 / BROOK TROUT</x:v>
      </x:c>
    </x:row>
    <x:row r="2558" ht="23" customHeight="1">
      <x:c r="A2558" s="8" t="str">
        <x:v>Pleasure Island Reservoir</x:v>
      </x:c>
      <x:c r="B2558" s="8" t="str">
        <x:v>6706</x:v>
      </x:c>
      <x:c r="C2558" s="17" t="n">
        <x:v>2025</x:v>
      </x:c>
      <x:c r="D2558" s="18" t="n">
        <x:v>45769</x:v>
      </x:c>
      <x:c r="E2558" s="8" t="str">
        <x:v>BROWN TROUT</x:v>
      </x:c>
      <x:c r="F2558" s="13" t="n">
        <x:v>160</x:v>
      </x:c>
      <x:c r="G2558" s="9" t="n">
        <x:v>18.9</x:v>
      </x:c>
      <x:c r="H2558" s="9" t="n">
        <x:v>72.5</x:v>
      </x:c>
      <x:c r="I2558" s="8" t="str">
        <x:f>B2558&amp;" / "&amp;C2558&amp;" / "&amp;E2558</x:f>
        <x:v>6706 / 2025 / BROWN TROUT</x:v>
      </x:c>
    </x:row>
    <x:row r="2559" ht="23" customHeight="1">
      <x:c r="A2559" s="8" t="str">
        <x:v>Pleasure Island Reservoir</x:v>
      </x:c>
      <x:c r="B2559" s="8" t="str">
        <x:v>6706</x:v>
      </x:c>
      <x:c r="C2559" s="17" t="n">
        <x:v>2025</x:v>
      </x:c>
      <x:c r="D2559" s="18" t="n">
        <x:v>45931</x:v>
      </x:c>
      <x:c r="E2559" s="8" t="str">
        <x:v>RAINBOW TROUT</x:v>
      </x:c>
      <x:c r="F2559" s="13" t="n">
        <x:v>1000</x:v>
      </x:c>
      <x:c r="G2559" s="9" t="n">
        <x:v>20.4</x:v>
      </x:c>
      <x:c r="H2559" s="9" t="n">
        <x:v>91.3</x:v>
      </x:c>
      <x:c r="I2559" s="8" t="str">
        <x:f>B2559&amp;" / "&amp;C2559&amp;" / "&amp;E2559</x:f>
        <x:v>6706 / 2025 / RAINBOW TROUT</x:v>
      </x:c>
    </x:row>
    <x:row r="2560" ht="23" customHeight="1">
      <x:c r="A2560" s="8" t="str">
        <x:v>Pleasure Island Reservoir</x:v>
      </x:c>
      <x:c r="B2560" s="8" t="str">
        <x:v>6706</x:v>
      </x:c>
      <x:c r="C2560" s="17" t="n">
        <x:v>2025</x:v>
      </x:c>
      <x:c r="D2560" s="18" t="n">
        <x:v>45931</x:v>
      </x:c>
      <x:c r="E2560" s="8" t="str">
        <x:v>RAINBOW TROUT</x:v>
      </x:c>
      <x:c r="F2560" s="13" t="n">
        <x:v>1200</x:v>
      </x:c>
      <x:c r="G2560" s="9" t="n">
        <x:v>29.1</x:v>
      </x:c>
      <x:c r="H2560" s="9" t="n">
        <x:v>270</x:v>
      </x:c>
      <x:c r="I2560" s="8" t="str">
        <x:f>B2560&amp;" / "&amp;C2560&amp;" / "&amp;E2560</x:f>
        <x:v>6706 / 2025 / RAINBOW TROUT</x:v>
      </x:c>
    </x:row>
    <x:row r="2561" ht="23" customHeight="1">
      <x:c r="A2561" s="8" t="str">
        <x:v>Pleasure Island Reservoir</x:v>
      </x:c>
      <x:c r="B2561" s="8" t="str">
        <x:v>6706</x:v>
      </x:c>
      <x:c r="C2561" s="17" t="n">
        <x:v>2025</x:v>
      </x:c>
      <x:c r="D2561" s="18" t="n">
        <x:v>45769</x:v>
      </x:c>
      <x:c r="E2561" s="8" t="str">
        <x:v>RAINBOW TROUT</x:v>
      </x:c>
      <x:c r="F2561" s="13" t="n">
        <x:v>200</x:v>
      </x:c>
      <x:c r="G2561" s="9" t="n">
        <x:v>20.3</x:v>
      </x:c>
      <x:c r="H2561" s="9" t="n">
        <x:v>91</x:v>
      </x:c>
      <x:c r="I2561" s="8" t="str">
        <x:f>B2561&amp;" / "&amp;C2561&amp;" / "&amp;E2561</x:f>
        <x:v>6706 / 2025 / RAINBOW TROUT</x:v>
      </x:c>
    </x:row>
    <x:row r="2562" ht="23" customHeight="1">
      <x:c r="A2562" s="8" t="str">
        <x:v>Pleasure Island Reservoir</x:v>
      </x:c>
      <x:c r="B2562" s="8" t="str">
        <x:v>6706</x:v>
      </x:c>
      <x:c r="C2562" s="17" t="n">
        <x:v>2025</x:v>
      </x:c>
      <x:c r="D2562" s="18" t="n">
        <x:v>45769</x:v>
      </x:c>
      <x:c r="E2562" s="8" t="str">
        <x:v>TIGER TROUT</x:v>
      </x:c>
      <x:c r="F2562" s="13" t="n">
        <x:v>200</x:v>
      </x:c>
      <x:c r="G2562" s="9" t="n">
        <x:v>19.3</x:v>
      </x:c>
      <x:c r="H2562" s="9" t="n">
        <x:v>78</x:v>
      </x:c>
      <x:c r="I2562" s="8" t="str">
        <x:f>B2562&amp;" / "&amp;C2562&amp;" / "&amp;E2562</x:f>
        <x:v>6706 / 2025 / TIGER TROUT</x:v>
      </x:c>
    </x:row>
    <x:row r="2563" ht="23" customHeight="1">
      <x:c r="A2563" s="8" t="str">
        <x:v>Pleasure Island Reservoir</x:v>
      </x:c>
      <x:c r="B2563" s="8" t="str">
        <x:v>6706</x:v>
      </x:c>
      <x:c r="C2563" s="17" t="n">
        <x:v>2024</x:v>
      </x:c>
      <x:c r="D2563" s="18" t="n">
        <x:v>45427</x:v>
      </x:c>
      <x:c r="E2563" s="8" t="str">
        <x:v>BROOK TROUT</x:v>
      </x:c>
      <x:c r="F2563" s="13" t="n">
        <x:v>750</x:v>
      </x:c>
      <x:c r="G2563" s="9" t="n">
        <x:v>21.7</x:v>
      </x:c>
      <x:c r="H2563" s="9" t="n">
        <x:v>70.1</x:v>
      </x:c>
      <x:c r="I2563" s="8" t="str">
        <x:f>B2563&amp;" / "&amp;C2563&amp;" / "&amp;E2563</x:f>
        <x:v>6706 / 2024 / BROOK TROUT</x:v>
      </x:c>
    </x:row>
    <x:row r="2564" ht="23" customHeight="1">
      <x:c r="A2564" s="8" t="str">
        <x:v>Pleasure Island Reservoir</x:v>
      </x:c>
      <x:c r="B2564" s="8" t="str">
        <x:v>6706</x:v>
      </x:c>
      <x:c r="C2564" s="17" t="n">
        <x:v>2024</x:v>
      </x:c>
      <x:c r="D2564" s="18" t="n">
        <x:v>45407</x:v>
      </x:c>
      <x:c r="E2564" s="8" t="str">
        <x:v>BROWN TROUT</x:v>
      </x:c>
      <x:c r="F2564" s="13" t="n">
        <x:v>193</x:v>
      </x:c>
      <x:c r="G2564" s="9" t="n">
        <x:v>19.7</x:v>
      </x:c>
      <x:c r="H2564" s="9" t="n">
        <x:v>82.4</x:v>
      </x:c>
      <x:c r="I2564" s="8" t="str">
        <x:f>B2564&amp;" / "&amp;C2564&amp;" / "&amp;E2564</x:f>
        <x:v>6706 / 2024 / BROWN TROUT</x:v>
      </x:c>
    </x:row>
    <x:row r="2565" ht="23" customHeight="1">
      <x:c r="A2565" s="8" t="str">
        <x:v>Pleasure Island Reservoir</x:v>
      </x:c>
      <x:c r="B2565" s="8" t="str">
        <x:v>6706</x:v>
      </x:c>
      <x:c r="C2565" s="17" t="n">
        <x:v>2024</x:v>
      </x:c>
      <x:c r="D2565" s="18" t="n">
        <x:v>45569</x:v>
      </x:c>
      <x:c r="E2565" s="8" t="str">
        <x:v>RAINBOW TROUT</x:v>
      </x:c>
      <x:c r="F2565" s="13" t="n">
        <x:v>500</x:v>
      </x:c>
      <x:c r="G2565" s="9" t="n">
        <x:v>21.1</x:v>
      </x:c>
      <x:c r="H2565" s="9" t="n">
        <x:v>93.4</x:v>
      </x:c>
      <x:c r="I2565" s="8" t="str">
        <x:f>B2565&amp;" / "&amp;C2565&amp;" / "&amp;E2565</x:f>
        <x:v>6706 / 2024 / RAINBOW TROUT</x:v>
      </x:c>
    </x:row>
    <x:row r="2566" ht="23" customHeight="1">
      <x:c r="A2566" s="8" t="str">
        <x:v>Pleasure Island Reservoir</x:v>
      </x:c>
      <x:c r="B2566" s="8" t="str">
        <x:v>6706</x:v>
      </x:c>
      <x:c r="C2566" s="17" t="n">
        <x:v>2024</x:v>
      </x:c>
      <x:c r="D2566" s="18" t="n">
        <x:v>45553</x:v>
      </x:c>
      <x:c r="E2566" s="8" t="str">
        <x:v>RAINBOW TROUT</x:v>
      </x:c>
      <x:c r="F2566" s="13" t="n">
        <x:v>1800</x:v>
      </x:c>
      <x:c r="G2566" s="9" t="n">
        <x:v>20.4</x:v>
      </x:c>
      <x:c r="H2566" s="9" t="n">
        <x:v>93.7</x:v>
      </x:c>
      <x:c r="I2566" s="8" t="str">
        <x:f>B2566&amp;" / "&amp;C2566&amp;" / "&amp;E2566</x:f>
        <x:v>6706 / 2024 / RAINBOW TROUT</x:v>
      </x:c>
    </x:row>
    <x:row r="2567" ht="23" customHeight="1">
      <x:c r="A2567" s="8" t="str">
        <x:v>Pleasure Island Reservoir</x:v>
      </x:c>
      <x:c r="B2567" s="8" t="str">
        <x:v>6706</x:v>
      </x:c>
      <x:c r="C2567" s="17" t="n">
        <x:v>2024</x:v>
      </x:c>
      <x:c r="D2567" s="18" t="n">
        <x:v>45455</x:v>
      </x:c>
      <x:c r="E2567" s="8" t="str">
        <x:v>RAINBOW TROUT</x:v>
      </x:c>
      <x:c r="F2567" s="13" t="n">
        <x:v>813</x:v>
      </x:c>
      <x:c r="G2567" s="9" t="n">
        <x:v>20.4</x:v>
      </x:c>
      <x:c r="H2567" s="9" t="n">
        <x:v>87</x:v>
      </x:c>
      <x:c r="I2567" s="8" t="str">
        <x:f>B2567&amp;" / "&amp;C2567&amp;" / "&amp;E2567</x:f>
        <x:v>6706 / 2024 / RAINBOW TROUT</x:v>
      </x:c>
    </x:row>
    <x:row r="2568" ht="23" customHeight="1">
      <x:c r="A2568" s="8" t="str">
        <x:v>Pleasure Island Reservoir</x:v>
      </x:c>
      <x:c r="B2568" s="8" t="str">
        <x:v>6706</x:v>
      </x:c>
      <x:c r="C2568" s="17" t="n">
        <x:v>2024</x:v>
      </x:c>
      <x:c r="D2568" s="18" t="n">
        <x:v>45407</x:v>
      </x:c>
      <x:c r="E2568" s="8" t="str">
        <x:v>RAINBOW TROUT</x:v>
      </x:c>
      <x:c r="F2568" s="13" t="n">
        <x:v>1100</x:v>
      </x:c>
      <x:c r="G2568" s="9" t="n">
        <x:v>20.7</x:v>
      </x:c>
      <x:c r="H2568" s="9" t="n">
        <x:v>95.9</x:v>
      </x:c>
      <x:c r="I2568" s="8" t="str">
        <x:f>B2568&amp;" / "&amp;C2568&amp;" / "&amp;E2568</x:f>
        <x:v>6706 / 2024 / RAINBOW TROUT</x:v>
      </x:c>
    </x:row>
    <x:row r="2569" ht="23" customHeight="1">
      <x:c r="A2569" s="8" t="str">
        <x:v>Pleasure Island Reservoir</x:v>
      </x:c>
      <x:c r="B2569" s="8" t="str">
        <x:v>6706</x:v>
      </x:c>
      <x:c r="C2569" s="17" t="n">
        <x:v>2024</x:v>
      </x:c>
      <x:c r="D2569" s="18" t="n">
        <x:v>45437</x:v>
      </x:c>
      <x:c r="E2569" s="8" t="str">
        <x:v>TIGER TROUT</x:v>
      </x:c>
      <x:c r="F2569" s="13" t="n">
        <x:v>200</x:v>
      </x:c>
      <x:c r="G2569" s="9" t="n">
        <x:v>19.9</x:v>
      </x:c>
      <x:c r="H2569" s="9" t="n">
        <x:v>85</x:v>
      </x:c>
      <x:c r="I2569" s="8" t="str">
        <x:f>B2569&amp;" / "&amp;C2569&amp;" / "&amp;E2569</x:f>
        <x:v>6706 / 2024 / TIGER TROUT</x:v>
      </x:c>
    </x:row>
    <x:row r="2570" ht="23" customHeight="1">
      <x:c r="A2570" s="8" t="str">
        <x:v>Pleasure Island Reservoir</x:v>
      </x:c>
      <x:c r="B2570" s="8" t="str">
        <x:v>6706</x:v>
      </x:c>
      <x:c r="C2570" s="17" t="n">
        <x:v>2023</x:v>
      </x:c>
      <x:c r="D2570" s="18" t="n">
        <x:v>45043</x:v>
      </x:c>
      <x:c r="E2570" s="8" t="str">
        <x:v>BROOK TROUT</x:v>
      </x:c>
      <x:c r="F2570" s="13" t="n">
        <x:v>750</x:v>
      </x:c>
      <x:c r="G2570" s="9" t="n">
        <x:v>19.7</x:v>
      </x:c>
      <x:c r="H2570" s="9" t="n">
        <x:v>84.8</x:v>
      </x:c>
      <x:c r="I2570" s="8" t="str">
        <x:f>B2570&amp;" / "&amp;C2570&amp;" / "&amp;E2570</x:f>
        <x:v>6706 / 2023 / BROOK TROUT</x:v>
      </x:c>
    </x:row>
    <x:row r="2571" ht="23" customHeight="1">
      <x:c r="A2571" s="8" t="str">
        <x:v>Pleasure Island Reservoir</x:v>
      </x:c>
      <x:c r="B2571" s="8" t="str">
        <x:v>6706</x:v>
      </x:c>
      <x:c r="C2571" s="17" t="n">
        <x:v>2023</x:v>
      </x:c>
      <x:c r="D2571" s="18" t="n">
        <x:v>45043</x:v>
      </x:c>
      <x:c r="E2571" s="8" t="str">
        <x:v>BROWN TROUT</x:v>
      </x:c>
      <x:c r="F2571" s="13" t="n">
        <x:v>160</x:v>
      </x:c>
      <x:c r="G2571" s="9" t="n">
        <x:v>18.5</x:v>
      </x:c>
      <x:c r="H2571" s="9" t="n">
        <x:v>69.9</x:v>
      </x:c>
      <x:c r="I2571" s="8" t="str">
        <x:f>B2571&amp;" / "&amp;C2571&amp;" / "&amp;E2571</x:f>
        <x:v>6706 / 2023 / BROWN TROUT</x:v>
      </x:c>
    </x:row>
    <x:row r="2572" ht="23" customHeight="1">
      <x:c r="A2572" s="8" t="str">
        <x:v>Pleasure Island Reservoir</x:v>
      </x:c>
      <x:c r="B2572" s="8" t="str">
        <x:v>6706</x:v>
      </x:c>
      <x:c r="C2572" s="17" t="n">
        <x:v>2023</x:v>
      </x:c>
      <x:c r="D2572" s="18" t="n">
        <x:v>45189</x:v>
      </x:c>
      <x:c r="E2572" s="8" t="str">
        <x:v>RAINBOW TROUT</x:v>
      </x:c>
      <x:c r="F2572" s="13" t="n">
        <x:v>605</x:v>
      </x:c>
      <x:c r="G2572" s="9" t="n">
        <x:v>20.9</x:v>
      </x:c>
      <x:c r="H2572" s="9" t="n">
        <x:v>93.8</x:v>
      </x:c>
      <x:c r="I2572" s="8" t="str">
        <x:f>B2572&amp;" / "&amp;C2572&amp;" / "&amp;E2572</x:f>
        <x:v>6706 / 2023 / RAINBOW TROUT</x:v>
      </x:c>
    </x:row>
    <x:row r="2573" ht="23" customHeight="1">
      <x:c r="A2573" s="8" t="str">
        <x:v>Pleasure Island Reservoir</x:v>
      </x:c>
      <x:c r="B2573" s="8" t="str">
        <x:v>6706</x:v>
      </x:c>
      <x:c r="C2573" s="17" t="n">
        <x:v>2023</x:v>
      </x:c>
      <x:c r="D2573" s="18" t="n">
        <x:v>45091</x:v>
      </x:c>
      <x:c r="E2573" s="8" t="str">
        <x:v>RAINBOW TROUT</x:v>
      </x:c>
      <x:c r="F2573" s="13" t="n">
        <x:v>1100</x:v>
      </x:c>
      <x:c r="G2573" s="9" t="n">
        <x:v>20.1</x:v>
      </x:c>
      <x:c r="H2573" s="9" t="n">
        <x:v>90.5</x:v>
      </x:c>
      <x:c r="I2573" s="8" t="str">
        <x:f>B2573&amp;" / "&amp;C2573&amp;" / "&amp;E2573</x:f>
        <x:v>6706 / 2023 / RAINBOW TROUT</x:v>
      </x:c>
    </x:row>
    <x:row r="2574" ht="23" customHeight="1">
      <x:c r="A2574" s="8" t="str">
        <x:v>Pleasure Island Reservoir</x:v>
      </x:c>
      <x:c r="B2574" s="8" t="str">
        <x:v>6706</x:v>
      </x:c>
      <x:c r="C2574" s="17" t="n">
        <x:v>2023</x:v>
      </x:c>
      <x:c r="D2574" s="18" t="n">
        <x:v>45043</x:v>
      </x:c>
      <x:c r="E2574" s="8" t="str">
        <x:v>RAINBOW TROUT</x:v>
      </x:c>
      <x:c r="F2574" s="13" t="n">
        <x:v>200</x:v>
      </x:c>
      <x:c r="G2574" s="9" t="n">
        <x:v>20.6</x:v>
      </x:c>
      <x:c r="H2574" s="9" t="n">
        <x:v>96.9</x:v>
      </x:c>
      <x:c r="I2574" s="8" t="str">
        <x:f>B2574&amp;" / "&amp;C2574&amp;" / "&amp;E2574</x:f>
        <x:v>6706 / 2023 / RAINBOW TROUT</x:v>
      </x:c>
    </x:row>
    <x:row r="2575" ht="23" customHeight="1">
      <x:c r="A2575" s="8" t="str">
        <x:v>Pleasure Island Reservoir</x:v>
      </x:c>
      <x:c r="B2575" s="8" t="str">
        <x:v>6706</x:v>
      </x:c>
      <x:c r="C2575" s="17" t="n">
        <x:v>2023</x:v>
      </x:c>
      <x:c r="D2575" s="18" t="n">
        <x:v>45043</x:v>
      </x:c>
      <x:c r="E2575" s="8" t="str">
        <x:v>TIGER TROUT</x:v>
      </x:c>
      <x:c r="F2575" s="13" t="n">
        <x:v>200</x:v>
      </x:c>
      <x:c r="G2575" s="9" t="n">
        <x:v>20.5</x:v>
      </x:c>
      <x:c r="H2575" s="9" t="n">
        <x:v>95</x:v>
      </x:c>
      <x:c r="I2575" s="8" t="str">
        <x:f>B2575&amp;" / "&amp;C2575&amp;" / "&amp;E2575</x:f>
        <x:v>6706 / 2023 / TIGER TROUT</x:v>
      </x:c>
    </x:row>
    <x:row r="2576" ht="23" customHeight="1">
      <x:c r="A2576" s="8" t="str">
        <x:v>Pleasure Island Reservoir</x:v>
      </x:c>
      <x:c r="B2576" s="8" t="str">
        <x:v>6706</x:v>
      </x:c>
      <x:c r="C2576" s="17" t="n">
        <x:v>2022</x:v>
      </x:c>
      <x:c r="D2576" s="18" t="n">
        <x:v>44684</x:v>
      </x:c>
      <x:c r="E2576" s="8" t="str">
        <x:v>BROOK TROUT</x:v>
      </x:c>
      <x:c r="F2576" s="13" t="n">
        <x:v>1070</x:v>
      </x:c>
      <x:c r="G2576" s="9" t="n">
        <x:v>20.2</x:v>
      </x:c>
      <x:c r="H2576" s="9" t="n">
        <x:v>91.2</x:v>
      </x:c>
      <x:c r="I2576" s="8" t="str">
        <x:f>B2576&amp;" / "&amp;C2576&amp;" / "&amp;E2576</x:f>
        <x:v>6706 / 2022 / BROOK TROUT</x:v>
      </x:c>
    </x:row>
    <x:row r="2577" ht="23" customHeight="1">
      <x:c r="A2577" s="8" t="str">
        <x:v>Pleasure Island Reservoir</x:v>
      </x:c>
      <x:c r="B2577" s="8" t="str">
        <x:v>6706</x:v>
      </x:c>
      <x:c r="C2577" s="17" t="n">
        <x:v>2022</x:v>
      </x:c>
      <x:c r="D2577" s="18" t="n">
        <x:v>44684</x:v>
      </x:c>
      <x:c r="E2577" s="8" t="str">
        <x:v>BROWN TROUT</x:v>
      </x:c>
      <x:c r="F2577" s="13" t="n">
        <x:v>160</x:v>
      </x:c>
      <x:c r="G2577" s="9" t="n">
        <x:v>18.7</x:v>
      </x:c>
      <x:c r="H2577" s="9" t="n">
        <x:v>72.7</x:v>
      </x:c>
      <x:c r="I2577" s="8" t="str">
        <x:f>B2577&amp;" / "&amp;C2577&amp;" / "&amp;E2577</x:f>
        <x:v>6706 / 2022 / BROWN TROUT</x:v>
      </x:c>
    </x:row>
    <x:row r="2578" ht="23" customHeight="1">
      <x:c r="A2578" s="8" t="str">
        <x:v>Pleasure Island Reservoir</x:v>
      </x:c>
      <x:c r="B2578" s="8" t="str">
        <x:v>6706</x:v>
      </x:c>
      <x:c r="C2578" s="17" t="n">
        <x:v>2022</x:v>
      </x:c>
      <x:c r="D2578" s="18" t="n">
        <x:v>44829</x:v>
      </x:c>
      <x:c r="E2578" s="8" t="str">
        <x:v>RAINBOW TROUT</x:v>
      </x:c>
      <x:c r="F2578" s="13" t="n">
        <x:v>1200</x:v>
      </x:c>
      <x:c r="G2578" s="9" t="n">
        <x:v>27.4</x:v>
      </x:c>
      <x:c r="H2578" s="9" t="n">
        <x:v>228.5</x:v>
      </x:c>
      <x:c r="I2578" s="8" t="str">
        <x:f>B2578&amp;" / "&amp;C2578&amp;" / "&amp;E2578</x:f>
        <x:v>6706 / 2022 / RAINBOW TROUT</x:v>
      </x:c>
    </x:row>
    <x:row r="2579" ht="23" customHeight="1">
      <x:c r="A2579" s="8" t="str">
        <x:v>Pleasure Island Reservoir</x:v>
      </x:c>
      <x:c r="B2579" s="8" t="str">
        <x:v>6706</x:v>
      </x:c>
      <x:c r="C2579" s="17" t="n">
        <x:v>2022</x:v>
      </x:c>
      <x:c r="D2579" s="18" t="n">
        <x:v>44727</x:v>
      </x:c>
      <x:c r="E2579" s="8" t="str">
        <x:v>RAINBOW TROUT</x:v>
      </x:c>
      <x:c r="F2579" s="13" t="n">
        <x:v>2000</x:v>
      </x:c>
      <x:c r="G2579" s="9" t="n">
        <x:v>20.6</x:v>
      </x:c>
      <x:c r="H2579" s="9" t="n">
        <x:v>91.5</x:v>
      </x:c>
      <x:c r="I2579" s="8" t="str">
        <x:f>B2579&amp;" / "&amp;C2579&amp;" / "&amp;E2579</x:f>
        <x:v>6706 / 2022 / RAINBOW TROUT</x:v>
      </x:c>
    </x:row>
    <x:row r="2580" ht="23" customHeight="1">
      <x:c r="A2580" s="8" t="str">
        <x:v>Pleasure Island Reservoir</x:v>
      </x:c>
      <x:c r="B2580" s="8" t="str">
        <x:v>6706</x:v>
      </x:c>
      <x:c r="C2580" s="17" t="n">
        <x:v>2022</x:v>
      </x:c>
      <x:c r="D2580" s="18" t="n">
        <x:v>44684</x:v>
      </x:c>
      <x:c r="E2580" s="8" t="str">
        <x:v>RAINBOW TROUT</x:v>
      </x:c>
      <x:c r="F2580" s="13" t="n">
        <x:v>200</x:v>
      </x:c>
      <x:c r="G2580" s="9" t="n">
        <x:v>20.5</x:v>
      </x:c>
      <x:c r="H2580" s="9" t="n">
        <x:v>95.7</x:v>
      </x:c>
      <x:c r="I2580" s="8" t="str">
        <x:f>B2580&amp;" / "&amp;C2580&amp;" / "&amp;E2580</x:f>
        <x:v>6706 / 2022 / RAINBOW TROUT</x:v>
      </x:c>
    </x:row>
    <x:row r="2581" ht="23" customHeight="1">
      <x:c r="A2581" s="8" t="str">
        <x:v>Pleasure Island Reservoir</x:v>
      </x:c>
      <x:c r="B2581" s="8" t="str">
        <x:v>6706</x:v>
      </x:c>
      <x:c r="C2581" s="17" t="n">
        <x:v>2021</x:v>
      </x:c>
      <x:c r="D2581" s="18" t="n">
        <x:v>44312</x:v>
      </x:c>
      <x:c r="E2581" s="8" t="str">
        <x:v>BROOK TROUT</x:v>
      </x:c>
      <x:c r="F2581" s="13" t="n">
        <x:v>1070</x:v>
      </x:c>
      <x:c r="G2581" s="9" t="n">
        <x:v>19.7</x:v>
      </x:c>
      <x:c r="H2581" s="9" t="n">
        <x:v>84.6</x:v>
      </x:c>
      <x:c r="I2581" s="8" t="str">
        <x:f>B2581&amp;" / "&amp;C2581&amp;" / "&amp;E2581</x:f>
        <x:v>6706 / 2021 / BROOK TROUT</x:v>
      </x:c>
    </x:row>
    <x:row r="2582" ht="23" customHeight="1">
      <x:c r="A2582" s="8" t="str">
        <x:v>Pleasure Island Reservoir</x:v>
      </x:c>
      <x:c r="B2582" s="8" t="str">
        <x:v>6706</x:v>
      </x:c>
      <x:c r="C2582" s="17" t="n">
        <x:v>2021</x:v>
      </x:c>
      <x:c r="D2582" s="18" t="n">
        <x:v>44312</x:v>
      </x:c>
      <x:c r="E2582" s="8" t="str">
        <x:v>BROWN TROUT</x:v>
      </x:c>
      <x:c r="F2582" s="13" t="n">
        <x:v>160</x:v>
      </x:c>
      <x:c r="G2582" s="9" t="n">
        <x:v>17</x:v>
      </x:c>
      <x:c r="H2582" s="9" t="n">
        <x:v>54</x:v>
      </x:c>
      <x:c r="I2582" s="8" t="str">
        <x:f>B2582&amp;" / "&amp;C2582&amp;" / "&amp;E2582</x:f>
        <x:v>6706 / 2021 / BROWN TROUT</x:v>
      </x:c>
    </x:row>
    <x:row r="2583" ht="23" customHeight="1">
      <x:c r="A2583" s="8" t="str">
        <x:v>Pleasure Island Reservoir</x:v>
      </x:c>
      <x:c r="B2583" s="8" t="str">
        <x:v>6706</x:v>
      </x:c>
      <x:c r="C2583" s="17" t="n">
        <x:v>2021</x:v>
      </x:c>
      <x:c r="D2583" s="18" t="n">
        <x:v>44447</x:v>
      </x:c>
      <x:c r="E2583" s="8" t="str">
        <x:v>RAINBOW TROUT</x:v>
      </x:c>
      <x:c r="F2583" s="13" t="n">
        <x:v>1200</x:v>
      </x:c>
      <x:c r="G2583" s="9" t="n">
        <x:v>21.8</x:v>
      </x:c>
      <x:c r="H2583" s="9" t="n">
        <x:v>101.1</x:v>
      </x:c>
      <x:c r="I2583" s="8" t="str">
        <x:f>B2583&amp;" / "&amp;C2583&amp;" / "&amp;E2583</x:f>
        <x:v>6706 / 2021 / RAINBOW TROUT</x:v>
      </x:c>
    </x:row>
    <x:row r="2584" ht="23" customHeight="1">
      <x:c r="A2584" s="8" t="str">
        <x:v>Pleasure Island Reservoir</x:v>
      </x:c>
      <x:c r="B2584" s="8" t="str">
        <x:v>6706</x:v>
      </x:c>
      <x:c r="C2584" s="17" t="n">
        <x:v>2021</x:v>
      </x:c>
      <x:c r="D2584" s="18" t="n">
        <x:v>44312</x:v>
      </x:c>
      <x:c r="E2584" s="8" t="str">
        <x:v>RAINBOW TROUT</x:v>
      </x:c>
      <x:c r="F2584" s="13" t="n">
        <x:v>200</x:v>
      </x:c>
      <x:c r="G2584" s="9" t="n">
        <x:v>20.6</x:v>
      </x:c>
      <x:c r="H2584" s="9" t="n">
        <x:v>97.3</x:v>
      </x:c>
      <x:c r="I2584" s="8" t="str">
        <x:f>B2584&amp;" / "&amp;C2584&amp;" / "&amp;E2584</x:f>
        <x:v>6706 / 2021 / RAINBOW TROUT</x:v>
      </x:c>
    </x:row>
    <x:row r="2585" ht="23" customHeight="1">
      <x:c r="A2585" s="8" t="str">
        <x:v>Police Lake</x:v>
      </x:c>
      <x:c r="B2585" s="8" t="str">
        <x:v>5504</x:v>
      </x:c>
      <x:c r="C2585" s="17" t="n">
        <x:v>2026</x:v>
      </x:c>
      <x:c r="D2585" s="18" t="n">
        <x:v>46132</x:v>
      </x:c>
      <x:c r="E2585" s="8" t="str">
        <x:v>RAINBOW TROUT</x:v>
      </x:c>
      <x:c r="F2585" s="13" t="n">
        <x:v>2500</x:v>
      </x:c>
      <x:c r="G2585" s="9" t="n">
        <x:v>20.2</x:v>
      </x:c>
      <x:c r="H2585" s="9" t="n">
        <x:v>89</x:v>
      </x:c>
      <x:c r="I2585" s="8" t="str">
        <x:f>B2585&amp;" / "&amp;C2585&amp;" / "&amp;E2585</x:f>
        <x:v>5504 / 2026 / RAINBOW TROUT</x:v>
      </x:c>
    </x:row>
    <x:row r="2586" ht="23" customHeight="1">
      <x:c r="A2586" s="8" t="str">
        <x:v>Police Lake</x:v>
      </x:c>
      <x:c r="B2586" s="8" t="str">
        <x:v>5504</x:v>
      </x:c>
      <x:c r="C2586" s="17" t="n">
        <x:v>2026</x:v>
      </x:c>
      <x:c r="D2586" s="18" t="n">
        <x:v>46132</x:v>
      </x:c>
      <x:c r="E2586" s="8" t="str">
        <x:v>RAINBOW TROUT</x:v>
      </x:c>
      <x:c r="F2586" s="13" t="n">
        <x:v>2500</x:v>
      </x:c>
      <x:c r="G2586" s="9" t="n">
        <x:v>23.7</x:v>
      </x:c>
      <x:c r="H2586" s="9" t="n">
        <x:v>143</x:v>
      </x:c>
      <x:c r="I2586" s="8" t="str">
        <x:f>B2586&amp;" / "&amp;C2586&amp;" / "&amp;E2586</x:f>
        <x:v>5504 / 2026 / RAINBOW TROUT</x:v>
      </x:c>
    </x:row>
    <x:row r="2587" ht="23" customHeight="1">
      <x:c r="A2587" s="8" t="str">
        <x:v>Police Lake</x:v>
      </x:c>
      <x:c r="B2587" s="8" t="str">
        <x:v>5504</x:v>
      </x:c>
      <x:c r="C2587" s="17" t="n">
        <x:v>2026</x:v>
      </x:c>
      <x:c r="D2587" s="18" t="n">
        <x:v>46132</x:v>
      </x:c>
      <x:c r="E2587" s="8" t="str">
        <x:v>RAINBOW TROUT</x:v>
      </x:c>
      <x:c r="F2587" s="13" t="n">
        <x:v>2500</x:v>
      </x:c>
      <x:c r="G2587" s="9" t="n">
        <x:v>20.1</x:v>
      </x:c>
      <x:c r="H2587" s="9" t="n">
        <x:v>88</x:v>
      </x:c>
      <x:c r="I2587" s="8" t="str">
        <x:f>B2587&amp;" / "&amp;C2587&amp;" / "&amp;E2587</x:f>
        <x:v>5504 / 2026 / RAINBOW TROUT</x:v>
      </x:c>
    </x:row>
    <x:row r="2588" ht="23" customHeight="1">
      <x:c r="A2588" s="8" t="str">
        <x:v>Police Lake</x:v>
      </x:c>
      <x:c r="B2588" s="8" t="str">
        <x:v>5504</x:v>
      </x:c>
      <x:c r="C2588" s="17" t="n">
        <x:v>2025</x:v>
      </x:c>
      <x:c r="D2588" s="18" t="n">
        <x:v>45762</x:v>
      </x:c>
      <x:c r="E2588" s="8" t="str">
        <x:v>RAINBOW TROUT</x:v>
      </x:c>
      <x:c r="F2588" s="13" t="n">
        <x:v>2500</x:v>
      </x:c>
      <x:c r="G2588" s="9" t="n">
        <x:v>20</x:v>
      </x:c>
      <x:c r="H2588" s="9" t="n">
        <x:v>86</x:v>
      </x:c>
      <x:c r="I2588" s="8" t="str">
        <x:f>B2588&amp;" / "&amp;C2588&amp;" / "&amp;E2588</x:f>
        <x:v>5504 / 2025 / RAINBOW TROUT</x:v>
      </x:c>
    </x:row>
    <x:row r="2589" ht="23" customHeight="1">
      <x:c r="A2589" s="8" t="str">
        <x:v>Police Lake</x:v>
      </x:c>
      <x:c r="B2589" s="8" t="str">
        <x:v>5504</x:v>
      </x:c>
      <x:c r="C2589" s="17" t="n">
        <x:v>2025</x:v>
      </x:c>
      <x:c r="D2589" s="18" t="n">
        <x:v>45762</x:v>
      </x:c>
      <x:c r="E2589" s="8" t="str">
        <x:v>RAINBOW TROUT</x:v>
      </x:c>
      <x:c r="F2589" s="13" t="n">
        <x:v>2500</x:v>
      </x:c>
      <x:c r="G2589" s="9" t="n">
        <x:v>23.1</x:v>
      </x:c>
      <x:c r="H2589" s="9" t="n">
        <x:v>133.3</x:v>
      </x:c>
      <x:c r="I2589" s="8" t="str">
        <x:f>B2589&amp;" / "&amp;C2589&amp;" / "&amp;E2589</x:f>
        <x:v>5504 / 2025 / RAINBOW TROUT</x:v>
      </x:c>
    </x:row>
    <x:row r="2590" ht="23" customHeight="1">
      <x:c r="A2590" s="8" t="str">
        <x:v>Police Lake</x:v>
      </x:c>
      <x:c r="B2590" s="8" t="str">
        <x:v>5504</x:v>
      </x:c>
      <x:c r="C2590" s="17" t="n">
        <x:v>2024</x:v>
      </x:c>
      <x:c r="D2590" s="18" t="n">
        <x:v>45428</x:v>
      </x:c>
      <x:c r="E2590" s="8" t="str">
        <x:v>RAINBOW TROUT</x:v>
      </x:c>
      <x:c r="F2590" s="13" t="n">
        <x:v>40</x:v>
      </x:c>
      <x:c r="G2590" s="9" t="n">
        <x:v>45.1</x:v>
      </x:c>
      <x:c r="H2590" s="9" t="n">
        <x:v>1670</x:v>
      </x:c>
      <x:c r="I2590" s="8" t="str">
        <x:f>B2590&amp;" / "&amp;C2590&amp;" / "&amp;E2590</x:f>
        <x:v>5504 / 2024 / RAINBOW TROUT</x:v>
      </x:c>
    </x:row>
    <x:row r="2591" ht="23" customHeight="1">
      <x:c r="A2591" s="8" t="str">
        <x:v>Police Lake</x:v>
      </x:c>
      <x:c r="B2591" s="8" t="str">
        <x:v>5504</x:v>
      </x:c>
      <x:c r="C2591" s="17" t="n">
        <x:v>2024</x:v>
      </x:c>
      <x:c r="D2591" s="18" t="n">
        <x:v>45404</x:v>
      </x:c>
      <x:c r="E2591" s="8" t="str">
        <x:v>RAINBOW TROUT</x:v>
      </x:c>
      <x:c r="F2591" s="13" t="n">
        <x:v>1500</x:v>
      </x:c>
      <x:c r="G2591" s="9" t="n">
        <x:v>20.6</x:v>
      </x:c>
      <x:c r="H2591" s="9" t="n">
        <x:v>95</x:v>
      </x:c>
      <x:c r="I2591" s="8" t="str">
        <x:f>B2591&amp;" / "&amp;C2591&amp;" / "&amp;E2591</x:f>
        <x:v>5504 / 2024 / RAINBOW TROUT</x:v>
      </x:c>
    </x:row>
    <x:row r="2592" ht="23" customHeight="1">
      <x:c r="A2592" s="8" t="str">
        <x:v>Police Lake</x:v>
      </x:c>
      <x:c r="B2592" s="8" t="str">
        <x:v>5504</x:v>
      </x:c>
      <x:c r="C2592" s="17" t="n">
        <x:v>2024</x:v>
      </x:c>
      <x:c r="D2592" s="18" t="n">
        <x:v>45404</x:v>
      </x:c>
      <x:c r="E2592" s="8" t="str">
        <x:v>RAINBOW TROUT</x:v>
      </x:c>
      <x:c r="F2592" s="13" t="n">
        <x:v>3500</x:v>
      </x:c>
      <x:c r="G2592" s="9" t="n">
        <x:v>22.9</x:v>
      </x:c>
      <x:c r="H2592" s="9" t="n">
        <x:v>130</x:v>
      </x:c>
      <x:c r="I2592" s="8" t="str">
        <x:f>B2592&amp;" / "&amp;C2592&amp;" / "&amp;E2592</x:f>
        <x:v>5504 / 2024 / RAINBOW TROUT</x:v>
      </x:c>
    </x:row>
    <x:row r="2593" ht="23" customHeight="1">
      <x:c r="A2593" s="8" t="str">
        <x:v>Police Lake</x:v>
      </x:c>
      <x:c r="B2593" s="8" t="str">
        <x:v>5504</x:v>
      </x:c>
      <x:c r="C2593" s="17" t="n">
        <x:v>2023</x:v>
      </x:c>
      <x:c r="D2593" s="18" t="n">
        <x:v>45060</x:v>
      </x:c>
      <x:c r="E2593" s="8" t="str">
        <x:v>RAINBOW TROUT</x:v>
      </x:c>
      <x:c r="F2593" s="13" t="n">
        <x:v>50</x:v>
      </x:c>
      <x:c r="G2593" s="9" t="n">
        <x:v>35</x:v>
      </x:c>
      <x:c r="H2593" s="9" t="n">
        <x:v>364</x:v>
      </x:c>
      <x:c r="I2593" s="8" t="str">
        <x:f>B2593&amp;" / "&amp;C2593&amp;" / "&amp;E2593</x:f>
        <x:v>5504 / 2023 / RAINBOW TROUT</x:v>
      </x:c>
    </x:row>
    <x:row r="2594" ht="23" customHeight="1">
      <x:c r="A2594" s="8" t="str">
        <x:v>Police Lake</x:v>
      </x:c>
      <x:c r="B2594" s="8" t="str">
        <x:v>5504</x:v>
      </x:c>
      <x:c r="C2594" s="17" t="n">
        <x:v>2023</x:v>
      </x:c>
      <x:c r="D2594" s="18" t="n">
        <x:v>45060</x:v>
      </x:c>
      <x:c r="E2594" s="8" t="str">
        <x:v>RAINBOW TROUT</x:v>
      </x:c>
      <x:c r="F2594" s="13" t="n">
        <x:v>25</x:v>
      </x:c>
      <x:c r="G2594" s="9" t="n">
        <x:v>45</x:v>
      </x:c>
      <x:c r="H2594" s="9" t="n">
        <x:v>2600</x:v>
      </x:c>
      <x:c r="I2594" s="8" t="str">
        <x:f>B2594&amp;" / "&amp;C2594&amp;" / "&amp;E2594</x:f>
        <x:v>5504 / 2023 / RAINBOW TROUT</x:v>
      </x:c>
    </x:row>
    <x:row r="2595" ht="23" customHeight="1">
      <x:c r="A2595" s="8" t="str">
        <x:v>Police Lake</x:v>
      </x:c>
      <x:c r="B2595" s="8" t="str">
        <x:v>5504</x:v>
      </x:c>
      <x:c r="C2595" s="17" t="n">
        <x:v>2023</x:v>
      </x:c>
      <x:c r="D2595" s="18" t="n">
        <x:v>45056</x:v>
      </x:c>
      <x:c r="E2595" s="8" t="str">
        <x:v>RAINBOW TROUT</x:v>
      </x:c>
      <x:c r="F2595" s="13" t="n">
        <x:v>25</x:v>
      </x:c>
      <x:c r="G2595" s="9" t="n">
        <x:v>45</x:v>
      </x:c>
      <x:c r="H2595" s="9" t="n">
        <x:v>1400</x:v>
      </x:c>
      <x:c r="I2595" s="8" t="str">
        <x:f>B2595&amp;" / "&amp;C2595&amp;" / "&amp;E2595</x:f>
        <x:v>5504 / 2023 / RAINBOW TROUT</x:v>
      </x:c>
    </x:row>
    <x:row r="2596" ht="23" customHeight="1">
      <x:c r="A2596" s="8" t="str">
        <x:v>Police Lake</x:v>
      </x:c>
      <x:c r="B2596" s="8" t="str">
        <x:v>5504</x:v>
      </x:c>
      <x:c r="C2596" s="17" t="n">
        <x:v>2023</x:v>
      </x:c>
      <x:c r="D2596" s="18" t="n">
        <x:v>45056</x:v>
      </x:c>
      <x:c r="E2596" s="8" t="str">
        <x:v>RAINBOW TROUT</x:v>
      </x:c>
      <x:c r="F2596" s="13" t="n">
        <x:v>280</x:v>
      </x:c>
      <x:c r="G2596" s="9" t="n">
        <x:v>27</x:v>
      </x:c>
      <x:c r="H2596" s="9" t="n">
        <x:v>202</x:v>
      </x:c>
      <x:c r="I2596" s="8" t="str">
        <x:f>B2596&amp;" / "&amp;C2596&amp;" / "&amp;E2596</x:f>
        <x:v>5504 / 2023 / RAINBOW TROUT</x:v>
      </x:c>
    </x:row>
    <x:row r="2597" ht="23" customHeight="1">
      <x:c r="A2597" s="8" t="str">
        <x:v>Police Lake</x:v>
      </x:c>
      <x:c r="B2597" s="8" t="str">
        <x:v>5504</x:v>
      </x:c>
      <x:c r="C2597" s="17" t="n">
        <x:v>2023</x:v>
      </x:c>
      <x:c r="D2597" s="18" t="n">
        <x:v>45048</x:v>
      </x:c>
      <x:c r="E2597" s="8" t="str">
        <x:v>RAINBOW TROUT</x:v>
      </x:c>
      <x:c r="F2597" s="13" t="n">
        <x:v>7500</x:v>
      </x:c>
      <x:c r="G2597" s="9" t="n">
        <x:v>20.5</x:v>
      </x:c>
      <x:c r="H2597" s="9" t="n">
        <x:v>93.1</x:v>
      </x:c>
      <x:c r="I2597" s="8" t="str">
        <x:f>B2597&amp;" / "&amp;C2597&amp;" / "&amp;E2597</x:f>
        <x:v>5504 / 2023 / RAINBOW TROUT</x:v>
      </x:c>
    </x:row>
    <x:row r="2598" ht="23" customHeight="1">
      <x:c r="A2598" s="8" t="str">
        <x:v>Police Lake</x:v>
      </x:c>
      <x:c r="B2598" s="8" t="str">
        <x:v>5504</x:v>
      </x:c>
      <x:c r="C2598" s="17" t="n">
        <x:v>2022</x:v>
      </x:c>
      <x:c r="D2598" s="18" t="n">
        <x:v>44669</x:v>
      </x:c>
      <x:c r="E2598" s="8" t="str">
        <x:v>RAINBOW TROUT</x:v>
      </x:c>
      <x:c r="F2598" s="13" t="n">
        <x:v>5000</x:v>
      </x:c>
      <x:c r="G2598" s="9" t="n">
        <x:v>20.7</x:v>
      </x:c>
      <x:c r="H2598" s="9" t="n">
        <x:v>97.1</x:v>
      </x:c>
      <x:c r="I2598" s="8" t="str">
        <x:f>B2598&amp;" / "&amp;C2598&amp;" / "&amp;E2598</x:f>
        <x:v>5504 / 2022 / RAINBOW TROUT</x:v>
      </x:c>
    </x:row>
    <x:row r="2599" ht="23" customHeight="1">
      <x:c r="A2599" s="8" t="str">
        <x:v>Police Lake</x:v>
      </x:c>
      <x:c r="B2599" s="8" t="str">
        <x:v>5504</x:v>
      </x:c>
      <x:c r="C2599" s="17" t="n">
        <x:v>2021</x:v>
      </x:c>
      <x:c r="D2599" s="18" t="n">
        <x:v>44300</x:v>
      </x:c>
      <x:c r="E2599" s="8" t="str">
        <x:v>RAINBOW TROUT</x:v>
      </x:c>
      <x:c r="F2599" s="13" t="n">
        <x:v>5000</x:v>
      </x:c>
      <x:c r="G2599" s="9" t="n">
        <x:v>21.1</x:v>
      </x:c>
      <x:c r="H2599" s="9" t="n">
        <x:v>104.2</x:v>
      </x:c>
      <x:c r="I2599" s="8" t="str">
        <x:f>B2599&amp;" / "&amp;C2599&amp;" / "&amp;E2599</x:f>
        <x:v>5504 / 2021 / RAINBOW TROUT</x:v>
      </x:c>
    </x:row>
    <x:row r="2600" ht="23" customHeight="1">
      <x:c r="A2600" s="8" t="str">
        <x:v>Ponoka Centennial Park Pond</x:v>
      </x:c>
      <x:c r="B2600" s="8" t="str">
        <x:v>6871</x:v>
      </x:c>
      <x:c r="C2600" s="17" t="n">
        <x:v>2026</x:v>
      </x:c>
      <x:c r="D2600" s="18" t="n">
        <x:v>46149</x:v>
      </x:c>
      <x:c r="E2600" s="8" t="str">
        <x:v>RAINBOW TROUT</x:v>
      </x:c>
      <x:c r="F2600" s="13" t="n">
        <x:v>1000</x:v>
      </x:c>
      <x:c r="G2600" s="9" t="n">
        <x:v>21</x:v>
      </x:c>
      <x:c r="H2600" s="9" t="n">
        <x:v>96.8</x:v>
      </x:c>
      <x:c r="I2600" s="8" t="str">
        <x:f>B2600&amp;" / "&amp;C2600&amp;" / "&amp;E2600</x:f>
        <x:v>6871 / 2026 / RAINBOW TROUT</x:v>
      </x:c>
    </x:row>
    <x:row r="2601" ht="23" customHeight="1">
      <x:c r="A2601" s="8" t="str">
        <x:v>Ponoka Centennial Park Pond</x:v>
      </x:c>
      <x:c r="B2601" s="8" t="str">
        <x:v>6871</x:v>
      </x:c>
      <x:c r="C2601" s="17" t="n">
        <x:v>2026</x:v>
      </x:c>
      <x:c r="D2601" s="18" t="n">
        <x:v>46149</x:v>
      </x:c>
      <x:c r="E2601" s="8" t="str">
        <x:v>TIGER TROUT</x:v>
      </x:c>
      <x:c r="F2601" s="13" t="n">
        <x:v>100</x:v>
      </x:c>
      <x:c r="G2601" s="9" t="n">
        <x:v>18.4</x:v>
      </x:c>
      <x:c r="H2601" s="9" t="n">
        <x:v>67</x:v>
      </x:c>
      <x:c r="I2601" s="8" t="str">
        <x:f>B2601&amp;" / "&amp;C2601&amp;" / "&amp;E2601</x:f>
        <x:v>6871 / 2026 / TIGER TROUT</x:v>
      </x:c>
    </x:row>
    <x:row r="2602" ht="23" customHeight="1">
      <x:c r="A2602" s="8" t="str">
        <x:v>Ponoka Centennial Park Pond</x:v>
      </x:c>
      <x:c r="B2602" s="8" t="str">
        <x:v>6871</x:v>
      </x:c>
      <x:c r="C2602" s="17" t="n">
        <x:v>2025</x:v>
      </x:c>
      <x:c r="D2602" s="18" t="n">
        <x:v>45781</x:v>
      </x:c>
      <x:c r="E2602" s="8" t="str">
        <x:v>RAINBOW TROUT</x:v>
      </x:c>
      <x:c r="F2602" s="13" t="n">
        <x:v>1000</x:v>
      </x:c>
      <x:c r="G2602" s="9" t="n">
        <x:v>20.4</x:v>
      </x:c>
      <x:c r="H2602" s="9" t="n">
        <x:v>93.3</x:v>
      </x:c>
      <x:c r="I2602" s="8" t="str">
        <x:f>B2602&amp;" / "&amp;C2602&amp;" / "&amp;E2602</x:f>
        <x:v>6871 / 2025 / RAINBOW TROUT</x:v>
      </x:c>
    </x:row>
    <x:row r="2603" ht="23" customHeight="1">
      <x:c r="A2603" s="8" t="str">
        <x:v>Ponoka Centennial Park Pond</x:v>
      </x:c>
      <x:c r="B2603" s="8" t="str">
        <x:v>6871</x:v>
      </x:c>
      <x:c r="C2603" s="17" t="n">
        <x:v>2025</x:v>
      </x:c>
      <x:c r="D2603" s="18" t="n">
        <x:v>45785</x:v>
      </x:c>
      <x:c r="E2603" s="8" t="str">
        <x:v>TIGER TROUT</x:v>
      </x:c>
      <x:c r="F2603" s="13" t="n">
        <x:v>100</x:v>
      </x:c>
      <x:c r="G2603" s="9" t="n">
        <x:v>19.6</x:v>
      </x:c>
      <x:c r="H2603" s="9" t="n">
        <x:v>81.2</x:v>
      </x:c>
      <x:c r="I2603" s="8" t="str">
        <x:f>B2603&amp;" / "&amp;C2603&amp;" / "&amp;E2603</x:f>
        <x:v>6871 / 2025 / TIGER TROUT</x:v>
      </x:c>
    </x:row>
    <x:row r="2604" ht="23" customHeight="1">
      <x:c r="A2604" s="8" t="str">
        <x:v>Ponoka Centennial Park Pond</x:v>
      </x:c>
      <x:c r="B2604" s="8" t="str">
        <x:v>6871</x:v>
      </x:c>
      <x:c r="C2604" s="17" t="n">
        <x:v>2024</x:v>
      </x:c>
      <x:c r="D2604" s="18" t="n">
        <x:v>45406</x:v>
      </x:c>
      <x:c r="E2604" s="8" t="str">
        <x:v>RAINBOW TROUT</x:v>
      </x:c>
      <x:c r="F2604" s="13" t="n">
        <x:v>1000</x:v>
      </x:c>
      <x:c r="G2604" s="9" t="n">
        <x:v>20.5</x:v>
      </x:c>
      <x:c r="H2604" s="9" t="n">
        <x:v>90.4</x:v>
      </x:c>
      <x:c r="I2604" s="8" t="str">
        <x:f>B2604&amp;" / "&amp;C2604&amp;" / "&amp;E2604</x:f>
        <x:v>6871 / 2024 / RAINBOW TROUT</x:v>
      </x:c>
    </x:row>
    <x:row r="2605" ht="23" customHeight="1">
      <x:c r="A2605" s="8" t="str">
        <x:v>Ponoka Centennial Park Pond</x:v>
      </x:c>
      <x:c r="B2605" s="8" t="str">
        <x:v>6871</x:v>
      </x:c>
      <x:c r="C2605" s="17" t="n">
        <x:v>2024</x:v>
      </x:c>
      <x:c r="D2605" s="18" t="n">
        <x:v>45412</x:v>
      </x:c>
      <x:c r="E2605" s="8" t="str">
        <x:v>TIGER TROUT</x:v>
      </x:c>
      <x:c r="F2605" s="13" t="n">
        <x:v>100</x:v>
      </x:c>
      <x:c r="G2605" s="9" t="n">
        <x:v>19.7</x:v>
      </x:c>
      <x:c r="H2605" s="9" t="n">
        <x:v>82.2</x:v>
      </x:c>
      <x:c r="I2605" s="8" t="str">
        <x:f>B2605&amp;" / "&amp;C2605&amp;" / "&amp;E2605</x:f>
        <x:v>6871 / 2024 / TIGER TROUT</x:v>
      </x:c>
    </x:row>
    <x:row r="2606" ht="23" customHeight="1">
      <x:c r="A2606" s="8" t="str">
        <x:v>Ponoka Centennial Park Pond</x:v>
      </x:c>
      <x:c r="B2606" s="8" t="str">
        <x:v>6871</x:v>
      </x:c>
      <x:c r="C2606" s="17" t="n">
        <x:v>2023</x:v>
      </x:c>
      <x:c r="D2606" s="18" t="n">
        <x:v>45055</x:v>
      </x:c>
      <x:c r="E2606" s="8" t="str">
        <x:v>RAINBOW TROUT</x:v>
      </x:c>
      <x:c r="F2606" s="13" t="n">
        <x:v>1000</x:v>
      </x:c>
      <x:c r="G2606" s="9" t="n">
        <x:v>20.5</x:v>
      </x:c>
      <x:c r="H2606" s="9" t="n">
        <x:v>89.9</x:v>
      </x:c>
      <x:c r="I2606" s="8" t="str">
        <x:f>B2606&amp;" / "&amp;C2606&amp;" / "&amp;E2606</x:f>
        <x:v>6871 / 2023 / RAINBOW TROUT</x:v>
      </x:c>
    </x:row>
    <x:row r="2607" ht="23" customHeight="1">
      <x:c r="A2607" s="8" t="str">
        <x:v>Ponoka Centennial Park Pond</x:v>
      </x:c>
      <x:c r="B2607" s="8" t="str">
        <x:v>6871</x:v>
      </x:c>
      <x:c r="C2607" s="17" t="n">
        <x:v>2023</x:v>
      </x:c>
      <x:c r="D2607" s="18" t="n">
        <x:v>45049</x:v>
      </x:c>
      <x:c r="E2607" s="8" t="str">
        <x:v>TIGER TROUT</x:v>
      </x:c>
      <x:c r="F2607" s="13" t="n">
        <x:v>100</x:v>
      </x:c>
      <x:c r="G2607" s="9" t="n">
        <x:v>20.6</x:v>
      </x:c>
      <x:c r="H2607" s="9" t="n">
        <x:v>94</x:v>
      </x:c>
      <x:c r="I2607" s="8" t="str">
        <x:f>B2607&amp;" / "&amp;C2607&amp;" / "&amp;E2607</x:f>
        <x:v>6871 / 2023 / TIGER TROUT</x:v>
      </x:c>
    </x:row>
    <x:row r="2608" ht="23" customHeight="1">
      <x:c r="A2608" s="8" t="str">
        <x:v>Ponoka Centennial Park Pond</x:v>
      </x:c>
      <x:c r="B2608" s="8" t="str">
        <x:v>6871</x:v>
      </x:c>
      <x:c r="C2608" s="17" t="n">
        <x:v>2022</x:v>
      </x:c>
      <x:c r="D2608" s="18" t="n">
        <x:v>44691</x:v>
      </x:c>
      <x:c r="E2608" s="8" t="str">
        <x:v>RAINBOW TROUT</x:v>
      </x:c>
      <x:c r="F2608" s="13" t="n">
        <x:v>1000</x:v>
      </x:c>
      <x:c r="G2608" s="9" t="n">
        <x:v>20.7</x:v>
      </x:c>
      <x:c r="H2608" s="9" t="n">
        <x:v>97.3</x:v>
      </x:c>
      <x:c r="I2608" s="8" t="str">
        <x:f>B2608&amp;" / "&amp;C2608&amp;" / "&amp;E2608</x:f>
        <x:v>6871 / 2022 / RAINBOW TROUT</x:v>
      </x:c>
    </x:row>
    <x:row r="2609" ht="23" customHeight="1">
      <x:c r="A2609" s="8" t="str">
        <x:v>Ponoka Centennial Park Pond</x:v>
      </x:c>
      <x:c r="B2609" s="8" t="str">
        <x:v>6871</x:v>
      </x:c>
      <x:c r="C2609" s="17" t="n">
        <x:v>2022</x:v>
      </x:c>
      <x:c r="D2609" s="18" t="n">
        <x:v>44682</x:v>
      </x:c>
      <x:c r="E2609" s="8" t="str">
        <x:v>TIGER TROUT</x:v>
      </x:c>
      <x:c r="F2609" s="13" t="n">
        <x:v>100</x:v>
      </x:c>
      <x:c r="G2609" s="9" t="n">
        <x:v>17.7</x:v>
      </x:c>
      <x:c r="H2609" s="9" t="n">
        <x:v>61</x:v>
      </x:c>
      <x:c r="I2609" s="8" t="str">
        <x:f>B2609&amp;" / "&amp;C2609&amp;" / "&amp;E2609</x:f>
        <x:v>6871 / 2022 / TIGER TROUT</x:v>
      </x:c>
    </x:row>
    <x:row r="2610" ht="23" customHeight="1">
      <x:c r="A2610" s="8" t="str">
        <x:v>Ponoka Centennial Park Pond</x:v>
      </x:c>
      <x:c r="B2610" s="8" t="str">
        <x:v>6871</x:v>
      </x:c>
      <x:c r="C2610" s="17" t="n">
        <x:v>2021</x:v>
      </x:c>
      <x:c r="D2610" s="18" t="n">
        <x:v>44447</x:v>
      </x:c>
      <x:c r="E2610" s="8" t="str">
        <x:v>RAINBOW TROUT</x:v>
      </x:c>
      <x:c r="F2610" s="13" t="n">
        <x:v>750</x:v>
      </x:c>
      <x:c r="G2610" s="9" t="n">
        <x:v>21.8</x:v>
      </x:c>
      <x:c r="H2610" s="9" t="n">
        <x:v>101.1</x:v>
      </x:c>
      <x:c r="I2610" s="8" t="str">
        <x:f>B2610&amp;" / "&amp;C2610&amp;" / "&amp;E2610</x:f>
        <x:v>6871 / 2021 / RAINBOW TROUT</x:v>
      </x:c>
    </x:row>
    <x:row r="2611" ht="23" customHeight="1">
      <x:c r="A2611" s="8" t="str">
        <x:v>Ponoka Centennial Park Pond</x:v>
      </x:c>
      <x:c r="B2611" s="8" t="str">
        <x:v>6871</x:v>
      </x:c>
      <x:c r="C2611" s="17" t="n">
        <x:v>2021</x:v>
      </x:c>
      <x:c r="D2611" s="18" t="n">
        <x:v>44308</x:v>
      </x:c>
      <x:c r="E2611" s="8" t="str">
        <x:v>RAINBOW TROUT</x:v>
      </x:c>
      <x:c r="F2611" s="13" t="n">
        <x:v>900</x:v>
      </x:c>
      <x:c r="G2611" s="9" t="n">
        <x:v>20.7</x:v>
      </x:c>
      <x:c r="H2611" s="9" t="n">
        <x:v>93.6</x:v>
      </x:c>
      <x:c r="I2611" s="8" t="str">
        <x:f>B2611&amp;" / "&amp;C2611&amp;" / "&amp;E2611</x:f>
        <x:v>6871 / 2021 / RAINBOW TROUT</x:v>
      </x:c>
    </x:row>
    <x:row r="2612" ht="23" customHeight="1">
      <x:c r="A2612" s="8" t="str">
        <x:v>Ponoka Centennial Park Pond</x:v>
      </x:c>
      <x:c r="B2612" s="8" t="str">
        <x:v>6871</x:v>
      </x:c>
      <x:c r="C2612" s="17" t="n">
        <x:v>2021</x:v>
      </x:c>
      <x:c r="D2612" s="18" t="n">
        <x:v>44309</x:v>
      </x:c>
      <x:c r="E2612" s="8" t="str">
        <x:v>TIGER TROUT</x:v>
      </x:c>
      <x:c r="F2612" s="13" t="n">
        <x:v>100</x:v>
      </x:c>
      <x:c r="G2612" s="9" t="n">
        <x:v>16.3</x:v>
      </x:c>
      <x:c r="H2612" s="9" t="n">
        <x:v>47.8</x:v>
      </x:c>
      <x:c r="I2612" s="8" t="str">
        <x:f>B2612&amp;" / "&amp;C2612&amp;" / "&amp;E2612</x:f>
        <x:v>6871 / 2021 / TIGER TROUT</x:v>
      </x:c>
    </x:row>
    <x:row r="2613" ht="23" customHeight="1">
      <x:c r="A2613" s="8" t="str">
        <x:v>Radway Fish Pond</x:v>
      </x:c>
      <x:c r="B2613" s="8" t="str">
        <x:v>26047</x:v>
      </x:c>
      <x:c r="C2613" s="17" t="n">
        <x:v>2026</x:v>
      </x:c>
      <x:c r="D2613" s="18" t="n">
        <x:v>46149</x:v>
      </x:c>
      <x:c r="E2613" s="8" t="str">
        <x:v>RAINBOW TROUT</x:v>
      </x:c>
      <x:c r="F2613" s="13" t="n">
        <x:v>1040</x:v>
      </x:c>
      <x:c r="G2613" s="9" t="n">
        <x:v>23.5</x:v>
      </x:c>
      <x:c r="H2613" s="9" t="n">
        <x:v>144.4</x:v>
      </x:c>
      <x:c r="I2613" s="8" t="str">
        <x:f>B2613&amp;" / "&amp;C2613&amp;" / "&amp;E2613</x:f>
        <x:v>26047 / 2026 / RAINBOW TROUT</x:v>
      </x:c>
    </x:row>
    <x:row r="2614" ht="23" customHeight="1">
      <x:c r="A2614" s="8" t="str">
        <x:v>Radway Fish Pond</x:v>
      </x:c>
      <x:c r="B2614" s="8" t="str">
        <x:v>26047</x:v>
      </x:c>
      <x:c r="C2614" s="17" t="n">
        <x:v>2025</x:v>
      </x:c>
      <x:c r="D2614" s="18" t="n">
        <x:v>45788</x:v>
      </x:c>
      <x:c r="E2614" s="8" t="str">
        <x:v>RAINBOW TROUT</x:v>
      </x:c>
      <x:c r="F2614" s="13" t="n">
        <x:v>1040</x:v>
      </x:c>
      <x:c r="G2614" s="9" t="n">
        <x:v>23.6</x:v>
      </x:c>
      <x:c r="H2614" s="9" t="n">
        <x:v>144.6</x:v>
      </x:c>
      <x:c r="I2614" s="8" t="str">
        <x:f>B2614&amp;" / "&amp;C2614&amp;" / "&amp;E2614</x:f>
        <x:v>26047 / 2025 / RAINBOW TROUT</x:v>
      </x:c>
    </x:row>
    <x:row r="2615" ht="23" customHeight="1">
      <x:c r="A2615" s="8" t="str">
        <x:v>Radway Fish Pond</x:v>
      </x:c>
      <x:c r="B2615" s="8" t="str">
        <x:v>26047</x:v>
      </x:c>
      <x:c r="C2615" s="17" t="n">
        <x:v>2024</x:v>
      </x:c>
      <x:c r="D2615" s="18" t="n">
        <x:v>45422</x:v>
      </x:c>
      <x:c r="E2615" s="8" t="str">
        <x:v>RAINBOW TROUT</x:v>
      </x:c>
      <x:c r="F2615" s="13" t="n">
        <x:v>1040</x:v>
      </x:c>
      <x:c r="G2615" s="9" t="n">
        <x:v>20</x:v>
      </x:c>
      <x:c r="H2615" s="9" t="n">
        <x:v>85.8</x:v>
      </x:c>
      <x:c r="I2615" s="8" t="str">
        <x:f>B2615&amp;" / "&amp;C2615&amp;" / "&amp;E2615</x:f>
        <x:v>26047 / 2024 / RAINBOW TROUT</x:v>
      </x:c>
    </x:row>
    <x:row r="2616" ht="23" customHeight="1">
      <x:c r="A2616" s="8" t="str">
        <x:v>Radway Fish Pond</x:v>
      </x:c>
      <x:c r="B2616" s="8" t="str">
        <x:v>26047</x:v>
      </x:c>
      <x:c r="C2616" s="17" t="n">
        <x:v>2023</x:v>
      </x:c>
      <x:c r="D2616" s="18" t="n">
        <x:v>45057</x:v>
      </x:c>
      <x:c r="E2616" s="8" t="str">
        <x:v>RAINBOW TROUT</x:v>
      </x:c>
      <x:c r="F2616" s="13" t="n">
        <x:v>1000</x:v>
      </x:c>
      <x:c r="G2616" s="9" t="n">
        <x:v>19.9</x:v>
      </x:c>
      <x:c r="H2616" s="9" t="n">
        <x:v>87.9</x:v>
      </x:c>
      <x:c r="I2616" s="8" t="str">
        <x:f>B2616&amp;" / "&amp;C2616&amp;" / "&amp;E2616</x:f>
        <x:v>26047 / 2023 / RAINBOW TROUT</x:v>
      </x:c>
    </x:row>
    <x:row r="2617" ht="23" customHeight="1">
      <x:c r="A2617" s="8" t="str">
        <x:v>Radway Fish Pond</x:v>
      </x:c>
      <x:c r="B2617" s="8" t="str">
        <x:v>26047</x:v>
      </x:c>
      <x:c r="C2617" s="17" t="n">
        <x:v>2022</x:v>
      </x:c>
      <x:c r="D2617" s="18" t="n">
        <x:v>44691</x:v>
      </x:c>
      <x:c r="E2617" s="8" t="str">
        <x:v>RAINBOW TROUT</x:v>
      </x:c>
      <x:c r="F2617" s="13" t="n">
        <x:v>1040</x:v>
      </x:c>
      <x:c r="G2617" s="9" t="n">
        <x:v>20.1</x:v>
      </x:c>
      <x:c r="H2617" s="9" t="n">
        <x:v>89.6</x:v>
      </x:c>
      <x:c r="I2617" s="8" t="str">
        <x:f>B2617&amp;" / "&amp;C2617&amp;" / "&amp;E2617</x:f>
        <x:v>26047 / 2022 / RAINBOW TROUT</x:v>
      </x:c>
    </x:row>
    <x:row r="2618" ht="23" customHeight="1">
      <x:c r="A2618" s="8" t="str">
        <x:v>Radway Fish Pond</x:v>
      </x:c>
      <x:c r="B2618" s="8" t="str">
        <x:v>26047</x:v>
      </x:c>
      <x:c r="C2618" s="17" t="n">
        <x:v>2021</x:v>
      </x:c>
      <x:c r="D2618" s="18" t="n">
        <x:v>44320</x:v>
      </x:c>
      <x:c r="E2618" s="8" t="str">
        <x:v>RAINBOW TROUT</x:v>
      </x:c>
      <x:c r="F2618" s="13" t="n">
        <x:v>1040</x:v>
      </x:c>
      <x:c r="G2618" s="9" t="n">
        <x:v>20.8</x:v>
      </x:c>
      <x:c r="H2618" s="9" t="n">
        <x:v>98.9</x:v>
      </x:c>
      <x:c r="I2618" s="8" t="str">
        <x:f>B2618&amp;" / "&amp;C2618&amp;" / "&amp;E2618</x:f>
        <x:v>26047 / 2021 / RAINBOW TROUT</x:v>
      </x:c>
    </x:row>
    <x:row r="2619" ht="23" customHeight="1">
      <x:c r="A2619" s="8" t="str">
        <x:v>Rainbow Lake Pond</x:v>
      </x:c>
      <x:c r="B2619" s="8" t="str">
        <x:v>6705</x:v>
      </x:c>
      <x:c r="C2619" s="17" t="n">
        <x:v>2026</x:v>
      </x:c>
      <x:c r="D2619" s="18" t="n">
        <x:v>46162</x:v>
      </x:c>
      <x:c r="E2619" s="8" t="str">
        <x:v>RAINBOW TROUT</x:v>
      </x:c>
      <x:c r="F2619" s="13" t="n">
        <x:v>500</x:v>
      </x:c>
      <x:c r="G2619" s="9" t="n">
        <x:v>23.7</x:v>
      </x:c>
      <x:c r="H2619" s="9" t="n">
        <x:v>147.2</x:v>
      </x:c>
      <x:c r="I2619" s="8" t="str">
        <x:f>B2619&amp;" / "&amp;C2619&amp;" / "&amp;E2619</x:f>
        <x:v>6705 / 2026 / RAINBOW TROUT</x:v>
      </x:c>
    </x:row>
    <x:row r="2620" ht="23" customHeight="1">
      <x:c r="A2620" s="8" t="str">
        <x:v>Rainbow Lake Pond</x:v>
      </x:c>
      <x:c r="B2620" s="8" t="str">
        <x:v>6705</x:v>
      </x:c>
      <x:c r="C2620" s="17" t="n">
        <x:v>2025</x:v>
      </x:c>
      <x:c r="D2620" s="18" t="n">
        <x:v>45789</x:v>
      </x:c>
      <x:c r="E2620" s="8" t="str">
        <x:v>RAINBOW TROUT</x:v>
      </x:c>
      <x:c r="F2620" s="13" t="n">
        <x:v>500</x:v>
      </x:c>
      <x:c r="G2620" s="9" t="n">
        <x:v>23.6</x:v>
      </x:c>
      <x:c r="H2620" s="9" t="n">
        <x:v>144.6</x:v>
      </x:c>
      <x:c r="I2620" s="8" t="str">
        <x:f>B2620&amp;" / "&amp;C2620&amp;" / "&amp;E2620</x:f>
        <x:v>6705 / 2025 / RAINBOW TROUT</x:v>
      </x:c>
    </x:row>
    <x:row r="2621" ht="23" customHeight="1">
      <x:c r="A2621" s="8" t="str">
        <x:v>Rainbow Lake Pond</x:v>
      </x:c>
      <x:c r="B2621" s="8" t="str">
        <x:v>6705</x:v>
      </x:c>
      <x:c r="C2621" s="17" t="n">
        <x:v>2024</x:v>
      </x:c>
      <x:c r="D2621" s="18" t="n">
        <x:v>45426</x:v>
      </x:c>
      <x:c r="E2621" s="8" t="str">
        <x:v>RAINBOW TROUT</x:v>
      </x:c>
      <x:c r="F2621" s="13" t="n">
        <x:v>500</x:v>
      </x:c>
      <x:c r="G2621" s="9" t="n">
        <x:v>20.7</x:v>
      </x:c>
      <x:c r="H2621" s="9" t="n">
        <x:v>95.1</x:v>
      </x:c>
      <x:c r="I2621" s="8" t="str">
        <x:f>B2621&amp;" / "&amp;C2621&amp;" / "&amp;E2621</x:f>
        <x:v>6705 / 2024 / RAINBOW TROUT</x:v>
      </x:c>
    </x:row>
    <x:row r="2622" ht="23" customHeight="1">
      <x:c r="A2622" s="8" t="str">
        <x:v>Rainbow Lake Pond</x:v>
      </x:c>
      <x:c r="B2622" s="8" t="str">
        <x:v>6705</x:v>
      </x:c>
      <x:c r="C2622" s="17" t="n">
        <x:v>2023</x:v>
      </x:c>
      <x:c r="D2622" s="18" t="n">
        <x:v>45184</x:v>
      </x:c>
      <x:c r="E2622" s="8" t="str">
        <x:v>RAINBOW TROUT</x:v>
      </x:c>
      <x:c r="F2622" s="13" t="n">
        <x:v>251</x:v>
      </x:c>
      <x:c r="G2622" s="9" t="n">
        <x:v>24.9</x:v>
      </x:c>
      <x:c r="H2622" s="9" t="n">
        <x:v>167.3</x:v>
      </x:c>
      <x:c r="I2622" s="8" t="str">
        <x:f>B2622&amp;" / "&amp;C2622&amp;" / "&amp;E2622</x:f>
        <x:v>6705 / 2023 / RAINBOW TROUT</x:v>
      </x:c>
    </x:row>
    <x:row r="2623" ht="23" customHeight="1">
      <x:c r="A2623" s="8" t="str">
        <x:v>Rainbow Lake Pond</x:v>
      </x:c>
      <x:c r="B2623" s="8" t="str">
        <x:v>6705</x:v>
      </x:c>
      <x:c r="C2623" s="17" t="n">
        <x:v>2021</x:v>
      </x:c>
      <x:c r="D2623" s="18" t="n">
        <x:v>44342</x:v>
      </x:c>
      <x:c r="E2623" s="8" t="str">
        <x:v>RAINBOW TROUT</x:v>
      </x:c>
      <x:c r="F2623" s="13" t="n">
        <x:v>500</x:v>
      </x:c>
      <x:c r="G2623" s="9" t="n">
        <x:v>19.9</x:v>
      </x:c>
      <x:c r="H2623" s="9" t="n">
        <x:v>86.6</x:v>
      </x:c>
      <x:c r="I2623" s="8" t="str">
        <x:f>B2623&amp;" / "&amp;C2623&amp;" / "&amp;E2623</x:f>
        <x:v>6705 / 2021 / RAINBOW TROUT</x:v>
      </x:c>
    </x:row>
    <x:row r="2624" ht="23" customHeight="1">
      <x:c r="A2624" s="8" t="str">
        <x:v>Rat Lake</x:v>
      </x:c>
      <x:c r="B2624" s="8" t="str">
        <x:v>6702</x:v>
      </x:c>
      <x:c r="C2624" s="17" t="n">
        <x:v>2026</x:v>
      </x:c>
      <x:c r="D2624" s="18" t="n">
        <x:v>46163</x:v>
      </x:c>
      <x:c r="E2624" s="8" t="str">
        <x:v>BROOK TROUT</x:v>
      </x:c>
      <x:c r="F2624" s="13" t="n">
        <x:v>2500</x:v>
      </x:c>
      <x:c r="G2624" s="9" t="n">
        <x:v>4.9</x:v>
      </x:c>
      <x:c r="H2624" s="9" t="n">
        <x:v>1.3</x:v>
      </x:c>
      <x:c r="I2624" s="8" t="str">
        <x:f>B2624&amp;" / "&amp;C2624&amp;" / "&amp;E2624</x:f>
        <x:v>6702 / 2026 / BROOK TROUT</x:v>
      </x:c>
    </x:row>
    <x:row r="2625" ht="23" customHeight="1">
      <x:c r="A2625" s="8" t="str">
        <x:v>Rat Lake</x:v>
      </x:c>
      <x:c r="B2625" s="8" t="str">
        <x:v>6702</x:v>
      </x:c>
      <x:c r="C2625" s="17" t="n">
        <x:v>2025</x:v>
      </x:c>
      <x:c r="D2625" s="18" t="n">
        <x:v>45930</x:v>
      </x:c>
      <x:c r="E2625" s="8" t="str">
        <x:v>TIGER TROUT</x:v>
      </x:c>
      <x:c r="F2625" s="13" t="n">
        <x:v>500</x:v>
      </x:c>
      <x:c r="G2625" s="9" t="n">
        <x:v>10.6</x:v>
      </x:c>
      <x:c r="H2625" s="9" t="n">
        <x:v>13.2</x:v>
      </x:c>
      <x:c r="I2625" s="8" t="str">
        <x:f>B2625&amp;" / "&amp;C2625&amp;" / "&amp;E2625</x:f>
        <x:v>6702 / 2025 / TIGER TROUT</x:v>
      </x:c>
    </x:row>
    <x:row r="2626" ht="23" customHeight="1">
      <x:c r="A2626" s="8" t="str">
        <x:v>Rat Lake</x:v>
      </x:c>
      <x:c r="B2626" s="8" t="str">
        <x:v>6702</x:v>
      </x:c>
      <x:c r="C2626" s="17" t="n">
        <x:v>2025</x:v>
      </x:c>
      <x:c r="D2626" s="18" t="n">
        <x:v>45930</x:v>
      </x:c>
      <x:c r="E2626" s="8" t="str">
        <x:v>TIGER TROUT</x:v>
      </x:c>
      <x:c r="F2626" s="13" t="n">
        <x:v>700</x:v>
      </x:c>
      <x:c r="G2626" s="9" t="n">
        <x:v>30.6</x:v>
      </x:c>
      <x:c r="H2626" s="9" t="n">
        <x:v>318.1</x:v>
      </x:c>
      <x:c r="I2626" s="8" t="str">
        <x:f>B2626&amp;" / "&amp;C2626&amp;" / "&amp;E2626</x:f>
        <x:v>6702 / 2025 / TIGER TROUT</x:v>
      </x:c>
    </x:row>
    <x:row r="2627" ht="23" customHeight="1">
      <x:c r="A2627" s="8" t="str">
        <x:v>Rat Lake</x:v>
      </x:c>
      <x:c r="B2627" s="8" t="str">
        <x:v>6702</x:v>
      </x:c>
      <x:c r="C2627" s="17" t="n">
        <x:v>2024</x:v>
      </x:c>
      <x:c r="D2627" s="18" t="n">
        <x:v>45551</x:v>
      </x:c>
      <x:c r="E2627" s="8" t="str">
        <x:v>BROOK TROUT</x:v>
      </x:c>
      <x:c r="F2627" s="13" t="n">
        <x:v>2500</x:v>
      </x:c>
      <x:c r="G2627" s="9" t="n">
        <x:v>12.9</x:v>
      </x:c>
      <x:c r="H2627" s="9" t="n">
        <x:v>23.3</x:v>
      </x:c>
      <x:c r="I2627" s="8" t="str">
        <x:f>B2627&amp;" / "&amp;C2627&amp;" / "&amp;E2627</x:f>
        <x:v>6702 / 2024 / BROOK TROUT</x:v>
      </x:c>
    </x:row>
    <x:row r="2628" ht="23" customHeight="1">
      <x:c r="A2628" s="8" t="str">
        <x:v>Rat Lake</x:v>
      </x:c>
      <x:c r="B2628" s="8" t="str">
        <x:v>6702</x:v>
      </x:c>
      <x:c r="C2628" s="17" t="n">
        <x:v>2024</x:v>
      </x:c>
      <x:c r="D2628" s="18" t="n">
        <x:v>45443</x:v>
      </x:c>
      <x:c r="E2628" s="8" t="str">
        <x:v>BROOK TROUT</x:v>
      </x:c>
      <x:c r="F2628" s="13" t="n">
        <x:v>2500</x:v>
      </x:c>
      <x:c r="G2628" s="9" t="n">
        <x:v>7.4</x:v>
      </x:c>
      <x:c r="H2628" s="9" t="n">
        <x:v>4.4</x:v>
      </x:c>
      <x:c r="I2628" s="8" t="str">
        <x:f>B2628&amp;" / "&amp;C2628&amp;" / "&amp;E2628</x:f>
        <x:v>6702 / 2024 / BROOK TROUT</x:v>
      </x:c>
    </x:row>
    <x:row r="2629" ht="23" customHeight="1">
      <x:c r="A2629" s="8" t="str">
        <x:v>Rat Lake</x:v>
      </x:c>
      <x:c r="B2629" s="8" t="str">
        <x:v>6702</x:v>
      </x:c>
      <x:c r="C2629" s="17" t="n">
        <x:v>2024</x:v>
      </x:c>
      <x:c r="D2629" s="18" t="n">
        <x:v>45551</x:v>
      </x:c>
      <x:c r="E2629" s="8" t="str">
        <x:v>TIGER TROUT</x:v>
      </x:c>
      <x:c r="F2629" s="13" t="n">
        <x:v>700</x:v>
      </x:c>
      <x:c r="G2629" s="9" t="n">
        <x:v>23.3</x:v>
      </x:c>
      <x:c r="H2629" s="9" t="n">
        <x:v>135.9</x:v>
      </x:c>
      <x:c r="I2629" s="8" t="str">
        <x:f>B2629&amp;" / "&amp;C2629&amp;" / "&amp;E2629</x:f>
        <x:v>6702 / 2024 / TIGER TROUT</x:v>
      </x:c>
    </x:row>
    <x:row r="2630" ht="23" customHeight="1">
      <x:c r="A2630" s="8" t="str">
        <x:v>Rat Lake</x:v>
      </x:c>
      <x:c r="B2630" s="8" t="str">
        <x:v>6702</x:v>
      </x:c>
      <x:c r="C2630" s="17" t="n">
        <x:v>2023</x:v>
      </x:c>
      <x:c r="D2630" s="18" t="n">
        <x:v>45175</x:v>
      </x:c>
      <x:c r="E2630" s="8" t="str">
        <x:v>TIGER TROUT</x:v>
      </x:c>
      <x:c r="F2630" s="13" t="n">
        <x:v>400</x:v>
      </x:c>
      <x:c r="G2630" s="9" t="n">
        <x:v>9.3</x:v>
      </x:c>
      <x:c r="H2630" s="9" t="n">
        <x:v>8.6</x:v>
      </x:c>
      <x:c r="I2630" s="8" t="str">
        <x:f>B2630&amp;" / "&amp;C2630&amp;" / "&amp;E2630</x:f>
        <x:v>6702 / 2023 / TIGER TROUT</x:v>
      </x:c>
    </x:row>
    <x:row r="2631" ht="23" customHeight="1">
      <x:c r="A2631" s="8" t="str">
        <x:v>Rat Lake</x:v>
      </x:c>
      <x:c r="B2631" s="8" t="str">
        <x:v>6702</x:v>
      </x:c>
      <x:c r="C2631" s="17" t="n">
        <x:v>2023</x:v>
      </x:c>
      <x:c r="D2631" s="18" t="n">
        <x:v>45175</x:v>
      </x:c>
      <x:c r="E2631" s="8" t="str">
        <x:v>TIGER TROUT</x:v>
      </x:c>
      <x:c r="F2631" s="13" t="n">
        <x:v>500</x:v>
      </x:c>
      <x:c r="G2631" s="9" t="n">
        <x:v>22.5</x:v>
      </x:c>
      <x:c r="H2631" s="9" t="n">
        <x:v>123.1</x:v>
      </x:c>
      <x:c r="I2631" s="8" t="str">
        <x:f>B2631&amp;" / "&amp;C2631&amp;" / "&amp;E2631</x:f>
        <x:v>6702 / 2023 / TIGER TROUT</x:v>
      </x:c>
    </x:row>
    <x:row r="2632" ht="23" customHeight="1">
      <x:c r="A2632" s="8" t="str">
        <x:v>Rat Lake</x:v>
      </x:c>
      <x:c r="B2632" s="8" t="str">
        <x:v>6702</x:v>
      </x:c>
      <x:c r="C2632" s="17" t="n">
        <x:v>2022</x:v>
      </x:c>
      <x:c r="D2632" s="18" t="n">
        <x:v>44824</x:v>
      </x:c>
      <x:c r="E2632" s="8" t="str">
        <x:v>BROOK TROUT</x:v>
      </x:c>
      <x:c r="F2632" s="13" t="n">
        <x:v>2500</x:v>
      </x:c>
      <x:c r="G2632" s="9" t="n">
        <x:v>13.3</x:v>
      </x:c>
      <x:c r="H2632" s="9" t="n">
        <x:v>25.8</x:v>
      </x:c>
      <x:c r="I2632" s="8" t="str">
        <x:f>B2632&amp;" / "&amp;C2632&amp;" / "&amp;E2632</x:f>
        <x:v>6702 / 2022 / BROOK TROUT</x:v>
      </x:c>
    </x:row>
    <x:row r="2633" ht="23" customHeight="1">
      <x:c r="A2633" s="8" t="str">
        <x:v>Rat Lake</x:v>
      </x:c>
      <x:c r="B2633" s="8" t="str">
        <x:v>6702</x:v>
      </x:c>
      <x:c r="C2633" s="17" t="n">
        <x:v>2022</x:v>
      </x:c>
      <x:c r="D2633" s="18" t="n">
        <x:v>44824</x:v>
      </x:c>
      <x:c r="E2633" s="8" t="str">
        <x:v>TIGER TROUT</x:v>
      </x:c>
      <x:c r="F2633" s="13" t="n">
        <x:v>700</x:v>
      </x:c>
      <x:c r="G2633" s="9" t="n">
        <x:v>22</x:v>
      </x:c>
      <x:c r="H2633" s="9" t="n">
        <x:v>118</x:v>
      </x:c>
      <x:c r="I2633" s="8" t="str">
        <x:f>B2633&amp;" / "&amp;C2633&amp;" / "&amp;E2633</x:f>
        <x:v>6702 / 2022 / TIGER TROUT</x:v>
      </x:c>
    </x:row>
    <x:row r="2634" ht="23" customHeight="1">
      <x:c r="A2634" s="8" t="str">
        <x:v>Rat Lake</x:v>
      </x:c>
      <x:c r="B2634" s="8" t="str">
        <x:v>6702</x:v>
      </x:c>
      <x:c r="C2634" s="17" t="n">
        <x:v>2021</x:v>
      </x:c>
      <x:c r="D2634" s="18" t="n">
        <x:v>44465</x:v>
      </x:c>
      <x:c r="E2634" s="8" t="str">
        <x:v>TIGER TROUT</x:v>
      </x:c>
      <x:c r="F2634" s="13" t="n">
        <x:v>700</x:v>
      </x:c>
      <x:c r="G2634" s="9" t="n">
        <x:v>19.6</x:v>
      </x:c>
      <x:c r="H2634" s="9" t="n">
        <x:v>83.8</x:v>
      </x:c>
      <x:c r="I2634" s="8" t="str">
        <x:f>B2634&amp;" / "&amp;C2634&amp;" / "&amp;E2634</x:f>
        <x:v>6702 / 2021 / TIGER TROUT</x:v>
      </x:c>
    </x:row>
    <x:row r="2635" ht="23" customHeight="1">
      <x:c r="A2635" s="8" t="str">
        <x:v>Rawson Lake</x:v>
      </x:c>
      <x:c r="B2635" s="8" t="str">
        <x:v>5649</x:v>
      </x:c>
      <x:c r="C2635" s="17" t="n">
        <x:v>2023</x:v>
      </x:c>
      <x:c r="D2635" s="18" t="n">
        <x:v>45175</x:v>
      </x:c>
      <x:c r="E2635" s="8" t="str">
        <x:v>WESTSLOPE CUTTHROAT TROUT</x:v>
      </x:c>
      <x:c r="F2635" s="13" t="n">
        <x:v>700</x:v>
      </x:c>
      <x:c r="G2635" s="9" t="n">
        <x:v>16.8</x:v>
      </x:c>
      <x:c r="H2635" s="9" t="n">
        <x:v>51.4</x:v>
      </x:c>
      <x:c r="I2635" s="8" t="str">
        <x:f>B2635&amp;" / "&amp;C2635&amp;" / "&amp;E2635</x:f>
        <x:v>5649 / 2023 / WESTSLOPE CUTTHROAT TROUT</x:v>
      </x:c>
    </x:row>
    <x:row r="2636" ht="23" customHeight="1">
      <x:c r="A2636" s="8" t="str">
        <x:v>Rawson Lake</x:v>
      </x:c>
      <x:c r="B2636" s="8" t="str">
        <x:v>5649</x:v>
      </x:c>
      <x:c r="C2636" s="17" t="n">
        <x:v>2023</x:v>
      </x:c>
      <x:c r="D2636" s="18" t="n">
        <x:v>45175</x:v>
      </x:c>
      <x:c r="E2636" s="8" t="str">
        <x:v>WESTSLOPE CUTTHROAT TROUT</x:v>
      </x:c>
      <x:c r="F2636" s="13" t="n">
        <x:v>800</x:v>
      </x:c>
      <x:c r="G2636" s="9" t="n">
        <x:v>28.6</x:v>
      </x:c>
      <x:c r="H2636" s="9" t="n">
        <x:v>252.5</x:v>
      </x:c>
      <x:c r="I2636" s="8" t="str">
        <x:f>B2636&amp;" / "&amp;C2636&amp;" / "&amp;E2636</x:f>
        <x:v>5649 / 2023 / WESTSLOPE CUTTHROAT TROUT</x:v>
      </x:c>
    </x:row>
    <x:row r="2637" ht="23" customHeight="1">
      <x:c r="A2637" s="8" t="str">
        <x:v>Ray's Pond</x:v>
      </x:c>
      <x:c r="B2637" s="8" t="str">
        <x:v>6735</x:v>
      </x:c>
      <x:c r="C2637" s="17" t="n">
        <x:v>2026</x:v>
      </x:c>
      <x:c r="D2637" s="18" t="n">
        <x:v>46175</x:v>
      </x:c>
      <x:c r="E2637" s="8" t="str">
        <x:v>RAINBOW TROUT</x:v>
      </x:c>
      <x:c r="F2637" s="13" t="n">
        <x:v>1200</x:v>
      </x:c>
      <x:c r="G2637" s="9" t="n">
        <x:v>21.1</x:v>
      </x:c>
      <x:c r="H2637" s="9" t="n">
        <x:v>99.9</x:v>
      </x:c>
      <x:c r="I2637" s="8" t="str">
        <x:f>B2637&amp;" / "&amp;C2637&amp;" / "&amp;E2637</x:f>
        <x:v>6735 / 2026 / RAINBOW TROUT</x:v>
      </x:c>
    </x:row>
    <x:row r="2638" ht="23" customHeight="1">
      <x:c r="A2638" s="8" t="str">
        <x:v>Ray's Pond</x:v>
      </x:c>
      <x:c r="B2638" s="8" t="str">
        <x:v>6735</x:v>
      </x:c>
      <x:c r="C2638" s="17" t="n">
        <x:v>2026</x:v>
      </x:c>
      <x:c r="D2638" s="18" t="n">
        <x:v>46141</x:v>
      </x:c>
      <x:c r="E2638" s="8" t="str">
        <x:v>RAINBOW TROUT</x:v>
      </x:c>
      <x:c r="F2638" s="13" t="n">
        <x:v>1200</x:v>
      </x:c>
      <x:c r="G2638" s="9" t="n">
        <x:v>20.1</x:v>
      </x:c>
      <x:c r="H2638" s="9" t="n">
        <x:v>92.6</x:v>
      </x:c>
      <x:c r="I2638" s="8" t="str">
        <x:f>B2638&amp;" / "&amp;C2638&amp;" / "&amp;E2638</x:f>
        <x:v>6735 / 2026 / RAINBOW TROUT</x:v>
      </x:c>
    </x:row>
    <x:row r="2639" ht="23" customHeight="1">
      <x:c r="A2639" s="8" t="str">
        <x:v>Ray's Pond</x:v>
      </x:c>
      <x:c r="B2639" s="8" t="str">
        <x:v>6735</x:v>
      </x:c>
      <x:c r="C2639" s="17" t="n">
        <x:v>2026</x:v>
      </x:c>
      <x:c r="D2639" s="18" t="n">
        <x:v>46146</x:v>
      </x:c>
      <x:c r="E2639" s="8" t="str">
        <x:v>TIGER TROUT</x:v>
      </x:c>
      <x:c r="F2639" s="13" t="n">
        <x:v>250</x:v>
      </x:c>
      <x:c r="G2639" s="9" t="n">
        <x:v>17.3</x:v>
      </x:c>
      <x:c r="H2639" s="9" t="n">
        <x:v>56</x:v>
      </x:c>
      <x:c r="I2639" s="8" t="str">
        <x:f>B2639&amp;" / "&amp;C2639&amp;" / "&amp;E2639</x:f>
        <x:v>6735 / 2026 / TIGER TROUT</x:v>
      </x:c>
    </x:row>
    <x:row r="2640" ht="23" customHeight="1">
      <x:c r="A2640" s="8" t="str">
        <x:v>Ray's Pond</x:v>
      </x:c>
      <x:c r="B2640" s="8" t="str">
        <x:v>6735</x:v>
      </x:c>
      <x:c r="C2640" s="17" t="n">
        <x:v>2025</x:v>
      </x:c>
      <x:c r="D2640" s="18" t="n">
        <x:v>45916</x:v>
      </x:c>
      <x:c r="E2640" s="8" t="str">
        <x:v>RAINBOW TROUT</x:v>
      </x:c>
      <x:c r="F2640" s="13" t="n">
        <x:v>500</x:v>
      </x:c>
      <x:c r="G2640" s="9" t="n">
        <x:v>23.1</x:v>
      </x:c>
      <x:c r="H2640" s="9" t="n">
        <x:v>125.9</x:v>
      </x:c>
      <x:c r="I2640" s="8" t="str">
        <x:f>B2640&amp;" / "&amp;C2640&amp;" / "&amp;E2640</x:f>
        <x:v>6735 / 2025 / RAINBOW TROUT</x:v>
      </x:c>
    </x:row>
    <x:row r="2641" ht="23" customHeight="1">
      <x:c r="A2641" s="8" t="str">
        <x:v>Ray's Pond</x:v>
      </x:c>
      <x:c r="B2641" s="8" t="str">
        <x:v>6735</x:v>
      </x:c>
      <x:c r="C2641" s="17" t="n">
        <x:v>2025</x:v>
      </x:c>
      <x:c r="D2641" s="18" t="n">
        <x:v>45776</x:v>
      </x:c>
      <x:c r="E2641" s="8" t="str">
        <x:v>TIGER TROUT</x:v>
      </x:c>
      <x:c r="F2641" s="13" t="n">
        <x:v>250</x:v>
      </x:c>
      <x:c r="G2641" s="9" t="n">
        <x:v>20.3</x:v>
      </x:c>
      <x:c r="H2641" s="9" t="n">
        <x:v>90</x:v>
      </x:c>
      <x:c r="I2641" s="8" t="str">
        <x:f>B2641&amp;" / "&amp;C2641&amp;" / "&amp;E2641</x:f>
        <x:v>6735 / 2025 / TIGER TROUT</x:v>
      </x:c>
    </x:row>
    <x:row r="2642" ht="23" customHeight="1">
      <x:c r="A2642" s="8" t="str">
        <x:v>Ray's Pond</x:v>
      </x:c>
      <x:c r="B2642" s="8" t="str">
        <x:v>6735</x:v>
      </x:c>
      <x:c r="C2642" s="17" t="n">
        <x:v>2024</x:v>
      </x:c>
      <x:c r="D2642" s="18" t="n">
        <x:v>45450</x:v>
      </x:c>
      <x:c r="E2642" s="8" t="str">
        <x:v>RAINBOW TROUT</x:v>
      </x:c>
      <x:c r="F2642" s="13" t="n">
        <x:v>1100</x:v>
      </x:c>
      <x:c r="G2642" s="9" t="n">
        <x:v>20.2</x:v>
      </x:c>
      <x:c r="H2642" s="9" t="n">
        <x:v>96</x:v>
      </x:c>
      <x:c r="I2642" s="8" t="str">
        <x:f>B2642&amp;" / "&amp;C2642&amp;" / "&amp;E2642</x:f>
        <x:v>6735 / 2024 / RAINBOW TROUT</x:v>
      </x:c>
    </x:row>
    <x:row r="2643" ht="23" customHeight="1">
      <x:c r="A2643" s="8" t="str">
        <x:v>Ray's Pond</x:v>
      </x:c>
      <x:c r="B2643" s="8" t="str">
        <x:v>6735</x:v>
      </x:c>
      <x:c r="C2643" s="17" t="n">
        <x:v>2024</x:v>
      </x:c>
      <x:c r="D2643" s="18" t="n">
        <x:v>45406</x:v>
      </x:c>
      <x:c r="E2643" s="8" t="str">
        <x:v>RAINBOW TROUT</x:v>
      </x:c>
      <x:c r="F2643" s="13" t="n">
        <x:v>1200</x:v>
      </x:c>
      <x:c r="G2643" s="9" t="n">
        <x:v>20.5</x:v>
      </x:c>
      <x:c r="H2643" s="9" t="n">
        <x:v>90.4</x:v>
      </x:c>
      <x:c r="I2643" s="8" t="str">
        <x:f>B2643&amp;" / "&amp;C2643&amp;" / "&amp;E2643</x:f>
        <x:v>6735 / 2024 / RAINBOW TROUT</x:v>
      </x:c>
    </x:row>
    <x:row r="2644" ht="23" customHeight="1">
      <x:c r="A2644" s="8" t="str">
        <x:v>Ray's Pond</x:v>
      </x:c>
      <x:c r="B2644" s="8" t="str">
        <x:v>6735</x:v>
      </x:c>
      <x:c r="C2644" s="17" t="n">
        <x:v>2024</x:v>
      </x:c>
      <x:c r="D2644" s="18" t="n">
        <x:v>45412</x:v>
      </x:c>
      <x:c r="E2644" s="8" t="str">
        <x:v>TIGER TROUT</x:v>
      </x:c>
      <x:c r="F2644" s="13" t="n">
        <x:v>250</x:v>
      </x:c>
      <x:c r="G2644" s="9" t="n">
        <x:v>20.2</x:v>
      </x:c>
      <x:c r="H2644" s="9" t="n">
        <x:v>88.6</x:v>
      </x:c>
      <x:c r="I2644" s="8" t="str">
        <x:f>B2644&amp;" / "&amp;C2644&amp;" / "&amp;E2644</x:f>
        <x:v>6735 / 2024 / TIGER TROUT</x:v>
      </x:c>
    </x:row>
    <x:row r="2645" ht="23" customHeight="1">
      <x:c r="A2645" s="8" t="str">
        <x:v>Ray's Pond</x:v>
      </x:c>
      <x:c r="B2645" s="8" t="str">
        <x:v>6735</x:v>
      </x:c>
      <x:c r="C2645" s="17" t="n">
        <x:v>2023</x:v>
      </x:c>
      <x:c r="D2645" s="18" t="n">
        <x:v>45048</x:v>
      </x:c>
      <x:c r="E2645" s="8" t="str">
        <x:v>RAINBOW TROUT</x:v>
      </x:c>
      <x:c r="F2645" s="13" t="n">
        <x:v>2570</x:v>
      </x:c>
      <x:c r="G2645" s="9" t="n">
        <x:v>20.5</x:v>
      </x:c>
      <x:c r="H2645" s="9" t="n">
        <x:v>89.9</x:v>
      </x:c>
      <x:c r="I2645" s="8" t="str">
        <x:f>B2645&amp;" / "&amp;C2645&amp;" / "&amp;E2645</x:f>
        <x:v>6735 / 2023 / RAINBOW TROUT</x:v>
      </x:c>
    </x:row>
    <x:row r="2646" ht="23" customHeight="1">
      <x:c r="A2646" s="8" t="str">
        <x:v>Ray's Pond</x:v>
      </x:c>
      <x:c r="B2646" s="8" t="str">
        <x:v>6735</x:v>
      </x:c>
      <x:c r="C2646" s="17" t="n">
        <x:v>2023</x:v>
      </x:c>
      <x:c r="D2646" s="18" t="n">
        <x:v>45048</x:v>
      </x:c>
      <x:c r="E2646" s="8" t="str">
        <x:v>TIGER TROUT</x:v>
      </x:c>
      <x:c r="F2646" s="13" t="n">
        <x:v>250</x:v>
      </x:c>
      <x:c r="G2646" s="9" t="n">
        <x:v>19.9</x:v>
      </x:c>
      <x:c r="H2646" s="9" t="n">
        <x:v>85.6</x:v>
      </x:c>
      <x:c r="I2646" s="8" t="str">
        <x:f>B2646&amp;" / "&amp;C2646&amp;" / "&amp;E2646</x:f>
        <x:v>6735 / 2023 / TIGER TROUT</x:v>
      </x:c>
    </x:row>
    <x:row r="2647" ht="23" customHeight="1">
      <x:c r="A2647" s="8" t="str">
        <x:v>Ray's Pond</x:v>
      </x:c>
      <x:c r="B2647" s="8" t="str">
        <x:v>6735</x:v>
      </x:c>
      <x:c r="C2647" s="17" t="n">
        <x:v>2022</x:v>
      </x:c>
      <x:c r="D2647" s="18" t="n">
        <x:v>44700</x:v>
      </x:c>
      <x:c r="E2647" s="8" t="str">
        <x:v>TIGER TROUT</x:v>
      </x:c>
      <x:c r="F2647" s="13" t="n">
        <x:v>250</x:v>
      </x:c>
      <x:c r="G2647" s="9" t="n">
        <x:v>17.7</x:v>
      </x:c>
      <x:c r="H2647" s="9" t="n">
        <x:v>61.6</x:v>
      </x:c>
      <x:c r="I2647" s="8" t="str">
        <x:f>B2647&amp;" / "&amp;C2647&amp;" / "&amp;E2647</x:f>
        <x:v>6735 / 2022 / TIGER TROUT</x:v>
      </x:c>
    </x:row>
    <x:row r="2648" ht="23" customHeight="1">
      <x:c r="A2648" s="8" t="str">
        <x:v>Ray's Pond</x:v>
      </x:c>
      <x:c r="B2648" s="8" t="str">
        <x:v>6735</x:v>
      </x:c>
      <x:c r="C2648" s="17" t="n">
        <x:v>2021</x:v>
      </x:c>
      <x:c r="D2648" s="18" t="n">
        <x:v>44441</x:v>
      </x:c>
      <x:c r="E2648" s="8" t="str">
        <x:v>RAINBOW TROUT</x:v>
      </x:c>
      <x:c r="F2648" s="13" t="n">
        <x:v>1000</x:v>
      </x:c>
      <x:c r="G2648" s="9" t="n">
        <x:v>21.5</x:v>
      </x:c>
      <x:c r="H2648" s="9" t="n">
        <x:v>102.4</x:v>
      </x:c>
      <x:c r="I2648" s="8" t="str">
        <x:f>B2648&amp;" / "&amp;C2648&amp;" / "&amp;E2648</x:f>
        <x:v>6735 / 2021 / RAINBOW TROUT</x:v>
      </x:c>
    </x:row>
    <x:row r="2649" ht="23" customHeight="1">
      <x:c r="A2649" s="8" t="str">
        <x:v>Ray's Pond</x:v>
      </x:c>
      <x:c r="B2649" s="8" t="str">
        <x:v>6735</x:v>
      </x:c>
      <x:c r="C2649" s="17" t="n">
        <x:v>2021</x:v>
      </x:c>
      <x:c r="D2649" s="18" t="n">
        <x:v>44306</x:v>
      </x:c>
      <x:c r="E2649" s="8" t="str">
        <x:v>RAINBOW TROUT</x:v>
      </x:c>
      <x:c r="F2649" s="13" t="n">
        <x:v>1250</x:v>
      </x:c>
      <x:c r="G2649" s="9" t="n">
        <x:v>20.8</x:v>
      </x:c>
      <x:c r="H2649" s="9" t="n">
        <x:v>102.7</x:v>
      </x:c>
      <x:c r="I2649" s="8" t="str">
        <x:f>B2649&amp;" / "&amp;C2649&amp;" / "&amp;E2649</x:f>
        <x:v>6735 / 2021 / RAINBOW TROUT</x:v>
      </x:c>
    </x:row>
    <x:row r="2650" ht="23" customHeight="1">
      <x:c r="A2650" s="8" t="str">
        <x:v>Ray's Pond</x:v>
      </x:c>
      <x:c r="B2650" s="8" t="str">
        <x:v>6735</x:v>
      </x:c>
      <x:c r="C2650" s="17" t="n">
        <x:v>2021</x:v>
      </x:c>
      <x:c r="D2650" s="18" t="n">
        <x:v>44327</x:v>
      </x:c>
      <x:c r="E2650" s="8" t="str">
        <x:v>TIGER TROUT</x:v>
      </x:c>
      <x:c r="F2650" s="13" t="n">
        <x:v>250</x:v>
      </x:c>
      <x:c r="G2650" s="9" t="n">
        <x:v>16.3</x:v>
      </x:c>
      <x:c r="H2650" s="9" t="n">
        <x:v>47.8</x:v>
      </x:c>
      <x:c r="I2650" s="8" t="str">
        <x:f>B2650&amp;" / "&amp;C2650&amp;" / "&amp;E2650</x:f>
        <x:v>6735 / 2021 / TIGER TROUT</x:v>
      </x:c>
    </x:row>
    <x:row r="2651" ht="23" customHeight="1">
      <x:c r="A2651" s="8" t="str">
        <x:v>Reesor Lake</x:v>
      </x:c>
      <x:c r="B2651" s="8" t="str">
        <x:v>5661</x:v>
      </x:c>
      <x:c r="C2651" s="17" t="n">
        <x:v>2026</x:v>
      </x:c>
      <x:c r="D2651" s="18" t="n">
        <x:v>46147</x:v>
      </x:c>
      <x:c r="E2651" s="8" t="str">
        <x:v>RAINBOW TROUT</x:v>
      </x:c>
      <x:c r="F2651" s="13" t="n">
        <x:v>5294</x:v>
      </x:c>
      <x:c r="G2651" s="9" t="n">
        <x:v>21.5</x:v>
      </x:c>
      <x:c r="H2651" s="9" t="n">
        <x:v>110.4</x:v>
      </x:c>
      <x:c r="I2651" s="8" t="str">
        <x:f>B2651&amp;" / "&amp;C2651&amp;" / "&amp;E2651</x:f>
        <x:v>5661 / 2026 / RAINBOW TROUT</x:v>
      </x:c>
    </x:row>
    <x:row r="2652" ht="23" customHeight="1">
      <x:c r="A2652" s="8" t="str">
        <x:v>Reesor Lake</x:v>
      </x:c>
      <x:c r="B2652" s="8" t="str">
        <x:v>5661</x:v>
      </x:c>
      <x:c r="C2652" s="17" t="n">
        <x:v>2026</x:v>
      </x:c>
      <x:c r="D2652" s="18" t="n">
        <x:v>46147</x:v>
      </x:c>
      <x:c r="E2652" s="8" t="str">
        <x:v>RAINBOW TROUT</x:v>
      </x:c>
      <x:c r="F2652" s="13" t="n">
        <x:v>8000</x:v>
      </x:c>
      <x:c r="G2652" s="9" t="n">
        <x:v>19.8</x:v>
      </x:c>
      <x:c r="H2652" s="9" t="n">
        <x:v>85.8</x:v>
      </x:c>
      <x:c r="I2652" s="8" t="str">
        <x:f>B2652&amp;" / "&amp;C2652&amp;" / "&amp;E2652</x:f>
        <x:v>5661 / 2026 / RAINBOW TROUT</x:v>
      </x:c>
    </x:row>
    <x:row r="2653" ht="23" customHeight="1">
      <x:c r="A2653" s="8" t="str">
        <x:v>Reesor Lake</x:v>
      </x:c>
      <x:c r="B2653" s="8" t="str">
        <x:v>5661</x:v>
      </x:c>
      <x:c r="C2653" s="17" t="n">
        <x:v>2026</x:v>
      </x:c>
      <x:c r="D2653" s="18" t="n">
        <x:v>46146</x:v>
      </x:c>
      <x:c r="E2653" s="8" t="str">
        <x:v>RAINBOW TROUT</x:v>
      </x:c>
      <x:c r="F2653" s="13" t="n">
        <x:v>2700</x:v>
      </x:c>
      <x:c r="G2653" s="9" t="n">
        <x:v>20.5</x:v>
      </x:c>
      <x:c r="H2653" s="9" t="n">
        <x:v>94.7</x:v>
      </x:c>
      <x:c r="I2653" s="8" t="str">
        <x:f>B2653&amp;" / "&amp;C2653&amp;" / "&amp;E2653</x:f>
        <x:v>5661 / 2026 / RAINBOW TROUT</x:v>
      </x:c>
    </x:row>
    <x:row r="2654" ht="23" customHeight="1">
      <x:c r="A2654" s="8" t="str">
        <x:v>Reesor Lake</x:v>
      </x:c>
      <x:c r="B2654" s="8" t="str">
        <x:v>5661</x:v>
      </x:c>
      <x:c r="C2654" s="17" t="n">
        <x:v>2026</x:v>
      </x:c>
      <x:c r="D2654" s="18" t="n">
        <x:v>46146</x:v>
      </x:c>
      <x:c r="E2654" s="8" t="str">
        <x:v>TIGER TROUT</x:v>
      </x:c>
      <x:c r="F2654" s="13" t="n">
        <x:v>3500</x:v>
      </x:c>
      <x:c r="G2654" s="9" t="n">
        <x:v>20.9</x:v>
      </x:c>
      <x:c r="H2654" s="9" t="n">
        <x:v>101.3</x:v>
      </x:c>
      <x:c r="I2654" s="8" t="str">
        <x:f>B2654&amp;" / "&amp;C2654&amp;" / "&amp;E2654</x:f>
        <x:v>5661 / 2026 / TIGER TROUT</x:v>
      </x:c>
    </x:row>
    <x:row r="2655" ht="23" customHeight="1">
      <x:c r="A2655" s="8" t="str">
        <x:v>Reesor Lake</x:v>
      </x:c>
      <x:c r="B2655" s="8" t="str">
        <x:v>5661</x:v>
      </x:c>
      <x:c r="C2655" s="17" t="n">
        <x:v>2025</x:v>
      </x:c>
      <x:c r="D2655" s="18" t="n">
        <x:v>45935</x:v>
      </x:c>
      <x:c r="E2655" s="8" t="str">
        <x:v>RAINBOW TROUT</x:v>
      </x:c>
      <x:c r="F2655" s="13" t="n">
        <x:v>5000</x:v>
      </x:c>
      <x:c r="G2655" s="9" t="n">
        <x:v>21.2</x:v>
      </x:c>
      <x:c r="H2655" s="9" t="n">
        <x:v>105.9</x:v>
      </x:c>
      <x:c r="I2655" s="8" t="str">
        <x:f>B2655&amp;" / "&amp;C2655&amp;" / "&amp;E2655</x:f>
        <x:v>5661 / 2025 / RAINBOW TROUT</x:v>
      </x:c>
    </x:row>
    <x:row r="2656" ht="23" customHeight="1">
      <x:c r="A2656" s="8" t="str">
        <x:v>Reesor Lake</x:v>
      </x:c>
      <x:c r="B2656" s="8" t="str">
        <x:v>5661</x:v>
      </x:c>
      <x:c r="C2656" s="17" t="n">
        <x:v>2025</x:v>
      </x:c>
      <x:c r="D2656" s="18" t="n">
        <x:v>45935</x:v>
      </x:c>
      <x:c r="E2656" s="8" t="str">
        <x:v>RAINBOW TROUT</x:v>
      </x:c>
      <x:c r="F2656" s="13" t="n">
        <x:v>7000</x:v>
      </x:c>
      <x:c r="G2656" s="9" t="n">
        <x:v>20.5</x:v>
      </x:c>
      <x:c r="H2656" s="9" t="n">
        <x:v>95.5</x:v>
      </x:c>
      <x:c r="I2656" s="8" t="str">
        <x:f>B2656&amp;" / "&amp;C2656&amp;" / "&amp;E2656</x:f>
        <x:v>5661 / 2025 / RAINBOW TROUT</x:v>
      </x:c>
    </x:row>
    <x:row r="2657" ht="23" customHeight="1">
      <x:c r="A2657" s="8" t="str">
        <x:v>Reesor Lake</x:v>
      </x:c>
      <x:c r="B2657" s="8" t="str">
        <x:v>5661</x:v>
      </x:c>
      <x:c r="C2657" s="17" t="n">
        <x:v>2025</x:v>
      </x:c>
      <x:c r="D2657" s="18" t="n">
        <x:v>45928</x:v>
      </x:c>
      <x:c r="E2657" s="8" t="str">
        <x:v>RAINBOW TROUT</x:v>
      </x:c>
      <x:c r="F2657" s="13" t="n">
        <x:v>200</x:v>
      </x:c>
      <x:c r="G2657" s="9" t="n">
        <x:v>28</x:v>
      </x:c>
      <x:c r="H2657" s="9" t="n">
        <x:v>275</x:v>
      </x:c>
      <x:c r="I2657" s="8" t="str">
        <x:f>B2657&amp;" / "&amp;C2657&amp;" / "&amp;E2657</x:f>
        <x:v>5661 / 2025 / RAINBOW TROUT</x:v>
      </x:c>
    </x:row>
    <x:row r="2658" ht="23" customHeight="1">
      <x:c r="A2658" s="8" t="str">
        <x:v>Reesor Lake</x:v>
      </x:c>
      <x:c r="B2658" s="8" t="str">
        <x:v>5661</x:v>
      </x:c>
      <x:c r="C2658" s="17" t="n">
        <x:v>2025</x:v>
      </x:c>
      <x:c r="D2658" s="18" t="n">
        <x:v>45791</x:v>
      </x:c>
      <x:c r="E2658" s="8" t="str">
        <x:v>RAINBOW TROUT</x:v>
      </x:c>
      <x:c r="F2658" s="13" t="n">
        <x:v>7000</x:v>
      </x:c>
      <x:c r="G2658" s="9" t="n">
        <x:v>19.9</x:v>
      </x:c>
      <x:c r="H2658" s="9" t="n">
        <x:v>85.7</x:v>
      </x:c>
      <x:c r="I2658" s="8" t="str">
        <x:f>B2658&amp;" / "&amp;C2658&amp;" / "&amp;E2658</x:f>
        <x:v>5661 / 2025 / RAINBOW TROUT</x:v>
      </x:c>
    </x:row>
    <x:row r="2659" ht="23" customHeight="1">
      <x:c r="A2659" s="8" t="str">
        <x:v>Reesor Lake</x:v>
      </x:c>
      <x:c r="B2659" s="8" t="str">
        <x:v>5661</x:v>
      </x:c>
      <x:c r="C2659" s="17" t="n">
        <x:v>2025</x:v>
      </x:c>
      <x:c r="D2659" s="18" t="n">
        <x:v>45791</x:v>
      </x:c>
      <x:c r="E2659" s="8" t="str">
        <x:v>RAINBOW TROUT</x:v>
      </x:c>
      <x:c r="F2659" s="13" t="n">
        <x:v>9000</x:v>
      </x:c>
      <x:c r="G2659" s="9" t="n">
        <x:v>20.3</x:v>
      </x:c>
      <x:c r="H2659" s="9" t="n">
        <x:v>92.8</x:v>
      </x:c>
      <x:c r="I2659" s="8" t="str">
        <x:f>B2659&amp;" / "&amp;C2659&amp;" / "&amp;E2659</x:f>
        <x:v>5661 / 2025 / RAINBOW TROUT</x:v>
      </x:c>
    </x:row>
    <x:row r="2660" ht="23" customHeight="1">
      <x:c r="A2660" s="8" t="str">
        <x:v>Reesor Lake</x:v>
      </x:c>
      <x:c r="B2660" s="8" t="str">
        <x:v>5661</x:v>
      </x:c>
      <x:c r="C2660" s="17" t="n">
        <x:v>2024</x:v>
      </x:c>
      <x:c r="D2660" s="18" t="n">
        <x:v>45406</x:v>
      </x:c>
      <x:c r="E2660" s="8" t="str">
        <x:v>RAINBOW TROUT</x:v>
      </x:c>
      <x:c r="F2660" s="13" t="n">
        <x:v>6400</x:v>
      </x:c>
      <x:c r="G2660" s="9" t="n">
        <x:v>20.1</x:v>
      </x:c>
      <x:c r="H2660" s="9" t="n">
        <x:v>88.3</x:v>
      </x:c>
      <x:c r="I2660" s="8" t="str">
        <x:f>B2660&amp;" / "&amp;C2660&amp;" / "&amp;E2660</x:f>
        <x:v>5661 / 2024 / RAINBOW TROUT</x:v>
      </x:c>
    </x:row>
    <x:row r="2661" ht="23" customHeight="1">
      <x:c r="A2661" s="8" t="str">
        <x:v>Reesor Lake</x:v>
      </x:c>
      <x:c r="B2661" s="8" t="str">
        <x:v>5661</x:v>
      </x:c>
      <x:c r="C2661" s="17" t="n">
        <x:v>2024</x:v>
      </x:c>
      <x:c r="D2661" s="18" t="n">
        <x:v>45406</x:v>
      </x:c>
      <x:c r="E2661" s="8" t="str">
        <x:v>TIGER TROUT</x:v>
      </x:c>
      <x:c r="F2661" s="13" t="n">
        <x:v>3500</x:v>
      </x:c>
      <x:c r="G2661" s="9" t="n">
        <x:v>19.4</x:v>
      </x:c>
      <x:c r="H2661" s="9" t="n">
        <x:v>79.3</x:v>
      </x:c>
      <x:c r="I2661" s="8" t="str">
        <x:f>B2661&amp;" / "&amp;C2661&amp;" / "&amp;E2661</x:f>
        <x:v>5661 / 2024 / TIGER TROUT</x:v>
      </x:c>
    </x:row>
    <x:row r="2662" ht="23" customHeight="1">
      <x:c r="A2662" s="8" t="str">
        <x:v>Reesor Lake</x:v>
      </x:c>
      <x:c r="B2662" s="8" t="str">
        <x:v>5661</x:v>
      </x:c>
      <x:c r="C2662" s="17" t="n">
        <x:v>2023</x:v>
      </x:c>
      <x:c r="D2662" s="18" t="n">
        <x:v>45191</x:v>
      </x:c>
      <x:c r="E2662" s="8" t="str">
        <x:v>RAINBOW TROUT</x:v>
      </x:c>
      <x:c r="F2662" s="13" t="n">
        <x:v>3090</x:v>
      </x:c>
      <x:c r="G2662" s="9" t="n">
        <x:v>22.8</x:v>
      </x:c>
      <x:c r="H2662" s="9" t="n">
        <x:v>132.1</x:v>
      </x:c>
      <x:c r="I2662" s="8" t="str">
        <x:f>B2662&amp;" / "&amp;C2662&amp;" / "&amp;E2662</x:f>
        <x:v>5661 / 2023 / RAINBOW TROUT</x:v>
      </x:c>
    </x:row>
    <x:row r="2663" ht="23" customHeight="1">
      <x:c r="A2663" s="8" t="str">
        <x:v>Reesor Lake</x:v>
      </x:c>
      <x:c r="B2663" s="8" t="str">
        <x:v>5661</x:v>
      </x:c>
      <x:c r="C2663" s="17" t="n">
        <x:v>2023</x:v>
      </x:c>
      <x:c r="D2663" s="18" t="n">
        <x:v>45191</x:v>
      </x:c>
      <x:c r="E2663" s="8" t="str">
        <x:v>RAINBOW TROUT</x:v>
      </x:c>
      <x:c r="F2663" s="13" t="n">
        <x:v>50</x:v>
      </x:c>
      <x:c r="G2663" s="9" t="n">
        <x:v>54.1</x:v>
      </x:c>
      <x:c r="H2663" s="9" t="n">
        <x:v>2380</x:v>
      </x:c>
      <x:c r="I2663" s="8" t="str">
        <x:f>B2663&amp;" / "&amp;C2663&amp;" / "&amp;E2663</x:f>
        <x:v>5661 / 2023 / RAINBOW TROUT</x:v>
      </x:c>
    </x:row>
    <x:row r="2664" ht="23" customHeight="1">
      <x:c r="A2664" s="8" t="str">
        <x:v>Reesor Lake</x:v>
      </x:c>
      <x:c r="B2664" s="8" t="str">
        <x:v>5661</x:v>
      </x:c>
      <x:c r="C2664" s="17" t="n">
        <x:v>2023</x:v>
      </x:c>
      <x:c r="D2664" s="18" t="n">
        <x:v>45183</x:v>
      </x:c>
      <x:c r="E2664" s="8" t="str">
        <x:v>RAINBOW TROUT</x:v>
      </x:c>
      <x:c r="F2664" s="13" t="n">
        <x:v>10000</x:v>
      </x:c>
      <x:c r="G2664" s="9" t="n">
        <x:v>14.3</x:v>
      </x:c>
      <x:c r="H2664" s="9" t="n">
        <x:v>31.4</x:v>
      </x:c>
      <x:c r="I2664" s="8" t="str">
        <x:f>B2664&amp;" / "&amp;C2664&amp;" / "&amp;E2664</x:f>
        <x:v>5661 / 2023 / RAINBOW TROUT</x:v>
      </x:c>
    </x:row>
    <x:row r="2665" ht="23" customHeight="1">
      <x:c r="A2665" s="8" t="str">
        <x:v>Reesor Lake</x:v>
      </x:c>
      <x:c r="B2665" s="8" t="str">
        <x:v>5661</x:v>
      </x:c>
      <x:c r="C2665" s="17" t="n">
        <x:v>2023</x:v>
      </x:c>
      <x:c r="D2665" s="18" t="n">
        <x:v>45062</x:v>
      </x:c>
      <x:c r="E2665" s="8" t="str">
        <x:v>RAINBOW TROUT</x:v>
      </x:c>
      <x:c r="F2665" s="13" t="n">
        <x:v>10000</x:v>
      </x:c>
      <x:c r="G2665" s="9" t="n">
        <x:v>8.2</x:v>
      </x:c>
      <x:c r="H2665" s="9" t="n">
        <x:v>6.2</x:v>
      </x:c>
      <x:c r="I2665" s="8" t="str">
        <x:f>B2665&amp;" / "&amp;C2665&amp;" / "&amp;E2665</x:f>
        <x:v>5661 / 2023 / RAINBOW TROUT</x:v>
      </x:c>
    </x:row>
    <x:row r="2666" ht="23" customHeight="1">
      <x:c r="A2666" s="8" t="str">
        <x:v>Reesor Lake</x:v>
      </x:c>
      <x:c r="B2666" s="8" t="str">
        <x:v>5661</x:v>
      </x:c>
      <x:c r="C2666" s="17" t="n">
        <x:v>2023</x:v>
      </x:c>
      <x:c r="D2666" s="18" t="n">
        <x:v>45053</x:v>
      </x:c>
      <x:c r="E2666" s="8" t="str">
        <x:v>RAINBOW TROUT</x:v>
      </x:c>
      <x:c r="F2666" s="13" t="n">
        <x:v>6384</x:v>
      </x:c>
      <x:c r="G2666" s="9" t="n">
        <x:v>20</x:v>
      </x:c>
      <x:c r="H2666" s="9" t="n">
        <x:v>88.2</x:v>
      </x:c>
      <x:c r="I2666" s="8" t="str">
        <x:f>B2666&amp;" / "&amp;C2666&amp;" / "&amp;E2666</x:f>
        <x:v>5661 / 2023 / RAINBOW TROUT</x:v>
      </x:c>
    </x:row>
    <x:row r="2667" ht="23" customHeight="1">
      <x:c r="A2667" s="8" t="str">
        <x:v>Reesor Lake</x:v>
      </x:c>
      <x:c r="B2667" s="8" t="str">
        <x:v>5661</x:v>
      </x:c>
      <x:c r="C2667" s="17" t="n">
        <x:v>2023</x:v>
      </x:c>
      <x:c r="D2667" s="18" t="n">
        <x:v>45191</x:v>
      </x:c>
      <x:c r="E2667" s="8" t="str">
        <x:v>TIGER TROUT</x:v>
      </x:c>
      <x:c r="F2667" s="13" t="n">
        <x:v>280</x:v>
      </x:c>
      <x:c r="G2667" s="9" t="n">
        <x:v>37.6</x:v>
      </x:c>
      <x:c r="H2667" s="9" t="n">
        <x:v>809</x:v>
      </x:c>
      <x:c r="I2667" s="8" t="str">
        <x:f>B2667&amp;" / "&amp;C2667&amp;" / "&amp;E2667</x:f>
        <x:v>5661 / 2023 / TIGER TROUT</x:v>
      </x:c>
    </x:row>
    <x:row r="2668" ht="23" customHeight="1">
      <x:c r="A2668" s="8" t="str">
        <x:v>Reesor Lake</x:v>
      </x:c>
      <x:c r="B2668" s="8" t="str">
        <x:v>5661</x:v>
      </x:c>
      <x:c r="C2668" s="17" t="n">
        <x:v>2023</x:v>
      </x:c>
      <x:c r="D2668" s="18" t="n">
        <x:v>45183</x:v>
      </x:c>
      <x:c r="E2668" s="8" t="str">
        <x:v>TIGER TROUT</x:v>
      </x:c>
      <x:c r="F2668" s="13" t="n">
        <x:v>3000</x:v>
      </x:c>
      <x:c r="G2668" s="9" t="n">
        <x:v>9.2</x:v>
      </x:c>
      <x:c r="H2668" s="9" t="n">
        <x:v>8.4</x:v>
      </x:c>
      <x:c r="I2668" s="8" t="str">
        <x:f>B2668&amp;" / "&amp;C2668&amp;" / "&amp;E2668</x:f>
        <x:v>5661 / 2023 / TIGER TROUT</x:v>
      </x:c>
    </x:row>
    <x:row r="2669" ht="23" customHeight="1">
      <x:c r="A2669" s="8" t="str">
        <x:v>Reesor Lake</x:v>
      </x:c>
      <x:c r="B2669" s="8" t="str">
        <x:v>5661</x:v>
      </x:c>
      <x:c r="C2669" s="17" t="n">
        <x:v>2022</x:v>
      </x:c>
      <x:c r="D2669" s="18" t="n">
        <x:v>44816</x:v>
      </x:c>
      <x:c r="E2669" s="8" t="str">
        <x:v>RAINBOW TROUT</x:v>
      </x:c>
      <x:c r="F2669" s="13" t="n">
        <x:v>7369</x:v>
      </x:c>
      <x:c r="G2669" s="9" t="n">
        <x:v>6.2</x:v>
      </x:c>
      <x:c r="H2669" s="9" t="n">
        <x:v>2.7</x:v>
      </x:c>
      <x:c r="I2669" s="8" t="str">
        <x:f>B2669&amp;" / "&amp;C2669&amp;" / "&amp;E2669</x:f>
        <x:v>5661 / 2022 / RAINBOW TROUT</x:v>
      </x:c>
    </x:row>
    <x:row r="2670" ht="23" customHeight="1">
      <x:c r="A2670" s="8" t="str">
        <x:v>Reesor Lake</x:v>
      </x:c>
      <x:c r="B2670" s="8" t="str">
        <x:v>5661</x:v>
      </x:c>
      <x:c r="C2670" s="17" t="n">
        <x:v>2022</x:v>
      </x:c>
      <x:c r="D2670" s="18" t="n">
        <x:v>44685</x:v>
      </x:c>
      <x:c r="E2670" s="8" t="str">
        <x:v>RAINBOW TROUT</x:v>
      </x:c>
      <x:c r="F2670" s="13" t="n">
        <x:v>11000</x:v>
      </x:c>
      <x:c r="G2670" s="9" t="n">
        <x:v>17.2</x:v>
      </x:c>
      <x:c r="H2670" s="9" t="n">
        <x:v>55.6</x:v>
      </x:c>
      <x:c r="I2670" s="8" t="str">
        <x:f>B2670&amp;" / "&amp;C2670&amp;" / "&amp;E2670</x:f>
        <x:v>5661 / 2022 / RAINBOW TROUT</x:v>
      </x:c>
    </x:row>
    <x:row r="2671" ht="23" customHeight="1">
      <x:c r="A2671" s="8" t="str">
        <x:v>Reesor Lake</x:v>
      </x:c>
      <x:c r="B2671" s="8" t="str">
        <x:v>5661</x:v>
      </x:c>
      <x:c r="C2671" s="17" t="n">
        <x:v>2022</x:v>
      </x:c>
      <x:c r="D2671" s="18" t="n">
        <x:v>44685</x:v>
      </x:c>
      <x:c r="E2671" s="8" t="str">
        <x:v>RAINBOW TROUT</x:v>
      </x:c>
      <x:c r="F2671" s="13" t="n">
        <x:v>5000</x:v>
      </x:c>
      <x:c r="G2671" s="9" t="n">
        <x:v>20.7</x:v>
      </x:c>
      <x:c r="H2671" s="9" t="n">
        <x:v>96.3</x:v>
      </x:c>
      <x:c r="I2671" s="8" t="str">
        <x:f>B2671&amp;" / "&amp;C2671&amp;" / "&amp;E2671</x:f>
        <x:v>5661 / 2022 / RAINBOW TROUT</x:v>
      </x:c>
    </x:row>
    <x:row r="2672" ht="23" customHeight="1">
      <x:c r="A2672" s="8" t="str">
        <x:v>Reesor Lake</x:v>
      </x:c>
      <x:c r="B2672" s="8" t="str">
        <x:v>5661</x:v>
      </x:c>
      <x:c r="C2672" s="17" t="n">
        <x:v>2022</x:v>
      </x:c>
      <x:c r="D2672" s="18" t="n">
        <x:v>44685</x:v>
      </x:c>
      <x:c r="E2672" s="8" t="str">
        <x:v>RAINBOW TROUT</x:v>
      </x:c>
      <x:c r="F2672" s="13" t="n">
        <x:v>1080</x:v>
      </x:c>
      <x:c r="G2672" s="9" t="n">
        <x:v>17.5</x:v>
      </x:c>
      <x:c r="H2672" s="9" t="n">
        <x:v>60</x:v>
      </x:c>
      <x:c r="I2672" s="8" t="str">
        <x:f>B2672&amp;" / "&amp;C2672&amp;" / "&amp;E2672</x:f>
        <x:v>5661 / 2022 / RAINBOW TROUT</x:v>
      </x:c>
    </x:row>
    <x:row r="2673" ht="23" customHeight="1">
      <x:c r="A2673" s="8" t="str">
        <x:v>Reesor Lake</x:v>
      </x:c>
      <x:c r="B2673" s="8" t="str">
        <x:v>5661</x:v>
      </x:c>
      <x:c r="C2673" s="17" t="n">
        <x:v>2022</x:v>
      </x:c>
      <x:c r="D2673" s="18" t="n">
        <x:v>44816</x:v>
      </x:c>
      <x:c r="E2673" s="8" t="str">
        <x:v>TIGER TROUT</x:v>
      </x:c>
      <x:c r="F2673" s="13" t="n">
        <x:v>5000</x:v>
      </x:c>
      <x:c r="G2673" s="9" t="n">
        <x:v>11.8</x:v>
      </x:c>
      <x:c r="H2673" s="9" t="n">
        <x:v>18</x:v>
      </x:c>
      <x:c r="I2673" s="8" t="str">
        <x:f>B2673&amp;" / "&amp;C2673&amp;" / "&amp;E2673</x:f>
        <x:v>5661 / 2022 / TIGER TROUT</x:v>
      </x:c>
    </x:row>
    <x:row r="2674" ht="23" customHeight="1">
      <x:c r="A2674" s="8" t="str">
        <x:v>Reesor Lake</x:v>
      </x:c>
      <x:c r="B2674" s="8" t="str">
        <x:v>5661</x:v>
      </x:c>
      <x:c r="C2674" s="17" t="n">
        <x:v>2022</x:v>
      </x:c>
      <x:c r="D2674" s="18" t="n">
        <x:v>44710</x:v>
      </x:c>
      <x:c r="E2674" s="8" t="str">
        <x:v>TIGER TROUT</x:v>
      </x:c>
      <x:c r="F2674" s="13" t="n">
        <x:v>750</x:v>
      </x:c>
      <x:c r="G2674" s="9" t="n">
        <x:v>15.9</x:v>
      </x:c>
      <x:c r="H2674" s="9" t="n">
        <x:v>44.3</x:v>
      </x:c>
      <x:c r="I2674" s="8" t="str">
        <x:f>B2674&amp;" / "&amp;C2674&amp;" / "&amp;E2674</x:f>
        <x:v>5661 / 2022 / TIGER TROUT</x:v>
      </x:c>
    </x:row>
    <x:row r="2675" ht="23" customHeight="1">
      <x:c r="A2675" s="8" t="str">
        <x:v>Reesor Lake</x:v>
      </x:c>
      <x:c r="B2675" s="8" t="str">
        <x:v>5661</x:v>
      </x:c>
      <x:c r="C2675" s="17" t="n">
        <x:v>2022</x:v>
      </x:c>
      <x:c r="D2675" s="18" t="n">
        <x:v>44710</x:v>
      </x:c>
      <x:c r="E2675" s="8" t="str">
        <x:v>TIGER TROUT</x:v>
      </x:c>
      <x:c r="F2675" s="13" t="n">
        <x:v>2750</x:v>
      </x:c>
      <x:c r="G2675" s="9" t="n">
        <x:v>16.7</x:v>
      </x:c>
      <x:c r="H2675" s="9" t="n">
        <x:v>51.8</x:v>
      </x:c>
      <x:c r="I2675" s="8" t="str">
        <x:f>B2675&amp;" / "&amp;C2675&amp;" / "&amp;E2675</x:f>
        <x:v>5661 / 2022 / TIGER TROUT</x:v>
      </x:c>
    </x:row>
    <x:row r="2676" ht="23" customHeight="1">
      <x:c r="A2676" s="8" t="str">
        <x:v>Reesor Lake</x:v>
      </x:c>
      <x:c r="B2676" s="8" t="str">
        <x:v>5661</x:v>
      </x:c>
      <x:c r="C2676" s="17" t="n">
        <x:v>2021</x:v>
      </x:c>
      <x:c r="D2676" s="18" t="n">
        <x:v>44315</x:v>
      </x:c>
      <x:c r="E2676" s="8" t="str">
        <x:v>RAINBOW TROUT</x:v>
      </x:c>
      <x:c r="F2676" s="13" t="n">
        <x:v>17000</x:v>
      </x:c>
      <x:c r="G2676" s="9" t="n">
        <x:v>20.3</x:v>
      </x:c>
      <x:c r="H2676" s="9" t="n">
        <x:v>92.6</x:v>
      </x:c>
      <x:c r="I2676" s="8" t="str">
        <x:f>B2676&amp;" / "&amp;C2676&amp;" / "&amp;E2676</x:f>
        <x:v>5661 / 2021 / RAINBOW TROUT</x:v>
      </x:c>
    </x:row>
    <x:row r="2677" ht="23" customHeight="1">
      <x:c r="A2677" s="8" t="str">
        <x:v>Ribbon Lake</x:v>
      </x:c>
      <x:c r="B2677" s="8" t="str">
        <x:v>5667</x:v>
      </x:c>
      <x:c r="C2677" s="17" t="n">
        <x:v>2021</x:v>
      </x:c>
      <x:c r="D2677" s="18" t="n">
        <x:v>44447</x:v>
      </x:c>
      <x:c r="E2677" s="8" t="str">
        <x:v>CUTTHROAT TROUT</x:v>
      </x:c>
      <x:c r="F2677" s="13" t="n">
        <x:v>1900</x:v>
      </x:c>
      <x:c r="G2677" s="9" t="n">
        <x:v>4.9</x:v>
      </x:c>
      <x:c r="H2677" s="9" t="n">
        <x:v>1.3</x:v>
      </x:c>
      <x:c r="I2677" s="8" t="str">
        <x:f>B2677&amp;" / "&amp;C2677&amp;" / "&amp;E2677</x:f>
        <x:v>5667 / 2021 / CUTTHROAT TROUT</x:v>
      </x:c>
    </x:row>
    <x:row r="2678" ht="23" customHeight="1">
      <x:c r="A2678" s="8" t="str">
        <x:v>Riverstone Pond</x:v>
      </x:c>
      <x:c r="B2678" s="8" t="str">
        <x:v>22504</x:v>
      </x:c>
      <x:c r="C2678" s="17" t="n">
        <x:v>2026</x:v>
      </x:c>
      <x:c r="D2678" s="18" t="n">
        <x:v>46127</x:v>
      </x:c>
      <x:c r="E2678" s="8" t="str">
        <x:v>RAINBOW TROUT</x:v>
      </x:c>
      <x:c r="F2678" s="13" t="n">
        <x:v>1830</x:v>
      </x:c>
      <x:c r="G2678" s="9" t="n">
        <x:v>23.9</x:v>
      </x:c>
      <x:c r="H2678" s="9" t="n">
        <x:v>147</x:v>
      </x:c>
      <x:c r="I2678" s="8" t="str">
        <x:f>B2678&amp;" / "&amp;C2678&amp;" / "&amp;E2678</x:f>
        <x:v>22504 / 2026 / RAINBOW TROUT</x:v>
      </x:c>
    </x:row>
    <x:row r="2679" ht="23" customHeight="1">
      <x:c r="A2679" s="8" t="str">
        <x:v>Riverstone Pond</x:v>
      </x:c>
      <x:c r="B2679" s="8" t="str">
        <x:v>22504</x:v>
      </x:c>
      <x:c r="C2679" s="17" t="n">
        <x:v>2025</x:v>
      </x:c>
      <x:c r="D2679" s="18" t="n">
        <x:v>45931</x:v>
      </x:c>
      <x:c r="E2679" s="8" t="str">
        <x:v>RAINBOW TROUT</x:v>
      </x:c>
      <x:c r="F2679" s="13" t="n">
        <x:v>1500</x:v>
      </x:c>
      <x:c r="G2679" s="9" t="n">
        <x:v>20.4</x:v>
      </x:c>
      <x:c r="H2679" s="9" t="n">
        <x:v>91.3</x:v>
      </x:c>
      <x:c r="I2679" s="8" t="str">
        <x:f>B2679&amp;" / "&amp;C2679&amp;" / "&amp;E2679</x:f>
        <x:v>22504 / 2025 / RAINBOW TROUT</x:v>
      </x:c>
    </x:row>
    <x:row r="2680" ht="23" customHeight="1">
      <x:c r="A2680" s="8" t="str">
        <x:v>Riverstone Pond</x:v>
      </x:c>
      <x:c r="B2680" s="8" t="str">
        <x:v>22504</x:v>
      </x:c>
      <x:c r="C2680" s="17" t="n">
        <x:v>2025</x:v>
      </x:c>
      <x:c r="D2680" s="18" t="n">
        <x:v>45931</x:v>
      </x:c>
      <x:c r="E2680" s="8" t="str">
        <x:v>RAINBOW TROUT</x:v>
      </x:c>
      <x:c r="F2680" s="13" t="n">
        <x:v>1000</x:v>
      </x:c>
      <x:c r="G2680" s="9" t="n">
        <x:v>29.1</x:v>
      </x:c>
      <x:c r="H2680" s="9" t="n">
        <x:v>265.7</x:v>
      </x:c>
      <x:c r="I2680" s="8" t="str">
        <x:f>B2680&amp;" / "&amp;C2680&amp;" / "&amp;E2680</x:f>
        <x:v>22504 / 2025 / RAINBOW TROUT</x:v>
      </x:c>
    </x:row>
    <x:row r="2681" ht="23" customHeight="1">
      <x:c r="A2681" s="8" t="str">
        <x:v>Riverstone Pond</x:v>
      </x:c>
      <x:c r="B2681" s="8" t="str">
        <x:v>22504</x:v>
      </x:c>
      <x:c r="C2681" s="17" t="n">
        <x:v>2025</x:v>
      </x:c>
      <x:c r="D2681" s="18" t="n">
        <x:v>45756</x:v>
      </x:c>
      <x:c r="E2681" s="8" t="str">
        <x:v>RAINBOW TROUT</x:v>
      </x:c>
      <x:c r="F2681" s="13" t="n">
        <x:v>1830</x:v>
      </x:c>
      <x:c r="G2681" s="9" t="n">
        <x:v>23.3</x:v>
      </x:c>
      <x:c r="H2681" s="9" t="n">
        <x:v>136</x:v>
      </x:c>
      <x:c r="I2681" s="8" t="str">
        <x:f>B2681&amp;" / "&amp;C2681&amp;" / "&amp;E2681</x:f>
        <x:v>22504 / 2025 / RAINBOW TROUT</x:v>
      </x:c>
    </x:row>
    <x:row r="2682" ht="23" customHeight="1">
      <x:c r="A2682" s="8" t="str">
        <x:v>Riverstone Pond</x:v>
      </x:c>
      <x:c r="B2682" s="8" t="str">
        <x:v>22504</x:v>
      </x:c>
      <x:c r="C2682" s="17" t="n">
        <x:v>2024</x:v>
      </x:c>
      <x:c r="D2682" s="18" t="n">
        <x:v>45392</x:v>
      </x:c>
      <x:c r="E2682" s="8" t="str">
        <x:v>RAINBOW TROUT</x:v>
      </x:c>
      <x:c r="F2682" s="13" t="n">
        <x:v>919</x:v>
      </x:c>
      <x:c r="G2682" s="9" t="n">
        <x:v>22.2</x:v>
      </x:c>
      <x:c r="H2682" s="9" t="n">
        <x:v>118</x:v>
      </x:c>
      <x:c r="I2682" s="8" t="str">
        <x:f>B2682&amp;" / "&amp;C2682&amp;" / "&amp;E2682</x:f>
        <x:v>22504 / 2024 / RAINBOW TROUT</x:v>
      </x:c>
    </x:row>
    <x:row r="2683" ht="23" customHeight="1">
      <x:c r="A2683" s="8" t="str">
        <x:v>Riverstone Pond</x:v>
      </x:c>
      <x:c r="B2683" s="8" t="str">
        <x:v>22504</x:v>
      </x:c>
      <x:c r="C2683" s="17" t="n">
        <x:v>2023</x:v>
      </x:c>
      <x:c r="D2683" s="18" t="n">
        <x:v>45191</x:v>
      </x:c>
      <x:c r="E2683" s="8" t="str">
        <x:v>RAINBOW TROUT</x:v>
      </x:c>
      <x:c r="F2683" s="13" t="n">
        <x:v>512</x:v>
      </x:c>
      <x:c r="G2683" s="9" t="n">
        <x:v>20.2</x:v>
      </x:c>
      <x:c r="H2683" s="9" t="n">
        <x:v>89.2</x:v>
      </x:c>
      <x:c r="I2683" s="8" t="str">
        <x:f>B2683&amp;" / "&amp;C2683&amp;" / "&amp;E2683</x:f>
        <x:v>22504 / 2023 / RAINBOW TROUT</x:v>
      </x:c>
    </x:row>
    <x:row r="2684" ht="23" customHeight="1">
      <x:c r="A2684" s="8" t="str">
        <x:v>Riverstone Pond</x:v>
      </x:c>
      <x:c r="B2684" s="8" t="str">
        <x:v>22504</x:v>
      </x:c>
      <x:c r="C2684" s="17" t="n">
        <x:v>2023</x:v>
      </x:c>
      <x:c r="D2684" s="18" t="n">
        <x:v>45190</x:v>
      </x:c>
      <x:c r="E2684" s="8" t="str">
        <x:v>RAINBOW TROUT</x:v>
      </x:c>
      <x:c r="F2684" s="13" t="n">
        <x:v>512</x:v>
      </x:c>
      <x:c r="G2684" s="9" t="n">
        <x:v>20.3</x:v>
      </x:c>
      <x:c r="H2684" s="9" t="n">
        <x:v>89.2</x:v>
      </x:c>
      <x:c r="I2684" s="8" t="str">
        <x:f>B2684&amp;" / "&amp;C2684&amp;" / "&amp;E2684</x:f>
        <x:v>22504 / 2023 / RAINBOW TROUT</x:v>
      </x:c>
    </x:row>
    <x:row r="2685" ht="23" customHeight="1">
      <x:c r="A2685" s="8" t="str">
        <x:v>Riverstone Pond</x:v>
      </x:c>
      <x:c r="B2685" s="8" t="str">
        <x:v>22504</x:v>
      </x:c>
      <x:c r="C2685" s="17" t="n">
        <x:v>2023</x:v>
      </x:c>
      <x:c r="D2685" s="18" t="n">
        <x:v>45033</x:v>
      </x:c>
      <x:c r="E2685" s="8" t="str">
        <x:v>RAINBOW TROUT</x:v>
      </x:c>
      <x:c r="F2685" s="13" t="n">
        <x:v>919</x:v>
      </x:c>
      <x:c r="G2685" s="9" t="n">
        <x:v>21.1</x:v>
      </x:c>
      <x:c r="H2685" s="9" t="n">
        <x:v>103</x:v>
      </x:c>
      <x:c r="I2685" s="8" t="str">
        <x:f>B2685&amp;" / "&amp;C2685&amp;" / "&amp;E2685</x:f>
        <x:v>22504 / 2023 / RAINBOW TROUT</x:v>
      </x:c>
    </x:row>
    <x:row r="2686" ht="23" customHeight="1">
      <x:c r="A2686" s="8" t="str">
        <x:v>Riverstone Pond</x:v>
      </x:c>
      <x:c r="B2686" s="8" t="str">
        <x:v>22504</x:v>
      </x:c>
      <x:c r="C2686" s="17" t="n">
        <x:v>2022</x:v>
      </x:c>
      <x:c r="D2686" s="18" t="n">
        <x:v>44827</x:v>
      </x:c>
      <x:c r="E2686" s="8" t="str">
        <x:v>RAINBOW TROUT</x:v>
      </x:c>
      <x:c r="F2686" s="13" t="n">
        <x:v>1000</x:v>
      </x:c>
      <x:c r="G2686" s="9" t="n">
        <x:v>26.3</x:v>
      </x:c>
      <x:c r="H2686" s="9" t="n">
        <x:v>198.6</x:v>
      </x:c>
      <x:c r="I2686" s="8" t="str">
        <x:f>B2686&amp;" / "&amp;C2686&amp;" / "&amp;E2686</x:f>
        <x:v>22504 / 2022 / RAINBOW TROUT</x:v>
      </x:c>
    </x:row>
    <x:row r="2687" ht="23" customHeight="1">
      <x:c r="A2687" s="8" t="str">
        <x:v>Riverstone Pond</x:v>
      </x:c>
      <x:c r="B2687" s="8" t="str">
        <x:v>22504</x:v>
      </x:c>
      <x:c r="C2687" s="17" t="n">
        <x:v>2022</x:v>
      </x:c>
      <x:c r="D2687" s="18" t="n">
        <x:v>44668</x:v>
      </x:c>
      <x:c r="E2687" s="8" t="str">
        <x:v>RAINBOW TROUT</x:v>
      </x:c>
      <x:c r="F2687" s="13" t="n">
        <x:v>1830</x:v>
      </x:c>
      <x:c r="G2687" s="9" t="n">
        <x:v>20.7</x:v>
      </x:c>
      <x:c r="H2687" s="9" t="n">
        <x:v>96.2</x:v>
      </x:c>
      <x:c r="I2687" s="8" t="str">
        <x:f>B2687&amp;" / "&amp;C2687&amp;" / "&amp;E2687</x:f>
        <x:v>22504 / 2022 / RAINBOW TROUT</x:v>
      </x:c>
    </x:row>
    <x:row r="2688" ht="23" customHeight="1">
      <x:c r="A2688" s="8" t="str">
        <x:v>Riverstone Pond</x:v>
      </x:c>
      <x:c r="B2688" s="8" t="str">
        <x:v>22504</x:v>
      </x:c>
      <x:c r="C2688" s="17" t="n">
        <x:v>2021</x:v>
      </x:c>
      <x:c r="D2688" s="18" t="n">
        <x:v>44458</x:v>
      </x:c>
      <x:c r="E2688" s="8" t="str">
        <x:v>RAINBOW TROUT</x:v>
      </x:c>
      <x:c r="F2688" s="13" t="n">
        <x:v>1000</x:v>
      </x:c>
      <x:c r="G2688" s="9" t="n">
        <x:v>27.8</x:v>
      </x:c>
      <x:c r="H2688" s="9" t="n">
        <x:v>236.6</x:v>
      </x:c>
      <x:c r="I2688" s="8" t="str">
        <x:f>B2688&amp;" / "&amp;C2688&amp;" / "&amp;E2688</x:f>
        <x:v>22504 / 2021 / RAINBOW TROUT</x:v>
      </x:c>
    </x:row>
    <x:row r="2689" ht="23" customHeight="1">
      <x:c r="A2689" s="8" t="str">
        <x:v>Riverstone Pond</x:v>
      </x:c>
      <x:c r="B2689" s="8" t="str">
        <x:v>22504</x:v>
      </x:c>
      <x:c r="C2689" s="17" t="n">
        <x:v>2021</x:v>
      </x:c>
      <x:c r="D2689" s="18" t="n">
        <x:v>44342</x:v>
      </x:c>
      <x:c r="E2689" s="8" t="str">
        <x:v>RAINBOW TROUT</x:v>
      </x:c>
      <x:c r="F2689" s="13" t="n">
        <x:v>800</x:v>
      </x:c>
      <x:c r="G2689" s="9" t="n">
        <x:v>21.9</x:v>
      </x:c>
      <x:c r="H2689" s="9" t="n">
        <x:v>116</x:v>
      </x:c>
      <x:c r="I2689" s="8" t="str">
        <x:f>B2689&amp;" / "&amp;C2689&amp;" / "&amp;E2689</x:f>
        <x:v>22504 / 2021 / RAINBOW TROUT</x:v>
      </x:c>
    </x:row>
    <x:row r="2690" ht="23" customHeight="1">
      <x:c r="A2690" s="8" t="str">
        <x:v>Riverstone Pond</x:v>
      </x:c>
      <x:c r="B2690" s="8" t="str">
        <x:v>22504</x:v>
      </x:c>
      <x:c r="C2690" s="17" t="n">
        <x:v>2021</x:v>
      </x:c>
      <x:c r="D2690" s="18" t="n">
        <x:v>44342</x:v>
      </x:c>
      <x:c r="E2690" s="8" t="str">
        <x:v>RAINBOW TROUT</x:v>
      </x:c>
      <x:c r="F2690" s="13" t="n">
        <x:v>80</x:v>
      </x:c>
      <x:c r="G2690" s="9" t="n">
        <x:v>45</x:v>
      </x:c>
      <x:c r="H2690" s="9" t="n">
        <x:v>820</x:v>
      </x:c>
      <x:c r="I2690" s="8" t="str">
        <x:f>B2690&amp;" / "&amp;C2690&amp;" / "&amp;E2690</x:f>
        <x:v>22504 / 2021 / RAINBOW TROUT</x:v>
      </x:c>
    </x:row>
    <x:row r="2691" ht="23" customHeight="1">
      <x:c r="A2691" s="8" t="str">
        <x:v>Riverstone Pond</x:v>
      </x:c>
      <x:c r="B2691" s="8" t="str">
        <x:v>22504</x:v>
      </x:c>
      <x:c r="C2691" s="17" t="n">
        <x:v>2021</x:v>
      </x:c>
      <x:c r="D2691" s="18" t="n">
        <x:v>44300</x:v>
      </x:c>
      <x:c r="E2691" s="8" t="str">
        <x:v>RAINBOW TROUT</x:v>
      </x:c>
      <x:c r="F2691" s="13" t="n">
        <x:v>1200</x:v>
      </x:c>
      <x:c r="G2691" s="9" t="n">
        <x:v>20.3</x:v>
      </x:c>
      <x:c r="H2691" s="9" t="n">
        <x:v>92.7</x:v>
      </x:c>
      <x:c r="I2691" s="8" t="str">
        <x:f>B2691&amp;" / "&amp;C2691&amp;" / "&amp;E2691</x:f>
        <x:v>22504 / 2021 / RAINBOW TROUT</x:v>
      </x:c>
    </x:row>
    <x:row r="2692" ht="23" customHeight="1">
      <x:c r="A2692" s="8" t="str">
        <x:v>Rocky Children's Pond</x:v>
      </x:c>
      <x:c r="B2692" s="8" t="str">
        <x:v>3485</x:v>
      </x:c>
      <x:c r="C2692" s="17" t="n">
        <x:v>2026</x:v>
      </x:c>
      <x:c r="D2692" s="18" t="n">
        <x:v>46177</x:v>
      </x:c>
      <x:c r="E2692" s="8" t="str">
        <x:v>RAINBOW TROUT</x:v>
      </x:c>
      <x:c r="F2692" s="13" t="n">
        <x:v>500</x:v>
      </x:c>
      <x:c r="G2692" s="9" t="n">
        <x:v>23.9</x:v>
      </x:c>
      <x:c r="H2692" s="9" t="n">
        <x:v>147</x:v>
      </x:c>
      <x:c r="I2692" s="8" t="str">
        <x:f>B2692&amp;" / "&amp;C2692&amp;" / "&amp;E2692</x:f>
        <x:v>3485 / 2026 / RAINBOW TROUT</x:v>
      </x:c>
    </x:row>
    <x:row r="2693" ht="23" customHeight="1">
      <x:c r="A2693" s="8" t="str">
        <x:v>Rocky Children's Pond</x:v>
      </x:c>
      <x:c r="B2693" s="8" t="str">
        <x:v>3485</x:v>
      </x:c>
      <x:c r="C2693" s="17" t="n">
        <x:v>2025</x:v>
      </x:c>
      <x:c r="D2693" s="18" t="n">
        <x:v>45891</x:v>
      </x:c>
      <x:c r="E2693" s="8" t="str">
        <x:v>RAINBOW TROUT</x:v>
      </x:c>
      <x:c r="F2693" s="13" t="n">
        <x:v>550</x:v>
      </x:c>
      <x:c r="G2693" s="9" t="n">
        <x:v>25.3</x:v>
      </x:c>
      <x:c r="H2693" s="9" t="n">
        <x:v>174</x:v>
      </x:c>
      <x:c r="I2693" s="8" t="str">
        <x:f>B2693&amp;" / "&amp;C2693&amp;" / "&amp;E2693</x:f>
        <x:v>3485 / 2025 / RAINBOW TROUT</x:v>
      </x:c>
    </x:row>
    <x:row r="2694" ht="23" customHeight="1">
      <x:c r="A2694" s="8" t="str">
        <x:v>Rocky Children's Pond</x:v>
      </x:c>
      <x:c r="B2694" s="8" t="str">
        <x:v>3485</x:v>
      </x:c>
      <x:c r="C2694" s="17" t="n">
        <x:v>2025</x:v>
      </x:c>
      <x:c r="D2694" s="18" t="n">
        <x:v>45785</x:v>
      </x:c>
      <x:c r="E2694" s="8" t="str">
        <x:v>RAINBOW TROUT</x:v>
      </x:c>
      <x:c r="F2694" s="13" t="n">
        <x:v>500</x:v>
      </x:c>
      <x:c r="G2694" s="9" t="n">
        <x:v>23</x:v>
      </x:c>
      <x:c r="H2694" s="9" t="n">
        <x:v>132</x:v>
      </x:c>
      <x:c r="I2694" s="8" t="str">
        <x:f>B2694&amp;" / "&amp;C2694&amp;" / "&amp;E2694</x:f>
        <x:v>3485 / 2025 / RAINBOW TROUT</x:v>
      </x:c>
    </x:row>
    <x:row r="2695" ht="23" customHeight="1">
      <x:c r="A2695" s="8" t="str">
        <x:v>Rocky Children's Pond</x:v>
      </x:c>
      <x:c r="B2695" s="8" t="str">
        <x:v>3485</x:v>
      </x:c>
      <x:c r="C2695" s="17" t="n">
        <x:v>2024</x:v>
      </x:c>
      <x:c r="D2695" s="18" t="n">
        <x:v>45443</x:v>
      </x:c>
      <x:c r="E2695" s="8" t="str">
        <x:v>RAINBOW TROUT</x:v>
      </x:c>
      <x:c r="F2695" s="13" t="n">
        <x:v>500</x:v>
      </x:c>
      <x:c r="G2695" s="9" t="n">
        <x:v>23.2</x:v>
      </x:c>
      <x:c r="H2695" s="9" t="n">
        <x:v>135</x:v>
      </x:c>
      <x:c r="I2695" s="8" t="str">
        <x:f>B2695&amp;" / "&amp;C2695&amp;" / "&amp;E2695</x:f>
        <x:v>3485 / 2024 / RAINBOW TROUT</x:v>
      </x:c>
    </x:row>
    <x:row r="2696" ht="23" customHeight="1">
      <x:c r="A2696" s="8" t="str">
        <x:v>Rocky Children's Pond</x:v>
      </x:c>
      <x:c r="B2696" s="8" t="str">
        <x:v>3485</x:v>
      </x:c>
      <x:c r="C2696" s="17" t="n">
        <x:v>2024</x:v>
      </x:c>
      <x:c r="D2696" s="18" t="n">
        <x:v>45443</x:v>
      </x:c>
      <x:c r="E2696" s="8" t="str">
        <x:v>RAINBOW TROUT</x:v>
      </x:c>
      <x:c r="F2696" s="13" t="n">
        <x:v>500</x:v>
      </x:c>
      <x:c r="G2696" s="9" t="n">
        <x:v>23.2</x:v>
      </x:c>
      <x:c r="H2696" s="9" t="n">
        <x:v>135</x:v>
      </x:c>
      <x:c r="I2696" s="8" t="str">
        <x:f>B2696&amp;" / "&amp;C2696&amp;" / "&amp;E2696</x:f>
        <x:v>3485 / 2024 / RAINBOW TROUT</x:v>
      </x:c>
    </x:row>
    <x:row r="2697" ht="23" customHeight="1">
      <x:c r="A2697" s="8" t="str">
        <x:v>Rocky Children's Pond</x:v>
      </x:c>
      <x:c r="B2697" s="8" t="str">
        <x:v>3485</x:v>
      </x:c>
      <x:c r="C2697" s="17" t="n">
        <x:v>2024</x:v>
      </x:c>
      <x:c r="D2697" s="18" t="n">
        <x:v>45425</x:v>
      </x:c>
      <x:c r="E2697" s="8" t="str">
        <x:v>RAINBOW TROUT</x:v>
      </x:c>
      <x:c r="F2697" s="13" t="n">
        <x:v>250</x:v>
      </x:c>
      <x:c r="G2697" s="9" t="n">
        <x:v>27.7</x:v>
      </x:c>
      <x:c r="H2697" s="9" t="n">
        <x:v>235.1</x:v>
      </x:c>
      <x:c r="I2697" s="8" t="str">
        <x:f>B2697&amp;" / "&amp;C2697&amp;" / "&amp;E2697</x:f>
        <x:v>3485 / 2024 / RAINBOW TROUT</x:v>
      </x:c>
    </x:row>
    <x:row r="2698" ht="23" customHeight="1">
      <x:c r="A2698" s="8" t="str">
        <x:v>Rocky Children's Pond</x:v>
      </x:c>
      <x:c r="B2698" s="8" t="str">
        <x:v>3485</x:v>
      </x:c>
      <x:c r="C2698" s="17" t="n">
        <x:v>2024</x:v>
      </x:c>
      <x:c r="D2698" s="18" t="n">
        <x:v>45425</x:v>
      </x:c>
      <x:c r="E2698" s="8" t="str">
        <x:v>RAINBOW TROUT</x:v>
      </x:c>
      <x:c r="F2698" s="13" t="n">
        <x:v>10</x:v>
      </x:c>
      <x:c r="G2698" s="9" t="n">
        <x:v>45.1</x:v>
      </x:c>
      <x:c r="H2698" s="9" t="n">
        <x:v>1610</x:v>
      </x:c>
      <x:c r="I2698" s="8" t="str">
        <x:f>B2698&amp;" / "&amp;C2698&amp;" / "&amp;E2698</x:f>
        <x:v>3485 / 2024 / RAINBOW TROUT</x:v>
      </x:c>
    </x:row>
    <x:row r="2699" ht="23" customHeight="1">
      <x:c r="A2699" s="8" t="str">
        <x:v>Rocky Children's Pond</x:v>
      </x:c>
      <x:c r="B2699" s="8" t="str">
        <x:v>3485</x:v>
      </x:c>
      <x:c r="C2699" s="17" t="n">
        <x:v>2023</x:v>
      </x:c>
      <x:c r="D2699" s="18" t="n">
        <x:v>45162</x:v>
      </x:c>
      <x:c r="E2699" s="8" t="str">
        <x:v>RAINBOW TROUT</x:v>
      </x:c>
      <x:c r="F2699" s="13" t="n">
        <x:v>250</x:v>
      </x:c>
      <x:c r="G2699" s="9" t="n">
        <x:v>24.6</x:v>
      </x:c>
      <x:c r="H2699" s="9" t="n">
        <x:v>160.1</x:v>
      </x:c>
      <x:c r="I2699" s="8" t="str">
        <x:f>B2699&amp;" / "&amp;C2699&amp;" / "&amp;E2699</x:f>
        <x:v>3485 / 2023 / RAINBOW TROUT</x:v>
      </x:c>
    </x:row>
    <x:row r="2700" ht="23" customHeight="1">
      <x:c r="A2700" s="8" t="str">
        <x:v>Rocky Children's Pond</x:v>
      </x:c>
      <x:c r="B2700" s="8" t="str">
        <x:v>3485</x:v>
      </x:c>
      <x:c r="C2700" s="17" t="n">
        <x:v>2023</x:v>
      </x:c>
      <x:c r="D2700" s="18" t="n">
        <x:v>45081</x:v>
      </x:c>
      <x:c r="E2700" s="8" t="str">
        <x:v>RAINBOW TROUT</x:v>
      </x:c>
      <x:c r="F2700" s="13" t="n">
        <x:v>500</x:v>
      </x:c>
      <x:c r="G2700" s="9" t="n">
        <x:v>20.3</x:v>
      </x:c>
      <x:c r="H2700" s="9" t="n">
        <x:v>90.9</x:v>
      </x:c>
      <x:c r="I2700" s="8" t="str">
        <x:f>B2700&amp;" / "&amp;C2700&amp;" / "&amp;E2700</x:f>
        <x:v>3485 / 2023 / RAINBOW TROUT</x:v>
      </x:c>
    </x:row>
    <x:row r="2701" ht="23" customHeight="1">
      <x:c r="A2701" s="8" t="str">
        <x:v>Rocky Children's Pond</x:v>
      </x:c>
      <x:c r="B2701" s="8" t="str">
        <x:v>3485</x:v>
      </x:c>
      <x:c r="C2701" s="17" t="n">
        <x:v>2023</x:v>
      </x:c>
      <x:c r="D2701" s="18" t="n">
        <x:v>45057</x:v>
      </x:c>
      <x:c r="E2701" s="8" t="str">
        <x:v>RAINBOW TROUT</x:v>
      </x:c>
      <x:c r="F2701" s="13" t="n">
        <x:v>500</x:v>
      </x:c>
      <x:c r="G2701" s="9" t="n">
        <x:v>21.2</x:v>
      </x:c>
      <x:c r="H2701" s="9" t="n">
        <x:v>105.6</x:v>
      </x:c>
      <x:c r="I2701" s="8" t="str">
        <x:f>B2701&amp;" / "&amp;C2701&amp;" / "&amp;E2701</x:f>
        <x:v>3485 / 2023 / RAINBOW TROUT</x:v>
      </x:c>
    </x:row>
    <x:row r="2702" ht="23" customHeight="1">
      <x:c r="A2702" s="8" t="str">
        <x:v>Rocky Children's Pond</x:v>
      </x:c>
      <x:c r="B2702" s="8" t="str">
        <x:v>3485</x:v>
      </x:c>
      <x:c r="C2702" s="17" t="n">
        <x:v>2022</x:v>
      </x:c>
      <x:c r="D2702" s="18" t="n">
        <x:v>44705</x:v>
      </x:c>
      <x:c r="E2702" s="8" t="str">
        <x:v>RAINBOW TROUT</x:v>
      </x:c>
      <x:c r="F2702" s="13" t="n">
        <x:v>604</x:v>
      </x:c>
      <x:c r="G2702" s="9" t="n">
        <x:v>28.7</x:v>
      </x:c>
      <x:c r="H2702" s="9" t="n">
        <x:v>190.1</x:v>
      </x:c>
      <x:c r="I2702" s="8" t="str">
        <x:f>B2702&amp;" / "&amp;C2702&amp;" / "&amp;E2702</x:f>
        <x:v>3485 / 2022 / RAINBOW TROUT</x:v>
      </x:c>
    </x:row>
    <x:row r="2703" ht="23" customHeight="1">
      <x:c r="A2703" s="8" t="str">
        <x:v>Rocky Children's Pond</x:v>
      </x:c>
      <x:c r="B2703" s="8" t="str">
        <x:v>3485</x:v>
      </x:c>
      <x:c r="C2703" s="17" t="n">
        <x:v>2021</x:v>
      </x:c>
      <x:c r="D2703" s="18" t="n">
        <x:v>44312</x:v>
      </x:c>
      <x:c r="E2703" s="8" t="str">
        <x:v>RAINBOW TROUT</x:v>
      </x:c>
      <x:c r="F2703" s="13" t="n">
        <x:v>500</x:v>
      </x:c>
      <x:c r="G2703" s="9" t="n">
        <x:v>18.5</x:v>
      </x:c>
      <x:c r="H2703" s="9" t="n">
        <x:v>70.9</x:v>
      </x:c>
      <x:c r="I2703" s="8" t="str">
        <x:f>B2703&amp;" / "&amp;C2703&amp;" / "&amp;E2703</x:f>
        <x:v>3485 / 2021 / RAINBOW TROUT</x:v>
      </x:c>
    </x:row>
    <x:row r="2704" ht="23" customHeight="1">
      <x:c r="A2704" s="8" t="str">
        <x:v>Running Lake</x:v>
      </x:c>
      <x:c r="B2704" s="8" t="str">
        <x:v>5714</x:v>
      </x:c>
      <x:c r="C2704" s="17" t="n">
        <x:v>2026</x:v>
      </x:c>
      <x:c r="D2704" s="18" t="n">
        <x:v>46168</x:v>
      </x:c>
      <x:c r="E2704" s="8" t="str">
        <x:v>RAINBOW TROUT</x:v>
      </x:c>
      <x:c r="F2704" s="13" t="n">
        <x:v>4350</x:v>
      </x:c>
      <x:c r="G2704" s="9" t="n">
        <x:v>20.4</x:v>
      </x:c>
      <x:c r="H2704" s="9" t="n">
        <x:v>93.7</x:v>
      </x:c>
      <x:c r="I2704" s="8" t="str">
        <x:f>B2704&amp;" / "&amp;C2704&amp;" / "&amp;E2704</x:f>
        <x:v>5714 / 2026 / RAINBOW TROUT</x:v>
      </x:c>
    </x:row>
    <x:row r="2705" ht="23" customHeight="1">
      <x:c r="A2705" s="8" t="str">
        <x:v>Running Lake</x:v>
      </x:c>
      <x:c r="B2705" s="8" t="str">
        <x:v>5714</x:v>
      </x:c>
      <x:c r="C2705" s="17" t="n">
        <x:v>2025</x:v>
      </x:c>
      <x:c r="D2705" s="18" t="n">
        <x:v>45796</x:v>
      </x:c>
      <x:c r="E2705" s="8" t="str">
        <x:v>BROOK TROUT</x:v>
      </x:c>
      <x:c r="F2705" s="13" t="n">
        <x:v>3000</x:v>
      </x:c>
      <x:c r="G2705" s="9" t="n">
        <x:v>19.8</x:v>
      </x:c>
      <x:c r="H2705" s="9" t="n">
        <x:v>84.4</x:v>
      </x:c>
      <x:c r="I2705" s="8" t="str">
        <x:f>B2705&amp;" / "&amp;C2705&amp;" / "&amp;E2705</x:f>
        <x:v>5714 / 2025 / BROOK TROUT</x:v>
      </x:c>
    </x:row>
    <x:row r="2706" ht="23" customHeight="1">
      <x:c r="A2706" s="8" t="str">
        <x:v>Running Lake</x:v>
      </x:c>
      <x:c r="B2706" s="8" t="str">
        <x:v>5714</x:v>
      </x:c>
      <x:c r="C2706" s="17" t="n">
        <x:v>2024</x:v>
      </x:c>
      <x:c r="D2706" s="18" t="n">
        <x:v>45426</x:v>
      </x:c>
      <x:c r="E2706" s="8" t="str">
        <x:v>RAINBOW TROUT</x:v>
      </x:c>
      <x:c r="F2706" s="13" t="n">
        <x:v>103</x:v>
      </x:c>
      <x:c r="G2706" s="9" t="n">
        <x:v>20.7</x:v>
      </x:c>
      <x:c r="H2706" s="9" t="n">
        <x:v>95.1</x:v>
      </x:c>
      <x:c r="I2706" s="8" t="str">
        <x:f>B2706&amp;" / "&amp;C2706&amp;" / "&amp;E2706</x:f>
        <x:v>5714 / 2024 / RAINBOW TROUT</x:v>
      </x:c>
    </x:row>
    <x:row r="2707" ht="23" customHeight="1">
      <x:c r="A2707" s="8" t="str">
        <x:v>Running Lake</x:v>
      </x:c>
      <x:c r="B2707" s="8" t="str">
        <x:v>5714</x:v>
      </x:c>
      <x:c r="C2707" s="17" t="n">
        <x:v>2024</x:v>
      </x:c>
      <x:c r="D2707" s="18" t="n">
        <x:v>45426</x:v>
      </x:c>
      <x:c r="E2707" s="8" t="str">
        <x:v>RAINBOW TROUT</x:v>
      </x:c>
      <x:c r="F2707" s="13" t="n">
        <x:v>2072</x:v>
      </x:c>
      <x:c r="G2707" s="9" t="n">
        <x:v>20.1</x:v>
      </x:c>
      <x:c r="H2707" s="9" t="n">
        <x:v>87.4</x:v>
      </x:c>
      <x:c r="I2707" s="8" t="str">
        <x:f>B2707&amp;" / "&amp;C2707&amp;" / "&amp;E2707</x:f>
        <x:v>5714 / 2024 / RAINBOW TROUT</x:v>
      </x:c>
    </x:row>
    <x:row r="2708" ht="23" customHeight="1">
      <x:c r="A2708" s="8" t="str">
        <x:v>Running Lake</x:v>
      </x:c>
      <x:c r="B2708" s="8" t="str">
        <x:v>5714</x:v>
      </x:c>
      <x:c r="C2708" s="17" t="n">
        <x:v>2023</x:v>
      </x:c>
      <x:c r="D2708" s="18" t="n">
        <x:v>45083</x:v>
      </x:c>
      <x:c r="E2708" s="8" t="str">
        <x:v>BROOK TROUT</x:v>
      </x:c>
      <x:c r="F2708" s="13" t="n">
        <x:v>3000</x:v>
      </x:c>
      <x:c r="G2708" s="9" t="n">
        <x:v>21</x:v>
      </x:c>
      <x:c r="H2708" s="9" t="n">
        <x:v>102.2</x:v>
      </x:c>
      <x:c r="I2708" s="8" t="str">
        <x:f>B2708&amp;" / "&amp;C2708&amp;" / "&amp;E2708</x:f>
        <x:v>5714 / 2023 / BROOK TROUT</x:v>
      </x:c>
    </x:row>
    <x:row r="2709" ht="23" customHeight="1">
      <x:c r="A2709" s="8" t="str">
        <x:v>Running Lake</x:v>
      </x:c>
      <x:c r="B2709" s="8" t="str">
        <x:v>5714</x:v>
      </x:c>
      <x:c r="C2709" s="17" t="n">
        <x:v>2022</x:v>
      </x:c>
      <x:c r="D2709" s="18" t="n">
        <x:v>44713</x:v>
      </x:c>
      <x:c r="E2709" s="8" t="str">
        <x:v>RAINBOW TROUT</x:v>
      </x:c>
      <x:c r="F2709" s="13" t="n">
        <x:v>4350</x:v>
      </x:c>
      <x:c r="G2709" s="9" t="n">
        <x:v>21.5</x:v>
      </x:c>
      <x:c r="H2709" s="9" t="n">
        <x:v>110.1</x:v>
      </x:c>
      <x:c r="I2709" s="8" t="str">
        <x:f>B2709&amp;" / "&amp;C2709&amp;" / "&amp;E2709</x:f>
        <x:v>5714 / 2022 / RAINBOW TROUT</x:v>
      </x:c>
    </x:row>
    <x:row r="2710" ht="23" customHeight="1">
      <x:c r="A2710" s="8" t="str">
        <x:v>Running Lake</x:v>
      </x:c>
      <x:c r="B2710" s="8" t="str">
        <x:v>5714</x:v>
      </x:c>
      <x:c r="C2710" s="17" t="n">
        <x:v>2021</x:v>
      </x:c>
      <x:c r="D2710" s="18" t="n">
        <x:v>44334</x:v>
      </x:c>
      <x:c r="E2710" s="8" t="str">
        <x:v>BROOK TROUT</x:v>
      </x:c>
      <x:c r="F2710" s="13" t="n">
        <x:v>3000</x:v>
      </x:c>
      <x:c r="G2710" s="9" t="n">
        <x:v>20.4</x:v>
      </x:c>
      <x:c r="H2710" s="9" t="n">
        <x:v>89.1</x:v>
      </x:c>
      <x:c r="I2710" s="8" t="str">
        <x:f>B2710&amp;" / "&amp;C2710&amp;" / "&amp;E2710</x:f>
        <x:v>5714 / 2021 / BROOK TROUT</x:v>
      </x:c>
    </x:row>
    <x:row r="2711" ht="23" customHeight="1">
      <x:c r="A2711" s="8" t="str">
        <x:v>Salter's Lake</x:v>
      </x:c>
      <x:c r="B2711" s="8" t="str">
        <x:v>5729</x:v>
      </x:c>
      <x:c r="C2711" s="17" t="n">
        <x:v>2026</x:v>
      </x:c>
      <x:c r="D2711" s="18" t="n">
        <x:v>46149</x:v>
      </x:c>
      <x:c r="E2711" s="8" t="str">
        <x:v>RAINBOW TROUT</x:v>
      </x:c>
      <x:c r="F2711" s="13" t="n">
        <x:v>6197</x:v>
      </x:c>
      <x:c r="G2711" s="9" t="n">
        <x:v>20</x:v>
      </x:c>
      <x:c r="H2711" s="9" t="n">
        <x:v>86.2</x:v>
      </x:c>
      <x:c r="I2711" s="8" t="str">
        <x:f>B2711&amp;" / "&amp;C2711&amp;" / "&amp;E2711</x:f>
        <x:v>5729 / 2026 / RAINBOW TROUT</x:v>
      </x:c>
    </x:row>
    <x:row r="2712" ht="23" customHeight="1">
      <x:c r="A2712" s="8" t="str">
        <x:v>Salter's Lake</x:v>
      </x:c>
      <x:c r="B2712" s="8" t="str">
        <x:v>5729</x:v>
      </x:c>
      <x:c r="C2712" s="17" t="n">
        <x:v>2026</x:v>
      </x:c>
      <x:c r="D2712" s="18" t="n">
        <x:v>46149</x:v>
      </x:c>
      <x:c r="E2712" s="8" t="str">
        <x:v>RAINBOW TROUT</x:v>
      </x:c>
      <x:c r="F2712" s="13" t="n">
        <x:v>1303</x:v>
      </x:c>
      <x:c r="G2712" s="9" t="n">
        <x:v>20.3</x:v>
      </x:c>
      <x:c r="H2712" s="9" t="n">
        <x:v>90.7</x:v>
      </x:c>
      <x:c r="I2712" s="8" t="str">
        <x:f>B2712&amp;" / "&amp;C2712&amp;" / "&amp;E2712</x:f>
        <x:v>5729 / 2026 / RAINBOW TROUT</x:v>
      </x:c>
    </x:row>
    <x:row r="2713" ht="23" customHeight="1">
      <x:c r="A2713" s="8" t="str">
        <x:v>Salter's Lake</x:v>
      </x:c>
      <x:c r="B2713" s="8" t="str">
        <x:v>5729</x:v>
      </x:c>
      <x:c r="C2713" s="17" t="n">
        <x:v>2026</x:v>
      </x:c>
      <x:c r="D2713" s="18" t="n">
        <x:v>46149</x:v>
      </x:c>
      <x:c r="E2713" s="8" t="str">
        <x:v>TIGER TROUT</x:v>
      </x:c>
      <x:c r="F2713" s="13" t="n">
        <x:v>2000</x:v>
      </x:c>
      <x:c r="G2713" s="9" t="n">
        <x:v>17.9</x:v>
      </x:c>
      <x:c r="H2713" s="9" t="n">
        <x:v>62</x:v>
      </x:c>
      <x:c r="I2713" s="8" t="str">
        <x:f>B2713&amp;" / "&amp;C2713&amp;" / "&amp;E2713</x:f>
        <x:v>5729 / 2026 / TIGER TROUT</x:v>
      </x:c>
    </x:row>
    <x:row r="2714" ht="23" customHeight="1">
      <x:c r="A2714" s="8" t="str">
        <x:v>Salter's Lake</x:v>
      </x:c>
      <x:c r="B2714" s="8" t="str">
        <x:v>5729</x:v>
      </x:c>
      <x:c r="C2714" s="17" t="n">
        <x:v>2025</x:v>
      </x:c>
      <x:c r="D2714" s="18" t="n">
        <x:v>45938</x:v>
      </x:c>
      <x:c r="E2714" s="8" t="str">
        <x:v>RAINBOW TROUT</x:v>
      </x:c>
      <x:c r="F2714" s="13" t="n">
        <x:v>2681</x:v>
      </x:c>
      <x:c r="G2714" s="9" t="n">
        <x:v>25.7</x:v>
      </x:c>
      <x:c r="H2714" s="9" t="n">
        <x:v>187.7</x:v>
      </x:c>
      <x:c r="I2714" s="8" t="str">
        <x:f>B2714&amp;" / "&amp;C2714&amp;" / "&amp;E2714</x:f>
        <x:v>5729 / 2025 / RAINBOW TROUT</x:v>
      </x:c>
    </x:row>
    <x:row r="2715" ht="23" customHeight="1">
      <x:c r="A2715" s="8" t="str">
        <x:v>Salter's Lake</x:v>
      </x:c>
      <x:c r="B2715" s="8" t="str">
        <x:v>5729</x:v>
      </x:c>
      <x:c r="C2715" s="17" t="n">
        <x:v>2025</x:v>
      </x:c>
      <x:c r="D2715" s="18" t="n">
        <x:v>45938</x:v>
      </x:c>
      <x:c r="E2715" s="8" t="str">
        <x:v>RAINBOW TROUT</x:v>
      </x:c>
      <x:c r="F2715" s="13" t="n">
        <x:v>2500</x:v>
      </x:c>
      <x:c r="G2715" s="9" t="n">
        <x:v>20.4</x:v>
      </x:c>
      <x:c r="H2715" s="9" t="n">
        <x:v>94.5</x:v>
      </x:c>
      <x:c r="I2715" s="8" t="str">
        <x:f>B2715&amp;" / "&amp;C2715&amp;" / "&amp;E2715</x:f>
        <x:v>5729 / 2025 / RAINBOW TROUT</x:v>
      </x:c>
    </x:row>
    <x:row r="2716" ht="23" customHeight="1">
      <x:c r="A2716" s="8" t="str">
        <x:v>Salter's Lake</x:v>
      </x:c>
      <x:c r="B2716" s="8" t="str">
        <x:v>5729</x:v>
      </x:c>
      <x:c r="C2716" s="17" t="n">
        <x:v>2025</x:v>
      </x:c>
      <x:c r="D2716" s="18" t="n">
        <x:v>45784</x:v>
      </x:c>
      <x:c r="E2716" s="8" t="str">
        <x:v>RAINBOW TROUT</x:v>
      </x:c>
      <x:c r="F2716" s="13" t="n">
        <x:v>7500</x:v>
      </x:c>
      <x:c r="G2716" s="9" t="n">
        <x:v>20.3</x:v>
      </x:c>
      <x:c r="H2716" s="9" t="n">
        <x:v>90.7</x:v>
      </x:c>
      <x:c r="I2716" s="8" t="str">
        <x:f>B2716&amp;" / "&amp;C2716&amp;" / "&amp;E2716</x:f>
        <x:v>5729 / 2025 / RAINBOW TROUT</x:v>
      </x:c>
    </x:row>
    <x:row r="2717" ht="23" customHeight="1">
      <x:c r="A2717" s="8" t="str">
        <x:v>Salter's Lake</x:v>
      </x:c>
      <x:c r="B2717" s="8" t="str">
        <x:v>5729</x:v>
      </x:c>
      <x:c r="C2717" s="17" t="n">
        <x:v>2025</x:v>
      </x:c>
      <x:c r="D2717" s="18" t="n">
        <x:v>45784</x:v>
      </x:c>
      <x:c r="E2717" s="8" t="str">
        <x:v>TIGER TROUT</x:v>
      </x:c>
      <x:c r="F2717" s="13" t="n">
        <x:v>2000</x:v>
      </x:c>
      <x:c r="G2717" s="9" t="n">
        <x:v>19.9</x:v>
      </x:c>
      <x:c r="H2717" s="9" t="n">
        <x:v>85.4</x:v>
      </x:c>
      <x:c r="I2717" s="8" t="str">
        <x:f>B2717&amp;" / "&amp;C2717&amp;" / "&amp;E2717</x:f>
        <x:v>5729 / 2025 / TIGER TROUT</x:v>
      </x:c>
    </x:row>
    <x:row r="2718" ht="23" customHeight="1">
      <x:c r="A2718" s="8" t="str">
        <x:v>Salter's Lake</x:v>
      </x:c>
      <x:c r="B2718" s="8" t="str">
        <x:v>5729</x:v>
      </x:c>
      <x:c r="C2718" s="17" t="n">
        <x:v>2024</x:v>
      </x:c>
      <x:c r="D2718" s="18" t="n">
        <x:v>45572</x:v>
      </x:c>
      <x:c r="E2718" s="8" t="str">
        <x:v>RAINBOW TROUT</x:v>
      </x:c>
      <x:c r="F2718" s="13" t="n">
        <x:v>3000</x:v>
      </x:c>
      <x:c r="G2718" s="9" t="n">
        <x:v>20.7</x:v>
      </x:c>
      <x:c r="H2718" s="9" t="n">
        <x:v>98</x:v>
      </x:c>
      <x:c r="I2718" s="8" t="str">
        <x:f>B2718&amp;" / "&amp;C2718&amp;" / "&amp;E2718</x:f>
        <x:v>5729 / 2024 / RAINBOW TROUT</x:v>
      </x:c>
    </x:row>
    <x:row r="2719" ht="23" customHeight="1">
      <x:c r="A2719" s="8" t="str">
        <x:v>Salter's Lake</x:v>
      </x:c>
      <x:c r="B2719" s="8" t="str">
        <x:v>5729</x:v>
      </x:c>
      <x:c r="C2719" s="17" t="n">
        <x:v>2024</x:v>
      </x:c>
      <x:c r="D2719" s="18" t="n">
        <x:v>45413</x:v>
      </x:c>
      <x:c r="E2719" s="8" t="str">
        <x:v>RAINBOW TROUT</x:v>
      </x:c>
      <x:c r="F2719" s="13" t="n">
        <x:v>668</x:v>
      </x:c>
      <x:c r="G2719" s="9" t="n">
        <x:v>19.2</x:v>
      </x:c>
      <x:c r="H2719" s="9" t="n">
        <x:v>76</x:v>
      </x:c>
      <x:c r="I2719" s="8" t="str">
        <x:f>B2719&amp;" / "&amp;C2719&amp;" / "&amp;E2719</x:f>
        <x:v>5729 / 2024 / RAINBOW TROUT</x:v>
      </x:c>
    </x:row>
    <x:row r="2720" ht="23" customHeight="1">
      <x:c r="A2720" s="8" t="str">
        <x:v>Salter's Lake</x:v>
      </x:c>
      <x:c r="B2720" s="8" t="str">
        <x:v>5729</x:v>
      </x:c>
      <x:c r="C2720" s="17" t="n">
        <x:v>2024</x:v>
      </x:c>
      <x:c r="D2720" s="18" t="n">
        <x:v>45413</x:v>
      </x:c>
      <x:c r="E2720" s="8" t="str">
        <x:v>RAINBOW TROUT</x:v>
      </x:c>
      <x:c r="F2720" s="13" t="n">
        <x:v>2332</x:v>
      </x:c>
      <x:c r="G2720" s="9" t="n">
        <x:v>20.1</x:v>
      </x:c>
      <x:c r="H2720" s="9" t="n">
        <x:v>87.7</x:v>
      </x:c>
      <x:c r="I2720" s="8" t="str">
        <x:f>B2720&amp;" / "&amp;C2720&amp;" / "&amp;E2720</x:f>
        <x:v>5729 / 2024 / RAINBOW TROUT</x:v>
      </x:c>
    </x:row>
    <x:row r="2721" ht="23" customHeight="1">
      <x:c r="A2721" s="8" t="str">
        <x:v>Salter's Lake</x:v>
      </x:c>
      <x:c r="B2721" s="8" t="str">
        <x:v>5729</x:v>
      </x:c>
      <x:c r="C2721" s="17" t="n">
        <x:v>2024</x:v>
      </x:c>
      <x:c r="D2721" s="18" t="n">
        <x:v>45413</x:v>
      </x:c>
      <x:c r="E2721" s="8" t="str">
        <x:v>TIGER TROUT</x:v>
      </x:c>
      <x:c r="F2721" s="13" t="n">
        <x:v>2000</x:v>
      </x:c>
      <x:c r="G2721" s="9" t="n">
        <x:v>19.5</x:v>
      </x:c>
      <x:c r="H2721" s="9" t="n">
        <x:v>80</x:v>
      </x:c>
      <x:c r="I2721" s="8" t="str">
        <x:f>B2721&amp;" / "&amp;C2721&amp;" / "&amp;E2721</x:f>
        <x:v>5729 / 2024 / TIGER TROUT</x:v>
      </x:c>
    </x:row>
    <x:row r="2722" ht="23" customHeight="1">
      <x:c r="A2722" s="8" t="str">
        <x:v>Salter's Lake</x:v>
      </x:c>
      <x:c r="B2722" s="8" t="str">
        <x:v>5729</x:v>
      </x:c>
      <x:c r="C2722" s="17" t="n">
        <x:v>2023</x:v>
      </x:c>
      <x:c r="D2722" s="18" t="n">
        <x:v>45195</x:v>
      </x:c>
      <x:c r="E2722" s="8" t="str">
        <x:v>RAINBOW TROUT</x:v>
      </x:c>
      <x:c r="F2722" s="13" t="n">
        <x:v>1504</x:v>
      </x:c>
      <x:c r="G2722" s="9" t="n">
        <x:v>18.1</x:v>
      </x:c>
      <x:c r="H2722" s="9" t="n">
        <x:v>69.8</x:v>
      </x:c>
      <x:c r="I2722" s="8" t="str">
        <x:f>B2722&amp;" / "&amp;C2722&amp;" / "&amp;E2722</x:f>
        <x:v>5729 / 2023 / RAINBOW TROUT</x:v>
      </x:c>
    </x:row>
    <x:row r="2723" ht="23" customHeight="1">
      <x:c r="A2723" s="8" t="str">
        <x:v>Salter's Lake</x:v>
      </x:c>
      <x:c r="B2723" s="8" t="str">
        <x:v>5729</x:v>
      </x:c>
      <x:c r="C2723" s="17" t="n">
        <x:v>2023</x:v>
      </x:c>
      <x:c r="D2723" s="18" t="n">
        <x:v>45055</x:v>
      </x:c>
      <x:c r="E2723" s="8" t="str">
        <x:v>RAINBOW TROUT</x:v>
      </x:c>
      <x:c r="F2723" s="13" t="n">
        <x:v>2993</x:v>
      </x:c>
      <x:c r="G2723" s="9" t="n">
        <x:v>20</x:v>
      </x:c>
      <x:c r="H2723" s="9" t="n">
        <x:v>88.9</x:v>
      </x:c>
      <x:c r="I2723" s="8" t="str">
        <x:f>B2723&amp;" / "&amp;C2723&amp;" / "&amp;E2723</x:f>
        <x:v>5729 / 2023 / RAINBOW TROUT</x:v>
      </x:c>
    </x:row>
    <x:row r="2724" ht="23" customHeight="1">
      <x:c r="A2724" s="8" t="str">
        <x:v>Salter's Lake</x:v>
      </x:c>
      <x:c r="B2724" s="8" t="str">
        <x:v>5729</x:v>
      </x:c>
      <x:c r="C2724" s="17" t="n">
        <x:v>2023</x:v>
      </x:c>
      <x:c r="D2724" s="18" t="n">
        <x:v>45055</x:v>
      </x:c>
      <x:c r="E2724" s="8" t="str">
        <x:v>TIGER TROUT</x:v>
      </x:c>
      <x:c r="F2724" s="13" t="n">
        <x:v>2000</x:v>
      </x:c>
      <x:c r="G2724" s="9" t="n">
        <x:v>20</x:v>
      </x:c>
      <x:c r="H2724" s="9" t="n">
        <x:v>88.5</x:v>
      </x:c>
      <x:c r="I2724" s="8" t="str">
        <x:f>B2724&amp;" / "&amp;C2724&amp;" / "&amp;E2724</x:f>
        <x:v>5729 / 2023 / TIGER TROUT</x:v>
      </x:c>
    </x:row>
    <x:row r="2725" ht="23" customHeight="1">
      <x:c r="A2725" s="8" t="str">
        <x:v>Salter's Lake</x:v>
      </x:c>
      <x:c r="B2725" s="8" t="str">
        <x:v>5729</x:v>
      </x:c>
      <x:c r="C2725" s="17" t="n">
        <x:v>2022</x:v>
      </x:c>
      <x:c r="D2725" s="18" t="n">
        <x:v>44830</x:v>
      </x:c>
      <x:c r="E2725" s="8" t="str">
        <x:v>RAINBOW TROUT</x:v>
      </x:c>
      <x:c r="F2725" s="13" t="n">
        <x:v>5000</x:v>
      </x:c>
      <x:c r="G2725" s="9" t="n">
        <x:v>19.5</x:v>
      </x:c>
      <x:c r="H2725" s="9" t="n">
        <x:v>82.2</x:v>
      </x:c>
      <x:c r="I2725" s="8" t="str">
        <x:f>B2725&amp;" / "&amp;C2725&amp;" / "&amp;E2725</x:f>
        <x:v>5729 / 2022 / RAINBOW TROUT</x:v>
      </x:c>
    </x:row>
    <x:row r="2726" ht="23" customHeight="1">
      <x:c r="A2726" s="8" t="str">
        <x:v>Salter's Lake</x:v>
      </x:c>
      <x:c r="B2726" s="8" t="str">
        <x:v>5729</x:v>
      </x:c>
      <x:c r="C2726" s="17" t="n">
        <x:v>2022</x:v>
      </x:c>
      <x:c r="D2726" s="18" t="n">
        <x:v>44684</x:v>
      </x:c>
      <x:c r="E2726" s="8" t="str">
        <x:v>RAINBOW TROUT</x:v>
      </x:c>
      <x:c r="F2726" s="13" t="n">
        <x:v>7500</x:v>
      </x:c>
      <x:c r="G2726" s="9" t="n">
        <x:v>21.3</x:v>
      </x:c>
      <x:c r="H2726" s="9" t="n">
        <x:v>107</x:v>
      </x:c>
      <x:c r="I2726" s="8" t="str">
        <x:f>B2726&amp;" / "&amp;C2726&amp;" / "&amp;E2726</x:f>
        <x:v>5729 / 2022 / RAINBOW TROUT</x:v>
      </x:c>
    </x:row>
    <x:row r="2727" ht="23" customHeight="1">
      <x:c r="A2727" s="8" t="str">
        <x:v>Salter's Lake</x:v>
      </x:c>
      <x:c r="B2727" s="8" t="str">
        <x:v>5729</x:v>
      </x:c>
      <x:c r="C2727" s="17" t="n">
        <x:v>2022</x:v>
      </x:c>
      <x:c r="D2727" s="18" t="n">
        <x:v>44684</x:v>
      </x:c>
      <x:c r="E2727" s="8" t="str">
        <x:v>TIGER TROUT</x:v>
      </x:c>
      <x:c r="F2727" s="13" t="n">
        <x:v>2000</x:v>
      </x:c>
      <x:c r="G2727" s="9" t="n">
        <x:v>17.7</x:v>
      </x:c>
      <x:c r="H2727" s="9" t="n">
        <x:v>61</x:v>
      </x:c>
      <x:c r="I2727" s="8" t="str">
        <x:f>B2727&amp;" / "&amp;C2727&amp;" / "&amp;E2727</x:f>
        <x:v>5729 / 2022 / TIGER TROUT</x:v>
      </x:c>
    </x:row>
    <x:row r="2728" ht="23" customHeight="1">
      <x:c r="A2728" s="8" t="str">
        <x:v>Salter's Lake</x:v>
      </x:c>
      <x:c r="B2728" s="8" t="str">
        <x:v>5729</x:v>
      </x:c>
      <x:c r="C2728" s="17" t="n">
        <x:v>2021</x:v>
      </x:c>
      <x:c r="D2728" s="18" t="n">
        <x:v>44318</x:v>
      </x:c>
      <x:c r="E2728" s="8" t="str">
        <x:v>RAINBOW TROUT</x:v>
      </x:c>
      <x:c r="F2728" s="13" t="n">
        <x:v>4000</x:v>
      </x:c>
      <x:c r="G2728" s="9" t="n">
        <x:v>19</x:v>
      </x:c>
      <x:c r="H2728" s="9" t="n">
        <x:v>75.8</x:v>
      </x:c>
      <x:c r="I2728" s="8" t="str">
        <x:f>B2728&amp;" / "&amp;C2728&amp;" / "&amp;E2728</x:f>
        <x:v>5729 / 2021 / RAINBOW TROUT</x:v>
      </x:c>
    </x:row>
    <x:row r="2729" ht="23" customHeight="1">
      <x:c r="A2729" s="8" t="str">
        <x:v>Salter's Lake</x:v>
      </x:c>
      <x:c r="B2729" s="8" t="str">
        <x:v>5729</x:v>
      </x:c>
      <x:c r="C2729" s="17" t="n">
        <x:v>2021</x:v>
      </x:c>
      <x:c r="D2729" s="18" t="n">
        <x:v>44318</x:v>
      </x:c>
      <x:c r="E2729" s="8" t="str">
        <x:v>RAINBOW TROUT</x:v>
      </x:c>
      <x:c r="F2729" s="13" t="n">
        <x:v>3500</x:v>
      </x:c>
      <x:c r="G2729" s="9" t="n">
        <x:v>21.7</x:v>
      </x:c>
      <x:c r="H2729" s="9" t="n">
        <x:v>113</x:v>
      </x:c>
      <x:c r="I2729" s="8" t="str">
        <x:f>B2729&amp;" / "&amp;C2729&amp;" / "&amp;E2729</x:f>
        <x:v>5729 / 2021 / RAINBOW TROUT</x:v>
      </x:c>
    </x:row>
    <x:row r="2730" ht="23" customHeight="1">
      <x:c r="A2730" s="8" t="str">
        <x:v>Sandy Lake</x:v>
      </x:c>
      <x:c r="B2730" s="8" t="str">
        <x:v>5743</x:v>
      </x:c>
      <x:c r="C2730" s="17" t="n">
        <x:v>2025</x:v>
      </x:c>
      <x:c r="D2730" s="18" t="n">
        <x:v>45815</x:v>
      </x:c>
      <x:c r="E2730" s="8" t="str">
        <x:v>WALLEYE</x:v>
      </x:c>
      <x:c r="F2730" s="13" t="n">
        <x:v>3208231</x:v>
      </x:c>
      <x:c r="G2730" s="9" t="n">
        <x:v>0.4</x:v>
      </x:c>
      <x:c r="H2730" s="9" t="str">
        <x:v>Unknown</x:v>
      </x:c>
      <x:c r="I2730" s="8" t="str">
        <x:f>B2730&amp;" / "&amp;C2730&amp;" / "&amp;E2730</x:f>
        <x:v>5743 / 2025 / WALLEYE</x:v>
      </x:c>
    </x:row>
    <x:row r="2731" ht="23" customHeight="1">
      <x:c r="A2731" s="8" t="str">
        <x:v>Sardine Lake</x:v>
      </x:c>
      <x:c r="B2731" s="8" t="str">
        <x:v>6695</x:v>
      </x:c>
      <x:c r="C2731" s="17" t="n">
        <x:v>2026</x:v>
      </x:c>
      <x:c r="D2731" s="18" t="n">
        <x:v>46157</x:v>
      </x:c>
      <x:c r="E2731" s="8" t="str">
        <x:v>RAINBOW TROUT</x:v>
      </x:c>
      <x:c r="F2731" s="13" t="n">
        <x:v>2500</x:v>
      </x:c>
      <x:c r="G2731" s="9" t="n">
        <x:v>20.5</x:v>
      </x:c>
      <x:c r="H2731" s="9" t="n">
        <x:v>92.8</x:v>
      </x:c>
      <x:c r="I2731" s="8" t="str">
        <x:f>B2731&amp;" / "&amp;C2731&amp;" / "&amp;E2731</x:f>
        <x:v>6695 / 2026 / RAINBOW TROUT</x:v>
      </x:c>
    </x:row>
    <x:row r="2732" ht="23" customHeight="1">
      <x:c r="A2732" s="8" t="str">
        <x:v>Sardine Lake</x:v>
      </x:c>
      <x:c r="B2732" s="8" t="str">
        <x:v>6695</x:v>
      </x:c>
      <x:c r="C2732" s="17" t="n">
        <x:v>2025</x:v>
      </x:c>
      <x:c r="D2732" s="18" t="n">
        <x:v>45785</x:v>
      </x:c>
      <x:c r="E2732" s="8" t="str">
        <x:v>RAINBOW TROUT</x:v>
      </x:c>
      <x:c r="F2732" s="13" t="n">
        <x:v>2500</x:v>
      </x:c>
      <x:c r="G2732" s="9" t="n">
        <x:v>20</x:v>
      </x:c>
      <x:c r="H2732" s="9" t="n">
        <x:v>86</x:v>
      </x:c>
      <x:c r="I2732" s="8" t="str">
        <x:f>B2732&amp;" / "&amp;C2732&amp;" / "&amp;E2732</x:f>
        <x:v>6695 / 2025 / RAINBOW TROUT</x:v>
      </x:c>
    </x:row>
    <x:row r="2733" ht="23" customHeight="1">
      <x:c r="A2733" s="8" t="str">
        <x:v>Sardine Lake</x:v>
      </x:c>
      <x:c r="B2733" s="8" t="str">
        <x:v>6695</x:v>
      </x:c>
      <x:c r="C2733" s="17" t="n">
        <x:v>2024</x:v>
      </x:c>
      <x:c r="D2733" s="18" t="n">
        <x:v>45413</x:v>
      </x:c>
      <x:c r="E2733" s="8" t="str">
        <x:v>RAINBOW TROUT</x:v>
      </x:c>
      <x:c r="F2733" s="13" t="n">
        <x:v>1250</x:v>
      </x:c>
      <x:c r="G2733" s="9" t="n">
        <x:v>20.8</x:v>
      </x:c>
      <x:c r="H2733" s="9" t="n">
        <x:v>97</x:v>
      </x:c>
      <x:c r="I2733" s="8" t="str">
        <x:f>B2733&amp;" / "&amp;C2733&amp;" / "&amp;E2733</x:f>
        <x:v>6695 / 2024 / RAINBOW TROUT</x:v>
      </x:c>
    </x:row>
    <x:row r="2734" ht="23" customHeight="1">
      <x:c r="A2734" s="8" t="str">
        <x:v>Sardine Lake</x:v>
      </x:c>
      <x:c r="B2734" s="8" t="str">
        <x:v>6695</x:v>
      </x:c>
      <x:c r="C2734" s="17" t="n">
        <x:v>2023</x:v>
      </x:c>
      <x:c r="D2734" s="18" t="n">
        <x:v>45062</x:v>
      </x:c>
      <x:c r="E2734" s="8" t="str">
        <x:v>RAINBOW TROUT</x:v>
      </x:c>
      <x:c r="F2734" s="13" t="n">
        <x:v>1013</x:v>
      </x:c>
      <x:c r="G2734" s="9" t="n">
        <x:v>19.9</x:v>
      </x:c>
      <x:c r="H2734" s="9" t="n">
        <x:v>84.8</x:v>
      </x:c>
      <x:c r="I2734" s="8" t="str">
        <x:f>B2734&amp;" / "&amp;C2734&amp;" / "&amp;E2734</x:f>
        <x:v>6695 / 2023 / RAINBOW TROUT</x:v>
      </x:c>
    </x:row>
    <x:row r="2735" ht="23" customHeight="1">
      <x:c r="A2735" s="8" t="str">
        <x:v>Sardine Lake</x:v>
      </x:c>
      <x:c r="B2735" s="8" t="str">
        <x:v>6695</x:v>
      </x:c>
      <x:c r="C2735" s="17" t="n">
        <x:v>2022</x:v>
      </x:c>
      <x:c r="D2735" s="18" t="n">
        <x:v>44696</x:v>
      </x:c>
      <x:c r="E2735" s="8" t="str">
        <x:v>RAINBOW TROUT</x:v>
      </x:c>
      <x:c r="F2735" s="13" t="n">
        <x:v>2500</x:v>
      </x:c>
      <x:c r="G2735" s="9" t="n">
        <x:v>22.1</x:v>
      </x:c>
      <x:c r="H2735" s="9" t="n">
        <x:v>117.6</x:v>
      </x:c>
      <x:c r="I2735" s="8" t="str">
        <x:f>B2735&amp;" / "&amp;C2735&amp;" / "&amp;E2735</x:f>
        <x:v>6695 / 2022 / RAINBOW TROUT</x:v>
      </x:c>
    </x:row>
    <x:row r="2736" ht="23" customHeight="1">
      <x:c r="A2736" s="8" t="str">
        <x:v>Sardine Lake</x:v>
      </x:c>
      <x:c r="B2736" s="8" t="str">
        <x:v>6695</x:v>
      </x:c>
      <x:c r="C2736" s="17" t="n">
        <x:v>2021</x:v>
      </x:c>
      <x:c r="D2736" s="18" t="n">
        <x:v>44320</x:v>
      </x:c>
      <x:c r="E2736" s="8" t="str">
        <x:v>RAINBOW TROUT</x:v>
      </x:c>
      <x:c r="F2736" s="13" t="n">
        <x:v>2500</x:v>
      </x:c>
      <x:c r="G2736" s="9" t="n">
        <x:v>21</x:v>
      </x:c>
      <x:c r="H2736" s="9" t="n">
        <x:v>102.8</x:v>
      </x:c>
      <x:c r="I2736" s="8" t="str">
        <x:f>B2736&amp;" / "&amp;C2736&amp;" / "&amp;E2736</x:f>
        <x:v>6695 / 2021 / RAINBOW TROUT</x:v>
      </x:c>
    </x:row>
    <x:row r="2737" ht="23" customHeight="1">
      <x:c r="A2737" s="8" t="str">
        <x:v>Sauder (Rattlesnake) Reservoir</x:v>
      </x:c>
      <x:c r="B2737" s="8" t="str">
        <x:v>5646</x:v>
      </x:c>
      <x:c r="C2737" s="17" t="n">
        <x:v>2025</x:v>
      </x:c>
      <x:c r="D2737" s="18" t="n">
        <x:v>45925</x:v>
      </x:c>
      <x:c r="E2737" s="8" t="str">
        <x:v>WALLEYE</x:v>
      </x:c>
      <x:c r="F2737" s="13" t="n">
        <x:v>655</x:v>
      </x:c>
      <x:c r="G2737" s="9" t="n">
        <x:v>11.7</x:v>
      </x:c>
      <x:c r="H2737" s="9" t="n">
        <x:v>6.6</x:v>
      </x:c>
      <x:c r="I2737" s="8" t="str">
        <x:f>B2737&amp;" / "&amp;C2737&amp;" / "&amp;E2737</x:f>
        <x:v>5646 / 2025 / WALLEYE</x:v>
      </x:c>
    </x:row>
    <x:row r="2738" ht="23" customHeight="1">
      <x:c r="A2738" s="8" t="str">
        <x:v>Sauder (Rattlesnake) Reservoir</x:v>
      </x:c>
      <x:c r="B2738" s="8" t="str">
        <x:v>5646</x:v>
      </x:c>
      <x:c r="C2738" s="17" t="n">
        <x:v>2025</x:v>
      </x:c>
      <x:c r="D2738" s="18" t="n">
        <x:v>45862</x:v>
      </x:c>
      <x:c r="E2738" s="8" t="str">
        <x:v>WALLEYE</x:v>
      </x:c>
      <x:c r="F2738" s="13" t="n">
        <x:v>595</x:v>
      </x:c>
      <x:c r="G2738" s="9" t="n">
        <x:v>6.1</x:v>
      </x:c>
      <x:c r="H2738" s="9" t="n">
        <x:v>1.7</x:v>
      </x:c>
      <x:c r="I2738" s="8" t="str">
        <x:f>B2738&amp;" / "&amp;C2738&amp;" / "&amp;E2738</x:f>
        <x:v>5646 / 2025 / WALLEYE</x:v>
      </x:c>
    </x:row>
    <x:row r="2739" ht="23" customHeight="1">
      <x:c r="A2739" s="8" t="str">
        <x:v>Sauder (Rattlesnake) Reservoir</x:v>
      </x:c>
      <x:c r="B2739" s="8" t="str">
        <x:v>5646</x:v>
      </x:c>
      <x:c r="C2739" s="17" t="n">
        <x:v>2023</x:v>
      </x:c>
      <x:c r="D2739" s="18" t="n">
        <x:v>45073</x:v>
      </x:c>
      <x:c r="E2739" s="8" t="str">
        <x:v>WALLEYE</x:v>
      </x:c>
      <x:c r="F2739" s="13" t="n">
        <x:v>513500</x:v>
      </x:c>
      <x:c r="G2739" s="9" t="n">
        <x:v>0.4</x:v>
      </x:c>
      <x:c r="H2739" s="9" t="n">
        <x:v>0</x:v>
      </x:c>
      <x:c r="I2739" s="8" t="str">
        <x:f>B2739&amp;" / "&amp;C2739&amp;" / "&amp;E2739</x:f>
        <x:v>5646 / 2023 / WALLEYE</x:v>
      </x:c>
    </x:row>
    <x:row r="2740" ht="23" customHeight="1">
      <x:c r="A2740" s="8" t="str">
        <x:v>Sauder (Rattlesnake) Reservoir</x:v>
      </x:c>
      <x:c r="B2740" s="8" t="str">
        <x:v>5646</x:v>
      </x:c>
      <x:c r="C2740" s="17" t="n">
        <x:v>2022</x:v>
      </x:c>
      <x:c r="D2740" s="18" t="n">
        <x:v>44711</x:v>
      </x:c>
      <x:c r="E2740" s="8" t="str">
        <x:v>WALLEYE</x:v>
      </x:c>
      <x:c r="F2740" s="13" t="n">
        <x:v>139253</x:v>
      </x:c>
      <x:c r="G2740" s="9" t="n">
        <x:v>0.4</x:v>
      </x:c>
      <x:c r="H2740" s="9" t="n">
        <x:v>0</x:v>
      </x:c>
      <x:c r="I2740" s="8" t="str">
        <x:f>B2740&amp;" / "&amp;C2740&amp;" / "&amp;E2740</x:f>
        <x:v>5646 / 2022 / WALLEYE</x:v>
      </x:c>
    </x:row>
    <x:row r="2741" ht="23" customHeight="1">
      <x:c r="A2741" s="8" t="str">
        <x:v>Sauer Lake</x:v>
      </x:c>
      <x:c r="B2741" s="8" t="str">
        <x:v>5753</x:v>
      </x:c>
      <x:c r="C2741" s="17" t="n">
        <x:v>2026</x:v>
      </x:c>
      <x:c r="D2741" s="18" t="n">
        <x:v>46150</x:v>
      </x:c>
      <x:c r="E2741" s="8" t="str">
        <x:v>RAINBOW TROUT</x:v>
      </x:c>
      <x:c r="F2741" s="13" t="n">
        <x:v>6000</x:v>
      </x:c>
      <x:c r="G2741" s="9" t="n">
        <x:v>20</x:v>
      </x:c>
      <x:c r="H2741" s="9" t="n">
        <x:v>86.8</x:v>
      </x:c>
      <x:c r="I2741" s="8" t="str">
        <x:f>B2741&amp;" / "&amp;C2741&amp;" / "&amp;E2741</x:f>
        <x:v>5753 / 2026 / RAINBOW TROUT</x:v>
      </x:c>
    </x:row>
    <x:row r="2742" ht="23" customHeight="1">
      <x:c r="A2742" s="8" t="str">
        <x:v>Sauer Lake</x:v>
      </x:c>
      <x:c r="B2742" s="8" t="str">
        <x:v>5753</x:v>
      </x:c>
      <x:c r="C2742" s="17" t="n">
        <x:v>2025</x:v>
      </x:c>
      <x:c r="D2742" s="18" t="n">
        <x:v>45781</x:v>
      </x:c>
      <x:c r="E2742" s="8" t="str">
        <x:v>RAINBOW TROUT</x:v>
      </x:c>
      <x:c r="F2742" s="13" t="n">
        <x:v>6000</x:v>
      </x:c>
      <x:c r="G2742" s="9" t="n">
        <x:v>20.3</x:v>
      </x:c>
      <x:c r="H2742" s="9" t="n">
        <x:v>90.7</x:v>
      </x:c>
      <x:c r="I2742" s="8" t="str">
        <x:f>B2742&amp;" / "&amp;C2742&amp;" / "&amp;E2742</x:f>
        <x:v>5753 / 2025 / RAINBOW TROUT</x:v>
      </x:c>
    </x:row>
    <x:row r="2743" ht="23" customHeight="1">
      <x:c r="A2743" s="8" t="str">
        <x:v>Sauer Lake</x:v>
      </x:c>
      <x:c r="B2743" s="8" t="str">
        <x:v>5753</x:v>
      </x:c>
      <x:c r="C2743" s="17" t="n">
        <x:v>2024</x:v>
      </x:c>
      <x:c r="D2743" s="18" t="n">
        <x:v>45413</x:v>
      </x:c>
      <x:c r="E2743" s="8" t="str">
        <x:v>RAINBOW TROUT</x:v>
      </x:c>
      <x:c r="F2743" s="13" t="n">
        <x:v>2400</x:v>
      </x:c>
      <x:c r="G2743" s="9" t="n">
        <x:v>20.3</x:v>
      </x:c>
      <x:c r="H2743" s="9" t="n">
        <x:v>91</x:v>
      </x:c>
      <x:c r="I2743" s="8" t="str">
        <x:f>B2743&amp;" / "&amp;C2743&amp;" / "&amp;E2743</x:f>
        <x:v>5753 / 2024 / RAINBOW TROUT</x:v>
      </x:c>
    </x:row>
    <x:row r="2744" ht="23" customHeight="1">
      <x:c r="A2744" s="8" t="str">
        <x:v>Sauer Lake</x:v>
      </x:c>
      <x:c r="B2744" s="8" t="str">
        <x:v>5753</x:v>
      </x:c>
      <x:c r="C2744" s="17" t="n">
        <x:v>2023</x:v>
      </x:c>
      <x:c r="D2744" s="18" t="n">
        <x:v>45055</x:v>
      </x:c>
      <x:c r="E2744" s="8" t="str">
        <x:v>RAINBOW TROUT</x:v>
      </x:c>
      <x:c r="F2744" s="13" t="n">
        <x:v>2790</x:v>
      </x:c>
      <x:c r="G2744" s="9" t="n">
        <x:v>15.9</x:v>
      </x:c>
      <x:c r="H2744" s="9" t="n">
        <x:v>44.2</x:v>
      </x:c>
      <x:c r="I2744" s="8" t="str">
        <x:f>B2744&amp;" / "&amp;C2744&amp;" / "&amp;E2744</x:f>
        <x:v>5753 / 2023 / RAINBOW TROUT</x:v>
      </x:c>
    </x:row>
    <x:row r="2745" ht="23" customHeight="1">
      <x:c r="A2745" s="8" t="str">
        <x:v>Sauer Lake</x:v>
      </x:c>
      <x:c r="B2745" s="8" t="str">
        <x:v>5753</x:v>
      </x:c>
      <x:c r="C2745" s="17" t="n">
        <x:v>2022</x:v>
      </x:c>
      <x:c r="D2745" s="18" t="n">
        <x:v>44690</x:v>
      </x:c>
      <x:c r="E2745" s="8" t="str">
        <x:v>RAINBOW TROUT</x:v>
      </x:c>
      <x:c r="F2745" s="13" t="n">
        <x:v>6000</x:v>
      </x:c>
      <x:c r="G2745" s="9" t="n">
        <x:v>20.5</x:v>
      </x:c>
      <x:c r="H2745" s="9" t="n">
        <x:v>94.9</x:v>
      </x:c>
      <x:c r="I2745" s="8" t="str">
        <x:f>B2745&amp;" / "&amp;C2745&amp;" / "&amp;E2745</x:f>
        <x:v>5753 / 2022 / RAINBOW TROUT</x:v>
      </x:c>
    </x:row>
    <x:row r="2746" ht="23" customHeight="1">
      <x:c r="A2746" s="8" t="str">
        <x:v>Sauer Lake</x:v>
      </x:c>
      <x:c r="B2746" s="8" t="str">
        <x:v>5753</x:v>
      </x:c>
      <x:c r="C2746" s="17" t="n">
        <x:v>2021</x:v>
      </x:c>
      <x:c r="D2746" s="18" t="n">
        <x:v>44319</x:v>
      </x:c>
      <x:c r="E2746" s="8" t="str">
        <x:v>RAINBOW TROUT</x:v>
      </x:c>
      <x:c r="F2746" s="13" t="n">
        <x:v>6000</x:v>
      </x:c>
      <x:c r="G2746" s="9" t="n">
        <x:v>19.5</x:v>
      </x:c>
      <x:c r="H2746" s="9" t="n">
        <x:v>81.9</x:v>
      </x:c>
      <x:c r="I2746" s="8" t="str">
        <x:f>B2746&amp;" / "&amp;C2746&amp;" / "&amp;E2746</x:f>
        <x:v>5753 / 2021 / RAINBOW TROUT</x:v>
      </x:c>
    </x:row>
    <x:row r="2747" ht="23" customHeight="1">
      <x:c r="A2747" s="8" t="str">
        <x:v>Schuman Lake</x:v>
      </x:c>
      <x:c r="B2747" s="8" t="str">
        <x:v>5766</x:v>
      </x:c>
      <x:c r="C2747" s="17" t="n">
        <x:v>2026</x:v>
      </x:c>
      <x:c r="D2747" s="18" t="n">
        <x:v>46161</x:v>
      </x:c>
      <x:c r="E2747" s="8" t="str">
        <x:v>RAINBOW TROUT</x:v>
      </x:c>
      <x:c r="F2747" s="13" t="n">
        <x:v>9500</x:v>
      </x:c>
      <x:c r="G2747" s="9" t="n">
        <x:v>21.9</x:v>
      </x:c>
      <x:c r="H2747" s="9" t="n">
        <x:v>115.7</x:v>
      </x:c>
      <x:c r="I2747" s="8" t="str">
        <x:f>B2747&amp;" / "&amp;C2747&amp;" / "&amp;E2747</x:f>
        <x:v>5766 / 2026 / RAINBOW TROUT</x:v>
      </x:c>
    </x:row>
    <x:row r="2748" ht="23" customHeight="1">
      <x:c r="A2748" s="8" t="str">
        <x:v>Schuman Lake</x:v>
      </x:c>
      <x:c r="B2748" s="8" t="str">
        <x:v>5766</x:v>
      </x:c>
      <x:c r="C2748" s="17" t="n">
        <x:v>2026</x:v>
      </x:c>
      <x:c r="D2748" s="18" t="n">
        <x:v>46161</x:v>
      </x:c>
      <x:c r="E2748" s="8" t="str">
        <x:v>TIGER TROUT</x:v>
      </x:c>
      <x:c r="F2748" s="13" t="n">
        <x:v>500</x:v>
      </x:c>
      <x:c r="G2748" s="9" t="n">
        <x:v>20.1</x:v>
      </x:c>
      <x:c r="H2748" s="9" t="n">
        <x:v>90.3</x:v>
      </x:c>
      <x:c r="I2748" s="8" t="str">
        <x:f>B2748&amp;" / "&amp;C2748&amp;" / "&amp;E2748</x:f>
        <x:v>5766 / 2026 / TIGER TROUT</x:v>
      </x:c>
    </x:row>
    <x:row r="2749" ht="23" customHeight="1">
      <x:c r="A2749" s="8" t="str">
        <x:v>Schuman Lake</x:v>
      </x:c>
      <x:c r="B2749" s="8" t="str">
        <x:v>5766</x:v>
      </x:c>
      <x:c r="C2749" s="17" t="n">
        <x:v>2025</x:v>
      </x:c>
      <x:c r="D2749" s="18" t="n">
        <x:v>45796</x:v>
      </x:c>
      <x:c r="E2749" s="8" t="str">
        <x:v>RAINBOW TROUT</x:v>
      </x:c>
      <x:c r="F2749" s="13" t="n">
        <x:v>9500</x:v>
      </x:c>
      <x:c r="G2749" s="9" t="n">
        <x:v>20</x:v>
      </x:c>
      <x:c r="H2749" s="9" t="n">
        <x:v>87.9</x:v>
      </x:c>
      <x:c r="I2749" s="8" t="str">
        <x:f>B2749&amp;" / "&amp;C2749&amp;" / "&amp;E2749</x:f>
        <x:v>5766 / 2025 / RAINBOW TROUT</x:v>
      </x:c>
    </x:row>
    <x:row r="2750" ht="23" customHeight="1">
      <x:c r="A2750" s="8" t="str">
        <x:v>Schuman Lake</x:v>
      </x:c>
      <x:c r="B2750" s="8" t="str">
        <x:v>5766</x:v>
      </x:c>
      <x:c r="C2750" s="17" t="n">
        <x:v>2025</x:v>
      </x:c>
      <x:c r="D2750" s="18" t="n">
        <x:v>45796</x:v>
      </x:c>
      <x:c r="E2750" s="8" t="str">
        <x:v>TIGER TROUT</x:v>
      </x:c>
      <x:c r="F2750" s="13" t="n">
        <x:v>500</x:v>
      </x:c>
      <x:c r="G2750" s="9" t="n">
        <x:v>23.9</x:v>
      </x:c>
      <x:c r="H2750" s="9" t="n">
        <x:v>151.4</x:v>
      </x:c>
      <x:c r="I2750" s="8" t="str">
        <x:f>B2750&amp;" / "&amp;C2750&amp;" / "&amp;E2750</x:f>
        <x:v>5766 / 2025 / TIGER TROUT</x:v>
      </x:c>
    </x:row>
    <x:row r="2751" ht="23" customHeight="1">
      <x:c r="A2751" s="8" t="str">
        <x:v>Schuman Lake</x:v>
      </x:c>
      <x:c r="B2751" s="8" t="str">
        <x:v>5766</x:v>
      </x:c>
      <x:c r="C2751" s="17" t="n">
        <x:v>2024</x:v>
      </x:c>
      <x:c r="D2751" s="18" t="n">
        <x:v>45428</x:v>
      </x:c>
      <x:c r="E2751" s="8" t="str">
        <x:v>RAINBOW TROUT</x:v>
      </x:c>
      <x:c r="F2751" s="13" t="n">
        <x:v>4744</x:v>
      </x:c>
      <x:c r="G2751" s="9" t="n">
        <x:v>20</x:v>
      </x:c>
      <x:c r="H2751" s="9" t="n">
        <x:v>85.8</x:v>
      </x:c>
      <x:c r="I2751" s="8" t="str">
        <x:f>B2751&amp;" / "&amp;C2751&amp;" / "&amp;E2751</x:f>
        <x:v>5766 / 2024 / RAINBOW TROUT</x:v>
      </x:c>
    </x:row>
    <x:row r="2752" ht="23" customHeight="1">
      <x:c r="A2752" s="8" t="str">
        <x:v>Schuman Lake</x:v>
      </x:c>
      <x:c r="B2752" s="8" t="str">
        <x:v>5766</x:v>
      </x:c>
      <x:c r="C2752" s="17" t="n">
        <x:v>2024</x:v>
      </x:c>
      <x:c r="D2752" s="18" t="n">
        <x:v>45428</x:v>
      </x:c>
      <x:c r="E2752" s="8" t="str">
        <x:v>RAINBOW TROUT</x:v>
      </x:c>
      <x:c r="F2752" s="13" t="n">
        <x:v>1556</x:v>
      </x:c>
      <x:c r="G2752" s="9" t="n">
        <x:v>21</x:v>
      </x:c>
      <x:c r="H2752" s="9" t="n">
        <x:v>100.1</x:v>
      </x:c>
      <x:c r="I2752" s="8" t="str">
        <x:f>B2752&amp;" / "&amp;C2752&amp;" / "&amp;E2752</x:f>
        <x:v>5766 / 2024 / RAINBOW TROUT</x:v>
      </x:c>
    </x:row>
    <x:row r="2753" ht="23" customHeight="1">
      <x:c r="A2753" s="8" t="str">
        <x:v>Schuman Lake</x:v>
      </x:c>
      <x:c r="B2753" s="8" t="str">
        <x:v>5766</x:v>
      </x:c>
      <x:c r="C2753" s="17" t="n">
        <x:v>2024</x:v>
      </x:c>
      <x:c r="D2753" s="18" t="n">
        <x:v>45425</x:v>
      </x:c>
      <x:c r="E2753" s="8" t="str">
        <x:v>RAINBOW TROUT</x:v>
      </x:c>
      <x:c r="F2753" s="13" t="n">
        <x:v>7500</x:v>
      </x:c>
      <x:c r="G2753" s="9" t="n">
        <x:v>10.2</x:v>
      </x:c>
      <x:c r="H2753" s="9" t="n">
        <x:v>11.7</x:v>
      </x:c>
      <x:c r="I2753" s="8" t="str">
        <x:f>B2753&amp;" / "&amp;C2753&amp;" / "&amp;E2753</x:f>
        <x:v>5766 / 2024 / RAINBOW TROUT</x:v>
      </x:c>
    </x:row>
    <x:row r="2754" ht="23" customHeight="1">
      <x:c r="A2754" s="8" t="str">
        <x:v>Schuman Lake</x:v>
      </x:c>
      <x:c r="B2754" s="8" t="str">
        <x:v>5766</x:v>
      </x:c>
      <x:c r="C2754" s="17" t="n">
        <x:v>2024</x:v>
      </x:c>
      <x:c r="D2754" s="18" t="n">
        <x:v>45428</x:v>
      </x:c>
      <x:c r="E2754" s="8" t="str">
        <x:v>TIGER TROUT</x:v>
      </x:c>
      <x:c r="F2754" s="13" t="n">
        <x:v>500</x:v>
      </x:c>
      <x:c r="G2754" s="9" t="n">
        <x:v>19.5</x:v>
      </x:c>
      <x:c r="H2754" s="9" t="n">
        <x:v>80</x:v>
      </x:c>
      <x:c r="I2754" s="8" t="str">
        <x:f>B2754&amp;" / "&amp;C2754&amp;" / "&amp;E2754</x:f>
        <x:v>5766 / 2024 / TIGER TROUT</x:v>
      </x:c>
    </x:row>
    <x:row r="2755" ht="23" customHeight="1">
      <x:c r="A2755" s="8" t="str">
        <x:v>Schuman Lake</x:v>
      </x:c>
      <x:c r="B2755" s="8" t="str">
        <x:v>5766</x:v>
      </x:c>
      <x:c r="C2755" s="17" t="n">
        <x:v>2023</x:v>
      </x:c>
      <x:c r="D2755" s="18" t="n">
        <x:v>45075</x:v>
      </x:c>
      <x:c r="E2755" s="8" t="str">
        <x:v>RAINBOW TROUT</x:v>
      </x:c>
      <x:c r="F2755" s="13" t="n">
        <x:v>900</x:v>
      </x:c>
      <x:c r="G2755" s="9" t="n">
        <x:v>16.5</x:v>
      </x:c>
      <x:c r="H2755" s="9" t="n">
        <x:v>48.9</x:v>
      </x:c>
      <x:c r="I2755" s="8" t="str">
        <x:f>B2755&amp;" / "&amp;C2755&amp;" / "&amp;E2755</x:f>
        <x:v>5766 / 2023 / RAINBOW TROUT</x:v>
      </x:c>
    </x:row>
    <x:row r="2756" ht="23" customHeight="1">
      <x:c r="A2756" s="8" t="str">
        <x:v>Schuman Lake</x:v>
      </x:c>
      <x:c r="B2756" s="8" t="str">
        <x:v>5766</x:v>
      </x:c>
      <x:c r="C2756" s="17" t="n">
        <x:v>2023</x:v>
      </x:c>
      <x:c r="D2756" s="18" t="n">
        <x:v>45075</x:v>
      </x:c>
      <x:c r="E2756" s="8" t="str">
        <x:v>RAINBOW TROUT</x:v>
      </x:c>
      <x:c r="F2756" s="13" t="n">
        <x:v>3791</x:v>
      </x:c>
      <x:c r="G2756" s="9" t="n">
        <x:v>19.9</x:v>
      </x:c>
      <x:c r="H2756" s="9" t="n">
        <x:v>85.6</x:v>
      </x:c>
      <x:c r="I2756" s="8" t="str">
        <x:f>B2756&amp;" / "&amp;C2756&amp;" / "&amp;E2756</x:f>
        <x:v>5766 / 2023 / RAINBOW TROUT</x:v>
      </x:c>
    </x:row>
    <x:row r="2757" ht="23" customHeight="1">
      <x:c r="A2757" s="8" t="str">
        <x:v>Schuman Lake</x:v>
      </x:c>
      <x:c r="B2757" s="8" t="str">
        <x:v>5766</x:v>
      </x:c>
      <x:c r="C2757" s="17" t="n">
        <x:v>2023</x:v>
      </x:c>
      <x:c r="D2757" s="18" t="n">
        <x:v>45068</x:v>
      </x:c>
      <x:c r="E2757" s="8" t="str">
        <x:v>RAINBOW TROUT</x:v>
      </x:c>
      <x:c r="F2757" s="13" t="n">
        <x:v>10000</x:v>
      </x:c>
      <x:c r="G2757" s="9" t="n">
        <x:v>8.8</x:v>
      </x:c>
      <x:c r="H2757" s="9" t="n">
        <x:v>7.5</x:v>
      </x:c>
      <x:c r="I2757" s="8" t="str">
        <x:f>B2757&amp;" / "&amp;C2757&amp;" / "&amp;E2757</x:f>
        <x:v>5766 / 2023 / RAINBOW TROUT</x:v>
      </x:c>
    </x:row>
    <x:row r="2758" ht="23" customHeight="1">
      <x:c r="A2758" s="8" t="str">
        <x:v>Schuman Lake</x:v>
      </x:c>
      <x:c r="B2758" s="8" t="str">
        <x:v>5766</x:v>
      </x:c>
      <x:c r="C2758" s="17" t="n">
        <x:v>2023</x:v>
      </x:c>
      <x:c r="D2758" s="18" t="n">
        <x:v>45075</x:v>
      </x:c>
      <x:c r="E2758" s="8" t="str">
        <x:v>TIGER TROUT</x:v>
      </x:c>
      <x:c r="F2758" s="13" t="n">
        <x:v>500</x:v>
      </x:c>
      <x:c r="G2758" s="9" t="n">
        <x:v>20.5</x:v>
      </x:c>
      <x:c r="H2758" s="9" t="n">
        <x:v>92.6</x:v>
      </x:c>
      <x:c r="I2758" s="8" t="str">
        <x:f>B2758&amp;" / "&amp;C2758&amp;" / "&amp;E2758</x:f>
        <x:v>5766 / 2023 / TIGER TROUT</x:v>
      </x:c>
    </x:row>
    <x:row r="2759" ht="23" customHeight="1">
      <x:c r="A2759" s="8" t="str">
        <x:v>Schuman Lake</x:v>
      </x:c>
      <x:c r="B2759" s="8" t="str">
        <x:v>5766</x:v>
      </x:c>
      <x:c r="C2759" s="17" t="n">
        <x:v>2022</x:v>
      </x:c>
      <x:c r="D2759" s="18" t="n">
        <x:v>44692</x:v>
      </x:c>
      <x:c r="E2759" s="8" t="str">
        <x:v>RAINBOW TROUT</x:v>
      </x:c>
      <x:c r="F2759" s="13" t="n">
        <x:v>5340</x:v>
      </x:c>
      <x:c r="G2759" s="9" t="n">
        <x:v>18.2</x:v>
      </x:c>
      <x:c r="H2759" s="9" t="n">
        <x:v>66.4</x:v>
      </x:c>
      <x:c r="I2759" s="8" t="str">
        <x:f>B2759&amp;" / "&amp;C2759&amp;" / "&amp;E2759</x:f>
        <x:v>5766 / 2022 / RAINBOW TROUT</x:v>
      </x:c>
    </x:row>
    <x:row r="2760" ht="23" customHeight="1">
      <x:c r="A2760" s="8" t="str">
        <x:v>Schuman Lake</x:v>
      </x:c>
      <x:c r="B2760" s="8" t="str">
        <x:v>5766</x:v>
      </x:c>
      <x:c r="C2760" s="17" t="n">
        <x:v>2022</x:v>
      </x:c>
      <x:c r="D2760" s="18" t="n">
        <x:v>44692</x:v>
      </x:c>
      <x:c r="E2760" s="8" t="str">
        <x:v>RAINBOW TROUT</x:v>
      </x:c>
      <x:c r="F2760" s="13" t="n">
        <x:v>4160</x:v>
      </x:c>
      <x:c r="G2760" s="9" t="n">
        <x:v>20.5</x:v>
      </x:c>
      <x:c r="H2760" s="9" t="n">
        <x:v>95.8</x:v>
      </x:c>
      <x:c r="I2760" s="8" t="str">
        <x:f>B2760&amp;" / "&amp;C2760&amp;" / "&amp;E2760</x:f>
        <x:v>5766 / 2022 / RAINBOW TROUT</x:v>
      </x:c>
    </x:row>
    <x:row r="2761" ht="23" customHeight="1">
      <x:c r="A2761" s="8" t="str">
        <x:v>Schuman Lake</x:v>
      </x:c>
      <x:c r="B2761" s="8" t="str">
        <x:v>5766</x:v>
      </x:c>
      <x:c r="C2761" s="17" t="n">
        <x:v>2022</x:v>
      </x:c>
      <x:c r="D2761" s="18" t="n">
        <x:v>44692</x:v>
      </x:c>
      <x:c r="E2761" s="8" t="str">
        <x:v>TIGER TROUT</x:v>
      </x:c>
      <x:c r="F2761" s="13" t="n">
        <x:v>500</x:v>
      </x:c>
      <x:c r="G2761" s="9" t="n">
        <x:v>16.7</x:v>
      </x:c>
      <x:c r="H2761" s="9" t="n">
        <x:v>51.8</x:v>
      </x:c>
      <x:c r="I2761" s="8" t="str">
        <x:f>B2761&amp;" / "&amp;C2761&amp;" / "&amp;E2761</x:f>
        <x:v>5766 / 2022 / TIGER TROUT</x:v>
      </x:c>
    </x:row>
    <x:row r="2762" ht="23" customHeight="1">
      <x:c r="A2762" s="8" t="str">
        <x:v>Schuman Lake</x:v>
      </x:c>
      <x:c r="B2762" s="8" t="str">
        <x:v>5766</x:v>
      </x:c>
      <x:c r="C2762" s="17" t="n">
        <x:v>2021</x:v>
      </x:c>
      <x:c r="D2762" s="18" t="n">
        <x:v>44335</x:v>
      </x:c>
      <x:c r="E2762" s="8" t="str">
        <x:v>RAINBOW TROUT</x:v>
      </x:c>
      <x:c r="F2762" s="13" t="n">
        <x:v>9500</x:v>
      </x:c>
      <x:c r="G2762" s="9" t="n">
        <x:v>20.3</x:v>
      </x:c>
      <x:c r="H2762" s="9" t="n">
        <x:v>93.2</x:v>
      </x:c>
      <x:c r="I2762" s="8" t="str">
        <x:f>B2762&amp;" / "&amp;C2762&amp;" / "&amp;E2762</x:f>
        <x:v>5766 / 2021 / RAINBOW TROUT</x:v>
      </x:c>
    </x:row>
    <x:row r="2763" ht="23" customHeight="1">
      <x:c r="A2763" s="8" t="str">
        <x:v>Schuman Lake</x:v>
      </x:c>
      <x:c r="B2763" s="8" t="str">
        <x:v>5766</x:v>
      </x:c>
      <x:c r="C2763" s="17" t="n">
        <x:v>2021</x:v>
      </x:c>
      <x:c r="D2763" s="18" t="n">
        <x:v>44461</x:v>
      </x:c>
      <x:c r="E2763" s="8" t="str">
        <x:v>TIGER TROUT</x:v>
      </x:c>
      <x:c r="F2763" s="13" t="n">
        <x:v>500</x:v>
      </x:c>
      <x:c r="G2763" s="9" t="n">
        <x:v>20.3</x:v>
      </x:c>
      <x:c r="H2763" s="9" t="n">
        <x:v>92.1</x:v>
      </x:c>
      <x:c r="I2763" s="8" t="str">
        <x:f>B2763&amp;" / "&amp;C2763&amp;" / "&amp;E2763</x:f>
        <x:v>5766 / 2021 / TIGER TROUT</x:v>
      </x:c>
    </x:row>
    <x:row r="2764" ht="23" customHeight="1">
      <x:c r="A2764" s="8" t="str">
        <x:v>Severn Creek Reservoir</x:v>
      </x:c>
      <x:c r="B2764" s="8" t="str">
        <x:v>6697</x:v>
      </x:c>
      <x:c r="C2764" s="17" t="n">
        <x:v>2026</x:v>
      </x:c>
      <x:c r="D2764" s="18" t="n">
        <x:v>46141</x:v>
      </x:c>
      <x:c r="E2764" s="8" t="str">
        <x:v>RAINBOW TROUT</x:v>
      </x:c>
      <x:c r="F2764" s="13" t="n">
        <x:v>1400</x:v>
      </x:c>
      <x:c r="G2764" s="9" t="n">
        <x:v>26.2</x:v>
      </x:c>
      <x:c r="H2764" s="9" t="n">
        <x:v>199.1</x:v>
      </x:c>
      <x:c r="I2764" s="8" t="str">
        <x:f>B2764&amp;" / "&amp;C2764&amp;" / "&amp;E2764</x:f>
        <x:v>6697 / 2026 / RAINBOW TROUT</x:v>
      </x:c>
    </x:row>
    <x:row r="2765" ht="23" customHeight="1">
      <x:c r="A2765" s="8" t="str">
        <x:v>Severn Creek Reservoir</x:v>
      </x:c>
      <x:c r="B2765" s="8" t="str">
        <x:v>6697</x:v>
      </x:c>
      <x:c r="C2765" s="17" t="n">
        <x:v>2026</x:v>
      </x:c>
      <x:c r="D2765" s="18" t="n">
        <x:v>46135</x:v>
      </x:c>
      <x:c r="E2765" s="8" t="str">
        <x:v>RAINBOW TROUT</x:v>
      </x:c>
      <x:c r="F2765" s="13" t="n">
        <x:v>4200</x:v>
      </x:c>
      <x:c r="G2765" s="9" t="n">
        <x:v>20.3</x:v>
      </x:c>
      <x:c r="H2765" s="9" t="n">
        <x:v>90.6</x:v>
      </x:c>
      <x:c r="I2765" s="8" t="str">
        <x:f>B2765&amp;" / "&amp;C2765&amp;" / "&amp;E2765</x:f>
        <x:v>6697 / 2026 / RAINBOW TROUT</x:v>
      </x:c>
    </x:row>
    <x:row r="2766" ht="23" customHeight="1">
      <x:c r="A2766" s="8" t="str">
        <x:v>Severn Creek Reservoir</x:v>
      </x:c>
      <x:c r="B2766" s="8" t="str">
        <x:v>6697</x:v>
      </x:c>
      <x:c r="C2766" s="17" t="n">
        <x:v>2025</x:v>
      </x:c>
      <x:c r="D2766" s="18" t="n">
        <x:v>45770</x:v>
      </x:c>
      <x:c r="E2766" s="8" t="str">
        <x:v>RAINBOW TROUT</x:v>
      </x:c>
      <x:c r="F2766" s="13" t="n">
        <x:v>1400</x:v>
      </x:c>
      <x:c r="G2766" s="9" t="n">
        <x:v>22.9</x:v>
      </x:c>
      <x:c r="H2766" s="9" t="n">
        <x:v>132.3</x:v>
      </x:c>
      <x:c r="I2766" s="8" t="str">
        <x:f>B2766&amp;" / "&amp;C2766&amp;" / "&amp;E2766</x:f>
        <x:v>6697 / 2025 / RAINBOW TROUT</x:v>
      </x:c>
    </x:row>
    <x:row r="2767" ht="23" customHeight="1">
      <x:c r="A2767" s="8" t="str">
        <x:v>Severn Creek Reservoir</x:v>
      </x:c>
      <x:c r="B2767" s="8" t="str">
        <x:v>6697</x:v>
      </x:c>
      <x:c r="C2767" s="17" t="n">
        <x:v>2025</x:v>
      </x:c>
      <x:c r="D2767" s="18" t="n">
        <x:v>45763</x:v>
      </x:c>
      <x:c r="E2767" s="8" t="str">
        <x:v>RAINBOW TROUT</x:v>
      </x:c>
      <x:c r="F2767" s="13" t="n">
        <x:v>4200</x:v>
      </x:c>
      <x:c r="G2767" s="9" t="n">
        <x:v>20</x:v>
      </x:c>
      <x:c r="H2767" s="9" t="n">
        <x:v>86.6</x:v>
      </x:c>
      <x:c r="I2767" s="8" t="str">
        <x:f>B2767&amp;" / "&amp;C2767&amp;" / "&amp;E2767</x:f>
        <x:v>6697 / 2025 / RAINBOW TROUT</x:v>
      </x:c>
    </x:row>
    <x:row r="2768" ht="23" customHeight="1">
      <x:c r="A2768" s="8" t="str">
        <x:v>Severn Creek Reservoir</x:v>
      </x:c>
      <x:c r="B2768" s="8" t="str">
        <x:v>6697</x:v>
      </x:c>
      <x:c r="C2768" s="17" t="n">
        <x:v>2024</x:v>
      </x:c>
      <x:c r="D2768" s="18" t="n">
        <x:v>45397</x:v>
      </x:c>
      <x:c r="E2768" s="8" t="str">
        <x:v>RAINBOW TROUT</x:v>
      </x:c>
      <x:c r="F2768" s="13" t="n">
        <x:v>3360</x:v>
      </x:c>
      <x:c r="G2768" s="9" t="n">
        <x:v>20.2</x:v>
      </x:c>
      <x:c r="H2768" s="9" t="n">
        <x:v>89</x:v>
      </x:c>
      <x:c r="I2768" s="8" t="str">
        <x:f>B2768&amp;" / "&amp;C2768&amp;" / "&amp;E2768</x:f>
        <x:v>6697 / 2024 / RAINBOW TROUT</x:v>
      </x:c>
    </x:row>
    <x:row r="2769" ht="23" customHeight="1">
      <x:c r="A2769" s="8" t="str">
        <x:v>Severn Creek Reservoir</x:v>
      </x:c>
      <x:c r="B2769" s="8" t="str">
        <x:v>6697</x:v>
      </x:c>
      <x:c r="C2769" s="17" t="n">
        <x:v>2023</x:v>
      </x:c>
      <x:c r="D2769" s="18" t="n">
        <x:v>45041</x:v>
      </x:c>
      <x:c r="E2769" s="8" t="str">
        <x:v>RAINBOW TROUT</x:v>
      </x:c>
      <x:c r="F2769" s="13" t="n">
        <x:v>2811</x:v>
      </x:c>
      <x:c r="G2769" s="9" t="n">
        <x:v>20.2</x:v>
      </x:c>
      <x:c r="H2769" s="9" t="n">
        <x:v>90.9</x:v>
      </x:c>
      <x:c r="I2769" s="8" t="str">
        <x:f>B2769&amp;" / "&amp;C2769&amp;" / "&amp;E2769</x:f>
        <x:v>6697 / 2023 / RAINBOW TROUT</x:v>
      </x:c>
    </x:row>
    <x:row r="2770" ht="23" customHeight="1">
      <x:c r="A2770" s="8" t="str">
        <x:v>Severn Creek Reservoir</x:v>
      </x:c>
      <x:c r="B2770" s="8" t="str">
        <x:v>6697</x:v>
      </x:c>
      <x:c r="C2770" s="17" t="n">
        <x:v>2022</x:v>
      </x:c>
      <x:c r="D2770" s="18" t="n">
        <x:v>44671</x:v>
      </x:c>
      <x:c r="E2770" s="8" t="str">
        <x:v>RAINBOW TROUT</x:v>
      </x:c>
      <x:c r="F2770" s="13" t="n">
        <x:v>5600</x:v>
      </x:c>
      <x:c r="G2770" s="9" t="n">
        <x:v>20</x:v>
      </x:c>
      <x:c r="H2770" s="9" t="n">
        <x:v>87.7</x:v>
      </x:c>
      <x:c r="I2770" s="8" t="str">
        <x:f>B2770&amp;" / "&amp;C2770&amp;" / "&amp;E2770</x:f>
        <x:v>6697 / 2022 / RAINBOW TROUT</x:v>
      </x:c>
    </x:row>
    <x:row r="2771" ht="23" customHeight="1">
      <x:c r="A2771" s="8" t="str">
        <x:v>Severn Creek Reservoir</x:v>
      </x:c>
      <x:c r="B2771" s="8" t="str">
        <x:v>6697</x:v>
      </x:c>
      <x:c r="C2771" s="17" t="n">
        <x:v>2021</x:v>
      </x:c>
      <x:c r="D2771" s="18" t="n">
        <x:v>44299</x:v>
      </x:c>
      <x:c r="E2771" s="8" t="str">
        <x:v>RAINBOW TROUT</x:v>
      </x:c>
      <x:c r="F2771" s="13" t="n">
        <x:v>5600</x:v>
      </x:c>
      <x:c r="G2771" s="9" t="n">
        <x:v>20.4</x:v>
      </x:c>
      <x:c r="H2771" s="9" t="n">
        <x:v>94</x:v>
      </x:c>
      <x:c r="I2771" s="8" t="str">
        <x:f>B2771&amp;" / "&amp;C2771&amp;" / "&amp;E2771</x:f>
        <x:v>6697 / 2021 / RAINBOW TROUT</x:v>
      </x:c>
    </x:row>
    <x:row r="2772" ht="23" customHeight="1">
      <x:c r="A2772" s="8" t="str">
        <x:v>Shark Lake</x:v>
      </x:c>
      <x:c r="B2772" s="8" t="str">
        <x:v>5788</x:v>
      </x:c>
      <x:c r="C2772" s="17" t="n">
        <x:v>2025</x:v>
      </x:c>
      <x:c r="D2772" s="18" t="n">
        <x:v>45908</x:v>
      </x:c>
      <x:c r="E2772" s="8" t="str">
        <x:v>CUTTHROAT TROUT</x:v>
      </x:c>
      <x:c r="F2772" s="13" t="n">
        <x:v>500</x:v>
      </x:c>
      <x:c r="G2772" s="9" t="n">
        <x:v>4.2</x:v>
      </x:c>
      <x:c r="H2772" s="9" t="n">
        <x:v>0.8</x:v>
      </x:c>
      <x:c r="I2772" s="8" t="str">
        <x:f>B2772&amp;" / "&amp;C2772&amp;" / "&amp;E2772</x:f>
        <x:v>5788 / 2025 / CUTTHROAT TROUT</x:v>
      </x:c>
    </x:row>
    <x:row r="2773" ht="23" customHeight="1">
      <x:c r="A2773" s="8" t="str">
        <x:v>Shark Lake</x:v>
      </x:c>
      <x:c r="B2773" s="8" t="str">
        <x:v>5788</x:v>
      </x:c>
      <x:c r="C2773" s="17" t="n">
        <x:v>2021</x:v>
      </x:c>
      <x:c r="D2773" s="18" t="n">
        <x:v>44447</x:v>
      </x:c>
      <x:c r="E2773" s="8" t="str">
        <x:v>CUTTHROAT TROUT</x:v>
      </x:c>
      <x:c r="F2773" s="13" t="n">
        <x:v>500</x:v>
      </x:c>
      <x:c r="G2773" s="9" t="n">
        <x:v>4.9</x:v>
      </x:c>
      <x:c r="H2773" s="9" t="n">
        <x:v>1.3</x:v>
      </x:c>
      <x:c r="I2773" s="8" t="str">
        <x:f>B2773&amp;" / "&amp;C2773&amp;" / "&amp;E2773</x:f>
        <x:v>5788 / 2021 / CUTTHROAT TROUT</x:v>
      </x:c>
    </x:row>
    <x:row r="2774" ht="23" customHeight="1">
      <x:c r="A2774" s="8" t="str">
        <x:v>Shell True North Pond</x:v>
      </x:c>
      <x:c r="B2774" s="8" t="str">
        <x:v>328085</x:v>
      </x:c>
      <x:c r="C2774" s="17" t="n">
        <x:v>2026</x:v>
      </x:c>
      <x:c r="D2774" s="18" t="n">
        <x:v>46150</x:v>
      </x:c>
      <x:c r="E2774" s="8" t="str">
        <x:v>BROOK TROUT</x:v>
      </x:c>
      <x:c r="F2774" s="13" t="n">
        <x:v>590</x:v>
      </x:c>
      <x:c r="G2774" s="9" t="n">
        <x:v>20.5</x:v>
      </x:c>
      <x:c r="H2774" s="9" t="n">
        <x:v>96.1</x:v>
      </x:c>
      <x:c r="I2774" s="8" t="str">
        <x:f>B2774&amp;" / "&amp;C2774&amp;" / "&amp;E2774</x:f>
        <x:v>328085 / 2026 / BROOK TROUT</x:v>
      </x:c>
    </x:row>
    <x:row r="2775" ht="23" customHeight="1">
      <x:c r="A2775" s="8" t="str">
        <x:v>Shell True North Pond</x:v>
      </x:c>
      <x:c r="B2775" s="8" t="str">
        <x:v>328085</x:v>
      </x:c>
      <x:c r="C2775" s="17" t="n">
        <x:v>2026</x:v>
      </x:c>
      <x:c r="D2775" s="18" t="n">
        <x:v>46150</x:v>
      </x:c>
      <x:c r="E2775" s="8" t="str">
        <x:v>TIGER TROUT</x:v>
      </x:c>
      <x:c r="F2775" s="13" t="n">
        <x:v>50</x:v>
      </x:c>
      <x:c r="G2775" s="9" t="n">
        <x:v>23.1</x:v>
      </x:c>
      <x:c r="H2775" s="9" t="n">
        <x:v>136.2</x:v>
      </x:c>
      <x:c r="I2775" s="8" t="str">
        <x:f>B2775&amp;" / "&amp;C2775&amp;" / "&amp;E2775</x:f>
        <x:v>328085 / 2026 / TIGER TROUT</x:v>
      </x:c>
    </x:row>
    <x:row r="2776" ht="23" customHeight="1">
      <x:c r="A2776" s="8" t="str">
        <x:v>Shell True North Pond</x:v>
      </x:c>
      <x:c r="B2776" s="8" t="str">
        <x:v>328085</x:v>
      </x:c>
      <x:c r="C2776" s="17" t="n">
        <x:v>2025</x:v>
      </x:c>
      <x:c r="D2776" s="18" t="n">
        <x:v>45788</x:v>
      </x:c>
      <x:c r="E2776" s="8" t="str">
        <x:v>BROOK TROUT</x:v>
      </x:c>
      <x:c r="F2776" s="13" t="n">
        <x:v>590</x:v>
      </x:c>
      <x:c r="G2776" s="9" t="n">
        <x:v>19.4</x:v>
      </x:c>
      <x:c r="H2776" s="9" t="n">
        <x:v>78.3</x:v>
      </x:c>
      <x:c r="I2776" s="8" t="str">
        <x:f>B2776&amp;" / "&amp;C2776&amp;" / "&amp;E2776</x:f>
        <x:v>328085 / 2025 / BROOK TROUT</x:v>
      </x:c>
    </x:row>
    <x:row r="2777" ht="23" customHeight="1">
      <x:c r="A2777" s="8" t="str">
        <x:v>Shell True North Pond</x:v>
      </x:c>
      <x:c r="B2777" s="8" t="str">
        <x:v>328085</x:v>
      </x:c>
      <x:c r="C2777" s="17" t="n">
        <x:v>2025</x:v>
      </x:c>
      <x:c r="D2777" s="18" t="n">
        <x:v>45791</x:v>
      </x:c>
      <x:c r="E2777" s="8" t="str">
        <x:v>TIGER TROUT</x:v>
      </x:c>
      <x:c r="F2777" s="13" t="n">
        <x:v>50</x:v>
      </x:c>
      <x:c r="G2777" s="9" t="n">
        <x:v>23.9</x:v>
      </x:c>
      <x:c r="H2777" s="9" t="n">
        <x:v>151.4</x:v>
      </x:c>
      <x:c r="I2777" s="8" t="str">
        <x:f>B2777&amp;" / "&amp;C2777&amp;" / "&amp;E2777</x:f>
        <x:v>328085 / 2025 / TIGER TROUT</x:v>
      </x:c>
    </x:row>
    <x:row r="2778" ht="23" customHeight="1">
      <x:c r="A2778" s="8" t="str">
        <x:v>Shell True North Pond</x:v>
      </x:c>
      <x:c r="B2778" s="8" t="str">
        <x:v>328085</x:v>
      </x:c>
      <x:c r="C2778" s="17" t="n">
        <x:v>2024</x:v>
      </x:c>
      <x:c r="D2778" s="18" t="n">
        <x:v>45420</x:v>
      </x:c>
      <x:c r="E2778" s="8" t="str">
        <x:v>BROOK TROUT</x:v>
      </x:c>
      <x:c r="F2778" s="13" t="n">
        <x:v>590</x:v>
      </x:c>
      <x:c r="G2778" s="9" t="n">
        <x:v>19.8</x:v>
      </x:c>
      <x:c r="H2778" s="9" t="n">
        <x:v>83.6</x:v>
      </x:c>
      <x:c r="I2778" s="8" t="str">
        <x:f>B2778&amp;" / "&amp;C2778&amp;" / "&amp;E2778</x:f>
        <x:v>328085 / 2024 / BROOK TROUT</x:v>
      </x:c>
    </x:row>
    <x:row r="2779" ht="23" customHeight="1">
      <x:c r="A2779" s="8" t="str">
        <x:v>Shell True North Pond</x:v>
      </x:c>
      <x:c r="B2779" s="8" t="str">
        <x:v>328085</x:v>
      </x:c>
      <x:c r="C2779" s="17" t="n">
        <x:v>2024</x:v>
      </x:c>
      <x:c r="D2779" s="18" t="n">
        <x:v>45420</x:v>
      </x:c>
      <x:c r="E2779" s="8" t="str">
        <x:v>TIGER TROUT</x:v>
      </x:c>
      <x:c r="F2779" s="13" t="n">
        <x:v>50</x:v>
      </x:c>
      <x:c r="G2779" s="9" t="n">
        <x:v>19.2</x:v>
      </x:c>
      <x:c r="H2779" s="9" t="n">
        <x:v>76</x:v>
      </x:c>
      <x:c r="I2779" s="8" t="str">
        <x:f>B2779&amp;" / "&amp;C2779&amp;" / "&amp;E2779</x:f>
        <x:v>328085 / 2024 / TIGER TROUT</x:v>
      </x:c>
    </x:row>
    <x:row r="2780" ht="23" customHeight="1">
      <x:c r="A2780" s="8" t="str">
        <x:v>Shell True North Pond</x:v>
      </x:c>
      <x:c r="B2780" s="8" t="str">
        <x:v>328085</x:v>
      </x:c>
      <x:c r="C2780" s="17" t="n">
        <x:v>2023</x:v>
      </x:c>
      <x:c r="D2780" s="18" t="n">
        <x:v>45055</x:v>
      </x:c>
      <x:c r="E2780" s="8" t="str">
        <x:v>BROOK TROUT</x:v>
      </x:c>
      <x:c r="F2780" s="13" t="n">
        <x:v>590</x:v>
      </x:c>
      <x:c r="G2780" s="9" t="n">
        <x:v>19.3</x:v>
      </x:c>
      <x:c r="H2780" s="9" t="n">
        <x:v>79.7</x:v>
      </x:c>
      <x:c r="I2780" s="8" t="str">
        <x:f>B2780&amp;" / "&amp;C2780&amp;" / "&amp;E2780</x:f>
        <x:v>328085 / 2023 / BROOK TROUT</x:v>
      </x:c>
    </x:row>
    <x:row r="2781" ht="23" customHeight="1">
      <x:c r="A2781" s="8" t="str">
        <x:v>Shell True North Pond</x:v>
      </x:c>
      <x:c r="B2781" s="8" t="str">
        <x:v>328085</x:v>
      </x:c>
      <x:c r="C2781" s="17" t="n">
        <x:v>2023</x:v>
      </x:c>
      <x:c r="D2781" s="18" t="n">
        <x:v>45055</x:v>
      </x:c>
      <x:c r="E2781" s="8" t="str">
        <x:v>TIGER TROUT</x:v>
      </x:c>
      <x:c r="F2781" s="13" t="n">
        <x:v>50</x:v>
      </x:c>
      <x:c r="G2781" s="9" t="n">
        <x:v>21.4</x:v>
      </x:c>
      <x:c r="H2781" s="9" t="n">
        <x:v>108</x:v>
      </x:c>
      <x:c r="I2781" s="8" t="str">
        <x:f>B2781&amp;" / "&amp;C2781&amp;" / "&amp;E2781</x:f>
        <x:v>328085 / 2023 / TIGER TROUT</x:v>
      </x:c>
    </x:row>
    <x:row r="2782" ht="23" customHeight="1">
      <x:c r="A2782" s="8" t="str">
        <x:v>Shell True North Pond</x:v>
      </x:c>
      <x:c r="B2782" s="8" t="str">
        <x:v>328085</x:v>
      </x:c>
      <x:c r="C2782" s="17" t="n">
        <x:v>2022</x:v>
      </x:c>
      <x:c r="D2782" s="18" t="n">
        <x:v>44699</x:v>
      </x:c>
      <x:c r="E2782" s="8" t="str">
        <x:v>BROOK TROUT</x:v>
      </x:c>
      <x:c r="F2782" s="13" t="n">
        <x:v>590</x:v>
      </x:c>
      <x:c r="G2782" s="9" t="n">
        <x:v>19.9</x:v>
      </x:c>
      <x:c r="H2782" s="9" t="n">
        <x:v>87.7</x:v>
      </x:c>
      <x:c r="I2782" s="8" t="str">
        <x:f>B2782&amp;" / "&amp;C2782&amp;" / "&amp;E2782</x:f>
        <x:v>328085 / 2022 / BROOK TROUT</x:v>
      </x:c>
    </x:row>
    <x:row r="2783" ht="23" customHeight="1">
      <x:c r="A2783" s="8" t="str">
        <x:v>Shell True North Pond</x:v>
      </x:c>
      <x:c r="B2783" s="8" t="str">
        <x:v>328085</x:v>
      </x:c>
      <x:c r="C2783" s="17" t="n">
        <x:v>2022</x:v>
      </x:c>
      <x:c r="D2783" s="18" t="n">
        <x:v>44699</x:v>
      </x:c>
      <x:c r="E2783" s="8" t="str">
        <x:v>TIGER TROUT</x:v>
      </x:c>
      <x:c r="F2783" s="13" t="n">
        <x:v>50</x:v>
      </x:c>
      <x:c r="G2783" s="9" t="n">
        <x:v>17.7</x:v>
      </x:c>
      <x:c r="H2783" s="9" t="n">
        <x:v>61.6</x:v>
      </x:c>
      <x:c r="I2783" s="8" t="str">
        <x:f>B2783&amp;" / "&amp;C2783&amp;" / "&amp;E2783</x:f>
        <x:v>328085 / 2022 / TIGER TROUT</x:v>
      </x:c>
    </x:row>
    <x:row r="2784" ht="23" customHeight="1">
      <x:c r="A2784" s="8" t="str">
        <x:v>Shell True North Pond</x:v>
      </x:c>
      <x:c r="B2784" s="8" t="str">
        <x:v>328085</x:v>
      </x:c>
      <x:c r="C2784" s="17" t="n">
        <x:v>2021</x:v>
      </x:c>
      <x:c r="D2784" s="18" t="n">
        <x:v>44332</x:v>
      </x:c>
      <x:c r="E2784" s="8" t="str">
        <x:v>BROOK TROUT</x:v>
      </x:c>
      <x:c r="F2784" s="13" t="n">
        <x:v>590</x:v>
      </x:c>
      <x:c r="G2784" s="9" t="n">
        <x:v>20</x:v>
      </x:c>
      <x:c r="H2784" s="9" t="n">
        <x:v>89.1</x:v>
      </x:c>
      <x:c r="I2784" s="8" t="str">
        <x:f>B2784&amp;" / "&amp;C2784&amp;" / "&amp;E2784</x:f>
        <x:v>328085 / 2021 / BROOK TROUT</x:v>
      </x:c>
    </x:row>
    <x:row r="2785" ht="23" customHeight="1">
      <x:c r="A2785" s="8" t="str">
        <x:v>Shell True North Pond</x:v>
      </x:c>
      <x:c r="B2785" s="8" t="str">
        <x:v>328085</x:v>
      </x:c>
      <x:c r="C2785" s="17" t="n">
        <x:v>2021</x:v>
      </x:c>
      <x:c r="D2785" s="18" t="n">
        <x:v>44332</x:v>
      </x:c>
      <x:c r="E2785" s="8" t="str">
        <x:v>TIGER TROUT</x:v>
      </x:c>
      <x:c r="F2785" s="13" t="n">
        <x:v>50</x:v>
      </x:c>
      <x:c r="G2785" s="9" t="n">
        <x:v>15.9</x:v>
      </x:c>
      <x:c r="H2785" s="9" t="n">
        <x:v>44.8</x:v>
      </x:c>
      <x:c r="I2785" s="8" t="str">
        <x:f>B2785&amp;" / "&amp;C2785&amp;" / "&amp;E2785</x:f>
        <x:v>328085 / 2021 / TIGER TROUT</x:v>
      </x:c>
    </x:row>
    <x:row r="2786" ht="23" customHeight="1">
      <x:c r="A2786" s="8" t="str">
        <x:v>Shemeluk Lake</x:v>
      </x:c>
      <x:c r="B2786" s="8" t="str">
        <x:v>6699</x:v>
      </x:c>
      <x:c r="C2786" s="17" t="n">
        <x:v>2026</x:v>
      </x:c>
      <x:c r="D2786" s="18" t="n">
        <x:v>46156</x:v>
      </x:c>
      <x:c r="E2786" s="8" t="str">
        <x:v>RAINBOW TROUT</x:v>
      </x:c>
      <x:c r="F2786" s="13" t="n">
        <x:v>6000</x:v>
      </x:c>
      <x:c r="G2786" s="9" t="n">
        <x:v>18.9</x:v>
      </x:c>
      <x:c r="H2786" s="9" t="n">
        <x:v>74.7</x:v>
      </x:c>
      <x:c r="I2786" s="8" t="str">
        <x:f>B2786&amp;" / "&amp;C2786&amp;" / "&amp;E2786</x:f>
        <x:v>6699 / 2026 / RAINBOW TROUT</x:v>
      </x:c>
    </x:row>
    <x:row r="2787" ht="23" customHeight="1">
      <x:c r="A2787" s="8" t="str">
        <x:v>Shemeluk Lake</x:v>
      </x:c>
      <x:c r="B2787" s="8" t="str">
        <x:v>6699</x:v>
      </x:c>
      <x:c r="C2787" s="17" t="n">
        <x:v>2025</x:v>
      </x:c>
      <x:c r="D2787" s="18" t="n">
        <x:v>45782</x:v>
      </x:c>
      <x:c r="E2787" s="8" t="str">
        <x:v>RAINBOW TROUT</x:v>
      </x:c>
      <x:c r="F2787" s="13" t="n">
        <x:v>6000</x:v>
      </x:c>
      <x:c r="G2787" s="9" t="n">
        <x:v>22.3</x:v>
      </x:c>
      <x:c r="H2787" s="9" t="n">
        <x:v>123.5</x:v>
      </x:c>
      <x:c r="I2787" s="8" t="str">
        <x:f>B2787&amp;" / "&amp;C2787&amp;" / "&amp;E2787</x:f>
        <x:v>6699 / 2025 / RAINBOW TROUT</x:v>
      </x:c>
    </x:row>
    <x:row r="2788" ht="23" customHeight="1">
      <x:c r="A2788" s="8" t="str">
        <x:v>Shemeluk Lake</x:v>
      </x:c>
      <x:c r="B2788" s="8" t="str">
        <x:v>6699</x:v>
      </x:c>
      <x:c r="C2788" s="17" t="n">
        <x:v>2024</x:v>
      </x:c>
      <x:c r="D2788" s="18" t="n">
        <x:v>45414</x:v>
      </x:c>
      <x:c r="E2788" s="8" t="str">
        <x:v>RAINBOW TROUT</x:v>
      </x:c>
      <x:c r="F2788" s="13" t="n">
        <x:v>4200</x:v>
      </x:c>
      <x:c r="G2788" s="9" t="n">
        <x:v>18.6</x:v>
      </x:c>
      <x:c r="H2788" s="9" t="n">
        <x:v>69.6</x:v>
      </x:c>
      <x:c r="I2788" s="8" t="str">
        <x:f>B2788&amp;" / "&amp;C2788&amp;" / "&amp;E2788</x:f>
        <x:v>6699 / 2024 / RAINBOW TROUT</x:v>
      </x:c>
    </x:row>
    <x:row r="2789" ht="23" customHeight="1">
      <x:c r="A2789" s="8" t="str">
        <x:v>Shemeluk Lake</x:v>
      </x:c>
      <x:c r="B2789" s="8" t="str">
        <x:v>6699</x:v>
      </x:c>
      <x:c r="C2789" s="17" t="n">
        <x:v>2023</x:v>
      </x:c>
      <x:c r="D2789" s="18" t="n">
        <x:v>45063</x:v>
      </x:c>
      <x:c r="E2789" s="8" t="str">
        <x:v>RAINBOW TROUT</x:v>
      </x:c>
      <x:c r="F2789" s="13" t="n">
        <x:v>2790</x:v>
      </x:c>
      <x:c r="G2789" s="9" t="n">
        <x:v>17</x:v>
      </x:c>
      <x:c r="H2789" s="9" t="n">
        <x:v>53</x:v>
      </x:c>
      <x:c r="I2789" s="8" t="str">
        <x:f>B2789&amp;" / "&amp;C2789&amp;" / "&amp;E2789</x:f>
        <x:v>6699 / 2023 / RAINBOW TROUT</x:v>
      </x:c>
    </x:row>
    <x:row r="2790" ht="23" customHeight="1">
      <x:c r="A2790" s="8" t="str">
        <x:v>Shemeluk Lake</x:v>
      </x:c>
      <x:c r="B2790" s="8" t="str">
        <x:v>6699</x:v>
      </x:c>
      <x:c r="C2790" s="17" t="n">
        <x:v>2022</x:v>
      </x:c>
      <x:c r="D2790" s="18" t="n">
        <x:v>44707</x:v>
      </x:c>
      <x:c r="E2790" s="8" t="str">
        <x:v>RAINBOW TROUT</x:v>
      </x:c>
      <x:c r="F2790" s="13" t="n">
        <x:v>6000</x:v>
      </x:c>
      <x:c r="G2790" s="9" t="n">
        <x:v>17</x:v>
      </x:c>
      <x:c r="H2790" s="9" t="n">
        <x:v>54.2</x:v>
      </x:c>
      <x:c r="I2790" s="8" t="str">
        <x:f>B2790&amp;" / "&amp;C2790&amp;" / "&amp;E2790</x:f>
        <x:v>6699 / 2022 / RAINBOW TROUT</x:v>
      </x:c>
    </x:row>
    <x:row r="2791" ht="23" customHeight="1">
      <x:c r="A2791" s="8" t="str">
        <x:v>Shemeluk Lake</x:v>
      </x:c>
      <x:c r="B2791" s="8" t="str">
        <x:v>6699</x:v>
      </x:c>
      <x:c r="C2791" s="17" t="n">
        <x:v>2021</x:v>
      </x:c>
      <x:c r="D2791" s="18" t="n">
        <x:v>44322</x:v>
      </x:c>
      <x:c r="E2791" s="8" t="str">
        <x:v>RAINBOW TROUT</x:v>
      </x:c>
      <x:c r="F2791" s="13" t="n">
        <x:v>6000</x:v>
      </x:c>
      <x:c r="G2791" s="9" t="n">
        <x:v>17.8</x:v>
      </x:c>
      <x:c r="H2791" s="9" t="n">
        <x:v>63</x:v>
      </x:c>
      <x:c r="I2791" s="8" t="str">
        <x:f>B2791&amp;" / "&amp;C2791&amp;" / "&amp;E2791</x:f>
        <x:v>6699 / 2021 / RAINBOW TROUT</x:v>
      </x:c>
    </x:row>
    <x:row r="2792" ht="23" customHeight="1">
      <x:c r="A2792" s="8" t="str">
        <x:v>Sherburne Reservoir</x:v>
      </x:c>
      <x:c r="B2792" s="8" t="str">
        <x:v>5790</x:v>
      </x:c>
      <x:c r="C2792" s="17" t="n">
        <x:v>2024</x:v>
      </x:c>
      <x:c r="D2792" s="18" t="n">
        <x:v>45441</x:v>
      </x:c>
      <x:c r="E2792" s="8" t="str">
        <x:v>WALLEYE</x:v>
      </x:c>
      <x:c r="F2792" s="13" t="n">
        <x:v>500000</x:v>
      </x:c>
      <x:c r="G2792" s="9" t="n">
        <x:v>0</x:v>
      </x:c>
      <x:c r="H2792" s="9" t="str">
        <x:v>Unknown</x:v>
      </x:c>
      <x:c r="I2792" s="8" t="str">
        <x:f>B2792&amp;" / "&amp;C2792&amp;" / "&amp;E2792</x:f>
        <x:v>5790 / 2024 / WALLEYE</x:v>
      </x:c>
    </x:row>
    <x:row r="2793" ht="23" customHeight="1">
      <x:c r="A2793" s="8" t="str">
        <x:v>Shuster Lake</x:v>
      </x:c>
      <x:c r="B2793" s="8" t="str">
        <x:v>6688</x:v>
      </x:c>
      <x:c r="C2793" s="17" t="n">
        <x:v>2026</x:v>
      </x:c>
      <x:c r="D2793" s="18" t="n">
        <x:v>46154</x:v>
      </x:c>
      <x:c r="E2793" s="8" t="str">
        <x:v>BROOK TROUT</x:v>
      </x:c>
      <x:c r="F2793" s="13" t="n">
        <x:v>7000</x:v>
      </x:c>
      <x:c r="G2793" s="9" t="n">
        <x:v>20.1</x:v>
      </x:c>
      <x:c r="H2793" s="9" t="n">
        <x:v>89.8</x:v>
      </x:c>
      <x:c r="I2793" s="8" t="str">
        <x:f>B2793&amp;" / "&amp;C2793&amp;" / "&amp;E2793</x:f>
        <x:v>6688 / 2026 / BROOK TROUT</x:v>
      </x:c>
    </x:row>
    <x:row r="2794" ht="23" customHeight="1">
      <x:c r="A2794" s="8" t="str">
        <x:v>Shuster Lake</x:v>
      </x:c>
      <x:c r="B2794" s="8" t="str">
        <x:v>6688</x:v>
      </x:c>
      <x:c r="C2794" s="17" t="n">
        <x:v>2025</x:v>
      </x:c>
      <x:c r="D2794" s="18" t="n">
        <x:v>45777</x:v>
      </x:c>
      <x:c r="E2794" s="8" t="str">
        <x:v>BROOK TROUT</x:v>
      </x:c>
      <x:c r="F2794" s="13" t="n">
        <x:v>6000</x:v>
      </x:c>
      <x:c r="G2794" s="9" t="n">
        <x:v>19.6</x:v>
      </x:c>
      <x:c r="H2794" s="9" t="n">
        <x:v>81</x:v>
      </x:c>
      <x:c r="I2794" s="8" t="str">
        <x:f>B2794&amp;" / "&amp;C2794&amp;" / "&amp;E2794</x:f>
        <x:v>6688 / 2025 / BROOK TROUT</x:v>
      </x:c>
    </x:row>
    <x:row r="2795" ht="23" customHeight="1">
      <x:c r="A2795" s="8" t="str">
        <x:v>Shuster Lake</x:v>
      </x:c>
      <x:c r="B2795" s="8" t="str">
        <x:v>6688</x:v>
      </x:c>
      <x:c r="C2795" s="17" t="n">
        <x:v>2024</x:v>
      </x:c>
      <x:c r="D2795" s="18" t="n">
        <x:v>45406</x:v>
      </x:c>
      <x:c r="E2795" s="8" t="str">
        <x:v>BROOK TROUT</x:v>
      </x:c>
      <x:c r="F2795" s="13" t="n">
        <x:v>3500</x:v>
      </x:c>
      <x:c r="G2795" s="9" t="n">
        <x:v>18.5</x:v>
      </x:c>
      <x:c r="H2795" s="9" t="n">
        <x:v>70.1</x:v>
      </x:c>
      <x:c r="I2795" s="8" t="str">
        <x:f>B2795&amp;" / "&amp;C2795&amp;" / "&amp;E2795</x:f>
        <x:v>6688 / 2024 / BROOK TROUT</x:v>
      </x:c>
    </x:row>
    <x:row r="2796" ht="23" customHeight="1">
      <x:c r="A2796" s="8" t="str">
        <x:v>Shuster Lake</x:v>
      </x:c>
      <x:c r="B2796" s="8" t="str">
        <x:v>6688</x:v>
      </x:c>
      <x:c r="C2796" s="17" t="n">
        <x:v>2023</x:v>
      </x:c>
      <x:c r="D2796" s="18" t="n">
        <x:v>45077</x:v>
      </x:c>
      <x:c r="E2796" s="8" t="str">
        <x:v>BROOK TROUT</x:v>
      </x:c>
      <x:c r="F2796" s="13" t="n">
        <x:v>1500</x:v>
      </x:c>
      <x:c r="G2796" s="9" t="n">
        <x:v>21.4</x:v>
      </x:c>
      <x:c r="H2796" s="9" t="n">
        <x:v>92.7</x:v>
      </x:c>
      <x:c r="I2796" s="8" t="str">
        <x:f>B2796&amp;" / "&amp;C2796&amp;" / "&amp;E2796</x:f>
        <x:v>6688 / 2023 / BROOK TROUT</x:v>
      </x:c>
    </x:row>
    <x:row r="2797" ht="23" customHeight="1">
      <x:c r="A2797" s="8" t="str">
        <x:v>Shuster Lake</x:v>
      </x:c>
      <x:c r="B2797" s="8" t="str">
        <x:v>6688</x:v>
      </x:c>
      <x:c r="C2797" s="17" t="n">
        <x:v>2023</x:v>
      </x:c>
      <x:c r="D2797" s="18" t="n">
        <x:v>45076</x:v>
      </x:c>
      <x:c r="E2797" s="8" t="str">
        <x:v>BROOK TROUT</x:v>
      </x:c>
      <x:c r="F2797" s="13" t="n">
        <x:v>1500</x:v>
      </x:c>
      <x:c r="G2797" s="9" t="n">
        <x:v>21.4</x:v>
      </x:c>
      <x:c r="H2797" s="9" t="n">
        <x:v>92.7</x:v>
      </x:c>
      <x:c r="I2797" s="8" t="str">
        <x:f>B2797&amp;" / "&amp;C2797&amp;" / "&amp;E2797</x:f>
        <x:v>6688 / 2023 / BROOK TROUT</x:v>
      </x:c>
    </x:row>
    <x:row r="2798" ht="23" customHeight="1">
      <x:c r="A2798" s="8" t="str">
        <x:v>Shuster Lake</x:v>
      </x:c>
      <x:c r="B2798" s="8" t="str">
        <x:v>6688</x:v>
      </x:c>
      <x:c r="C2798" s="17" t="n">
        <x:v>2022</x:v>
      </x:c>
      <x:c r="D2798" s="18" t="n">
        <x:v>44825</x:v>
      </x:c>
      <x:c r="E2798" s="8" t="str">
        <x:v>BROOK TROUT</x:v>
      </x:c>
      <x:c r="F2798" s="13" t="n">
        <x:v>5000</x:v>
      </x:c>
      <x:c r="G2798" s="9" t="n">
        <x:v>16.2</x:v>
      </x:c>
      <x:c r="H2798" s="9" t="n">
        <x:v>46.7</x:v>
      </x:c>
      <x:c r="I2798" s="8" t="str">
        <x:f>B2798&amp;" / "&amp;C2798&amp;" / "&amp;E2798</x:f>
        <x:v>6688 / 2022 / BROOK TROUT</x:v>
      </x:c>
    </x:row>
    <x:row r="2799" ht="23" customHeight="1">
      <x:c r="A2799" s="8" t="str">
        <x:v>Shuster Lake</x:v>
      </x:c>
      <x:c r="B2799" s="8" t="str">
        <x:v>6688</x:v>
      </x:c>
      <x:c r="C2799" s="17" t="n">
        <x:v>2022</x:v>
      </x:c>
      <x:c r="D2799" s="18" t="n">
        <x:v>44691</x:v>
      </x:c>
      <x:c r="E2799" s="8" t="str">
        <x:v>BROOK TROUT</x:v>
      </x:c>
      <x:c r="F2799" s="13" t="n">
        <x:v>6000</x:v>
      </x:c>
      <x:c r="G2799" s="9" t="n">
        <x:v>19.5</x:v>
      </x:c>
      <x:c r="H2799" s="9" t="n">
        <x:v>82.1</x:v>
      </x:c>
      <x:c r="I2799" s="8" t="str">
        <x:f>B2799&amp;" / "&amp;C2799&amp;" / "&amp;E2799</x:f>
        <x:v>6688 / 2022 / BROOK TROUT</x:v>
      </x:c>
    </x:row>
    <x:row r="2800" ht="23" customHeight="1">
      <x:c r="A2800" s="8" t="str">
        <x:v>Shuster Lake</x:v>
      </x:c>
      <x:c r="B2800" s="8" t="str">
        <x:v>6688</x:v>
      </x:c>
      <x:c r="C2800" s="17" t="n">
        <x:v>2021</x:v>
      </x:c>
      <x:c r="D2800" s="18" t="n">
        <x:v>44315</x:v>
      </x:c>
      <x:c r="E2800" s="8" t="str">
        <x:v>BROOK TROUT</x:v>
      </x:c>
      <x:c r="F2800" s="13" t="n">
        <x:v>6000</x:v>
      </x:c>
      <x:c r="G2800" s="9" t="n">
        <x:v>19.2</x:v>
      </x:c>
      <x:c r="H2800" s="9" t="n">
        <x:v>78.8</x:v>
      </x:c>
      <x:c r="I2800" s="8" t="str">
        <x:f>B2800&amp;" / "&amp;C2800&amp;" / "&amp;E2800</x:f>
        <x:v>6688 / 2021 / BROOK TROUT</x:v>
      </x:c>
    </x:row>
    <x:row r="2801" ht="23" customHeight="1">
      <x:c r="A2801" s="8" t="str">
        <x:v>Sibbald Lake</x:v>
      </x:c>
      <x:c r="B2801" s="8" t="str">
        <x:v>5805</x:v>
      </x:c>
      <x:c r="C2801" s="17" t="n">
        <x:v>2026</x:v>
      </x:c>
      <x:c r="D2801" s="18" t="n">
        <x:v>46225</x:v>
      </x:c>
      <x:c r="E2801" s="8" t="str">
        <x:v>RAINBOW TROUT</x:v>
      </x:c>
      <x:c r="F2801" s="13" t="n">
        <x:v>1000</x:v>
      </x:c>
      <x:c r="G2801" s="9" t="n">
        <x:v>22.9</x:v>
      </x:c>
      <x:c r="H2801" s="9" t="n">
        <x:v>129.7</x:v>
      </x:c>
      <x:c r="I2801" s="8" t="str">
        <x:f>B2801&amp;" / "&amp;C2801&amp;" / "&amp;E2801</x:f>
        <x:v>5805 / 2026 / RAINBOW TROUT</x:v>
      </x:c>
    </x:row>
    <x:row r="2802" ht="23" customHeight="1">
      <x:c r="A2802" s="8" t="str">
        <x:v>Sibbald Lake</x:v>
      </x:c>
      <x:c r="B2802" s="8" t="str">
        <x:v>5805</x:v>
      </x:c>
      <x:c r="C2802" s="17" t="n">
        <x:v>2026</x:v>
      </x:c>
      <x:c r="D2802" s="18" t="n">
        <x:v>46156</x:v>
      </x:c>
      <x:c r="E2802" s="8" t="str">
        <x:v>RAINBOW TROUT</x:v>
      </x:c>
      <x:c r="F2802" s="13" t="n">
        <x:v>1130</x:v>
      </x:c>
      <x:c r="G2802" s="9" t="n">
        <x:v>20.3</x:v>
      </x:c>
      <x:c r="H2802" s="9" t="n">
        <x:v>90.7</x:v>
      </x:c>
      <x:c r="I2802" s="8" t="str">
        <x:f>B2802&amp;" / "&amp;C2802&amp;" / "&amp;E2802</x:f>
        <x:v>5805 / 2026 / RAINBOW TROUT</x:v>
      </x:c>
    </x:row>
    <x:row r="2803" ht="23" customHeight="1">
      <x:c r="A2803" s="8" t="str">
        <x:v>Sibbald Lake</x:v>
      </x:c>
      <x:c r="B2803" s="8" t="str">
        <x:v>5805</x:v>
      </x:c>
      <x:c r="C2803" s="17" t="n">
        <x:v>2025</x:v>
      </x:c>
      <x:c r="D2803" s="18" t="n">
        <x:v>45932</x:v>
      </x:c>
      <x:c r="E2803" s="8" t="str">
        <x:v>RAINBOW TROUT</x:v>
      </x:c>
      <x:c r="F2803" s="13" t="n">
        <x:v>579</x:v>
      </x:c>
      <x:c r="G2803" s="9" t="n">
        <x:v>20.4</x:v>
      </x:c>
      <x:c r="H2803" s="9" t="n">
        <x:v>91.3</x:v>
      </x:c>
      <x:c r="I2803" s="8" t="str">
        <x:f>B2803&amp;" / "&amp;C2803&amp;" / "&amp;E2803</x:f>
        <x:v>5805 / 2025 / RAINBOW TROUT</x:v>
      </x:c>
    </x:row>
    <x:row r="2804" ht="23" customHeight="1">
      <x:c r="A2804" s="8" t="str">
        <x:v>Sibbald Lake</x:v>
      </x:c>
      <x:c r="B2804" s="8" t="str">
        <x:v>5805</x:v>
      </x:c>
      <x:c r="C2804" s="17" t="n">
        <x:v>2025</x:v>
      </x:c>
      <x:c r="D2804" s="18" t="n">
        <x:v>45932</x:v>
      </x:c>
      <x:c r="E2804" s="8" t="str">
        <x:v>RAINBOW TROUT</x:v>
      </x:c>
      <x:c r="F2804" s="13" t="n">
        <x:v>421</x:v>
      </x:c>
      <x:c r="G2804" s="9" t="n">
        <x:v>29.1</x:v>
      </x:c>
      <x:c r="H2804" s="9" t="n">
        <x:v>265.7</x:v>
      </x:c>
      <x:c r="I2804" s="8" t="str">
        <x:f>B2804&amp;" / "&amp;C2804&amp;" / "&amp;E2804</x:f>
        <x:v>5805 / 2025 / RAINBOW TROUT</x:v>
      </x:c>
    </x:row>
    <x:row r="2805" ht="23" customHeight="1">
      <x:c r="A2805" s="8" t="str">
        <x:v>Sibbald Meadows Pond</x:v>
      </x:c>
      <x:c r="B2805" s="8" t="str">
        <x:v>3486</x:v>
      </x:c>
      <x:c r="C2805" s="17" t="n">
        <x:v>2026</x:v>
      </x:c>
      <x:c r="D2805" s="18" t="n">
        <x:v>46225</x:v>
      </x:c>
      <x:c r="E2805" s="8" t="str">
        <x:v>RAINBOW TROUT</x:v>
      </x:c>
      <x:c r="F2805" s="13" t="n">
        <x:v>2000</x:v>
      </x:c>
      <x:c r="G2805" s="9" t="n">
        <x:v>22.9</x:v>
      </x:c>
      <x:c r="H2805" s="9" t="n">
        <x:v>129.7</x:v>
      </x:c>
      <x:c r="I2805" s="8" t="str">
        <x:f>B2805&amp;" / "&amp;C2805&amp;" / "&amp;E2805</x:f>
        <x:v>3486 / 2026 / RAINBOW TROUT</x:v>
      </x:c>
    </x:row>
    <x:row r="2806" ht="23" customHeight="1">
      <x:c r="A2806" s="8" t="str">
        <x:v>Sibbald Meadows Pond</x:v>
      </x:c>
      <x:c r="B2806" s="8" t="str">
        <x:v>3486</x:v>
      </x:c>
      <x:c r="C2806" s="17" t="n">
        <x:v>2026</x:v>
      </x:c>
      <x:c r="D2806" s="18" t="n">
        <x:v>46156</x:v>
      </x:c>
      <x:c r="E2806" s="8" t="str">
        <x:v>RAINBOW TROUT</x:v>
      </x:c>
      <x:c r="F2806" s="13" t="n">
        <x:v>1350</x:v>
      </x:c>
      <x:c r="G2806" s="9" t="n">
        <x:v>22.7</x:v>
      </x:c>
      <x:c r="H2806" s="9" t="n">
        <x:v>125.8</x:v>
      </x:c>
      <x:c r="I2806" s="8" t="str">
        <x:f>B2806&amp;" / "&amp;C2806&amp;" / "&amp;E2806</x:f>
        <x:v>3486 / 2026 / RAINBOW TROUT</x:v>
      </x:c>
    </x:row>
    <x:row r="2807" ht="23" customHeight="1">
      <x:c r="A2807" s="8" t="str">
        <x:v>Sibbald Meadows Pond</x:v>
      </x:c>
      <x:c r="B2807" s="8" t="str">
        <x:v>3486</x:v>
      </x:c>
      <x:c r="C2807" s="17" t="n">
        <x:v>2026</x:v>
      </x:c>
      <x:c r="D2807" s="18" t="n">
        <x:v>46156</x:v>
      </x:c>
      <x:c r="E2807" s="8" t="str">
        <x:v>RAINBOW TROUT</x:v>
      </x:c>
      <x:c r="F2807" s="13" t="n">
        <x:v>650</x:v>
      </x:c>
      <x:c r="G2807" s="9" t="n">
        <x:v>20.3</x:v>
      </x:c>
      <x:c r="H2807" s="9" t="n">
        <x:v>90.7</x:v>
      </x:c>
      <x:c r="I2807" s="8" t="str">
        <x:f>B2807&amp;" / "&amp;C2807&amp;" / "&amp;E2807</x:f>
        <x:v>3486 / 2026 / RAINBOW TROUT</x:v>
      </x:c>
    </x:row>
    <x:row r="2808" ht="23" customHeight="1">
      <x:c r="A2808" s="8" t="str">
        <x:v>Sibbald Meadows Pond</x:v>
      </x:c>
      <x:c r="B2808" s="8" t="str">
        <x:v>3486</x:v>
      </x:c>
      <x:c r="C2808" s="17" t="n">
        <x:v>2025</x:v>
      </x:c>
      <x:c r="D2808" s="18" t="n">
        <x:v>45812</x:v>
      </x:c>
      <x:c r="E2808" s="8" t="str">
        <x:v>RAINBOW TROUT</x:v>
      </x:c>
      <x:c r="F2808" s="13" t="n">
        <x:v>605</x:v>
      </x:c>
      <x:c r="G2808" s="9" t="n">
        <x:v>23.7</x:v>
      </x:c>
      <x:c r="H2808" s="9" t="n">
        <x:v>143.9</x:v>
      </x:c>
      <x:c r="I2808" s="8" t="str">
        <x:f>B2808&amp;" / "&amp;C2808&amp;" / "&amp;E2808</x:f>
        <x:v>3486 / 2025 / RAINBOW TROUT</x:v>
      </x:c>
    </x:row>
    <x:row r="2809" ht="23" customHeight="1">
      <x:c r="A2809" s="8" t="str">
        <x:v>Sibbald Meadows Pond</x:v>
      </x:c>
      <x:c r="B2809" s="8" t="str">
        <x:v>3486</x:v>
      </x:c>
      <x:c r="C2809" s="17" t="n">
        <x:v>2025</x:v>
      </x:c>
      <x:c r="D2809" s="18" t="n">
        <x:v>45812</x:v>
      </x:c>
      <x:c r="E2809" s="8" t="str">
        <x:v>RAINBOW TROUT</x:v>
      </x:c>
      <x:c r="F2809" s="13" t="n">
        <x:v>1395</x:v>
      </x:c>
      <x:c r="G2809" s="9" t="n">
        <x:v>20.6</x:v>
      </x:c>
      <x:c r="H2809" s="9" t="n">
        <x:v>95</x:v>
      </x:c>
      <x:c r="I2809" s="8" t="str">
        <x:f>B2809&amp;" / "&amp;C2809&amp;" / "&amp;E2809</x:f>
        <x:v>3486 / 2025 / RAINBOW TROUT</x:v>
      </x:c>
    </x:row>
    <x:row r="2810" ht="23" customHeight="1">
      <x:c r="A2810" s="8" t="str">
        <x:v>Sibbald Meadows Pond</x:v>
      </x:c>
      <x:c r="B2810" s="8" t="str">
        <x:v>3486</x:v>
      </x:c>
      <x:c r="C2810" s="17" t="n">
        <x:v>2025</x:v>
      </x:c>
      <x:c r="D2810" s="18" t="n">
        <x:v>45792</x:v>
      </x:c>
      <x:c r="E2810" s="8" t="str">
        <x:v>RAINBOW TROUT</x:v>
      </x:c>
      <x:c r="F2810" s="13" t="n">
        <x:v>2000</x:v>
      </x:c>
      <x:c r="G2810" s="9" t="n">
        <x:v>23.4</x:v>
      </x:c>
      <x:c r="H2810" s="9" t="n">
        <x:v>138.8</x:v>
      </x:c>
      <x:c r="I2810" s="8" t="str">
        <x:f>B2810&amp;" / "&amp;C2810&amp;" / "&amp;E2810</x:f>
        <x:v>3486 / 2025 / RAINBOW TROUT</x:v>
      </x:c>
    </x:row>
    <x:row r="2811" ht="23" customHeight="1">
      <x:c r="A2811" s="8" t="str">
        <x:v>Sibbald Meadows Pond</x:v>
      </x:c>
      <x:c r="B2811" s="8" t="str">
        <x:v>3486</x:v>
      </x:c>
      <x:c r="C2811" s="17" t="n">
        <x:v>2024</x:v>
      </x:c>
      <x:c r="D2811" s="18" t="n">
        <x:v>45448</x:v>
      </x:c>
      <x:c r="E2811" s="8" t="str">
        <x:v>RAINBOW TROUT</x:v>
      </x:c>
      <x:c r="F2811" s="13" t="n">
        <x:v>1322</x:v>
      </x:c>
      <x:c r="G2811" s="9" t="n">
        <x:v>23.1</x:v>
      </x:c>
      <x:c r="H2811" s="9" t="n">
        <x:v>132.5</x:v>
      </x:c>
      <x:c r="I2811" s="8" t="str">
        <x:f>B2811&amp;" / "&amp;C2811&amp;" / "&amp;E2811</x:f>
        <x:v>3486 / 2024 / RAINBOW TROUT</x:v>
      </x:c>
    </x:row>
    <x:row r="2812" ht="23" customHeight="1">
      <x:c r="A2812" s="8" t="str">
        <x:v>Sibbald Meadows Pond</x:v>
      </x:c>
      <x:c r="B2812" s="8" t="str">
        <x:v>3486</x:v>
      </x:c>
      <x:c r="C2812" s="17" t="n">
        <x:v>2024</x:v>
      </x:c>
      <x:c r="D2812" s="18" t="n">
        <x:v>45425</x:v>
      </x:c>
      <x:c r="E2812" s="8" t="str">
        <x:v>RAINBOW TROUT</x:v>
      </x:c>
      <x:c r="F2812" s="13" t="n">
        <x:v>1004</x:v>
      </x:c>
      <x:c r="G2812" s="9" t="n">
        <x:v>23.2</x:v>
      </x:c>
      <x:c r="H2812" s="9" t="n">
        <x:v>134</x:v>
      </x:c>
      <x:c r="I2812" s="8" t="str">
        <x:f>B2812&amp;" / "&amp;C2812&amp;" / "&amp;E2812</x:f>
        <x:v>3486 / 2024 / RAINBOW TROUT</x:v>
      </x:c>
    </x:row>
    <x:row r="2813" ht="23" customHeight="1">
      <x:c r="A2813" s="8" t="str">
        <x:v>Sibbald Meadows Pond</x:v>
      </x:c>
      <x:c r="B2813" s="8" t="str">
        <x:v>3486</x:v>
      </x:c>
      <x:c r="C2813" s="17" t="n">
        <x:v>2023</x:v>
      </x:c>
      <x:c r="D2813" s="18" t="n">
        <x:v>45089</x:v>
      </x:c>
      <x:c r="E2813" s="8" t="str">
        <x:v>RAINBOW TROUT</x:v>
      </x:c>
      <x:c r="F2813" s="13" t="n">
        <x:v>1500</x:v>
      </x:c>
      <x:c r="G2813" s="9" t="n">
        <x:v>21.3</x:v>
      </x:c>
      <x:c r="H2813" s="9" t="n">
        <x:v>105</x:v>
      </x:c>
      <x:c r="I2813" s="8" t="str">
        <x:f>B2813&amp;" / "&amp;C2813&amp;" / "&amp;E2813</x:f>
        <x:v>3486 / 2023 / RAINBOW TROUT</x:v>
      </x:c>
    </x:row>
    <x:row r="2814" ht="23" customHeight="1">
      <x:c r="A2814" s="8" t="str">
        <x:v>Sibbald Meadows Pond</x:v>
      </x:c>
      <x:c r="B2814" s="8" t="str">
        <x:v>3486</x:v>
      </x:c>
      <x:c r="C2814" s="17" t="n">
        <x:v>2023</x:v>
      </x:c>
      <x:c r="D2814" s="18" t="n">
        <x:v>45064</x:v>
      </x:c>
      <x:c r="E2814" s="8" t="str">
        <x:v>RAINBOW TROUT</x:v>
      </x:c>
      <x:c r="F2814" s="13" t="n">
        <x:v>1004</x:v>
      </x:c>
      <x:c r="G2814" s="9" t="n">
        <x:v>21.8</x:v>
      </x:c>
      <x:c r="H2814" s="9" t="n">
        <x:v>112</x:v>
      </x:c>
      <x:c r="I2814" s="8" t="str">
        <x:f>B2814&amp;" / "&amp;C2814&amp;" / "&amp;E2814</x:f>
        <x:v>3486 / 2023 / RAINBOW TROUT</x:v>
      </x:c>
    </x:row>
    <x:row r="2815" ht="23" customHeight="1">
      <x:c r="A2815" s="8" t="str">
        <x:v>Sibbald Meadows Pond</x:v>
      </x:c>
      <x:c r="B2815" s="8" t="str">
        <x:v>3486</x:v>
      </x:c>
      <x:c r="C2815" s="17" t="n">
        <x:v>2022</x:v>
      </x:c>
      <x:c r="D2815" s="18" t="n">
        <x:v>44732</x:v>
      </x:c>
      <x:c r="E2815" s="8" t="str">
        <x:v>RAINBOW TROUT</x:v>
      </x:c>
      <x:c r="F2815" s="13" t="n">
        <x:v>2000</x:v>
      </x:c>
      <x:c r="G2815" s="9" t="n">
        <x:v>22.9</x:v>
      </x:c>
      <x:c r="H2815" s="9" t="n">
        <x:v>131</x:v>
      </x:c>
      <x:c r="I2815" s="8" t="str">
        <x:f>B2815&amp;" / "&amp;C2815&amp;" / "&amp;E2815</x:f>
        <x:v>3486 / 2022 / RAINBOW TROUT</x:v>
      </x:c>
    </x:row>
    <x:row r="2816" ht="23" customHeight="1">
      <x:c r="A2816" s="8" t="str">
        <x:v>Sibbald Meadows Pond</x:v>
      </x:c>
      <x:c r="B2816" s="8" t="str">
        <x:v>3486</x:v>
      </x:c>
      <x:c r="C2816" s="17" t="n">
        <x:v>2022</x:v>
      </x:c>
      <x:c r="D2816" s="18" t="n">
        <x:v>44693</x:v>
      </x:c>
      <x:c r="E2816" s="8" t="str">
        <x:v>RAINBOW TROUT</x:v>
      </x:c>
      <x:c r="F2816" s="13" t="n">
        <x:v>2000</x:v>
      </x:c>
      <x:c r="G2816" s="9" t="n">
        <x:v>21.5</x:v>
      </x:c>
      <x:c r="H2816" s="9" t="n">
        <x:v>108.1</x:v>
      </x:c>
      <x:c r="I2816" s="8" t="str">
        <x:f>B2816&amp;" / "&amp;C2816&amp;" / "&amp;E2816</x:f>
        <x:v>3486 / 2022 / RAINBOW TROUT</x:v>
      </x:c>
    </x:row>
    <x:row r="2817" ht="23" customHeight="1">
      <x:c r="A2817" s="8" t="str">
        <x:v>Sibbald Meadows Pond</x:v>
      </x:c>
      <x:c r="B2817" s="8" t="str">
        <x:v>3486</x:v>
      </x:c>
      <x:c r="C2817" s="17" t="n">
        <x:v>2021</x:v>
      </x:c>
      <x:c r="D2817" s="18" t="n">
        <x:v>44370</x:v>
      </x:c>
      <x:c r="E2817" s="8" t="str">
        <x:v>RAINBOW TROUT</x:v>
      </x:c>
      <x:c r="F2817" s="13" t="n">
        <x:v>2000</x:v>
      </x:c>
      <x:c r="G2817" s="9" t="n">
        <x:v>23.1</x:v>
      </x:c>
      <x:c r="H2817" s="9" t="n">
        <x:v>136.1</x:v>
      </x:c>
      <x:c r="I2817" s="8" t="str">
        <x:f>B2817&amp;" / "&amp;C2817&amp;" / "&amp;E2817</x:f>
        <x:v>3486 / 2021 / RAINBOW TROUT</x:v>
      </x:c>
    </x:row>
    <x:row r="2818" ht="23" customHeight="1">
      <x:c r="A2818" s="8" t="str">
        <x:v>Sibbald Meadows Pond</x:v>
      </x:c>
      <x:c r="B2818" s="8" t="str">
        <x:v>3486</x:v>
      </x:c>
      <x:c r="C2818" s="17" t="n">
        <x:v>2021</x:v>
      </x:c>
      <x:c r="D2818" s="18" t="n">
        <x:v>44328</x:v>
      </x:c>
      <x:c r="E2818" s="8" t="str">
        <x:v>RAINBOW TROUT</x:v>
      </x:c>
      <x:c r="F2818" s="13" t="n">
        <x:v>2000</x:v>
      </x:c>
      <x:c r="G2818" s="9" t="n">
        <x:v>22.7</x:v>
      </x:c>
      <x:c r="H2818" s="9" t="n">
        <x:v>130.1</x:v>
      </x:c>
      <x:c r="I2818" s="8" t="str">
        <x:f>B2818&amp;" / "&amp;C2818&amp;" / "&amp;E2818</x:f>
        <x:v>3486 / 2021 / RAINBOW TROUT</x:v>
      </x:c>
    </x:row>
    <x:row r="2819" ht="23" customHeight="1">
      <x:c r="A2819" s="8" t="str">
        <x:v>Silkstone Lake</x:v>
      </x:c>
      <x:c r="B2819" s="8" t="str">
        <x:v>6651</x:v>
      </x:c>
      <x:c r="C2819" s="17" t="n">
        <x:v>2026</x:v>
      </x:c>
      <x:c r="D2819" s="18" t="n">
        <x:v>46168</x:v>
      </x:c>
      <x:c r="E2819" s="8" t="str">
        <x:v>RAINBOW TROUT</x:v>
      </x:c>
      <x:c r="F2819" s="13" t="n">
        <x:v>1300</x:v>
      </x:c>
      <x:c r="G2819" s="9" t="n">
        <x:v>20.7</x:v>
      </x:c>
      <x:c r="H2819" s="9" t="n">
        <x:v>95.2</x:v>
      </x:c>
      <x:c r="I2819" s="8" t="str">
        <x:f>B2819&amp;" / "&amp;C2819&amp;" / "&amp;E2819</x:f>
        <x:v>6651 / 2026 / RAINBOW TROUT</x:v>
      </x:c>
    </x:row>
    <x:row r="2820" ht="23" customHeight="1">
      <x:c r="A2820" s="8" t="str">
        <x:v>Silkstone Lake</x:v>
      </x:c>
      <x:c r="B2820" s="8" t="str">
        <x:v>6651</x:v>
      </x:c>
      <x:c r="C2820" s="17" t="n">
        <x:v>2025</x:v>
      </x:c>
      <x:c r="D2820" s="18" t="n">
        <x:v>45803</x:v>
      </x:c>
      <x:c r="E2820" s="8" t="str">
        <x:v>RAINBOW TROUT</x:v>
      </x:c>
      <x:c r="F2820" s="13" t="n">
        <x:v>1300</x:v>
      </x:c>
      <x:c r="G2820" s="9" t="n">
        <x:v>21.2</x:v>
      </x:c>
      <x:c r="H2820" s="9" t="n">
        <x:v>102.2</x:v>
      </x:c>
      <x:c r="I2820" s="8" t="str">
        <x:f>B2820&amp;" / "&amp;C2820&amp;" / "&amp;E2820</x:f>
        <x:v>6651 / 2025 / RAINBOW TROUT</x:v>
      </x:c>
    </x:row>
    <x:row r="2821" ht="23" customHeight="1">
      <x:c r="A2821" s="8" t="str">
        <x:v>Silkstone Lake</x:v>
      </x:c>
      <x:c r="B2821" s="8" t="str">
        <x:v>6651</x:v>
      </x:c>
      <x:c r="C2821" s="17" t="n">
        <x:v>2024</x:v>
      </x:c>
      <x:c r="D2821" s="18" t="n">
        <x:v>45435</x:v>
      </x:c>
      <x:c r="E2821" s="8" t="str">
        <x:v>RAINBOW TROUT</x:v>
      </x:c>
      <x:c r="F2821" s="13" t="n">
        <x:v>650</x:v>
      </x:c>
      <x:c r="G2821" s="9" t="n">
        <x:v>20.2</x:v>
      </x:c>
      <x:c r="H2821" s="9" t="n">
        <x:v>89.6</x:v>
      </x:c>
      <x:c r="I2821" s="8" t="str">
        <x:f>B2821&amp;" / "&amp;C2821&amp;" / "&amp;E2821</x:f>
        <x:v>6651 / 2024 / RAINBOW TROUT</x:v>
      </x:c>
    </x:row>
    <x:row r="2822" ht="23" customHeight="1">
      <x:c r="A2822" s="8" t="str">
        <x:v>Silkstone Lake</x:v>
      </x:c>
      <x:c r="B2822" s="8" t="str">
        <x:v>6651</x:v>
      </x:c>
      <x:c r="C2822" s="17" t="n">
        <x:v>2023</x:v>
      </x:c>
      <x:c r="D2822" s="18" t="n">
        <x:v>45201</x:v>
      </x:c>
      <x:c r="E2822" s="8" t="str">
        <x:v>RAINBOW TROUT</x:v>
      </x:c>
      <x:c r="F2822" s="13" t="n">
        <x:v>616</x:v>
      </x:c>
      <x:c r="G2822" s="9" t="n">
        <x:v>20.3</x:v>
      </x:c>
      <x:c r="H2822" s="9" t="n">
        <x:v>90.8</x:v>
      </x:c>
      <x:c r="I2822" s="8" t="str">
        <x:f>B2822&amp;" / "&amp;C2822&amp;" / "&amp;E2822</x:f>
        <x:v>6651 / 2023 / RAINBOW TROUT</x:v>
      </x:c>
    </x:row>
    <x:row r="2823" ht="23" customHeight="1">
      <x:c r="A2823" s="8" t="str">
        <x:v>Silkstone Lake</x:v>
      </x:c>
      <x:c r="B2823" s="8" t="str">
        <x:v>6651</x:v>
      </x:c>
      <x:c r="C2823" s="17" t="n">
        <x:v>2022</x:v>
      </x:c>
      <x:c r="D2823" s="18" t="n">
        <x:v>44706</x:v>
      </x:c>
      <x:c r="E2823" s="8" t="str">
        <x:v>RAINBOW TROUT</x:v>
      </x:c>
      <x:c r="F2823" s="13" t="n">
        <x:v>1300</x:v>
      </x:c>
      <x:c r="G2823" s="9" t="n">
        <x:v>18.9</x:v>
      </x:c>
      <x:c r="H2823" s="9" t="n">
        <x:v>73.3</x:v>
      </x:c>
      <x:c r="I2823" s="8" t="str">
        <x:f>B2823&amp;" / "&amp;C2823&amp;" / "&amp;E2823</x:f>
        <x:v>6651 / 2022 / RAINBOW TROUT</x:v>
      </x:c>
    </x:row>
    <x:row r="2824" ht="23" customHeight="1">
      <x:c r="A2824" s="8" t="str">
        <x:v>Silkstone Lake</x:v>
      </x:c>
      <x:c r="B2824" s="8" t="str">
        <x:v>6651</x:v>
      </x:c>
      <x:c r="C2824" s="17" t="n">
        <x:v>2021</x:v>
      </x:c>
      <x:c r="D2824" s="18" t="n">
        <x:v>44340</x:v>
      </x:c>
      <x:c r="E2824" s="8" t="str">
        <x:v>RAINBOW TROUT</x:v>
      </x:c>
      <x:c r="F2824" s="13" t="n">
        <x:v>1300</x:v>
      </x:c>
      <x:c r="G2824" s="9" t="n">
        <x:v>20.8</x:v>
      </x:c>
      <x:c r="H2824" s="9" t="n">
        <x:v>99</x:v>
      </x:c>
      <x:c r="I2824" s="8" t="str">
        <x:f>B2824&amp;" / "&amp;C2824&amp;" / "&amp;E2824</x:f>
        <x:v>6651 / 2021 / RAINBOW TROUT</x:v>
      </x:c>
    </x:row>
    <x:row r="2825" ht="23" customHeight="1">
      <x:c r="A2825" s="8" t="str">
        <x:v>Skeleton Lake</x:v>
      </x:c>
      <x:c r="B2825" s="8" t="str">
        <x:v>5820</x:v>
      </x:c>
      <x:c r="C2825" s="17" t="n">
        <x:v>2024</x:v>
      </x:c>
      <x:c r="D2825" s="18" t="n">
        <x:v>45445</x:v>
      </x:c>
      <x:c r="E2825" s="8" t="str">
        <x:v>WALLEYE</x:v>
      </x:c>
      <x:c r="F2825" s="13" t="n">
        <x:v>343091</x:v>
      </x:c>
      <x:c r="G2825" s="9" t="n">
        <x:v>0</x:v>
      </x:c>
      <x:c r="H2825" s="9" t="str">
        <x:v>Unknown</x:v>
      </x:c>
      <x:c r="I2825" s="8" t="str">
        <x:f>B2825&amp;" / "&amp;C2825&amp;" / "&amp;E2825</x:f>
        <x:v>5820 / 2024 / WALLEYE</x:v>
      </x:c>
    </x:row>
    <x:row r="2826" ht="23" customHeight="1">
      <x:c r="A2826" s="8" t="str">
        <x:v>Slawuta Lake</x:v>
      </x:c>
      <x:c r="B2826" s="8" t="str">
        <x:v>6890</x:v>
      </x:c>
      <x:c r="C2826" s="17" t="n">
        <x:v>2026</x:v>
      </x:c>
      <x:c r="D2826" s="18" t="n">
        <x:v>46156</x:v>
      </x:c>
      <x:c r="E2826" s="8" t="str">
        <x:v>RAINBOW TROUT</x:v>
      </x:c>
      <x:c r="F2826" s="13" t="n">
        <x:v>500</x:v>
      </x:c>
      <x:c r="G2826" s="9" t="n">
        <x:v>22.9</x:v>
      </x:c>
      <x:c r="H2826" s="9" t="n">
        <x:v>133.7</x:v>
      </x:c>
      <x:c r="I2826" s="8" t="str">
        <x:f>B2826&amp;" / "&amp;C2826&amp;" / "&amp;E2826</x:f>
        <x:v>6890 / 2026 / RAINBOW TROUT</x:v>
      </x:c>
    </x:row>
    <x:row r="2827" ht="23" customHeight="1">
      <x:c r="A2827" s="8" t="str">
        <x:v>Slawuta Lake</x:v>
      </x:c>
      <x:c r="B2827" s="8" t="str">
        <x:v>6890</x:v>
      </x:c>
      <x:c r="C2827" s="17" t="n">
        <x:v>2024</x:v>
      </x:c>
      <x:c r="D2827" s="18" t="n">
        <x:v>45415</x:v>
      </x:c>
      <x:c r="E2827" s="8" t="str">
        <x:v>RAINBOW TROUT</x:v>
      </x:c>
      <x:c r="F2827" s="13" t="n">
        <x:v>500</x:v>
      </x:c>
      <x:c r="G2827" s="9" t="n">
        <x:v>20.3</x:v>
      </x:c>
      <x:c r="H2827" s="9" t="n">
        <x:v>90.1</x:v>
      </x:c>
      <x:c r="I2827" s="8" t="str">
        <x:f>B2827&amp;" / "&amp;C2827&amp;" / "&amp;E2827</x:f>
        <x:v>6890 / 2024 / RAINBOW TROUT</x:v>
      </x:c>
    </x:row>
    <x:row r="2828" ht="23" customHeight="1">
      <x:c r="A2828" s="8" t="str">
        <x:v>Slawuta Lake</x:v>
      </x:c>
      <x:c r="B2828" s="8" t="str">
        <x:v>6890</x:v>
      </x:c>
      <x:c r="C2828" s="17" t="n">
        <x:v>2023</x:v>
      </x:c>
      <x:c r="D2828" s="18" t="n">
        <x:v>45050</x:v>
      </x:c>
      <x:c r="E2828" s="8" t="str">
        <x:v>RAINBOW TROUT</x:v>
      </x:c>
      <x:c r="F2828" s="13" t="n">
        <x:v>500</x:v>
      </x:c>
      <x:c r="G2828" s="9" t="n">
        <x:v>20.5</x:v>
      </x:c>
      <x:c r="H2828" s="9" t="n">
        <x:v>92.8</x:v>
      </x:c>
      <x:c r="I2828" s="8" t="str">
        <x:f>B2828&amp;" / "&amp;C2828&amp;" / "&amp;E2828</x:f>
        <x:v>6890 / 2023 / RAINBOW TROUT</x:v>
      </x:c>
    </x:row>
    <x:row r="2829" ht="23" customHeight="1">
      <x:c r="A2829" s="8" t="str">
        <x:v>Slawuta Lake</x:v>
      </x:c>
      <x:c r="B2829" s="8" t="str">
        <x:v>6890</x:v>
      </x:c>
      <x:c r="C2829" s="17" t="n">
        <x:v>2022</x:v>
      </x:c>
      <x:c r="D2829" s="18" t="n">
        <x:v>44696</x:v>
      </x:c>
      <x:c r="E2829" s="8" t="str">
        <x:v>RAINBOW TROUT</x:v>
      </x:c>
      <x:c r="F2829" s="13" t="n">
        <x:v>500</x:v>
      </x:c>
      <x:c r="G2829" s="9" t="n">
        <x:v>21.9</x:v>
      </x:c>
      <x:c r="H2829" s="9" t="n">
        <x:v>116.9</x:v>
      </x:c>
      <x:c r="I2829" s="8" t="str">
        <x:f>B2829&amp;" / "&amp;C2829&amp;" / "&amp;E2829</x:f>
        <x:v>6890 / 2022 / RAINBOW TROUT</x:v>
      </x:c>
    </x:row>
    <x:row r="2830" ht="23" customHeight="1">
      <x:c r="A2830" s="8" t="str">
        <x:v>Slawuta Lake</x:v>
      </x:c>
      <x:c r="B2830" s="8" t="str">
        <x:v>6890</x:v>
      </x:c>
      <x:c r="C2830" s="17" t="n">
        <x:v>2021</x:v>
      </x:c>
      <x:c r="D2830" s="18" t="n">
        <x:v>44312</x:v>
      </x:c>
      <x:c r="E2830" s="8" t="str">
        <x:v>RAINBOW TROUT</x:v>
      </x:c>
      <x:c r="F2830" s="13" t="n">
        <x:v>500</x:v>
      </x:c>
      <x:c r="G2830" s="9" t="n">
        <x:v>20.6</x:v>
      </x:c>
      <x:c r="H2830" s="9" t="n">
        <x:v>97.3</x:v>
      </x:c>
      <x:c r="I2830" s="8" t="str">
        <x:f>B2830&amp;" / "&amp;C2830&amp;" / "&amp;E2830</x:f>
        <x:v>6890 / 2021 / RAINBOW TROUT</x:v>
      </x:c>
    </x:row>
    <x:row r="2831" ht="23" customHeight="1">
      <x:c r="A2831" s="8" t="str">
        <x:v>South Heart Reservoir</x:v>
      </x:c>
      <x:c r="B2831" s="8" t="str">
        <x:v>18014</x:v>
      </x:c>
      <x:c r="C2831" s="17" t="n">
        <x:v>2025</x:v>
      </x:c>
      <x:c r="D2831" s="18" t="n">
        <x:v>45811</x:v>
      </x:c>
      <x:c r="E2831" s="8" t="str">
        <x:v>WALLEYE</x:v>
      </x:c>
      <x:c r="F2831" s="13" t="n">
        <x:v>440563</x:v>
      </x:c>
      <x:c r="G2831" s="9" t="n">
        <x:v>0.4</x:v>
      </x:c>
      <x:c r="H2831" s="9" t="str">
        <x:v>Unknown</x:v>
      </x:c>
      <x:c r="I2831" s="8" t="str">
        <x:f>B2831&amp;" / "&amp;C2831&amp;" / "&amp;E2831</x:f>
        <x:v>18014 / 2025 / WALLEYE</x:v>
      </x:c>
    </x:row>
    <x:row r="2832" ht="23" customHeight="1">
      <x:c r="A2832" s="8" t="str">
        <x:v>South Heart Reservoir</x:v>
      </x:c>
      <x:c r="B2832" s="8" t="str">
        <x:v>18014</x:v>
      </x:c>
      <x:c r="C2832" s="17" t="n">
        <x:v>2025</x:v>
      </x:c>
      <x:c r="D2832" s="18" t="n">
        <x:v>45808</x:v>
      </x:c>
      <x:c r="E2832" s="8" t="str">
        <x:v>WALLEYE</x:v>
      </x:c>
      <x:c r="F2832" s="13" t="n">
        <x:v>1788736</x:v>
      </x:c>
      <x:c r="G2832" s="9" t="n">
        <x:v>0.4</x:v>
      </x:c>
      <x:c r="H2832" s="9" t="str">
        <x:v>Unknown</x:v>
      </x:c>
      <x:c r="I2832" s="8" t="str">
        <x:f>B2832&amp;" / "&amp;C2832&amp;" / "&amp;E2832</x:f>
        <x:v>18014 / 2025 / WALLEYE</x:v>
      </x:c>
    </x:row>
    <x:row r="2833" ht="23" customHeight="1">
      <x:c r="A2833" s="8" t="str">
        <x:v>South Sundance Lake</x:v>
      </x:c>
      <x:c r="B2833" s="8" t="str">
        <x:v>6652</x:v>
      </x:c>
      <x:c r="C2833" s="17" t="n">
        <x:v>2024</x:v>
      </x:c>
      <x:c r="D2833" s="18" t="n">
        <x:v>45567</x:v>
      </x:c>
      <x:c r="E2833" s="8" t="str">
        <x:v>BROOK TROUT</x:v>
      </x:c>
      <x:c r="F2833" s="13" t="n">
        <x:v>4500</x:v>
      </x:c>
      <x:c r="G2833" s="9" t="n">
        <x:v>12.9</x:v>
      </x:c>
      <x:c r="H2833" s="9" t="n">
        <x:v>23.1</x:v>
      </x:c>
      <x:c r="I2833" s="8" t="str">
        <x:f>B2833&amp;" / "&amp;C2833&amp;" / "&amp;E2833</x:f>
        <x:v>6652 / 2024 / BROOK TROUT</x:v>
      </x:c>
    </x:row>
    <x:row r="2834" ht="23" customHeight="1">
      <x:c r="A2834" s="8" t="str">
        <x:v>South Sundance Lake</x:v>
      </x:c>
      <x:c r="B2834" s="8" t="str">
        <x:v>6652</x:v>
      </x:c>
      <x:c r="C2834" s="17" t="n">
        <x:v>2022</x:v>
      </x:c>
      <x:c r="D2834" s="18" t="n">
        <x:v>44838</x:v>
      </x:c>
      <x:c r="E2834" s="8" t="str">
        <x:v>BROOK TROUT</x:v>
      </x:c>
      <x:c r="F2834" s="13" t="n">
        <x:v>4500</x:v>
      </x:c>
      <x:c r="G2834" s="9" t="n">
        <x:v>11.5</x:v>
      </x:c>
      <x:c r="H2834" s="9" t="n">
        <x:v>16.7</x:v>
      </x:c>
      <x:c r="I2834" s="8" t="str">
        <x:f>B2834&amp;" / "&amp;C2834&amp;" / "&amp;E2834</x:f>
        <x:v>6652 / 2022 / BROOK TROUT</x:v>
      </x:c>
    </x:row>
    <x:row r="2835" ht="23" customHeight="1">
      <x:c r="A2835" s="8" t="str">
        <x:v>South Two Lake</x:v>
      </x:c>
      <x:c r="B2835" s="8" t="str">
        <x:v>6051</x:v>
      </x:c>
      <x:c r="C2835" s="17" t="n">
        <x:v>2026</x:v>
      </x:c>
      <x:c r="D2835" s="18" t="n">
        <x:v>46189</x:v>
      </x:c>
      <x:c r="E2835" s="8" t="str">
        <x:v>WESTSLOPE CUTTHROAT TROUT</x:v>
      </x:c>
      <x:c r="F2835" s="13" t="n">
        <x:v>2500</x:v>
      </x:c>
      <x:c r="G2835" s="9" t="n">
        <x:v>11.1</x:v>
      </x:c>
      <x:c r="H2835" s="9" t="n">
        <x:v>15</x:v>
      </x:c>
      <x:c r="I2835" s="8" t="str">
        <x:f>B2835&amp;" / "&amp;C2835&amp;" / "&amp;E2835</x:f>
        <x:v>6051 / 2026 / WESTSLOPE CUTTHROAT TROUT</x:v>
      </x:c>
    </x:row>
    <x:row r="2836" ht="23" customHeight="1">
      <x:c r="A2836" s="8" t="str">
        <x:v>South Two Lake</x:v>
      </x:c>
      <x:c r="B2836" s="8" t="str">
        <x:v>6051</x:v>
      </x:c>
      <x:c r="C2836" s="17" t="n">
        <x:v>2025</x:v>
      </x:c>
      <x:c r="D2836" s="18" t="n">
        <x:v>45924</x:v>
      </x:c>
      <x:c r="E2836" s="8" t="str">
        <x:v>CUTTHROAT TROUT</x:v>
      </x:c>
      <x:c r="F2836" s="13" t="n">
        <x:v>2500</x:v>
      </x:c>
      <x:c r="G2836" s="9" t="n">
        <x:v>19.3</x:v>
      </x:c>
      <x:c r="H2836" s="9" t="n">
        <x:v>78.1</x:v>
      </x:c>
      <x:c r="I2836" s="8" t="str">
        <x:f>B2836&amp;" / "&amp;C2836&amp;" / "&amp;E2836</x:f>
        <x:v>6051 / 2025 / CUTTHROAT TROUT</x:v>
      </x:c>
    </x:row>
    <x:row r="2837" ht="23" customHeight="1">
      <x:c r="A2837" s="8" t="str">
        <x:v>South Two Lake</x:v>
      </x:c>
      <x:c r="B2837" s="8" t="str">
        <x:v>6051</x:v>
      </x:c>
      <x:c r="C2837" s="17" t="n">
        <x:v>2025</x:v>
      </x:c>
      <x:c r="D2837" s="18" t="n">
        <x:v>45803</x:v>
      </x:c>
      <x:c r="E2837" s="8" t="str">
        <x:v>CUTTHROAT TROUT</x:v>
      </x:c>
      <x:c r="F2837" s="13" t="n">
        <x:v>2000</x:v>
      </x:c>
      <x:c r="G2837" s="9" t="n">
        <x:v>13.4</x:v>
      </x:c>
      <x:c r="H2837" s="9" t="n">
        <x:v>25.9</x:v>
      </x:c>
      <x:c r="I2837" s="8" t="str">
        <x:f>B2837&amp;" / "&amp;C2837&amp;" / "&amp;E2837</x:f>
        <x:v>6051 / 2025 / CUTTHROAT TROUT</x:v>
      </x:c>
    </x:row>
    <x:row r="2838" ht="23" customHeight="1">
      <x:c r="A2838" s="8" t="str">
        <x:v>South Two Lake</x:v>
      </x:c>
      <x:c r="B2838" s="8" t="str">
        <x:v>6051</x:v>
      </x:c>
      <x:c r="C2838" s="17" t="n">
        <x:v>2024</x:v>
      </x:c>
      <x:c r="D2838" s="18" t="n">
        <x:v>45441</x:v>
      </x:c>
      <x:c r="E2838" s="8" t="str">
        <x:v>RAINBOW TROUT</x:v>
      </x:c>
      <x:c r="F2838" s="13" t="n">
        <x:v>5000</x:v>
      </x:c>
      <x:c r="G2838" s="9" t="n">
        <x:v>16.3</x:v>
      </x:c>
      <x:c r="H2838" s="9" t="n">
        <x:v>47.4</x:v>
      </x:c>
      <x:c r="I2838" s="8" t="str">
        <x:f>B2838&amp;" / "&amp;C2838&amp;" / "&amp;E2838</x:f>
        <x:v>6051 / 2024 / RAINBOW TROUT</x:v>
      </x:c>
    </x:row>
    <x:row r="2839" ht="23" customHeight="1">
      <x:c r="A2839" s="8" t="str">
        <x:v>South Two Lake</x:v>
      </x:c>
      <x:c r="B2839" s="8" t="str">
        <x:v>6051</x:v>
      </x:c>
      <x:c r="C2839" s="17" t="n">
        <x:v>2023</x:v>
      </x:c>
      <x:c r="D2839" s="18" t="n">
        <x:v>45182</x:v>
      </x:c>
      <x:c r="E2839" s="8" t="str">
        <x:v>CUTTHROAT TROUT</x:v>
      </x:c>
      <x:c r="F2839" s="13" t="n">
        <x:v>3000</x:v>
      </x:c>
      <x:c r="G2839" s="9" t="n">
        <x:v>17.7</x:v>
      </x:c>
      <x:c r="H2839" s="9" t="n">
        <x:v>59.7</x:v>
      </x:c>
      <x:c r="I2839" s="8" t="str">
        <x:f>B2839&amp;" / "&amp;C2839&amp;" / "&amp;E2839</x:f>
        <x:v>6051 / 2023 / CUTTHROAT TROUT</x:v>
      </x:c>
    </x:row>
    <x:row r="2840" ht="23" customHeight="1">
      <x:c r="A2840" s="8" t="str">
        <x:v>South Two Lake</x:v>
      </x:c>
      <x:c r="B2840" s="8" t="str">
        <x:v>6051</x:v>
      </x:c>
      <x:c r="C2840" s="17" t="n">
        <x:v>2023</x:v>
      </x:c>
      <x:c r="D2840" s="18" t="n">
        <x:v>45077</x:v>
      </x:c>
      <x:c r="E2840" s="8" t="str">
        <x:v>CUTTHROAT TROUT</x:v>
      </x:c>
      <x:c r="F2840" s="13" t="n">
        <x:v>5000</x:v>
      </x:c>
      <x:c r="G2840" s="9" t="n">
        <x:v>13.7</x:v>
      </x:c>
      <x:c r="H2840" s="9" t="n">
        <x:v>28</x:v>
      </x:c>
      <x:c r="I2840" s="8" t="str">
        <x:f>B2840&amp;" / "&amp;C2840&amp;" / "&amp;E2840</x:f>
        <x:v>6051 / 2023 / CUTTHROAT TROUT</x:v>
      </x:c>
    </x:row>
    <x:row r="2841" ht="23" customHeight="1">
      <x:c r="A2841" s="8" t="str">
        <x:v>South Two Lake</x:v>
      </x:c>
      <x:c r="B2841" s="8" t="str">
        <x:v>6051</x:v>
      </x:c>
      <x:c r="C2841" s="17" t="n">
        <x:v>2022</x:v>
      </x:c>
      <x:c r="D2841" s="18" t="n">
        <x:v>44818</x:v>
      </x:c>
      <x:c r="E2841" s="8" t="str">
        <x:v>CUTTHROAT TROUT</x:v>
      </x:c>
      <x:c r="F2841" s="13" t="n">
        <x:v>3000</x:v>
      </x:c>
      <x:c r="G2841" s="9" t="n">
        <x:v>19.1</x:v>
      </x:c>
      <x:c r="H2841" s="9" t="n">
        <x:v>75.7</x:v>
      </x:c>
      <x:c r="I2841" s="8" t="str">
        <x:f>B2841&amp;" / "&amp;C2841&amp;" / "&amp;E2841</x:f>
        <x:v>6051 / 2022 / CUTTHROAT TROUT</x:v>
      </x:c>
    </x:row>
    <x:row r="2842" ht="23" customHeight="1">
      <x:c r="A2842" s="8" t="str">
        <x:v>South Two Lake</x:v>
      </x:c>
      <x:c r="B2842" s="8" t="str">
        <x:v>6051</x:v>
      </x:c>
      <x:c r="C2842" s="17" t="n">
        <x:v>2022</x:v>
      </x:c>
      <x:c r="D2842" s="18" t="n">
        <x:v>44713</x:v>
      </x:c>
      <x:c r="E2842" s="8" t="str">
        <x:v>CUTTHROAT TROUT</x:v>
      </x:c>
      <x:c r="F2842" s="13" t="n">
        <x:v>5000</x:v>
      </x:c>
      <x:c r="G2842" s="9" t="n">
        <x:v>13.9</x:v>
      </x:c>
      <x:c r="H2842" s="9" t="n">
        <x:v>30.2</x:v>
      </x:c>
      <x:c r="I2842" s="8" t="str">
        <x:f>B2842&amp;" / "&amp;C2842&amp;" / "&amp;E2842</x:f>
        <x:v>6051 / 2022 / CUTTHROAT TROUT</x:v>
      </x:c>
    </x:row>
    <x:row r="2843" ht="23" customHeight="1">
      <x:c r="A2843" s="8" t="str">
        <x:v>Sparrow's Egg Lake</x:v>
      </x:c>
      <x:c r="B2843" s="8" t="str">
        <x:v>5858</x:v>
      </x:c>
      <x:c r="C2843" s="17" t="n">
        <x:v>2026</x:v>
      </x:c>
      <x:c r="D2843" s="18" t="n">
        <x:v>46178</x:v>
      </x:c>
      <x:c r="E2843" s="8" t="str">
        <x:v>WESTSLOPE CUTTHROAT TROUT</x:v>
      </x:c>
      <x:c r="F2843" s="13" t="n">
        <x:v>900</x:v>
      </x:c>
      <x:c r="G2843" s="9" t="n">
        <x:v>15.8</x:v>
      </x:c>
      <x:c r="H2843" s="9" t="n">
        <x:v>42.5</x:v>
      </x:c>
      <x:c r="I2843" s="8" t="str">
        <x:f>B2843&amp;" / "&amp;C2843&amp;" / "&amp;E2843</x:f>
        <x:v>5858 / 2026 / WESTSLOPE CUTTHROAT TROUT</x:v>
      </x:c>
    </x:row>
    <x:row r="2844" ht="23" customHeight="1">
      <x:c r="A2844" s="8" t="str">
        <x:v>Sparrow's Egg Lake</x:v>
      </x:c>
      <x:c r="B2844" s="8" t="str">
        <x:v>5858</x:v>
      </x:c>
      <x:c r="C2844" s="17" t="n">
        <x:v>2025</x:v>
      </x:c>
      <x:c r="D2844" s="18" t="n">
        <x:v>45810</x:v>
      </x:c>
      <x:c r="E2844" s="8" t="str">
        <x:v>CUTTHROAT TROUT</x:v>
      </x:c>
      <x:c r="F2844" s="13" t="n">
        <x:v>900</x:v>
      </x:c>
      <x:c r="G2844" s="9" t="n">
        <x:v>14.1</x:v>
      </x:c>
      <x:c r="H2844" s="9" t="n">
        <x:v>30.2</x:v>
      </x:c>
      <x:c r="I2844" s="8" t="str">
        <x:f>B2844&amp;" / "&amp;C2844&amp;" / "&amp;E2844</x:f>
        <x:v>5858 / 2025 / CUTTHROAT TROUT</x:v>
      </x:c>
    </x:row>
    <x:row r="2845" ht="23" customHeight="1">
      <x:c r="A2845" s="8" t="str">
        <x:v>Sparrow's Egg Lake</x:v>
      </x:c>
      <x:c r="B2845" s="8" t="str">
        <x:v>5858</x:v>
      </x:c>
      <x:c r="C2845" s="17" t="n">
        <x:v>2023</x:v>
      </x:c>
      <x:c r="D2845" s="18" t="n">
        <x:v>45088</x:v>
      </x:c>
      <x:c r="E2845" s="8" t="str">
        <x:v>CUTTHROAT TROUT</x:v>
      </x:c>
      <x:c r="F2845" s="13" t="n">
        <x:v>900</x:v>
      </x:c>
      <x:c r="G2845" s="9" t="n">
        <x:v>14.6</x:v>
      </x:c>
      <x:c r="H2845" s="9" t="n">
        <x:v>33.9</x:v>
      </x:c>
      <x:c r="I2845" s="8" t="str">
        <x:f>B2845&amp;" / "&amp;C2845&amp;" / "&amp;E2845</x:f>
        <x:v>5858 / 2023 / CUTTHROAT TROUT</x:v>
      </x:c>
    </x:row>
    <x:row r="2846" ht="23" customHeight="1">
      <x:c r="A2846" s="8" t="str">
        <x:v>Sparrow's Egg Lake</x:v>
      </x:c>
      <x:c r="B2846" s="8" t="str">
        <x:v>5858</x:v>
      </x:c>
      <x:c r="C2846" s="17" t="n">
        <x:v>2022</x:v>
      </x:c>
      <x:c r="D2846" s="18" t="n">
        <x:v>44713</x:v>
      </x:c>
      <x:c r="E2846" s="8" t="str">
        <x:v>CUTTHROAT TROUT</x:v>
      </x:c>
      <x:c r="F2846" s="13" t="n">
        <x:v>900</x:v>
      </x:c>
      <x:c r="G2846" s="9" t="n">
        <x:v>14.1</x:v>
      </x:c>
      <x:c r="H2846" s="9" t="n">
        <x:v>30.8</x:v>
      </x:c>
      <x:c r="I2846" s="8" t="str">
        <x:f>B2846&amp;" / "&amp;C2846&amp;" / "&amp;E2846</x:f>
        <x:v>5858 / 2022 / CUTTHROAT TROUT</x:v>
      </x:c>
    </x:row>
    <x:row r="2847" ht="23" customHeight="1">
      <x:c r="A2847" s="8" t="str">
        <x:v>Sparrow's Egg Lake</x:v>
      </x:c>
      <x:c r="B2847" s="8" t="str">
        <x:v>5858</x:v>
      </x:c>
      <x:c r="C2847" s="17" t="n">
        <x:v>2021</x:v>
      </x:c>
      <x:c r="D2847" s="18" t="n">
        <x:v>44362</x:v>
      </x:c>
      <x:c r="E2847" s="8" t="str">
        <x:v>RAINBOW TROUT</x:v>
      </x:c>
      <x:c r="F2847" s="13" t="n">
        <x:v>900</x:v>
      </x:c>
      <x:c r="G2847" s="9" t="n">
        <x:v>23.1</x:v>
      </x:c>
      <x:c r="H2847" s="9" t="n">
        <x:v>135.8</x:v>
      </x:c>
      <x:c r="I2847" s="8" t="str">
        <x:f>B2847&amp;" / "&amp;C2847&amp;" / "&amp;E2847</x:f>
        <x:v>5858 / 2021 / RAINBOW TROUT</x:v>
      </x:c>
    </x:row>
    <x:row r="2848" ht="23" customHeight="1">
      <x:c r="A2848" s="8" t="str">
        <x:v>Spring Coulee Park Pond</x:v>
      </x:c>
      <x:c r="B2848" s="8" t="str">
        <x:v>6692</x:v>
      </x:c>
      <x:c r="C2848" s="17" t="n">
        <x:v>2026</x:v>
      </x:c>
      <x:c r="D2848" s="18" t="n">
        <x:v>46132</x:v>
      </x:c>
      <x:c r="E2848" s="8" t="str">
        <x:v>RAINBOW TROUT</x:v>
      </x:c>
      <x:c r="F2848" s="13" t="n">
        <x:v>2500</x:v>
      </x:c>
      <x:c r="G2848" s="9" t="n">
        <x:v>20.2</x:v>
      </x:c>
      <x:c r="H2848" s="9" t="n">
        <x:v>89</x:v>
      </x:c>
      <x:c r="I2848" s="8" t="str">
        <x:f>B2848&amp;" / "&amp;C2848&amp;" / "&amp;E2848</x:f>
        <x:v>6692 / 2026 / RAINBOW TROUT</x:v>
      </x:c>
    </x:row>
    <x:row r="2849" ht="23" customHeight="1">
      <x:c r="A2849" s="8" t="str">
        <x:v>Spring Coulee Park Pond</x:v>
      </x:c>
      <x:c r="B2849" s="8" t="str">
        <x:v>6692</x:v>
      </x:c>
      <x:c r="C2849" s="17" t="n">
        <x:v>2025</x:v>
      </x:c>
      <x:c r="D2849" s="18" t="n">
        <x:v>45762</x:v>
      </x:c>
      <x:c r="E2849" s="8" t="str">
        <x:v>RAINBOW TROUT</x:v>
      </x:c>
      <x:c r="F2849" s="13" t="n">
        <x:v>2500</x:v>
      </x:c>
      <x:c r="G2849" s="9" t="n">
        <x:v>20</x:v>
      </x:c>
      <x:c r="H2849" s="9" t="n">
        <x:v>86</x:v>
      </x:c>
      <x:c r="I2849" s="8" t="str">
        <x:f>B2849&amp;" / "&amp;C2849&amp;" / "&amp;E2849</x:f>
        <x:v>6692 / 2025 / RAINBOW TROUT</x:v>
      </x:c>
    </x:row>
    <x:row r="2850" ht="23" customHeight="1">
      <x:c r="A2850" s="8" t="str">
        <x:v>Spring Coulee Park Pond</x:v>
      </x:c>
      <x:c r="B2850" s="8" t="str">
        <x:v>6692</x:v>
      </x:c>
      <x:c r="C2850" s="17" t="n">
        <x:v>2024</x:v>
      </x:c>
      <x:c r="D2850" s="18" t="n">
        <x:v>45397</x:v>
      </x:c>
      <x:c r="E2850" s="8" t="str">
        <x:v>RAINBOW TROUT</x:v>
      </x:c>
      <x:c r="F2850" s="13" t="n">
        <x:v>1250</x:v>
      </x:c>
      <x:c r="G2850" s="9" t="n">
        <x:v>20.4</x:v>
      </x:c>
      <x:c r="H2850" s="9" t="n">
        <x:v>91.2</x:v>
      </x:c>
      <x:c r="I2850" s="8" t="str">
        <x:f>B2850&amp;" / "&amp;C2850&amp;" / "&amp;E2850</x:f>
        <x:v>6692 / 2024 / RAINBOW TROUT</x:v>
      </x:c>
    </x:row>
    <x:row r="2851" ht="23" customHeight="1">
      <x:c r="A2851" s="8" t="str">
        <x:v>Spring Coulee Park Pond</x:v>
      </x:c>
      <x:c r="B2851" s="8" t="str">
        <x:v>6692</x:v>
      </x:c>
      <x:c r="C2851" s="17" t="n">
        <x:v>2023</x:v>
      </x:c>
      <x:c r="D2851" s="18" t="n">
        <x:v>45040</x:v>
      </x:c>
      <x:c r="E2851" s="8" t="str">
        <x:v>RAINBOW TROUT</x:v>
      </x:c>
      <x:c r="F2851" s="13" t="n">
        <x:v>1255</x:v>
      </x:c>
      <x:c r="G2851" s="9" t="n">
        <x:v>21.6</x:v>
      </x:c>
      <x:c r="H2851" s="9" t="n">
        <x:v>112</x:v>
      </x:c>
      <x:c r="I2851" s="8" t="str">
        <x:f>B2851&amp;" / "&amp;C2851&amp;" / "&amp;E2851</x:f>
        <x:v>6692 / 2023 / RAINBOW TROUT</x:v>
      </x:c>
    </x:row>
    <x:row r="2852" ht="23" customHeight="1">
      <x:c r="A2852" s="8" t="str">
        <x:v>Spring Coulee Park Pond</x:v>
      </x:c>
      <x:c r="B2852" s="8" t="str">
        <x:v>6692</x:v>
      </x:c>
      <x:c r="C2852" s="17" t="n">
        <x:v>2022</x:v>
      </x:c>
      <x:c r="D2852" s="18" t="n">
        <x:v>44669</x:v>
      </x:c>
      <x:c r="E2852" s="8" t="str">
        <x:v>RAINBOW TROUT</x:v>
      </x:c>
      <x:c r="F2852" s="13" t="n">
        <x:v>2500</x:v>
      </x:c>
      <x:c r="G2852" s="9" t="n">
        <x:v>20</x:v>
      </x:c>
      <x:c r="H2852" s="9" t="n">
        <x:v>87</x:v>
      </x:c>
      <x:c r="I2852" s="8" t="str">
        <x:f>B2852&amp;" / "&amp;C2852&amp;" / "&amp;E2852</x:f>
        <x:v>6692 / 2022 / RAINBOW TROUT</x:v>
      </x:c>
    </x:row>
    <x:row r="2853" ht="23" customHeight="1">
      <x:c r="A2853" s="8" t="str">
        <x:v>Spring Coulee Park Pond</x:v>
      </x:c>
      <x:c r="B2853" s="8" t="str">
        <x:v>6692</x:v>
      </x:c>
      <x:c r="C2853" s="17" t="n">
        <x:v>2021</x:v>
      </x:c>
      <x:c r="D2853" s="18" t="n">
        <x:v>44300</x:v>
      </x:c>
      <x:c r="E2853" s="8" t="str">
        <x:v>RAINBOW TROUT</x:v>
      </x:c>
      <x:c r="F2853" s="13" t="n">
        <x:v>3000</x:v>
      </x:c>
      <x:c r="G2853" s="9" t="n">
        <x:v>21.2</x:v>
      </x:c>
      <x:c r="H2853" s="9" t="n">
        <x:v>105.8</x:v>
      </x:c>
      <x:c r="I2853" s="8" t="str">
        <x:f>B2853&amp;" / "&amp;C2853&amp;" / "&amp;E2853</x:f>
        <x:v>6692 / 2021 / RAINBOW TROUT</x:v>
      </x:c>
    </x:row>
    <x:row r="2854" ht="23" customHeight="1">
      <x:c r="A2854" s="8" t="str">
        <x:v>Spring Lake</x:v>
      </x:c>
      <x:c r="B2854" s="8" t="str">
        <x:v>6693</x:v>
      </x:c>
      <x:c r="C2854" s="17" t="n">
        <x:v>2026</x:v>
      </x:c>
      <x:c r="D2854" s="18" t="n">
        <x:v>46181</x:v>
      </x:c>
      <x:c r="E2854" s="8" t="str">
        <x:v>BROOK TROUT</x:v>
      </x:c>
      <x:c r="F2854" s="13" t="n">
        <x:v>4000</x:v>
      </x:c>
      <x:c r="G2854" s="9" t="n">
        <x:v>21.2</x:v>
      </x:c>
      <x:c r="H2854" s="9" t="n">
        <x:v>106.1</x:v>
      </x:c>
      <x:c r="I2854" s="8" t="str">
        <x:f>B2854&amp;" / "&amp;C2854&amp;" / "&amp;E2854</x:f>
        <x:v>6693 / 2026 / BROOK TROUT</x:v>
      </x:c>
    </x:row>
    <x:row r="2855" ht="23" customHeight="1">
      <x:c r="A2855" s="8" t="str">
        <x:v>Spring Lake</x:v>
      </x:c>
      <x:c r="B2855" s="8" t="str">
        <x:v>6693</x:v>
      </x:c>
      <x:c r="C2855" s="17" t="n">
        <x:v>2026</x:v>
      </x:c>
      <x:c r="D2855" s="18" t="n">
        <x:v>46181</x:v>
      </x:c>
      <x:c r="E2855" s="8" t="str">
        <x:v>RAINBOW TROUT</x:v>
      </x:c>
      <x:c r="F2855" s="13" t="n">
        <x:v>6400</x:v>
      </x:c>
      <x:c r="G2855" s="9" t="n">
        <x:v>21.7</x:v>
      </x:c>
      <x:c r="H2855" s="9" t="n">
        <x:v>113.6</x:v>
      </x:c>
      <x:c r="I2855" s="8" t="str">
        <x:f>B2855&amp;" / "&amp;C2855&amp;" / "&amp;E2855</x:f>
        <x:v>6693 / 2026 / RAINBOW TROUT</x:v>
      </x:c>
    </x:row>
    <x:row r="2856" ht="23" customHeight="1">
      <x:c r="A2856" s="8" t="str">
        <x:v>Spring Lake</x:v>
      </x:c>
      <x:c r="B2856" s="8" t="str">
        <x:v>6693</x:v>
      </x:c>
      <x:c r="C2856" s="17" t="n">
        <x:v>2025</x:v>
      </x:c>
      <x:c r="D2856" s="18" t="n">
        <x:v>45791</x:v>
      </x:c>
      <x:c r="E2856" s="8" t="str">
        <x:v>RAINBOW TROUT</x:v>
      </x:c>
      <x:c r="F2856" s="13" t="n">
        <x:v>2560</x:v>
      </x:c>
      <x:c r="G2856" s="9" t="n">
        <x:v>20</x:v>
      </x:c>
      <x:c r="H2856" s="9" t="n">
        <x:v>87.9</x:v>
      </x:c>
      <x:c r="I2856" s="8" t="str">
        <x:f>B2856&amp;" / "&amp;C2856&amp;" / "&amp;E2856</x:f>
        <x:v>6693 / 2025 / RAINBOW TROUT</x:v>
      </x:c>
    </x:row>
    <x:row r="2857" ht="23" customHeight="1">
      <x:c r="A2857" s="8" t="str">
        <x:v>Spring Lake</x:v>
      </x:c>
      <x:c r="B2857" s="8" t="str">
        <x:v>6693</x:v>
      </x:c>
      <x:c r="C2857" s="17" t="n">
        <x:v>2025</x:v>
      </x:c>
      <x:c r="D2857" s="18" t="n">
        <x:v>45791</x:v>
      </x:c>
      <x:c r="E2857" s="8" t="str">
        <x:v>RAINBOW TROUT</x:v>
      </x:c>
      <x:c r="F2857" s="13" t="n">
        <x:v>3840</x:v>
      </x:c>
      <x:c r="G2857" s="9" t="n">
        <x:v>21.7</x:v>
      </x:c>
      <x:c r="H2857" s="9" t="n">
        <x:v>113.2</x:v>
      </x:c>
      <x:c r="I2857" s="8" t="str">
        <x:f>B2857&amp;" / "&amp;C2857&amp;" / "&amp;E2857</x:f>
        <x:v>6693 / 2025 / RAINBOW TROUT</x:v>
      </x:c>
    </x:row>
    <x:row r="2858" ht="23" customHeight="1">
      <x:c r="A2858" s="8" t="str">
        <x:v>Spring Lake</x:v>
      </x:c>
      <x:c r="B2858" s="8" t="str">
        <x:v>6693</x:v>
      </x:c>
      <x:c r="C2858" s="17" t="n">
        <x:v>2024</x:v>
      </x:c>
      <x:c r="D2858" s="18" t="n">
        <x:v>45453</x:v>
      </x:c>
      <x:c r="E2858" s="8" t="str">
        <x:v>BROOK TROUT</x:v>
      </x:c>
      <x:c r="F2858" s="13" t="n">
        <x:v>3780</x:v>
      </x:c>
      <x:c r="G2858" s="9" t="n">
        <x:v>21.1</x:v>
      </x:c>
      <x:c r="H2858" s="9" t="n">
        <x:v>74</x:v>
      </x:c>
      <x:c r="I2858" s="8" t="str">
        <x:f>B2858&amp;" / "&amp;C2858&amp;" / "&amp;E2858</x:f>
        <x:v>6693 / 2024 / BROOK TROUT</x:v>
      </x:c>
    </x:row>
    <x:row r="2859" ht="23" customHeight="1">
      <x:c r="A2859" s="8" t="str">
        <x:v>Spring Lake</x:v>
      </x:c>
      <x:c r="B2859" s="8" t="str">
        <x:v>6693</x:v>
      </x:c>
      <x:c r="C2859" s="17" t="n">
        <x:v>2024</x:v>
      </x:c>
      <x:c r="D2859" s="18" t="n">
        <x:v>45419</x:v>
      </x:c>
      <x:c r="E2859" s="8" t="str">
        <x:v>RAINBOW TROUT</x:v>
      </x:c>
      <x:c r="F2859" s="13" t="n">
        <x:v>3200</x:v>
      </x:c>
      <x:c r="G2859" s="9" t="n">
        <x:v>19.9</x:v>
      </x:c>
      <x:c r="H2859" s="9" t="n">
        <x:v>85.7</x:v>
      </x:c>
      <x:c r="I2859" s="8" t="str">
        <x:f>B2859&amp;" / "&amp;C2859&amp;" / "&amp;E2859</x:f>
        <x:v>6693 / 2024 / RAINBOW TROUT</x:v>
      </x:c>
    </x:row>
    <x:row r="2860" ht="23" customHeight="1">
      <x:c r="A2860" s="8" t="str">
        <x:v>Spring Lake</x:v>
      </x:c>
      <x:c r="B2860" s="8" t="str">
        <x:v>6693</x:v>
      </x:c>
      <x:c r="C2860" s="17" t="n">
        <x:v>2023</x:v>
      </x:c>
      <x:c r="D2860" s="18" t="n">
        <x:v>45068</x:v>
      </x:c>
      <x:c r="E2860" s="8" t="str">
        <x:v>RAINBOW TROUT</x:v>
      </x:c>
      <x:c r="F2860" s="13" t="n">
        <x:v>3034</x:v>
      </x:c>
      <x:c r="G2860" s="9" t="n">
        <x:v>17.4</x:v>
      </x:c>
      <x:c r="H2860" s="9" t="n">
        <x:v>56.8</x:v>
      </x:c>
      <x:c r="I2860" s="8" t="str">
        <x:f>B2860&amp;" / "&amp;C2860&amp;" / "&amp;E2860</x:f>
        <x:v>6693 / 2023 / RAINBOW TROUT</x:v>
      </x:c>
    </x:row>
    <x:row r="2861" ht="23" customHeight="1">
      <x:c r="A2861" s="8" t="str">
        <x:v>Spring Lake</x:v>
      </x:c>
      <x:c r="B2861" s="8" t="str">
        <x:v>6693</x:v>
      </x:c>
      <x:c r="C2861" s="17" t="n">
        <x:v>2022</x:v>
      </x:c>
      <x:c r="D2861" s="18" t="n">
        <x:v>44712</x:v>
      </x:c>
      <x:c r="E2861" s="8" t="str">
        <x:v>BROOK TROUT</x:v>
      </x:c>
      <x:c r="F2861" s="13" t="n">
        <x:v>4000</x:v>
      </x:c>
      <x:c r="G2861" s="9" t="n">
        <x:v>19.5</x:v>
      </x:c>
      <x:c r="H2861" s="9" t="n">
        <x:v>82.7</x:v>
      </x:c>
      <x:c r="I2861" s="8" t="str">
        <x:f>B2861&amp;" / "&amp;C2861&amp;" / "&amp;E2861</x:f>
        <x:v>6693 / 2022 / BROOK TROUT</x:v>
      </x:c>
    </x:row>
    <x:row r="2862" ht="23" customHeight="1">
      <x:c r="A2862" s="8" t="str">
        <x:v>Spring Lake</x:v>
      </x:c>
      <x:c r="B2862" s="8" t="str">
        <x:v>6693</x:v>
      </x:c>
      <x:c r="C2862" s="17" t="n">
        <x:v>2022</x:v>
      </x:c>
      <x:c r="D2862" s="18" t="n">
        <x:v>44712</x:v>
      </x:c>
      <x:c r="E2862" s="8" t="str">
        <x:v>RAINBOW TROUT</x:v>
      </x:c>
      <x:c r="F2862" s="13" t="n">
        <x:v>6400</x:v>
      </x:c>
      <x:c r="G2862" s="9" t="n">
        <x:v>13.4</x:v>
      </x:c>
      <x:c r="H2862" s="9" t="n">
        <x:v>26.3</x:v>
      </x:c>
      <x:c r="I2862" s="8" t="str">
        <x:f>B2862&amp;" / "&amp;C2862&amp;" / "&amp;E2862</x:f>
        <x:v>6693 / 2022 / RAINBOW TROUT</x:v>
      </x:c>
    </x:row>
    <x:row r="2863" ht="23" customHeight="1">
      <x:c r="A2863" s="8" t="str">
        <x:v>Spring Lake</x:v>
      </x:c>
      <x:c r="B2863" s="8" t="str">
        <x:v>6693</x:v>
      </x:c>
      <x:c r="C2863" s="17" t="n">
        <x:v>2021</x:v>
      </x:c>
      <x:c r="D2863" s="18" t="n">
        <x:v>44354</x:v>
      </x:c>
      <x:c r="E2863" s="8" t="str">
        <x:v>RAINBOW TROUT</x:v>
      </x:c>
      <x:c r="F2863" s="13" t="n">
        <x:v>6400</x:v>
      </x:c>
      <x:c r="G2863" s="9" t="n">
        <x:v>15.5</x:v>
      </x:c>
      <x:c r="H2863" s="9" t="n">
        <x:v>41.3</x:v>
      </x:c>
      <x:c r="I2863" s="8" t="str">
        <x:f>B2863&amp;" / "&amp;C2863&amp;" / "&amp;E2863</x:f>
        <x:v>6693 / 2021 / RAINBOW TROUT</x:v>
      </x:c>
    </x:row>
    <x:row r="2864" ht="23" customHeight="1">
      <x:c r="A2864" s="8" t="str">
        <x:v>Spruce Coulee Reservoir</x:v>
      </x:c>
      <x:c r="B2864" s="8" t="str">
        <x:v>3534</x:v>
      </x:c>
      <x:c r="C2864" s="17" t="n">
        <x:v>2026</x:v>
      </x:c>
      <x:c r="D2864" s="18" t="n">
        <x:v>46149</x:v>
      </x:c>
      <x:c r="E2864" s="8" t="str">
        <x:v>BROOK TROUT</x:v>
      </x:c>
      <x:c r="F2864" s="13" t="n">
        <x:v>148</x:v>
      </x:c>
      <x:c r="G2864" s="9" t="n">
        <x:v>40.3</x:v>
      </x:c>
      <x:c r="H2864" s="9" t="n">
        <x:v>951</x:v>
      </x:c>
      <x:c r="I2864" s="8" t="str">
        <x:f>B2864&amp;" / "&amp;C2864&amp;" / "&amp;E2864</x:f>
        <x:v>3534 / 2026 / BROOK TROUT</x:v>
      </x:c>
    </x:row>
    <x:row r="2865" ht="23" customHeight="1">
      <x:c r="A2865" s="8" t="str">
        <x:v>Spruce Coulee Reservoir</x:v>
      </x:c>
      <x:c r="B2865" s="8" t="str">
        <x:v>3534</x:v>
      </x:c>
      <x:c r="C2865" s="17" t="n">
        <x:v>2026</x:v>
      </x:c>
      <x:c r="D2865" s="18" t="n">
        <x:v>46143</x:v>
      </x:c>
      <x:c r="E2865" s="8" t="str">
        <x:v>BROOK TROUT</x:v>
      </x:c>
      <x:c r="F2865" s="13" t="n">
        <x:v>7000</x:v>
      </x:c>
      <x:c r="G2865" s="9" t="n">
        <x:v>18.8</x:v>
      </x:c>
      <x:c r="H2865" s="9" t="n">
        <x:v>72.2</x:v>
      </x:c>
      <x:c r="I2865" s="8" t="str">
        <x:f>B2865&amp;" / "&amp;C2865&amp;" / "&amp;E2865</x:f>
        <x:v>3534 / 2026 / BROOK TROUT</x:v>
      </x:c>
    </x:row>
    <x:row r="2866" ht="23" customHeight="1">
      <x:c r="A2866" s="8" t="str">
        <x:v>Spruce Coulee Reservoir</x:v>
      </x:c>
      <x:c r="B2866" s="8" t="str">
        <x:v>3534</x:v>
      </x:c>
      <x:c r="C2866" s="17" t="n">
        <x:v>2026</x:v>
      </x:c>
      <x:c r="D2866" s="18" t="n">
        <x:v>46146</x:v>
      </x:c>
      <x:c r="E2866" s="8" t="str">
        <x:v>BROWN TROUT</x:v>
      </x:c>
      <x:c r="F2866" s="13" t="n">
        <x:v>1000</x:v>
      </x:c>
      <x:c r="G2866" s="9" t="n">
        <x:v>20.9</x:v>
      </x:c>
      <x:c r="H2866" s="9" t="n">
        <x:v>101.3</x:v>
      </x:c>
      <x:c r="I2866" s="8" t="str">
        <x:f>B2866&amp;" / "&amp;C2866&amp;" / "&amp;E2866</x:f>
        <x:v>3534 / 2026 / BROWN TROUT</x:v>
      </x:c>
    </x:row>
    <x:row r="2867" ht="23" customHeight="1">
      <x:c r="A2867" s="8" t="str">
        <x:v>Spruce Coulee Reservoir</x:v>
      </x:c>
      <x:c r="B2867" s="8" t="str">
        <x:v>3534</x:v>
      </x:c>
      <x:c r="C2867" s="17" t="n">
        <x:v>2025</x:v>
      </x:c>
      <x:c r="D2867" s="18" t="n">
        <x:v>45922</x:v>
      </x:c>
      <x:c r="E2867" s="8" t="str">
        <x:v>BROOK TROUT</x:v>
      </x:c>
      <x:c r="F2867" s="13" t="n">
        <x:v>15000</x:v>
      </x:c>
      <x:c r="G2867" s="9" t="n">
        <x:v>12.2</x:v>
      </x:c>
      <x:c r="H2867" s="9" t="n">
        <x:v>19.5</x:v>
      </x:c>
      <x:c r="I2867" s="8" t="str">
        <x:f>B2867&amp;" / "&amp;C2867&amp;" / "&amp;E2867</x:f>
        <x:v>3534 / 2025 / BROOK TROUT</x:v>
      </x:c>
    </x:row>
    <x:row r="2868" ht="23" customHeight="1">
      <x:c r="A2868" s="8" t="str">
        <x:v>Spruce Coulee Reservoir</x:v>
      </x:c>
      <x:c r="B2868" s="8" t="str">
        <x:v>3534</x:v>
      </x:c>
      <x:c r="C2868" s="17" t="n">
        <x:v>2025</x:v>
      </x:c>
      <x:c r="D2868" s="18" t="n">
        <x:v>45785</x:v>
      </x:c>
      <x:c r="E2868" s="8" t="str">
        <x:v>BROOK TROUT</x:v>
      </x:c>
      <x:c r="F2868" s="13" t="n">
        <x:v>8500</x:v>
      </x:c>
      <x:c r="G2868" s="9" t="n">
        <x:v>19.6</x:v>
      </x:c>
      <x:c r="H2868" s="9" t="n">
        <x:v>80.9</x:v>
      </x:c>
      <x:c r="I2868" s="8" t="str">
        <x:f>B2868&amp;" / "&amp;C2868&amp;" / "&amp;E2868</x:f>
        <x:v>3534 / 2025 / BROOK TROUT</x:v>
      </x:c>
    </x:row>
    <x:row r="2869" ht="23" customHeight="1">
      <x:c r="A2869" s="8" t="str">
        <x:v>Spruce Coulee Reservoir</x:v>
      </x:c>
      <x:c r="B2869" s="8" t="str">
        <x:v>3534</x:v>
      </x:c>
      <x:c r="C2869" s="17" t="n">
        <x:v>2025</x:v>
      </x:c>
      <x:c r="D2869" s="18" t="n">
        <x:v>45938</x:v>
      </x:c>
      <x:c r="E2869" s="8" t="str">
        <x:v>BROWN TROUT</x:v>
      </x:c>
      <x:c r="F2869" s="13" t="n">
        <x:v>7004</x:v>
      </x:c>
      <x:c r="G2869" s="9" t="n">
        <x:v>13</x:v>
      </x:c>
      <x:c r="H2869" s="9" t="n">
        <x:v>23.6</x:v>
      </x:c>
      <x:c r="I2869" s="8" t="str">
        <x:f>B2869&amp;" / "&amp;C2869&amp;" / "&amp;E2869</x:f>
        <x:v>3534 / 2025 / BROWN TROUT</x:v>
      </x:c>
    </x:row>
    <x:row r="2870" ht="23" customHeight="1">
      <x:c r="A2870" s="8" t="str">
        <x:v>Spruce Coulee Reservoir</x:v>
      </x:c>
      <x:c r="B2870" s="8" t="str">
        <x:v>3534</x:v>
      </x:c>
      <x:c r="C2870" s="17" t="n">
        <x:v>2024</x:v>
      </x:c>
      <x:c r="D2870" s="18" t="n">
        <x:v>45570</x:v>
      </x:c>
      <x:c r="E2870" s="8" t="str">
        <x:v>BROOK TROUT</x:v>
      </x:c>
      <x:c r="F2870" s="13" t="n">
        <x:v>5000</x:v>
      </x:c>
      <x:c r="G2870" s="9" t="n">
        <x:v>13.2</x:v>
      </x:c>
      <x:c r="H2870" s="9" t="n">
        <x:v>24.9</x:v>
      </x:c>
      <x:c r="I2870" s="8" t="str">
        <x:f>B2870&amp;" / "&amp;C2870&amp;" / "&amp;E2870</x:f>
        <x:v>3534 / 2024 / BROOK TROUT</x:v>
      </x:c>
    </x:row>
    <x:row r="2871" ht="23" customHeight="1">
      <x:c r="A2871" s="8" t="str">
        <x:v>Spruce Coulee Reservoir</x:v>
      </x:c>
      <x:c r="B2871" s="8" t="str">
        <x:v>3534</x:v>
      </x:c>
      <x:c r="C2871" s="17" t="n">
        <x:v>2024</x:v>
      </x:c>
      <x:c r="D2871" s="18" t="n">
        <x:v>45562</x:v>
      </x:c>
      <x:c r="E2871" s="8" t="str">
        <x:v>BROOK TROUT</x:v>
      </x:c>
      <x:c r="F2871" s="13" t="n">
        <x:v>12257</x:v>
      </x:c>
      <x:c r="G2871" s="9" t="n">
        <x:v>12.6</x:v>
      </x:c>
      <x:c r="H2871" s="9" t="n">
        <x:v>21.5</x:v>
      </x:c>
      <x:c r="I2871" s="8" t="str">
        <x:f>B2871&amp;" / "&amp;C2871&amp;" / "&amp;E2871</x:f>
        <x:v>3534 / 2024 / BROOK TROUT</x:v>
      </x:c>
    </x:row>
    <x:row r="2872" ht="23" customHeight="1">
      <x:c r="A2872" s="8" t="str">
        <x:v>Spruce Coulee Reservoir</x:v>
      </x:c>
      <x:c r="B2872" s="8" t="str">
        <x:v>3534</x:v>
      </x:c>
      <x:c r="C2872" s="17" t="n">
        <x:v>2024</x:v>
      </x:c>
      <x:c r="D2872" s="18" t="n">
        <x:v>45407</x:v>
      </x:c>
      <x:c r="E2872" s="8" t="str">
        <x:v>BROOK TROUT</x:v>
      </x:c>
      <x:c r="F2872" s="13" t="n">
        <x:v>5000</x:v>
      </x:c>
      <x:c r="G2872" s="9" t="n">
        <x:v>18.8</x:v>
      </x:c>
      <x:c r="H2872" s="9" t="n">
        <x:v>71.6</x:v>
      </x:c>
      <x:c r="I2872" s="8" t="str">
        <x:f>B2872&amp;" / "&amp;C2872&amp;" / "&amp;E2872</x:f>
        <x:v>3534 / 2024 / BROOK TROUT</x:v>
      </x:c>
    </x:row>
    <x:row r="2873" ht="23" customHeight="1">
      <x:c r="A2873" s="8" t="str">
        <x:v>Spruce Coulee Reservoir</x:v>
      </x:c>
      <x:c r="B2873" s="8" t="str">
        <x:v>3534</x:v>
      </x:c>
      <x:c r="C2873" s="17" t="n">
        <x:v>2023</x:v>
      </x:c>
      <x:c r="D2873" s="18" t="n">
        <x:v>45183</x:v>
      </x:c>
      <x:c r="E2873" s="8" t="str">
        <x:v>BROOK TROUT</x:v>
      </x:c>
      <x:c r="F2873" s="13" t="n">
        <x:v>11000</x:v>
      </x:c>
      <x:c r="G2873" s="9" t="n">
        <x:v>11.5</x:v>
      </x:c>
      <x:c r="H2873" s="9" t="n">
        <x:v>16.5</x:v>
      </x:c>
      <x:c r="I2873" s="8" t="str">
        <x:f>B2873&amp;" / "&amp;C2873&amp;" / "&amp;E2873</x:f>
        <x:v>3534 / 2023 / BROOK TROUT</x:v>
      </x:c>
    </x:row>
    <x:row r="2874" ht="23" customHeight="1">
      <x:c r="A2874" s="8" t="str">
        <x:v>Spruce Coulee Reservoir</x:v>
      </x:c>
      <x:c r="B2874" s="8" t="str">
        <x:v>3534</x:v>
      </x:c>
      <x:c r="C2874" s="17" t="n">
        <x:v>2023</x:v>
      </x:c>
      <x:c r="D2874" s="18" t="n">
        <x:v>45053</x:v>
      </x:c>
      <x:c r="E2874" s="8" t="str">
        <x:v>BROOK TROUT</x:v>
      </x:c>
      <x:c r="F2874" s="13" t="n">
        <x:v>6000</x:v>
      </x:c>
      <x:c r="G2874" s="9" t="n">
        <x:v>17.1</x:v>
      </x:c>
      <x:c r="H2874" s="9" t="n">
        <x:v>55.6</x:v>
      </x:c>
      <x:c r="I2874" s="8" t="str">
        <x:f>B2874&amp;" / "&amp;C2874&amp;" / "&amp;E2874</x:f>
        <x:v>3534 / 2023 / BROOK TROUT</x:v>
      </x:c>
    </x:row>
    <x:row r="2875" ht="23" customHeight="1">
      <x:c r="A2875" s="8" t="str">
        <x:v>Spruce Coulee Reservoir</x:v>
      </x:c>
      <x:c r="B2875" s="8" t="str">
        <x:v>3534</x:v>
      </x:c>
      <x:c r="C2875" s="17" t="n">
        <x:v>2022</x:v>
      </x:c>
      <x:c r="D2875" s="18" t="n">
        <x:v>44816</x:v>
      </x:c>
      <x:c r="E2875" s="8" t="str">
        <x:v>BROOK TROUT</x:v>
      </x:c>
      <x:c r="F2875" s="13" t="n">
        <x:v>12981</x:v>
      </x:c>
      <x:c r="G2875" s="9" t="n">
        <x:v>10.6</x:v>
      </x:c>
      <x:c r="H2875" s="9" t="n">
        <x:v>13.1</x:v>
      </x:c>
      <x:c r="I2875" s="8" t="str">
        <x:f>B2875&amp;" / "&amp;C2875&amp;" / "&amp;E2875</x:f>
        <x:v>3534 / 2022 / BROOK TROUT</x:v>
      </x:c>
    </x:row>
    <x:row r="2876" ht="23" customHeight="1">
      <x:c r="A2876" s="8" t="str">
        <x:v>Spruce Coulee Reservoir</x:v>
      </x:c>
      <x:c r="B2876" s="8" t="str">
        <x:v>3534</x:v>
      </x:c>
      <x:c r="C2876" s="17" t="n">
        <x:v>2022</x:v>
      </x:c>
      <x:c r="D2876" s="18" t="n">
        <x:v>44720</x:v>
      </x:c>
      <x:c r="E2876" s="8" t="str">
        <x:v>BROOK TROUT</x:v>
      </x:c>
      <x:c r="F2876" s="13" t="n">
        <x:v>9000</x:v>
      </x:c>
      <x:c r="G2876" s="9" t="n">
        <x:v>18.6</x:v>
      </x:c>
      <x:c r="H2876" s="9" t="n">
        <x:v>71.1</x:v>
      </x:c>
      <x:c r="I2876" s="8" t="str">
        <x:f>B2876&amp;" / "&amp;C2876&amp;" / "&amp;E2876</x:f>
        <x:v>3534 / 2022 / BROOK TROUT</x:v>
      </x:c>
    </x:row>
    <x:row r="2877" ht="23" customHeight="1">
      <x:c r="A2877" s="8" t="str">
        <x:v>Spruce Coulee Reservoir</x:v>
      </x:c>
      <x:c r="B2877" s="8" t="str">
        <x:v>3534</x:v>
      </x:c>
      <x:c r="C2877" s="17" t="n">
        <x:v>2021</x:v>
      </x:c>
      <x:c r="D2877" s="18" t="n">
        <x:v>44353</x:v>
      </x:c>
      <x:c r="E2877" s="8" t="str">
        <x:v>BROOK TROUT</x:v>
      </x:c>
      <x:c r="F2877" s="13" t="n">
        <x:v>9000</x:v>
      </x:c>
      <x:c r="G2877" s="9" t="n">
        <x:v>18.8</x:v>
      </x:c>
      <x:c r="H2877" s="9" t="n">
        <x:v>73.6</x:v>
      </x:c>
      <x:c r="I2877" s="8" t="str">
        <x:f>B2877&amp;" / "&amp;C2877&amp;" / "&amp;E2877</x:f>
        <x:v>3534 / 2021 / BROOK TROUT</x:v>
      </x:c>
    </x:row>
    <x:row r="2878" ht="23" customHeight="1">
      <x:c r="A2878" s="8" t="str">
        <x:v>St. Paul Fish Pond</x:v>
      </x:c>
      <x:c r="B2878" s="8" t="str">
        <x:v>24702</x:v>
      </x:c>
      <x:c r="C2878" s="17" t="n">
        <x:v>2026</x:v>
      </x:c>
      <x:c r="D2878" s="18" t="n">
        <x:v>46181</x:v>
      </x:c>
      <x:c r="E2878" s="8" t="str">
        <x:v>RAINBOW TROUT</x:v>
      </x:c>
      <x:c r="F2878" s="13" t="n">
        <x:v>1800</x:v>
      </x:c>
      <x:c r="G2878" s="9" t="n">
        <x:v>21.4</x:v>
      </x:c>
      <x:c r="H2878" s="9" t="n">
        <x:v>107.9</x:v>
      </x:c>
      <x:c r="I2878" s="8" t="str">
        <x:f>B2878&amp;" / "&amp;C2878&amp;" / "&amp;E2878</x:f>
        <x:v>24702 / 2026 / RAINBOW TROUT</x:v>
      </x:c>
    </x:row>
    <x:row r="2879" ht="23" customHeight="1">
      <x:c r="A2879" s="8" t="str">
        <x:v>St. Paul Fish Pond</x:v>
      </x:c>
      <x:c r="B2879" s="8" t="str">
        <x:v>24702</x:v>
      </x:c>
      <x:c r="C2879" s="17" t="n">
        <x:v>2026</x:v>
      </x:c>
      <x:c r="D2879" s="18" t="n">
        <x:v>46155</x:v>
      </x:c>
      <x:c r="E2879" s="8" t="str">
        <x:v>RAINBOW TROUT</x:v>
      </x:c>
      <x:c r="F2879" s="13" t="n">
        <x:v>1800</x:v>
      </x:c>
      <x:c r="G2879" s="9" t="n">
        <x:v>22.9</x:v>
      </x:c>
      <x:c r="H2879" s="9" t="n">
        <x:v>132.3</x:v>
      </x:c>
      <x:c r="I2879" s="8" t="str">
        <x:f>B2879&amp;" / "&amp;C2879&amp;" / "&amp;E2879</x:f>
        <x:v>24702 / 2026 / RAINBOW TROUT</x:v>
      </x:c>
    </x:row>
    <x:row r="2880" ht="23" customHeight="1">
      <x:c r="A2880" s="8" t="str">
        <x:v>St. Paul Fish Pond</x:v>
      </x:c>
      <x:c r="B2880" s="8" t="str">
        <x:v>24702</x:v>
      </x:c>
      <x:c r="C2880" s="17" t="n">
        <x:v>2026</x:v>
      </x:c>
      <x:c r="D2880" s="18" t="n">
        <x:v>46181</x:v>
      </x:c>
      <x:c r="E2880" s="8" t="str">
        <x:v>TIGER TROUT</x:v>
      </x:c>
      <x:c r="F2880" s="13" t="n">
        <x:v>300</x:v>
      </x:c>
      <x:c r="G2880" s="9" t="n">
        <x:v>22.8</x:v>
      </x:c>
      <x:c r="H2880" s="9" t="n">
        <x:v>131.6</x:v>
      </x:c>
      <x:c r="I2880" s="8" t="str">
        <x:f>B2880&amp;" / "&amp;C2880&amp;" / "&amp;E2880</x:f>
        <x:v>24702 / 2026 / TIGER TROUT</x:v>
      </x:c>
    </x:row>
    <x:row r="2881" ht="23" customHeight="1">
      <x:c r="A2881" s="8" t="str">
        <x:v>St. Paul Fish Pond</x:v>
      </x:c>
      <x:c r="B2881" s="8" t="str">
        <x:v>24702</x:v>
      </x:c>
      <x:c r="C2881" s="17" t="n">
        <x:v>2026</x:v>
      </x:c>
      <x:c r="D2881" s="18" t="n">
        <x:v>46155</x:v>
      </x:c>
      <x:c r="E2881" s="8" t="str">
        <x:v>TIGER TROUT</x:v>
      </x:c>
      <x:c r="F2881" s="13" t="n">
        <x:v>300</x:v>
      </x:c>
      <x:c r="G2881" s="9" t="n">
        <x:v>23.1</x:v>
      </x:c>
      <x:c r="H2881" s="9" t="n">
        <x:v>136.2</x:v>
      </x:c>
      <x:c r="I2881" s="8" t="str">
        <x:f>B2881&amp;" / "&amp;C2881&amp;" / "&amp;E2881</x:f>
        <x:v>24702 / 2026 / TIGER TROUT</x:v>
      </x:c>
    </x:row>
    <x:row r="2882" ht="23" customHeight="1">
      <x:c r="A2882" s="8" t="str">
        <x:v>St. Paul Fish Pond</x:v>
      </x:c>
      <x:c r="B2882" s="8" t="str">
        <x:v>24702</x:v>
      </x:c>
      <x:c r="C2882" s="17" t="n">
        <x:v>2025</x:v>
      </x:c>
      <x:c r="D2882" s="18" t="n">
        <x:v>45778</x:v>
      </x:c>
      <x:c r="E2882" s="8" t="str">
        <x:v>BROWN TROUT</x:v>
      </x:c>
      <x:c r="F2882" s="13" t="n">
        <x:v>400</x:v>
      </x:c>
      <x:c r="G2882" s="9" t="n">
        <x:v>19.8</x:v>
      </x:c>
      <x:c r="H2882" s="9" t="n">
        <x:v>83.3</x:v>
      </x:c>
      <x:c r="I2882" s="8" t="str">
        <x:f>B2882&amp;" / "&amp;C2882&amp;" / "&amp;E2882</x:f>
        <x:v>24702 / 2025 / BROWN TROUT</x:v>
      </x:c>
    </x:row>
    <x:row r="2883" ht="23" customHeight="1">
      <x:c r="A2883" s="8" t="str">
        <x:v>St. Paul Fish Pond</x:v>
      </x:c>
      <x:c r="B2883" s="8" t="str">
        <x:v>24702</x:v>
      </x:c>
      <x:c r="C2883" s="17" t="n">
        <x:v>2025</x:v>
      </x:c>
      <x:c r="D2883" s="18" t="n">
        <x:v>45848</x:v>
      </x:c>
      <x:c r="E2883" s="8" t="str">
        <x:v>RAINBOW TROUT</x:v>
      </x:c>
      <x:c r="F2883" s="13" t="n">
        <x:v>1000</x:v>
      </x:c>
      <x:c r="G2883" s="9" t="n">
        <x:v>24.8</x:v>
      </x:c>
      <x:c r="H2883" s="9" t="n">
        <x:v>145.1</x:v>
      </x:c>
      <x:c r="I2883" s="8" t="str">
        <x:f>B2883&amp;" / "&amp;C2883&amp;" / "&amp;E2883</x:f>
        <x:v>24702 / 2025 / RAINBOW TROUT</x:v>
      </x:c>
    </x:row>
    <x:row r="2884" ht="23" customHeight="1">
      <x:c r="A2884" s="8" t="str">
        <x:v>St. Paul Fish Pond</x:v>
      </x:c>
      <x:c r="B2884" s="8" t="str">
        <x:v>24702</x:v>
      </x:c>
      <x:c r="C2884" s="17" t="n">
        <x:v>2025</x:v>
      </x:c>
      <x:c r="D2884" s="18" t="n">
        <x:v>45783</x:v>
      </x:c>
      <x:c r="E2884" s="8" t="str">
        <x:v>RAINBOW TROUT</x:v>
      </x:c>
      <x:c r="F2884" s="13" t="n">
        <x:v>1800</x:v>
      </x:c>
      <x:c r="G2884" s="9" t="n">
        <x:v>22.7</x:v>
      </x:c>
      <x:c r="H2884" s="9" t="n">
        <x:v>129.8</x:v>
      </x:c>
      <x:c r="I2884" s="8" t="str">
        <x:f>B2884&amp;" / "&amp;C2884&amp;" / "&amp;E2884</x:f>
        <x:v>24702 / 2025 / RAINBOW TROUT</x:v>
      </x:c>
    </x:row>
    <x:row r="2885" ht="23" customHeight="1">
      <x:c r="A2885" s="8" t="str">
        <x:v>St. Paul Fish Pond</x:v>
      </x:c>
      <x:c r="B2885" s="8" t="str">
        <x:v>24702</x:v>
      </x:c>
      <x:c r="C2885" s="17" t="n">
        <x:v>2025</x:v>
      </x:c>
      <x:c r="D2885" s="18" t="n">
        <x:v>45848</x:v>
      </x:c>
      <x:c r="E2885" s="8" t="str">
        <x:v>TIGER TROUT</x:v>
      </x:c>
      <x:c r="F2885" s="13" t="n">
        <x:v>500</x:v>
      </x:c>
      <x:c r="G2885" s="9" t="n">
        <x:v>28.1</x:v>
      </x:c>
      <x:c r="H2885" s="9" t="n">
        <x:v>310.1</x:v>
      </x:c>
      <x:c r="I2885" s="8" t="str">
        <x:f>B2885&amp;" / "&amp;C2885&amp;" / "&amp;E2885</x:f>
        <x:v>24702 / 2025 / TIGER TROUT</x:v>
      </x:c>
    </x:row>
    <x:row r="2886" ht="23" customHeight="1">
      <x:c r="A2886" s="8" t="str">
        <x:v>St. Paul Fish Pond</x:v>
      </x:c>
      <x:c r="B2886" s="8" t="str">
        <x:v>24702</x:v>
      </x:c>
      <x:c r="C2886" s="17" t="n">
        <x:v>2025</x:v>
      </x:c>
      <x:c r="D2886" s="18" t="n">
        <x:v>45783</x:v>
      </x:c>
      <x:c r="E2886" s="8" t="str">
        <x:v>TIGER TROUT</x:v>
      </x:c>
      <x:c r="F2886" s="13" t="n">
        <x:v>300</x:v>
      </x:c>
      <x:c r="G2886" s="9" t="n">
        <x:v>22.9</x:v>
      </x:c>
      <x:c r="H2886" s="9" t="n">
        <x:v>132.5</x:v>
      </x:c>
      <x:c r="I2886" s="8" t="str">
        <x:f>B2886&amp;" / "&amp;C2886&amp;" / "&amp;E2886</x:f>
        <x:v>24702 / 2025 / TIGER TROUT</x:v>
      </x:c>
    </x:row>
    <x:row r="2887" ht="23" customHeight="1">
      <x:c r="A2887" s="8" t="str">
        <x:v>St. Paul Fish Pond</x:v>
      </x:c>
      <x:c r="B2887" s="8" t="str">
        <x:v>24702</x:v>
      </x:c>
      <x:c r="C2887" s="17" t="n">
        <x:v>2024</x:v>
      </x:c>
      <x:c r="D2887" s="18" t="n">
        <x:v>45415</x:v>
      </x:c>
      <x:c r="E2887" s="8" t="str">
        <x:v>BROWN TROUT</x:v>
      </x:c>
      <x:c r="F2887" s="13" t="n">
        <x:v>400</x:v>
      </x:c>
      <x:c r="G2887" s="9" t="n">
        <x:v>19.5</x:v>
      </x:c>
      <x:c r="H2887" s="9" t="n">
        <x:v>80.3</x:v>
      </x:c>
      <x:c r="I2887" s="8" t="str">
        <x:f>B2887&amp;" / "&amp;C2887&amp;" / "&amp;E2887</x:f>
        <x:v>24702 / 2024 / BROWN TROUT</x:v>
      </x:c>
    </x:row>
    <x:row r="2888" ht="23" customHeight="1">
      <x:c r="A2888" s="8" t="str">
        <x:v>St. Paul Fish Pond</x:v>
      </x:c>
      <x:c r="B2888" s="8" t="str">
        <x:v>24702</x:v>
      </x:c>
      <x:c r="C2888" s="17" t="n">
        <x:v>2024</x:v>
      </x:c>
      <x:c r="D2888" s="18" t="n">
        <x:v>45572</x:v>
      </x:c>
      <x:c r="E2888" s="8" t="str">
        <x:v>RAINBOW TROUT</x:v>
      </x:c>
      <x:c r="F2888" s="13" t="n">
        <x:v>200</x:v>
      </x:c>
      <x:c r="G2888" s="9" t="n">
        <x:v>22.5</x:v>
      </x:c>
      <x:c r="H2888" s="9" t="n">
        <x:v>125</x:v>
      </x:c>
      <x:c r="I2888" s="8" t="str">
        <x:f>B2888&amp;" / "&amp;C2888&amp;" / "&amp;E2888</x:f>
        <x:v>24702 / 2024 / RAINBOW TROUT</x:v>
      </x:c>
    </x:row>
    <x:row r="2889" ht="23" customHeight="1">
      <x:c r="A2889" s="8" t="str">
        <x:v>St. Paul Fish Pond</x:v>
      </x:c>
      <x:c r="B2889" s="8" t="str">
        <x:v>24702</x:v>
      </x:c>
      <x:c r="C2889" s="17" t="n">
        <x:v>2024</x:v>
      </x:c>
      <x:c r="D2889" s="18" t="n">
        <x:v>45561</x:v>
      </x:c>
      <x:c r="E2889" s="8" t="str">
        <x:v>RAINBOW TROUT</x:v>
      </x:c>
      <x:c r="F2889" s="13" t="n">
        <x:v>500</x:v>
      </x:c>
      <x:c r="G2889" s="9" t="n">
        <x:v>22.6</x:v>
      </x:c>
      <x:c r="H2889" s="9" t="n">
        <x:v>128</x:v>
      </x:c>
      <x:c r="I2889" s="8" t="str">
        <x:f>B2889&amp;" / "&amp;C2889&amp;" / "&amp;E2889</x:f>
        <x:v>24702 / 2024 / RAINBOW TROUT</x:v>
      </x:c>
    </x:row>
    <x:row r="2890" ht="23" customHeight="1">
      <x:c r="A2890" s="8" t="str">
        <x:v>St. Paul Fish Pond</x:v>
      </x:c>
      <x:c r="B2890" s="8" t="str">
        <x:v>24702</x:v>
      </x:c>
      <x:c r="C2890" s="17" t="n">
        <x:v>2024</x:v>
      </x:c>
      <x:c r="D2890" s="18" t="n">
        <x:v>45561</x:v>
      </x:c>
      <x:c r="E2890" s="8" t="str">
        <x:v>RAINBOW TROUT</x:v>
      </x:c>
      <x:c r="F2890" s="13" t="n">
        <x:v>600</x:v>
      </x:c>
      <x:c r="G2890" s="9" t="n">
        <x:v>20.3</x:v>
      </x:c>
      <x:c r="H2890" s="9" t="n">
        <x:v>88.9</x:v>
      </x:c>
      <x:c r="I2890" s="8" t="str">
        <x:f>B2890&amp;" / "&amp;C2890&amp;" / "&amp;E2890</x:f>
        <x:v>24702 / 2024 / RAINBOW TROUT</x:v>
      </x:c>
    </x:row>
    <x:row r="2891" ht="23" customHeight="1">
      <x:c r="A2891" s="8" t="str">
        <x:v>St. Paul Fish Pond</x:v>
      </x:c>
      <x:c r="B2891" s="8" t="str">
        <x:v>24702</x:v>
      </x:c>
      <x:c r="C2891" s="17" t="n">
        <x:v>2024</x:v>
      </x:c>
      <x:c r="D2891" s="18" t="n">
        <x:v>45415</x:v>
      </x:c>
      <x:c r="E2891" s="8" t="str">
        <x:v>RAINBOW TROUT</x:v>
      </x:c>
      <x:c r="F2891" s="13" t="n">
        <x:v>720</x:v>
      </x:c>
      <x:c r="G2891" s="9" t="n">
        <x:v>19.5</x:v>
      </x:c>
      <x:c r="H2891" s="9" t="n">
        <x:v>80</x:v>
      </x:c>
      <x:c r="I2891" s="8" t="str">
        <x:f>B2891&amp;" / "&amp;C2891&amp;" / "&amp;E2891</x:f>
        <x:v>24702 / 2024 / RAINBOW TROUT</x:v>
      </x:c>
    </x:row>
    <x:row r="2892" ht="23" customHeight="1">
      <x:c r="A2892" s="8" t="str">
        <x:v>St. Paul Fish Pond</x:v>
      </x:c>
      <x:c r="B2892" s="8" t="str">
        <x:v>24702</x:v>
      </x:c>
      <x:c r="C2892" s="17" t="n">
        <x:v>2024</x:v>
      </x:c>
      <x:c r="D2892" s="18" t="n">
        <x:v>45415</x:v>
      </x:c>
      <x:c r="E2892" s="8" t="str">
        <x:v>TIGER TROUT</x:v>
      </x:c>
      <x:c r="F2892" s="13" t="n">
        <x:v>300</x:v>
      </x:c>
      <x:c r="G2892" s="9" t="n">
        <x:v>20.1</x:v>
      </x:c>
      <x:c r="H2892" s="9" t="n">
        <x:v>87.3</x:v>
      </x:c>
      <x:c r="I2892" s="8" t="str">
        <x:f>B2892&amp;" / "&amp;C2892&amp;" / "&amp;E2892</x:f>
        <x:v>24702 / 2024 / TIGER TROUT</x:v>
      </x:c>
    </x:row>
    <x:row r="2893" ht="23" customHeight="1">
      <x:c r="A2893" s="8" t="str">
        <x:v>St. Paul Fish Pond</x:v>
      </x:c>
      <x:c r="B2893" s="8" t="str">
        <x:v>24702</x:v>
      </x:c>
      <x:c r="C2893" s="17" t="n">
        <x:v>2023</x:v>
      </x:c>
      <x:c r="D2893" s="18" t="n">
        <x:v>45048</x:v>
      </x:c>
      <x:c r="E2893" s="8" t="str">
        <x:v>BROWN TROUT</x:v>
      </x:c>
      <x:c r="F2893" s="13" t="n">
        <x:v>400</x:v>
      </x:c>
      <x:c r="G2893" s="9" t="n">
        <x:v>19.5</x:v>
      </x:c>
      <x:c r="H2893" s="9" t="n">
        <x:v>80.7</x:v>
      </x:c>
      <x:c r="I2893" s="8" t="str">
        <x:f>B2893&amp;" / "&amp;C2893&amp;" / "&amp;E2893</x:f>
        <x:v>24702 / 2023 / BROWN TROUT</x:v>
      </x:c>
    </x:row>
    <x:row r="2894" ht="23" customHeight="1">
      <x:c r="A2894" s="8" t="str">
        <x:v>St. Paul Fish Pond</x:v>
      </x:c>
      <x:c r="B2894" s="8" t="str">
        <x:v>24702</x:v>
      </x:c>
      <x:c r="C2894" s="17" t="n">
        <x:v>2023</x:v>
      </x:c>
      <x:c r="D2894" s="18" t="n">
        <x:v>45188</x:v>
      </x:c>
      <x:c r="E2894" s="8" t="str">
        <x:v>RAINBOW TROUT</x:v>
      </x:c>
      <x:c r="F2894" s="13" t="n">
        <x:v>304</x:v>
      </x:c>
      <x:c r="G2894" s="9" t="n">
        <x:v>21.1</x:v>
      </x:c>
      <x:c r="H2894" s="9" t="n">
        <x:v>94.5</x:v>
      </x:c>
      <x:c r="I2894" s="8" t="str">
        <x:f>B2894&amp;" / "&amp;C2894&amp;" / "&amp;E2894</x:f>
        <x:v>24702 / 2023 / RAINBOW TROUT</x:v>
      </x:c>
    </x:row>
    <x:row r="2895" ht="23" customHeight="1">
      <x:c r="A2895" s="8" t="str">
        <x:v>St. Paul Fish Pond</x:v>
      </x:c>
      <x:c r="B2895" s="8" t="str">
        <x:v>24702</x:v>
      </x:c>
      <x:c r="C2895" s="17" t="n">
        <x:v>2023</x:v>
      </x:c>
      <x:c r="D2895" s="18" t="n">
        <x:v>45048</x:v>
      </x:c>
      <x:c r="E2895" s="8" t="str">
        <x:v>RAINBOW TROUT</x:v>
      </x:c>
      <x:c r="F2895" s="13" t="n">
        <x:v>718</x:v>
      </x:c>
      <x:c r="G2895" s="9" t="n">
        <x:v>20.3</x:v>
      </x:c>
      <x:c r="H2895" s="9" t="n">
        <x:v>90</x:v>
      </x:c>
      <x:c r="I2895" s="8" t="str">
        <x:f>B2895&amp;" / "&amp;C2895&amp;" / "&amp;E2895</x:f>
        <x:v>24702 / 2023 / RAINBOW TROUT</x:v>
      </x:c>
    </x:row>
    <x:row r="2896" ht="23" customHeight="1">
      <x:c r="A2896" s="8" t="str">
        <x:v>St. Paul Fish Pond</x:v>
      </x:c>
      <x:c r="B2896" s="8" t="str">
        <x:v>24702</x:v>
      </x:c>
      <x:c r="C2896" s="17" t="n">
        <x:v>2023</x:v>
      </x:c>
      <x:c r="D2896" s="18" t="n">
        <x:v>45048</x:v>
      </x:c>
      <x:c r="E2896" s="8" t="str">
        <x:v>TIGER TROUT</x:v>
      </x:c>
      <x:c r="F2896" s="13" t="n">
        <x:v>300</x:v>
      </x:c>
      <x:c r="G2896" s="9" t="n">
        <x:v>18.9</x:v>
      </x:c>
      <x:c r="H2896" s="9" t="n">
        <x:v>73</x:v>
      </x:c>
      <x:c r="I2896" s="8" t="str">
        <x:f>B2896&amp;" / "&amp;C2896&amp;" / "&amp;E2896</x:f>
        <x:v>24702 / 2023 / TIGER TROUT</x:v>
      </x:c>
    </x:row>
    <x:row r="2897" ht="23" customHeight="1">
      <x:c r="A2897" s="8" t="str">
        <x:v>St. Paul Fish Pond</x:v>
      </x:c>
      <x:c r="B2897" s="8" t="str">
        <x:v>24702</x:v>
      </x:c>
      <x:c r="C2897" s="17" t="n">
        <x:v>2022</x:v>
      </x:c>
      <x:c r="D2897" s="18" t="n">
        <x:v>44817</x:v>
      </x:c>
      <x:c r="E2897" s="8" t="str">
        <x:v>BROWN TROUT</x:v>
      </x:c>
      <x:c r="F2897" s="13" t="n">
        <x:v>400</x:v>
      </x:c>
      <x:c r="G2897" s="9" t="n">
        <x:v>23.2</x:v>
      </x:c>
      <x:c r="H2897" s="9" t="n">
        <x:v>137.8</x:v>
      </x:c>
      <x:c r="I2897" s="8" t="str">
        <x:f>B2897&amp;" / "&amp;C2897&amp;" / "&amp;E2897</x:f>
        <x:v>24702 / 2022 / BROWN TROUT</x:v>
      </x:c>
    </x:row>
    <x:row r="2898" ht="23" customHeight="1">
      <x:c r="A2898" s="8" t="str">
        <x:v>St. Paul Fish Pond</x:v>
      </x:c>
      <x:c r="B2898" s="8" t="str">
        <x:v>24702</x:v>
      </x:c>
      <x:c r="C2898" s="17" t="n">
        <x:v>2022</x:v>
      </x:c>
      <x:c r="D2898" s="18" t="n">
        <x:v>44817</x:v>
      </x:c>
      <x:c r="E2898" s="8" t="str">
        <x:v>RAINBOW TROUT</x:v>
      </x:c>
      <x:c r="F2898" s="13" t="n">
        <x:v>600</x:v>
      </x:c>
      <x:c r="G2898" s="9" t="n">
        <x:v>26.2</x:v>
      </x:c>
      <x:c r="H2898" s="9" t="n">
        <x:v>198.9</x:v>
      </x:c>
      <x:c r="I2898" s="8" t="str">
        <x:f>B2898&amp;" / "&amp;C2898&amp;" / "&amp;E2898</x:f>
        <x:v>24702 / 2022 / RAINBOW TROUT</x:v>
      </x:c>
    </x:row>
    <x:row r="2899" ht="23" customHeight="1">
      <x:c r="A2899" s="8" t="str">
        <x:v>St. Paul Fish Pond</x:v>
      </x:c>
      <x:c r="B2899" s="8" t="str">
        <x:v>24702</x:v>
      </x:c>
      <x:c r="C2899" s="17" t="n">
        <x:v>2022</x:v>
      </x:c>
      <x:c r="D2899" s="18" t="n">
        <x:v>44691</x:v>
      </x:c>
      <x:c r="E2899" s="8" t="str">
        <x:v>RAINBOW TROUT</x:v>
      </x:c>
      <x:c r="F2899" s="13" t="n">
        <x:v>1800</x:v>
      </x:c>
      <x:c r="G2899" s="9" t="n">
        <x:v>22.8</x:v>
      </x:c>
      <x:c r="H2899" s="9" t="n">
        <x:v>131.7</x:v>
      </x:c>
      <x:c r="I2899" s="8" t="str">
        <x:f>B2899&amp;" / "&amp;C2899&amp;" / "&amp;E2899</x:f>
        <x:v>24702 / 2022 / RAINBOW TROUT</x:v>
      </x:c>
    </x:row>
    <x:row r="2900" ht="23" customHeight="1">
      <x:c r="A2900" s="8" t="str">
        <x:v>St. Paul Fish Pond</x:v>
      </x:c>
      <x:c r="B2900" s="8" t="str">
        <x:v>24702</x:v>
      </x:c>
      <x:c r="C2900" s="17" t="n">
        <x:v>2022</x:v>
      </x:c>
      <x:c r="D2900" s="18" t="n">
        <x:v>44691</x:v>
      </x:c>
      <x:c r="E2900" s="8" t="str">
        <x:v>TIGER TROUT</x:v>
      </x:c>
      <x:c r="F2900" s="13" t="n">
        <x:v>300</x:v>
      </x:c>
      <x:c r="G2900" s="9" t="n">
        <x:v>16.7</x:v>
      </x:c>
      <x:c r="H2900" s="9" t="n">
        <x:v>51.8</x:v>
      </x:c>
      <x:c r="I2900" s="8" t="str">
        <x:f>B2900&amp;" / "&amp;C2900&amp;" / "&amp;E2900</x:f>
        <x:v>24702 / 2022 / TIGER TROUT</x:v>
      </x:c>
    </x:row>
    <x:row r="2901" ht="23" customHeight="1">
      <x:c r="A2901" s="8" t="str">
        <x:v>St. Paul Fish Pond</x:v>
      </x:c>
      <x:c r="B2901" s="8" t="str">
        <x:v>24702</x:v>
      </x:c>
      <x:c r="C2901" s="17" t="n">
        <x:v>2021</x:v>
      </x:c>
      <x:c r="D2901" s="18" t="n">
        <x:v>44466</x:v>
      </x:c>
      <x:c r="E2901" s="8" t="str">
        <x:v>BROWN TROUT</x:v>
      </x:c>
      <x:c r="F2901" s="13" t="n">
        <x:v>400</x:v>
      </x:c>
      <x:c r="G2901" s="9" t="n">
        <x:v>22</x:v>
      </x:c>
      <x:c r="H2901" s="9" t="n">
        <x:v>117</x:v>
      </x:c>
      <x:c r="I2901" s="8" t="str">
        <x:f>B2901&amp;" / "&amp;C2901&amp;" / "&amp;E2901</x:f>
        <x:v>24702 / 2021 / BROWN TROUT</x:v>
      </x:c>
    </x:row>
    <x:row r="2902" ht="23" customHeight="1">
      <x:c r="A2902" s="8" t="str">
        <x:v>St. Paul Fish Pond</x:v>
      </x:c>
      <x:c r="B2902" s="8" t="str">
        <x:v>24702</x:v>
      </x:c>
      <x:c r="C2902" s="17" t="n">
        <x:v>2021</x:v>
      </x:c>
      <x:c r="D2902" s="18" t="n">
        <x:v>44466</x:v>
      </x:c>
      <x:c r="E2902" s="8" t="str">
        <x:v>RAINBOW TROUT</x:v>
      </x:c>
      <x:c r="F2902" s="13" t="n">
        <x:v>600</x:v>
      </x:c>
      <x:c r="G2902" s="9" t="n">
        <x:v>24.2</x:v>
      </x:c>
      <x:c r="H2902" s="9" t="n">
        <x:v>156.3</x:v>
      </x:c>
      <x:c r="I2902" s="8" t="str">
        <x:f>B2902&amp;" / "&amp;C2902&amp;" / "&amp;E2902</x:f>
        <x:v>24702 / 2021 / RAINBOW TROUT</x:v>
      </x:c>
    </x:row>
    <x:row r="2903" ht="23" customHeight="1">
      <x:c r="A2903" s="8" t="str">
        <x:v>St. Paul Fish Pond</x:v>
      </x:c>
      <x:c r="B2903" s="8" t="str">
        <x:v>24702</x:v>
      </x:c>
      <x:c r="C2903" s="17" t="n">
        <x:v>2021</x:v>
      </x:c>
      <x:c r="D2903" s="18" t="n">
        <x:v>44466</x:v>
      </x:c>
      <x:c r="E2903" s="8" t="str">
        <x:v>RAINBOW TROUT</x:v>
      </x:c>
      <x:c r="F2903" s="13" t="n">
        <x:v>50</x:v>
      </x:c>
      <x:c r="G2903" s="9" t="n">
        <x:v>38.5</x:v>
      </x:c>
      <x:c r="H2903" s="9" t="n">
        <x:v>632</x:v>
      </x:c>
      <x:c r="I2903" s="8" t="str">
        <x:f>B2903&amp;" / "&amp;C2903&amp;" / "&amp;E2903</x:f>
        <x:v>24702 / 2021 / RAINBOW TROUT</x:v>
      </x:c>
    </x:row>
    <x:row r="2904" ht="23" customHeight="1">
      <x:c r="A2904" s="8" t="str">
        <x:v>St. Paul Fish Pond</x:v>
      </x:c>
      <x:c r="B2904" s="8" t="str">
        <x:v>24702</x:v>
      </x:c>
      <x:c r="C2904" s="17" t="n">
        <x:v>2021</x:v>
      </x:c>
      <x:c r="D2904" s="18" t="n">
        <x:v>44328</x:v>
      </x:c>
      <x:c r="E2904" s="8" t="str">
        <x:v>RAINBOW TROUT</x:v>
      </x:c>
      <x:c r="F2904" s="13" t="n">
        <x:v>1800</x:v>
      </x:c>
      <x:c r="G2904" s="9" t="n">
        <x:v>19.5</x:v>
      </x:c>
      <x:c r="H2904" s="9" t="n">
        <x:v>82.1</x:v>
      </x:c>
      <x:c r="I2904" s="8" t="str">
        <x:f>B2904&amp;" / "&amp;C2904&amp;" / "&amp;E2904</x:f>
        <x:v>24702 / 2021 / RAINBOW TROUT</x:v>
      </x:c>
    </x:row>
    <x:row r="2905" ht="23" customHeight="1">
      <x:c r="A2905" s="8" t="str">
        <x:v>St. Paul Fish Pond</x:v>
      </x:c>
      <x:c r="B2905" s="8" t="str">
        <x:v>24702</x:v>
      </x:c>
      <x:c r="C2905" s="17" t="n">
        <x:v>2021</x:v>
      </x:c>
      <x:c r="D2905" s="18" t="n">
        <x:v>44346</x:v>
      </x:c>
      <x:c r="E2905" s="8" t="str">
        <x:v>TIGER TROUT</x:v>
      </x:c>
      <x:c r="F2905" s="13" t="n">
        <x:v>300</x:v>
      </x:c>
      <x:c r="G2905" s="9" t="n">
        <x:v>16.7</x:v>
      </x:c>
      <x:c r="H2905" s="9" t="n">
        <x:v>51.3</x:v>
      </x:c>
      <x:c r="I2905" s="8" t="str">
        <x:f>B2905&amp;" / "&amp;C2905&amp;" / "&amp;E2905</x:f>
        <x:v>24702 / 2021 / TIGER TROUT</x:v>
      </x:c>
    </x:row>
    <x:row r="2906" ht="23" customHeight="1">
      <x:c r="A2906" s="8" t="str">
        <x:v>Stafford Lake</x:v>
      </x:c>
      <x:c r="B2906" s="8" t="str">
        <x:v>3536</x:v>
      </x:c>
      <x:c r="C2906" s="17" t="n">
        <x:v>2023</x:v>
      </x:c>
      <x:c r="D2906" s="18" t="n">
        <x:v>45073</x:v>
      </x:c>
      <x:c r="E2906" s="8" t="str">
        <x:v>WALLEYE</x:v>
      </x:c>
      <x:c r="F2906" s="13" t="n">
        <x:v>71788</x:v>
      </x:c>
      <x:c r="G2906" s="9" t="n">
        <x:v>0.4</x:v>
      </x:c>
      <x:c r="H2906" s="9" t="n">
        <x:v>0</x:v>
      </x:c>
      <x:c r="I2906" s="8" t="str">
        <x:f>B2906&amp;" / "&amp;C2906&amp;" / "&amp;E2906</x:f>
        <x:v>3536 / 2023 / WALLEYE</x:v>
      </x:c>
    </x:row>
    <x:row r="2907" ht="23" customHeight="1">
      <x:c r="A2907" s="8" t="str">
        <x:v>Stafford Lake</x:v>
      </x:c>
      <x:c r="B2907" s="8" t="str">
        <x:v>3536</x:v>
      </x:c>
      <x:c r="C2907" s="17" t="n">
        <x:v>2022</x:v>
      </x:c>
      <x:c r="D2907" s="18" t="n">
        <x:v>44711</x:v>
      </x:c>
      <x:c r="E2907" s="8" t="str">
        <x:v>WALLEYE</x:v>
      </x:c>
      <x:c r="F2907" s="13" t="n">
        <x:v>75253</x:v>
      </x:c>
      <x:c r="G2907" s="9" t="n">
        <x:v>0.4</x:v>
      </x:c>
      <x:c r="H2907" s="9" t="n">
        <x:v>0</x:v>
      </x:c>
      <x:c r="I2907" s="8" t="str">
        <x:f>B2907&amp;" / "&amp;C2907&amp;" / "&amp;E2907</x:f>
        <x:v>3536 / 2022 / WALLEYE</x:v>
      </x:c>
    </x:row>
    <x:row r="2908" ht="23" customHeight="1">
      <x:c r="A2908" s="8" t="str">
        <x:v>Stafford Lake</x:v>
      </x:c>
      <x:c r="B2908" s="8" t="str">
        <x:v>3536</x:v>
      </x:c>
      <x:c r="C2908" s="17" t="n">
        <x:v>2021</x:v>
      </x:c>
      <x:c r="D2908" s="18" t="n">
        <x:v>44343</x:v>
      </x:c>
      <x:c r="E2908" s="8" t="str">
        <x:v>WALLEYE</x:v>
      </x:c>
      <x:c r="F2908" s="13" t="n">
        <x:v>46440</x:v>
      </x:c>
      <x:c r="G2908" s="9" t="n">
        <x:v>0.4</x:v>
      </x:c>
      <x:c r="H2908" s="9" t="str">
        <x:v>Unknown</x:v>
      </x:c>
      <x:c r="I2908" s="8" t="str">
        <x:f>B2908&amp;" / "&amp;C2908&amp;" / "&amp;E2908</x:f>
        <x:v>3536 / 2021 / WALLEYE</x:v>
      </x:c>
    </x:row>
    <x:row r="2909" ht="23" customHeight="1">
      <x:c r="A2909" s="8" t="str">
        <x:v>Star Lake</x:v>
      </x:c>
      <x:c r="B2909" s="8" t="str">
        <x:v>5895</x:v>
      </x:c>
      <x:c r="C2909" s="17" t="n">
        <x:v>2026</x:v>
      </x:c>
      <x:c r="D2909" s="18" t="n">
        <x:v>46149</x:v>
      </x:c>
      <x:c r="E2909" s="8" t="str">
        <x:v>BROWN TROUT</x:v>
      </x:c>
      <x:c r="F2909" s="13" t="n">
        <x:v>1000</x:v>
      </x:c>
      <x:c r="G2909" s="9" t="n">
        <x:v>19.7</x:v>
      </x:c>
      <x:c r="H2909" s="9" t="n">
        <x:v>85.2</x:v>
      </x:c>
      <x:c r="I2909" s="8" t="str">
        <x:f>B2909&amp;" / "&amp;C2909&amp;" / "&amp;E2909</x:f>
        <x:v>5895 / 2026 / BROWN TROUT</x:v>
      </x:c>
    </x:row>
    <x:row r="2910" ht="23" customHeight="1">
      <x:c r="A2910" s="8" t="str">
        <x:v>Star Lake</x:v>
      </x:c>
      <x:c r="B2910" s="8" t="str">
        <x:v>5895</x:v>
      </x:c>
      <x:c r="C2910" s="17" t="n">
        <x:v>2026</x:v>
      </x:c>
      <x:c r="D2910" s="18" t="n">
        <x:v>46153</x:v>
      </x:c>
      <x:c r="E2910" s="8" t="str">
        <x:v>RAINBOW TROUT</x:v>
      </x:c>
      <x:c r="F2910" s="13" t="n">
        <x:v>8040</x:v>
      </x:c>
      <x:c r="G2910" s="9" t="n">
        <x:v>20.6</x:v>
      </x:c>
      <x:c r="H2910" s="9" t="n">
        <x:v>94.3</x:v>
      </x:c>
      <x:c r="I2910" s="8" t="str">
        <x:f>B2910&amp;" / "&amp;C2910&amp;" / "&amp;E2910</x:f>
        <x:v>5895 / 2026 / RAINBOW TROUT</x:v>
      </x:c>
    </x:row>
    <x:row r="2911" ht="23" customHeight="1">
      <x:c r="A2911" s="8" t="str">
        <x:v>Star Lake</x:v>
      </x:c>
      <x:c r="B2911" s="8" t="str">
        <x:v>5895</x:v>
      </x:c>
      <x:c r="C2911" s="17" t="n">
        <x:v>2026</x:v>
      </x:c>
      <x:c r="D2911" s="18" t="n">
        <x:v>46148</x:v>
      </x:c>
      <x:c r="E2911" s="8" t="str">
        <x:v>RAINBOW TROUT</x:v>
      </x:c>
      <x:c r="F2911" s="13" t="n">
        <x:v>134</x:v>
      </x:c>
      <x:c r="G2911" s="9" t="n">
        <x:v>35.1</x:v>
      </x:c>
      <x:c r="H2911" s="9" t="n">
        <x:v>565.1</x:v>
      </x:c>
      <x:c r="I2911" s="8" t="str">
        <x:f>B2911&amp;" / "&amp;C2911&amp;" / "&amp;E2911</x:f>
        <x:v>5895 / 2026 / RAINBOW TROUT</x:v>
      </x:c>
    </x:row>
    <x:row r="2912" ht="23" customHeight="1">
      <x:c r="A2912" s="8" t="str">
        <x:v>Star Lake</x:v>
      </x:c>
      <x:c r="B2912" s="8" t="str">
        <x:v>5895</x:v>
      </x:c>
      <x:c r="C2912" s="17" t="n">
        <x:v>2026</x:v>
      </x:c>
      <x:c r="D2912" s="18" t="n">
        <x:v>46153</x:v>
      </x:c>
      <x:c r="E2912" s="8" t="str">
        <x:v>TIGER TROUT</x:v>
      </x:c>
      <x:c r="F2912" s="13" t="n">
        <x:v>1000</x:v>
      </x:c>
      <x:c r="G2912" s="9" t="n">
        <x:v>17.8</x:v>
      </x:c>
      <x:c r="H2912" s="9" t="n">
        <x:v>61</x:v>
      </x:c>
      <x:c r="I2912" s="8" t="str">
        <x:f>B2912&amp;" / "&amp;C2912&amp;" / "&amp;E2912</x:f>
        <x:v>5895 / 2026 / TIGER TROUT</x:v>
      </x:c>
    </x:row>
    <x:row r="2913" ht="23" customHeight="1">
      <x:c r="A2913" s="8" t="str">
        <x:v>Star Lake</x:v>
      </x:c>
      <x:c r="B2913" s="8" t="str">
        <x:v>5895</x:v>
      </x:c>
      <x:c r="C2913" s="17" t="n">
        <x:v>2025</x:v>
      </x:c>
      <x:c r="D2913" s="18" t="n">
        <x:v>45774</x:v>
      </x:c>
      <x:c r="E2913" s="8" t="str">
        <x:v>BROWN TROUT</x:v>
      </x:c>
      <x:c r="F2913" s="13" t="n">
        <x:v>1000</x:v>
      </x:c>
      <x:c r="G2913" s="9" t="n">
        <x:v>18.8</x:v>
      </x:c>
      <x:c r="H2913" s="9" t="n">
        <x:v>72</x:v>
      </x:c>
      <x:c r="I2913" s="8" t="str">
        <x:f>B2913&amp;" / "&amp;C2913&amp;" / "&amp;E2913</x:f>
        <x:v>5895 / 2025 / BROWN TROUT</x:v>
      </x:c>
    </x:row>
    <x:row r="2914" ht="23" customHeight="1">
      <x:c r="A2914" s="8" t="str">
        <x:v>Star Lake</x:v>
      </x:c>
      <x:c r="B2914" s="8" t="str">
        <x:v>5895</x:v>
      </x:c>
      <x:c r="C2914" s="17" t="n">
        <x:v>2025</x:v>
      </x:c>
      <x:c r="D2914" s="18" t="n">
        <x:v>45774</x:v>
      </x:c>
      <x:c r="E2914" s="8" t="str">
        <x:v>RAINBOW TROUT</x:v>
      </x:c>
      <x:c r="F2914" s="13" t="n">
        <x:v>8040</x:v>
      </x:c>
      <x:c r="G2914" s="9" t="n">
        <x:v>20.2</x:v>
      </x:c>
      <x:c r="H2914" s="9" t="n">
        <x:v>89.5</x:v>
      </x:c>
      <x:c r="I2914" s="8" t="str">
        <x:f>B2914&amp;" / "&amp;C2914&amp;" / "&amp;E2914</x:f>
        <x:v>5895 / 2025 / RAINBOW TROUT</x:v>
      </x:c>
    </x:row>
    <x:row r="2915" ht="23" customHeight="1">
      <x:c r="A2915" s="8" t="str">
        <x:v>Star Lake</x:v>
      </x:c>
      <x:c r="B2915" s="8" t="str">
        <x:v>5895</x:v>
      </x:c>
      <x:c r="C2915" s="17" t="n">
        <x:v>2025</x:v>
      </x:c>
      <x:c r="D2915" s="18" t="n">
        <x:v>45774</x:v>
      </x:c>
      <x:c r="E2915" s="8" t="str">
        <x:v>TIGER TROUT</x:v>
      </x:c>
      <x:c r="F2915" s="13" t="n">
        <x:v>1000</x:v>
      </x:c>
      <x:c r="G2915" s="9" t="n">
        <x:v>19.6</x:v>
      </x:c>
      <x:c r="H2915" s="9" t="n">
        <x:v>81</x:v>
      </x:c>
      <x:c r="I2915" s="8" t="str">
        <x:f>B2915&amp;" / "&amp;C2915&amp;" / "&amp;E2915</x:f>
        <x:v>5895 / 2025 / TIGER TROUT</x:v>
      </x:c>
    </x:row>
    <x:row r="2916" ht="23" customHeight="1">
      <x:c r="A2916" s="8" t="str">
        <x:v>Star Lake</x:v>
      </x:c>
      <x:c r="B2916" s="8" t="str">
        <x:v>5895</x:v>
      </x:c>
      <x:c r="C2916" s="17" t="n">
        <x:v>2024</x:v>
      </x:c>
      <x:c r="D2916" s="18" t="n">
        <x:v>45412</x:v>
      </x:c>
      <x:c r="E2916" s="8" t="str">
        <x:v>BROWN TROUT</x:v>
      </x:c>
      <x:c r="F2916" s="13" t="n">
        <x:v>500</x:v>
      </x:c>
      <x:c r="G2916" s="9" t="n">
        <x:v>20.2</x:v>
      </x:c>
      <x:c r="H2916" s="9" t="n">
        <x:v>88.6</x:v>
      </x:c>
      <x:c r="I2916" s="8" t="str">
        <x:f>B2916&amp;" / "&amp;C2916&amp;" / "&amp;E2916</x:f>
        <x:v>5895 / 2024 / BROWN TROUT</x:v>
      </x:c>
    </x:row>
    <x:row r="2917" ht="23" customHeight="1">
      <x:c r="A2917" s="8" t="str">
        <x:v>Star Lake</x:v>
      </x:c>
      <x:c r="B2917" s="8" t="str">
        <x:v>5895</x:v>
      </x:c>
      <x:c r="C2917" s="17" t="n">
        <x:v>2024</x:v>
      </x:c>
      <x:c r="D2917" s="18" t="n">
        <x:v>45412</x:v>
      </x:c>
      <x:c r="E2917" s="8" t="str">
        <x:v>RAINBOW TROUT</x:v>
      </x:c>
      <x:c r="F2917" s="13" t="n">
        <x:v>3216</x:v>
      </x:c>
      <x:c r="G2917" s="9" t="n">
        <x:v>20.4</x:v>
      </x:c>
      <x:c r="H2917" s="9" t="n">
        <x:v>92.3</x:v>
      </x:c>
      <x:c r="I2917" s="8" t="str">
        <x:f>B2917&amp;" / "&amp;C2917&amp;" / "&amp;E2917</x:f>
        <x:v>5895 / 2024 / RAINBOW TROUT</x:v>
      </x:c>
    </x:row>
    <x:row r="2918" ht="23" customHeight="1">
      <x:c r="A2918" s="8" t="str">
        <x:v>Star Lake</x:v>
      </x:c>
      <x:c r="B2918" s="8" t="str">
        <x:v>5895</x:v>
      </x:c>
      <x:c r="C2918" s="17" t="n">
        <x:v>2024</x:v>
      </x:c>
      <x:c r="D2918" s="18" t="n">
        <x:v>45412</x:v>
      </x:c>
      <x:c r="E2918" s="8" t="str">
        <x:v>TIGER TROUT</x:v>
      </x:c>
      <x:c r="F2918" s="13" t="n">
        <x:v>1000</x:v>
      </x:c>
      <x:c r="G2918" s="9" t="n">
        <x:v>19.6</x:v>
      </x:c>
      <x:c r="H2918" s="9" t="n">
        <x:v>81.9</x:v>
      </x:c>
      <x:c r="I2918" s="8" t="str">
        <x:f>B2918&amp;" / "&amp;C2918&amp;" / "&amp;E2918</x:f>
        <x:v>5895 / 2024 / TIGER TROUT</x:v>
      </x:c>
    </x:row>
    <x:row r="2919" ht="23" customHeight="1">
      <x:c r="A2919" s="8" t="str">
        <x:v>Star Lake</x:v>
      </x:c>
      <x:c r="B2919" s="8" t="str">
        <x:v>5895</x:v>
      </x:c>
      <x:c r="C2919" s="17" t="n">
        <x:v>2023</x:v>
      </x:c>
      <x:c r="D2919" s="18" t="n">
        <x:v>45054</x:v>
      </x:c>
      <x:c r="E2919" s="8" t="str">
        <x:v>BROWN TROUT</x:v>
      </x:c>
      <x:c r="F2919" s="13" t="n">
        <x:v>500</x:v>
      </x:c>
      <x:c r="G2919" s="9" t="n">
        <x:v>18.6</x:v>
      </x:c>
      <x:c r="H2919" s="9" t="n">
        <x:v>71</x:v>
      </x:c>
      <x:c r="I2919" s="8" t="str">
        <x:f>B2919&amp;" / "&amp;C2919&amp;" / "&amp;E2919</x:f>
        <x:v>5895 / 2023 / BROWN TROUT</x:v>
      </x:c>
    </x:row>
    <x:row r="2920" ht="23" customHeight="1">
      <x:c r="A2920" s="8" t="str">
        <x:v>Star Lake</x:v>
      </x:c>
      <x:c r="B2920" s="8" t="str">
        <x:v>5895</x:v>
      </x:c>
      <x:c r="C2920" s="17" t="n">
        <x:v>2023</x:v>
      </x:c>
      <x:c r="D2920" s="18" t="n">
        <x:v>45054</x:v>
      </x:c>
      <x:c r="E2920" s="8" t="str">
        <x:v>RAINBOW TROUT</x:v>
      </x:c>
      <x:c r="F2920" s="13" t="n">
        <x:v>3208</x:v>
      </x:c>
      <x:c r="G2920" s="9" t="n">
        <x:v>19.9</x:v>
      </x:c>
      <x:c r="H2920" s="9" t="n">
        <x:v>87.3</x:v>
      </x:c>
      <x:c r="I2920" s="8" t="str">
        <x:f>B2920&amp;" / "&amp;C2920&amp;" / "&amp;E2920</x:f>
        <x:v>5895 / 2023 / RAINBOW TROUT</x:v>
      </x:c>
    </x:row>
    <x:row r="2921" ht="23" customHeight="1">
      <x:c r="A2921" s="8" t="str">
        <x:v>Star Lake</x:v>
      </x:c>
      <x:c r="B2921" s="8" t="str">
        <x:v>5895</x:v>
      </x:c>
      <x:c r="C2921" s="17" t="n">
        <x:v>2023</x:v>
      </x:c>
      <x:c r="D2921" s="18" t="n">
        <x:v>45054</x:v>
      </x:c>
      <x:c r="E2921" s="8" t="str">
        <x:v>TIGER TROUT</x:v>
      </x:c>
      <x:c r="F2921" s="13" t="n">
        <x:v>1000</x:v>
      </x:c>
      <x:c r="G2921" s="9" t="n">
        <x:v>19.5</x:v>
      </x:c>
      <x:c r="H2921" s="9" t="n">
        <x:v>81.8</x:v>
      </x:c>
      <x:c r="I2921" s="8" t="str">
        <x:f>B2921&amp;" / "&amp;C2921&amp;" / "&amp;E2921</x:f>
        <x:v>5895 / 2023 / TIGER TROUT</x:v>
      </x:c>
    </x:row>
    <x:row r="2922" ht="23" customHeight="1">
      <x:c r="A2922" s="8" t="str">
        <x:v>Star Lake</x:v>
      </x:c>
      <x:c r="B2922" s="8" t="str">
        <x:v>5895</x:v>
      </x:c>
      <x:c r="C2922" s="17" t="n">
        <x:v>2022</x:v>
      </x:c>
      <x:c r="D2922" s="18" t="n">
        <x:v>44687</x:v>
      </x:c>
      <x:c r="E2922" s="8" t="str">
        <x:v>BROWN TROUT</x:v>
      </x:c>
      <x:c r="F2922" s="13" t="n">
        <x:v>1000</x:v>
      </x:c>
      <x:c r="G2922" s="9" t="n">
        <x:v>18.8</x:v>
      </x:c>
      <x:c r="H2922" s="9" t="n">
        <x:v>73</x:v>
      </x:c>
      <x:c r="I2922" s="8" t="str">
        <x:f>B2922&amp;" / "&amp;C2922&amp;" / "&amp;E2922</x:f>
        <x:v>5895 / 2022 / BROWN TROUT</x:v>
      </x:c>
    </x:row>
    <x:row r="2923" ht="23" customHeight="1">
      <x:c r="A2923" s="8" t="str">
        <x:v>Star Lake</x:v>
      </x:c>
      <x:c r="B2923" s="8" t="str">
        <x:v>5895</x:v>
      </x:c>
      <x:c r="C2923" s="17" t="n">
        <x:v>2022</x:v>
      </x:c>
      <x:c r="D2923" s="18" t="n">
        <x:v>44686</x:v>
      </x:c>
      <x:c r="E2923" s="8" t="str">
        <x:v>RAINBOW TROUT</x:v>
      </x:c>
      <x:c r="F2923" s="13" t="n">
        <x:v>8437</x:v>
      </x:c>
      <x:c r="G2923" s="9" t="n">
        <x:v>20.2</x:v>
      </x:c>
      <x:c r="H2923" s="9" t="n">
        <x:v>90.4</x:v>
      </x:c>
      <x:c r="I2923" s="8" t="str">
        <x:f>B2923&amp;" / "&amp;C2923&amp;" / "&amp;E2923</x:f>
        <x:v>5895 / 2022 / RAINBOW TROUT</x:v>
      </x:c>
    </x:row>
    <x:row r="2924" ht="23" customHeight="1">
      <x:c r="A2924" s="8" t="str">
        <x:v>Star Lake</x:v>
      </x:c>
      <x:c r="B2924" s="8" t="str">
        <x:v>5895</x:v>
      </x:c>
      <x:c r="C2924" s="17" t="n">
        <x:v>2022</x:v>
      </x:c>
      <x:c r="D2924" s="18" t="n">
        <x:v>44687</x:v>
      </x:c>
      <x:c r="E2924" s="8" t="str">
        <x:v>TIGER TROUT</x:v>
      </x:c>
      <x:c r="F2924" s="13" t="n">
        <x:v>1000</x:v>
      </x:c>
      <x:c r="G2924" s="9" t="n">
        <x:v>17.7</x:v>
      </x:c>
      <x:c r="H2924" s="9" t="n">
        <x:v>61</x:v>
      </x:c>
      <x:c r="I2924" s="8" t="str">
        <x:f>B2924&amp;" / "&amp;C2924&amp;" / "&amp;E2924</x:f>
        <x:v>5895 / 2022 / TIGER TROUT</x:v>
      </x:c>
    </x:row>
    <x:row r="2925" ht="23" customHeight="1">
      <x:c r="A2925" s="8" t="str">
        <x:v>Star Lake</x:v>
      </x:c>
      <x:c r="B2925" s="8" t="str">
        <x:v>5895</x:v>
      </x:c>
      <x:c r="C2925" s="17" t="n">
        <x:v>2021</x:v>
      </x:c>
      <x:c r="D2925" s="18" t="n">
        <x:v>44320</x:v>
      </x:c>
      <x:c r="E2925" s="8" t="str">
        <x:v>BROWN TROUT</x:v>
      </x:c>
      <x:c r="F2925" s="13" t="n">
        <x:v>1000</x:v>
      </x:c>
      <x:c r="G2925" s="9" t="n">
        <x:v>17</x:v>
      </x:c>
      <x:c r="H2925" s="9" t="n">
        <x:v>54.3</x:v>
      </x:c>
      <x:c r="I2925" s="8" t="str">
        <x:f>B2925&amp;" / "&amp;C2925&amp;" / "&amp;E2925</x:f>
        <x:v>5895 / 2021 / BROWN TROUT</x:v>
      </x:c>
    </x:row>
    <x:row r="2926" ht="23" customHeight="1">
      <x:c r="A2926" s="8" t="str">
        <x:v>Star Lake</x:v>
      </x:c>
      <x:c r="B2926" s="8" t="str">
        <x:v>5895</x:v>
      </x:c>
      <x:c r="C2926" s="17" t="n">
        <x:v>2021</x:v>
      </x:c>
      <x:c r="D2926" s="18" t="n">
        <x:v>44333</x:v>
      </x:c>
      <x:c r="E2926" s="8" t="str">
        <x:v>RAINBOW TROUT</x:v>
      </x:c>
      <x:c r="F2926" s="13" t="n">
        <x:v>387</x:v>
      </x:c>
      <x:c r="G2926" s="9" t="n">
        <x:v>42.9</x:v>
      </x:c>
      <x:c r="H2926" s="9" t="n">
        <x:v>874</x:v>
      </x:c>
      <x:c r="I2926" s="8" t="str">
        <x:f>B2926&amp;" / "&amp;C2926&amp;" / "&amp;E2926</x:f>
        <x:v>5895 / 2021 / RAINBOW TROUT</x:v>
      </x:c>
    </x:row>
    <x:row r="2927" ht="23" customHeight="1">
      <x:c r="A2927" s="8" t="str">
        <x:v>Star Lake</x:v>
      </x:c>
      <x:c r="B2927" s="8" t="str">
        <x:v>5895</x:v>
      </x:c>
      <x:c r="C2927" s="17" t="n">
        <x:v>2021</x:v>
      </x:c>
      <x:c r="D2927" s="18" t="n">
        <x:v>44320</x:v>
      </x:c>
      <x:c r="E2927" s="8" t="str">
        <x:v>RAINBOW TROUT</x:v>
      </x:c>
      <x:c r="F2927" s="13" t="n">
        <x:v>8040</x:v>
      </x:c>
      <x:c r="G2927" s="9" t="n">
        <x:v>20.5</x:v>
      </x:c>
      <x:c r="H2927" s="9" t="n">
        <x:v>95.1</x:v>
      </x:c>
      <x:c r="I2927" s="8" t="str">
        <x:f>B2927&amp;" / "&amp;C2927&amp;" / "&amp;E2927</x:f>
        <x:v>5895 / 2021 / RAINBOW TROUT</x:v>
      </x:c>
    </x:row>
    <x:row r="2928" ht="23" customHeight="1">
      <x:c r="A2928" s="8" t="str">
        <x:v>Star Lake</x:v>
      </x:c>
      <x:c r="B2928" s="8" t="str">
        <x:v>5895</x:v>
      </x:c>
      <x:c r="C2928" s="17" t="n">
        <x:v>2021</x:v>
      </x:c>
      <x:c r="D2928" s="18" t="n">
        <x:v>44314</x:v>
      </x:c>
      <x:c r="E2928" s="8" t="str">
        <x:v>RAINBOW TROUT</x:v>
      </x:c>
      <x:c r="F2928" s="13" t="n">
        <x:v>75</x:v>
      </x:c>
      <x:c r="G2928" s="9" t="n">
        <x:v>30</x:v>
      </x:c>
      <x:c r="H2928" s="9" t="n">
        <x:v>410</x:v>
      </x:c>
      <x:c r="I2928" s="8" t="str">
        <x:f>B2928&amp;" / "&amp;C2928&amp;" / "&amp;E2928</x:f>
        <x:v>5895 / 2021 / RAINBOW TROUT</x:v>
      </x:c>
    </x:row>
    <x:row r="2929" ht="23" customHeight="1">
      <x:c r="A2929" s="8" t="str">
        <x:v>Star Lake</x:v>
      </x:c>
      <x:c r="B2929" s="8" t="str">
        <x:v>5895</x:v>
      </x:c>
      <x:c r="C2929" s="17" t="n">
        <x:v>2021</x:v>
      </x:c>
      <x:c r="D2929" s="18" t="n">
        <x:v>44460</x:v>
      </x:c>
      <x:c r="E2929" s="8" t="str">
        <x:v>TIGER TROUT</x:v>
      </x:c>
      <x:c r="F2929" s="13" t="n">
        <x:v>1000</x:v>
      </x:c>
      <x:c r="G2929" s="9" t="n">
        <x:v>21.8</x:v>
      </x:c>
      <x:c r="H2929" s="9" t="n">
        <x:v>115.3</x:v>
      </x:c>
      <x:c r="I2929" s="8" t="str">
        <x:f>B2929&amp;" / "&amp;C2929&amp;" / "&amp;E2929</x:f>
        <x:v>5895 / 2021 / TIGER TROUT</x:v>
      </x:c>
    </x:row>
    <x:row r="2930" ht="23" customHeight="1">
      <x:c r="A2930" s="8" t="str">
        <x:v>Stenton Lake</x:v>
      </x:c>
      <x:c r="B2930" s="8" t="str">
        <x:v>5901</x:v>
      </x:c>
      <x:c r="C2930" s="17" t="n">
        <x:v>2025</x:v>
      </x:c>
      <x:c r="D2930" s="18" t="n">
        <x:v>45908</x:v>
      </x:c>
      <x:c r="E2930" s="8" t="str">
        <x:v>RAINBOW TROUT</x:v>
      </x:c>
      <x:c r="F2930" s="13" t="n">
        <x:v>400</x:v>
      </x:c>
      <x:c r="G2930" s="9" t="n">
        <x:v>5.4</x:v>
      </x:c>
      <x:c r="H2930" s="9" t="n">
        <x:v>1.7</x:v>
      </x:c>
      <x:c r="I2930" s="8" t="str">
        <x:f>B2930&amp;" / "&amp;C2930&amp;" / "&amp;E2930</x:f>
        <x:v>5901 / 2025 / RAINBOW TROUT</x:v>
      </x:c>
    </x:row>
    <x:row r="2931" ht="23" customHeight="1">
      <x:c r="A2931" s="8" t="str">
        <x:v>Stenton Lake</x:v>
      </x:c>
      <x:c r="B2931" s="8" t="str">
        <x:v>5901</x:v>
      </x:c>
      <x:c r="C2931" s="17" t="n">
        <x:v>2021</x:v>
      </x:c>
      <x:c r="D2931" s="18" t="n">
        <x:v>44447</x:v>
      </x:c>
      <x:c r="E2931" s="8" t="str">
        <x:v>CUTTHROAT TROUT</x:v>
      </x:c>
      <x:c r="F2931" s="13" t="n">
        <x:v>400</x:v>
      </x:c>
      <x:c r="G2931" s="9" t="n">
        <x:v>4.9</x:v>
      </x:c>
      <x:c r="H2931" s="9" t="n">
        <x:v>1.3</x:v>
      </x:c>
      <x:c r="I2931" s="8" t="str">
        <x:f>B2931&amp;" / "&amp;C2931&amp;" / "&amp;E2931</x:f>
        <x:v>5901 / 2021 / CUTTHROAT TROUT</x:v>
      </x:c>
    </x:row>
    <x:row r="2932" ht="23" customHeight="1">
      <x:c r="A2932" s="8" t="str">
        <x:v>Stirling Children's Pond</x:v>
      </x:c>
      <x:c r="B2932" s="8" t="str">
        <x:v>6682</x:v>
      </x:c>
      <x:c r="C2932" s="17" t="n">
        <x:v>2026</x:v>
      </x:c>
      <x:c r="D2932" s="18" t="n">
        <x:v>46162</x:v>
      </x:c>
      <x:c r="E2932" s="8" t="str">
        <x:v>RAINBOW TROUT</x:v>
      </x:c>
      <x:c r="F2932" s="13" t="n">
        <x:v>1000</x:v>
      </x:c>
      <x:c r="G2932" s="9" t="n">
        <x:v>20.7</x:v>
      </x:c>
      <x:c r="H2932" s="9" t="n">
        <x:v>97.9</x:v>
      </x:c>
      <x:c r="I2932" s="8" t="str">
        <x:f>B2932&amp;" / "&amp;C2932&amp;" / "&amp;E2932</x:f>
        <x:v>6682 / 2026 / RAINBOW TROUT</x:v>
      </x:c>
    </x:row>
    <x:row r="2933" ht="23" customHeight="1">
      <x:c r="A2933" s="8" t="str">
        <x:v>Stirling Children's Pond</x:v>
      </x:c>
      <x:c r="B2933" s="8" t="str">
        <x:v>6682</x:v>
      </x:c>
      <x:c r="C2933" s="17" t="n">
        <x:v>2025</x:v>
      </x:c>
      <x:c r="D2933" s="18" t="n">
        <x:v>45777</x:v>
      </x:c>
      <x:c r="E2933" s="8" t="str">
        <x:v>RAINBOW TROUT</x:v>
      </x:c>
      <x:c r="F2933" s="13" t="n">
        <x:v>1000</x:v>
      </x:c>
      <x:c r="G2933" s="9" t="n">
        <x:v>20.3</x:v>
      </x:c>
      <x:c r="H2933" s="9" t="n">
        <x:v>94.3</x:v>
      </x:c>
      <x:c r="I2933" s="8" t="str">
        <x:f>B2933&amp;" / "&amp;C2933&amp;" / "&amp;E2933</x:f>
        <x:v>6682 / 2025 / RAINBOW TROUT</x:v>
      </x:c>
    </x:row>
    <x:row r="2934" ht="23" customHeight="1">
      <x:c r="A2934" s="8" t="str">
        <x:v>Stirling Children's Pond</x:v>
      </x:c>
      <x:c r="B2934" s="8" t="str">
        <x:v>6682</x:v>
      </x:c>
      <x:c r="C2934" s="17" t="n">
        <x:v>2024</x:v>
      </x:c>
      <x:c r="D2934" s="18" t="n">
        <x:v>45400</x:v>
      </x:c>
      <x:c r="E2934" s="8" t="str">
        <x:v>RAINBOW TROUT</x:v>
      </x:c>
      <x:c r="F2934" s="13" t="n">
        <x:v>1000</x:v>
      </x:c>
      <x:c r="G2934" s="9" t="n">
        <x:v>20.5</x:v>
      </x:c>
      <x:c r="H2934" s="9" t="n">
        <x:v>93.1</x:v>
      </x:c>
      <x:c r="I2934" s="8" t="str">
        <x:f>B2934&amp;" / "&amp;C2934&amp;" / "&amp;E2934</x:f>
        <x:v>6682 / 2024 / RAINBOW TROUT</x:v>
      </x:c>
    </x:row>
    <x:row r="2935" ht="23" customHeight="1">
      <x:c r="A2935" s="8" t="str">
        <x:v>Stirling Children's Pond</x:v>
      </x:c>
      <x:c r="B2935" s="8" t="str">
        <x:v>6682</x:v>
      </x:c>
      <x:c r="C2935" s="17" t="n">
        <x:v>2023</x:v>
      </x:c>
      <x:c r="D2935" s="18" t="n">
        <x:v>45042</x:v>
      </x:c>
      <x:c r="E2935" s="8" t="str">
        <x:v>RAINBOW TROUT</x:v>
      </x:c>
      <x:c r="F2935" s="13" t="n">
        <x:v>1000</x:v>
      </x:c>
      <x:c r="G2935" s="9" t="n">
        <x:v>21.7</x:v>
      </x:c>
      <x:c r="H2935" s="9" t="n">
        <x:v>93.2</x:v>
      </x:c>
      <x:c r="I2935" s="8" t="str">
        <x:f>B2935&amp;" / "&amp;C2935&amp;" / "&amp;E2935</x:f>
        <x:v>6682 / 2023 / RAINBOW TROUT</x:v>
      </x:c>
    </x:row>
    <x:row r="2936" ht="23" customHeight="1">
      <x:c r="A2936" s="8" t="str">
        <x:v>Stirling Children's Pond</x:v>
      </x:c>
      <x:c r="B2936" s="8" t="str">
        <x:v>6682</x:v>
      </x:c>
      <x:c r="C2936" s="17" t="n">
        <x:v>2022</x:v>
      </x:c>
      <x:c r="D2936" s="18" t="n">
        <x:v>44675</x:v>
      </x:c>
      <x:c r="E2936" s="8" t="str">
        <x:v>RAINBOW TROUT</x:v>
      </x:c>
      <x:c r="F2936" s="13" t="n">
        <x:v>1100</x:v>
      </x:c>
      <x:c r="G2936" s="9" t="n">
        <x:v>21.1</x:v>
      </x:c>
      <x:c r="H2936" s="9" t="n">
        <x:v>95.6</x:v>
      </x:c>
      <x:c r="I2936" s="8" t="str">
        <x:f>B2936&amp;" / "&amp;C2936&amp;" / "&amp;E2936</x:f>
        <x:v>6682 / 2022 / RAINBOW TROUT</x:v>
      </x:c>
    </x:row>
    <x:row r="2937" ht="23" customHeight="1">
      <x:c r="A2937" s="8" t="str">
        <x:v>Stirling Children's Pond</x:v>
      </x:c>
      <x:c r="B2937" s="8" t="str">
        <x:v>6682</x:v>
      </x:c>
      <x:c r="C2937" s="17" t="n">
        <x:v>2021</x:v>
      </x:c>
      <x:c r="D2937" s="18" t="n">
        <x:v>44454</x:v>
      </x:c>
      <x:c r="E2937" s="8" t="str">
        <x:v>RAINBOW TROUT</x:v>
      </x:c>
      <x:c r="F2937" s="13" t="n">
        <x:v>1100</x:v>
      </x:c>
      <x:c r="G2937" s="9" t="n">
        <x:v>20.9</x:v>
      </x:c>
      <x:c r="H2937" s="9" t="n">
        <x:v>92</x:v>
      </x:c>
      <x:c r="I2937" s="8" t="str">
        <x:f>B2937&amp;" / "&amp;C2937&amp;" / "&amp;E2937</x:f>
        <x:v>6682 / 2021 / RAINBOW TROUT</x:v>
      </x:c>
    </x:row>
    <x:row r="2938" ht="23" customHeight="1">
      <x:c r="A2938" s="8" t="str">
        <x:v>Stirling Children's Pond</x:v>
      </x:c>
      <x:c r="B2938" s="8" t="str">
        <x:v>6682</x:v>
      </x:c>
      <x:c r="C2938" s="17" t="n">
        <x:v>2021</x:v>
      </x:c>
      <x:c r="D2938" s="18" t="n">
        <x:v>44299</x:v>
      </x:c>
      <x:c r="E2938" s="8" t="str">
        <x:v>RAINBOW TROUT</x:v>
      </x:c>
      <x:c r="F2938" s="13" t="n">
        <x:v>1000</x:v>
      </x:c>
      <x:c r="G2938" s="9" t="n">
        <x:v>21.4</x:v>
      </x:c>
      <x:c r="H2938" s="9" t="n">
        <x:v>97.3</x:v>
      </x:c>
      <x:c r="I2938" s="8" t="str">
        <x:f>B2938&amp;" / "&amp;C2938&amp;" / "&amp;E2938</x:f>
        <x:v>6682 / 2021 / RAINBOW TROUT</x:v>
      </x:c>
    </x:row>
    <x:row r="2939" ht="23" customHeight="1">
      <x:c r="A2939" s="8" t="str">
        <x:v>Stoney Lake</x:v>
      </x:c>
      <x:c r="B2939" s="8" t="str">
        <x:v>6684</x:v>
      </x:c>
      <x:c r="C2939" s="17" t="n">
        <x:v>2026</x:v>
      </x:c>
      <x:c r="D2939" s="18" t="n">
        <x:v>46167</x:v>
      </x:c>
      <x:c r="E2939" s="8" t="str">
        <x:v>BROOK TROUT</x:v>
      </x:c>
      <x:c r="F2939" s="13" t="n">
        <x:v>6000</x:v>
      </x:c>
      <x:c r="G2939" s="9" t="n">
        <x:v>21</x:v>
      </x:c>
      <x:c r="H2939" s="9" t="n">
        <x:v>102.8</x:v>
      </x:c>
      <x:c r="I2939" s="8" t="str">
        <x:f>B2939&amp;" / "&amp;C2939&amp;" / "&amp;E2939</x:f>
        <x:v>6684 / 2026 / BROOK TROUT</x:v>
      </x:c>
    </x:row>
    <x:row r="2940" ht="23" customHeight="1">
      <x:c r="A2940" s="8" t="str">
        <x:v>Stoney Lake</x:v>
      </x:c>
      <x:c r="B2940" s="8" t="str">
        <x:v>6684</x:v>
      </x:c>
      <x:c r="C2940" s="17" t="n">
        <x:v>2026</x:v>
      </x:c>
      <x:c r="D2940" s="18" t="n">
        <x:v>46167</x:v>
      </x:c>
      <x:c r="E2940" s="8" t="str">
        <x:v>TIGER TROUT</x:v>
      </x:c>
      <x:c r="F2940" s="13" t="n">
        <x:v>1975</x:v>
      </x:c>
      <x:c r="G2940" s="9" t="n">
        <x:v>22.5</x:v>
      </x:c>
      <x:c r="H2940" s="9" t="n">
        <x:v>125.4</x:v>
      </x:c>
      <x:c r="I2940" s="8" t="str">
        <x:f>B2940&amp;" / "&amp;C2940&amp;" / "&amp;E2940</x:f>
        <x:v>6684 / 2026 / TIGER TROUT</x:v>
      </x:c>
    </x:row>
    <x:row r="2941" ht="23" customHeight="1">
      <x:c r="A2941" s="8" t="str">
        <x:v>Stoney Lake</x:v>
      </x:c>
      <x:c r="B2941" s="8" t="str">
        <x:v>6684</x:v>
      </x:c>
      <x:c r="C2941" s="17" t="n">
        <x:v>2025</x:v>
      </x:c>
      <x:c r="D2941" s="18" t="n">
        <x:v>45796</x:v>
      </x:c>
      <x:c r="E2941" s="8" t="str">
        <x:v>RAINBOW TROUT</x:v>
      </x:c>
      <x:c r="F2941" s="13" t="n">
        <x:v>10000</x:v>
      </x:c>
      <x:c r="G2941" s="9" t="n">
        <x:v>17.7</x:v>
      </x:c>
      <x:c r="H2941" s="9" t="n">
        <x:v>60.7</x:v>
      </x:c>
      <x:c r="I2941" s="8" t="str">
        <x:f>B2941&amp;" / "&amp;C2941&amp;" / "&amp;E2941</x:f>
        <x:v>6684 / 2025 / RAINBOW TROUT</x:v>
      </x:c>
    </x:row>
    <x:row r="2942" ht="23" customHeight="1">
      <x:c r="A2942" s="8" t="str">
        <x:v>Stoney Lake</x:v>
      </x:c>
      <x:c r="B2942" s="8" t="str">
        <x:v>6684</x:v>
      </x:c>
      <x:c r="C2942" s="17" t="n">
        <x:v>2025</x:v>
      </x:c>
      <x:c r="D2942" s="18" t="n">
        <x:v>45796</x:v>
      </x:c>
      <x:c r="E2942" s="8" t="str">
        <x:v>TIGER TROUT</x:v>
      </x:c>
      <x:c r="F2942" s="13" t="n">
        <x:v>1975</x:v>
      </x:c>
      <x:c r="G2942" s="9" t="n">
        <x:v>23.9</x:v>
      </x:c>
      <x:c r="H2942" s="9" t="n">
        <x:v>151.4</x:v>
      </x:c>
      <x:c r="I2942" s="8" t="str">
        <x:f>B2942&amp;" / "&amp;C2942&amp;" / "&amp;E2942</x:f>
        <x:v>6684 / 2025 / TIGER TROUT</x:v>
      </x:c>
    </x:row>
    <x:row r="2943" ht="23" customHeight="1">
      <x:c r="A2943" s="8" t="str">
        <x:v>Stoney Lake</x:v>
      </x:c>
      <x:c r="B2943" s="8" t="str">
        <x:v>6684</x:v>
      </x:c>
      <x:c r="C2943" s="17" t="n">
        <x:v>2024</x:v>
      </x:c>
      <x:c r="D2943" s="18" t="n">
        <x:v>45426</x:v>
      </x:c>
      <x:c r="E2943" s="8" t="str">
        <x:v>BROOK TROUT</x:v>
      </x:c>
      <x:c r="F2943" s="13" t="n">
        <x:v>4580</x:v>
      </x:c>
      <x:c r="G2943" s="9" t="n">
        <x:v>20.8</x:v>
      </x:c>
      <x:c r="H2943" s="9" t="n">
        <x:v>93.6</x:v>
      </x:c>
      <x:c r="I2943" s="8" t="str">
        <x:f>B2943&amp;" / "&amp;C2943&amp;" / "&amp;E2943</x:f>
        <x:v>6684 / 2024 / BROOK TROUT</x:v>
      </x:c>
    </x:row>
    <x:row r="2944" ht="23" customHeight="1">
      <x:c r="A2944" s="8" t="str">
        <x:v>Stoney Lake</x:v>
      </x:c>
      <x:c r="B2944" s="8" t="str">
        <x:v>6684</x:v>
      </x:c>
      <x:c r="C2944" s="17" t="n">
        <x:v>2024</x:v>
      </x:c>
      <x:c r="D2944" s="18" t="n">
        <x:v>45426</x:v>
      </x:c>
      <x:c r="E2944" s="8" t="str">
        <x:v>TIGER TROUT</x:v>
      </x:c>
      <x:c r="F2944" s="13" t="n">
        <x:v>1975</x:v>
      </x:c>
      <x:c r="G2944" s="9" t="n">
        <x:v>19.4</x:v>
      </x:c>
      <x:c r="H2944" s="9" t="n">
        <x:v>78.4</x:v>
      </x:c>
      <x:c r="I2944" s="8" t="str">
        <x:f>B2944&amp;" / "&amp;C2944&amp;" / "&amp;E2944</x:f>
        <x:v>6684 / 2024 / TIGER TROUT</x:v>
      </x:c>
    </x:row>
    <x:row r="2945" ht="23" customHeight="1">
      <x:c r="A2945" s="8" t="str">
        <x:v>Stoney Lake</x:v>
      </x:c>
      <x:c r="B2945" s="8" t="str">
        <x:v>6684</x:v>
      </x:c>
      <x:c r="C2945" s="17" t="n">
        <x:v>2023</x:v>
      </x:c>
      <x:c r="D2945" s="18" t="n">
        <x:v>45074</x:v>
      </x:c>
      <x:c r="E2945" s="8" t="str">
        <x:v>RAINBOW TROUT</x:v>
      </x:c>
      <x:c r="F2945" s="13" t="n">
        <x:v>4166</x:v>
      </x:c>
      <x:c r="G2945" s="9" t="n">
        <x:v>17.9</x:v>
      </x:c>
      <x:c r="H2945" s="9" t="n">
        <x:v>61.7</x:v>
      </x:c>
      <x:c r="I2945" s="8" t="str">
        <x:f>B2945&amp;" / "&amp;C2945&amp;" / "&amp;E2945</x:f>
        <x:v>6684 / 2023 / RAINBOW TROUT</x:v>
      </x:c>
    </x:row>
    <x:row r="2946" ht="23" customHeight="1">
      <x:c r="A2946" s="8" t="str">
        <x:v>Stoney Lake</x:v>
      </x:c>
      <x:c r="B2946" s="8" t="str">
        <x:v>6684</x:v>
      </x:c>
      <x:c r="C2946" s="17" t="n">
        <x:v>2023</x:v>
      </x:c>
      <x:c r="D2946" s="18" t="n">
        <x:v>45074</x:v>
      </x:c>
      <x:c r="E2946" s="8" t="str">
        <x:v>TIGER TROUT</x:v>
      </x:c>
      <x:c r="F2946" s="13" t="n">
        <x:v>1975</x:v>
      </x:c>
      <x:c r="G2946" s="9" t="n">
        <x:v>20.3</x:v>
      </x:c>
      <x:c r="H2946" s="9" t="n">
        <x:v>90.8</x:v>
      </x:c>
      <x:c r="I2946" s="8" t="str">
        <x:f>B2946&amp;" / "&amp;C2946&amp;" / "&amp;E2946</x:f>
        <x:v>6684 / 2023 / TIGER TROUT</x:v>
      </x:c>
    </x:row>
    <x:row r="2947" ht="23" customHeight="1">
      <x:c r="A2947" s="8" t="str">
        <x:v>Stoney Lake</x:v>
      </x:c>
      <x:c r="B2947" s="8" t="str">
        <x:v>6684</x:v>
      </x:c>
      <x:c r="C2947" s="17" t="n">
        <x:v>2022</x:v>
      </x:c>
      <x:c r="D2947" s="18" t="n">
        <x:v>44705</x:v>
      </x:c>
      <x:c r="E2947" s="8" t="str">
        <x:v>BROOK TROUT</x:v>
      </x:c>
      <x:c r="F2947" s="13" t="n">
        <x:v>6000</x:v>
      </x:c>
      <x:c r="G2947" s="9" t="n">
        <x:v>19.9</x:v>
      </x:c>
      <x:c r="H2947" s="9" t="n">
        <x:v>87.1</x:v>
      </x:c>
      <x:c r="I2947" s="8" t="str">
        <x:f>B2947&amp;" / "&amp;C2947&amp;" / "&amp;E2947</x:f>
        <x:v>6684 / 2022 / BROOK TROUT</x:v>
      </x:c>
    </x:row>
    <x:row r="2948" ht="23" customHeight="1">
      <x:c r="A2948" s="8" t="str">
        <x:v>Stoney Lake</x:v>
      </x:c>
      <x:c r="B2948" s="8" t="str">
        <x:v>6684</x:v>
      </x:c>
      <x:c r="C2948" s="17" t="n">
        <x:v>2022</x:v>
      </x:c>
      <x:c r="D2948" s="18" t="n">
        <x:v>44705</x:v>
      </x:c>
      <x:c r="E2948" s="8" t="str">
        <x:v>TIGER TROUT</x:v>
      </x:c>
      <x:c r="F2948" s="13" t="n">
        <x:v>1975</x:v>
      </x:c>
      <x:c r="G2948" s="9" t="n">
        <x:v>16.7</x:v>
      </x:c>
      <x:c r="H2948" s="9" t="n">
        <x:v>51.8</x:v>
      </x:c>
      <x:c r="I2948" s="8" t="str">
        <x:f>B2948&amp;" / "&amp;C2948&amp;" / "&amp;E2948</x:f>
        <x:v>6684 / 2022 / TIGER TROUT</x:v>
      </x:c>
    </x:row>
    <x:row r="2949" ht="23" customHeight="1">
      <x:c r="A2949" s="8" t="str">
        <x:v>Stoney Lake</x:v>
      </x:c>
      <x:c r="B2949" s="8" t="str">
        <x:v>6684</x:v>
      </x:c>
      <x:c r="C2949" s="17" t="n">
        <x:v>2021</x:v>
      </x:c>
      <x:c r="D2949" s="18" t="n">
        <x:v>44341</x:v>
      </x:c>
      <x:c r="E2949" s="8" t="str">
        <x:v>RAINBOW TROUT</x:v>
      </x:c>
      <x:c r="F2949" s="13" t="n">
        <x:v>10000</x:v>
      </x:c>
      <x:c r="G2949" s="9" t="n">
        <x:v>15.8</x:v>
      </x:c>
      <x:c r="H2949" s="9" t="n">
        <x:v>43.7</x:v>
      </x:c>
      <x:c r="I2949" s="8" t="str">
        <x:f>B2949&amp;" / "&amp;C2949&amp;" / "&amp;E2949</x:f>
        <x:v>6684 / 2021 / RAINBOW TROUT</x:v>
      </x:c>
    </x:row>
    <x:row r="2950" ht="23" customHeight="1">
      <x:c r="A2950" s="8" t="str">
        <x:v>Stoney Lake</x:v>
      </x:c>
      <x:c r="B2950" s="8" t="str">
        <x:v>6684</x:v>
      </x:c>
      <x:c r="C2950" s="17" t="n">
        <x:v>2021</x:v>
      </x:c>
      <x:c r="D2950" s="18" t="n">
        <x:v>44480</x:v>
      </x:c>
      <x:c r="E2950" s="8" t="str">
        <x:v>TIGER TROUT</x:v>
      </x:c>
      <x:c r="F2950" s="13" t="n">
        <x:v>1925</x:v>
      </x:c>
      <x:c r="G2950" s="9" t="n">
        <x:v>22.3</x:v>
      </x:c>
      <x:c r="H2950" s="9" t="n">
        <x:v>122.3</x:v>
      </x:c>
      <x:c r="I2950" s="8" t="str">
        <x:f>B2950&amp;" / "&amp;C2950&amp;" / "&amp;E2950</x:f>
        <x:v>6684 / 2021 / TIGER TROUT</x:v>
      </x:c>
    </x:row>
    <x:row r="2951" ht="23" customHeight="1">
      <x:c r="A2951" s="8" t="str">
        <x:v>Strathmore Children's Pond</x:v>
      </x:c>
      <x:c r="B2951" s="8" t="str">
        <x:v>6686</x:v>
      </x:c>
      <x:c r="C2951" s="17" t="n">
        <x:v>2026</x:v>
      </x:c>
      <x:c r="D2951" s="18" t="n">
        <x:v>46143</x:v>
      </x:c>
      <x:c r="E2951" s="8" t="str">
        <x:v>RAINBOW TROUT</x:v>
      </x:c>
      <x:c r="F2951" s="13" t="n">
        <x:v>1500</x:v>
      </x:c>
      <x:c r="G2951" s="9" t="n">
        <x:v>20.1</x:v>
      </x:c>
      <x:c r="H2951" s="9" t="n">
        <x:v>92.6</x:v>
      </x:c>
      <x:c r="I2951" s="8" t="str">
        <x:f>B2951&amp;" / "&amp;C2951&amp;" / "&amp;E2951</x:f>
        <x:v>6686 / 2026 / RAINBOW TROUT</x:v>
      </x:c>
    </x:row>
    <x:row r="2952" ht="23" customHeight="1">
      <x:c r="A2952" s="8" t="str">
        <x:v>Strathmore Children's Pond</x:v>
      </x:c>
      <x:c r="B2952" s="8" t="str">
        <x:v>6686</x:v>
      </x:c>
      <x:c r="C2952" s="17" t="n">
        <x:v>2026</x:v>
      </x:c>
      <x:c r="D2952" s="18" t="n">
        <x:v>46151</x:v>
      </x:c>
      <x:c r="E2952" s="8" t="str">
        <x:v>TIGER TROUT</x:v>
      </x:c>
      <x:c r="F2952" s="13" t="n">
        <x:v>150</x:v>
      </x:c>
      <x:c r="G2952" s="9" t="n">
        <x:v>18.3</x:v>
      </x:c>
      <x:c r="H2952" s="9" t="n">
        <x:v>66.7</x:v>
      </x:c>
      <x:c r="I2952" s="8" t="str">
        <x:f>B2952&amp;" / "&amp;C2952&amp;" / "&amp;E2952</x:f>
        <x:v>6686 / 2026 / TIGER TROUT</x:v>
      </x:c>
    </x:row>
    <x:row r="2953" ht="23" customHeight="1">
      <x:c r="A2953" s="8" t="str">
        <x:v>Strathmore Children's Pond</x:v>
      </x:c>
      <x:c r="B2953" s="8" t="str">
        <x:v>6686</x:v>
      </x:c>
      <x:c r="C2953" s="17" t="n">
        <x:v>2025</x:v>
      </x:c>
      <x:c r="D2953" s="18" t="n">
        <x:v>45784</x:v>
      </x:c>
      <x:c r="E2953" s="8" t="str">
        <x:v>TIGER TROUT</x:v>
      </x:c>
      <x:c r="F2953" s="13" t="n">
        <x:v>150</x:v>
      </x:c>
      <x:c r="G2953" s="9" t="n">
        <x:v>19.9</x:v>
      </x:c>
      <x:c r="H2953" s="9" t="n">
        <x:v>85.4</x:v>
      </x:c>
      <x:c r="I2953" s="8" t="str">
        <x:f>B2953&amp;" / "&amp;C2953&amp;" / "&amp;E2953</x:f>
        <x:v>6686 / 2025 / TIGER TROUT</x:v>
      </x:c>
    </x:row>
    <x:row r="2954" ht="23" customHeight="1">
      <x:c r="A2954" s="8" t="str">
        <x:v>Strathmore Children's Pond</x:v>
      </x:c>
      <x:c r="B2954" s="8" t="str">
        <x:v>6686</x:v>
      </x:c>
      <x:c r="C2954" s="17" t="n">
        <x:v>2024</x:v>
      </x:c>
      <x:c r="D2954" s="18" t="n">
        <x:v>45450</x:v>
      </x:c>
      <x:c r="E2954" s="8" t="str">
        <x:v>RAINBOW TROUT</x:v>
      </x:c>
      <x:c r="F2954" s="13" t="n">
        <x:v>1500</x:v>
      </x:c>
      <x:c r="G2954" s="9" t="n">
        <x:v>20.4</x:v>
      </x:c>
      <x:c r="H2954" s="9" t="n">
        <x:v>96</x:v>
      </x:c>
      <x:c r="I2954" s="8" t="str">
        <x:f>B2954&amp;" / "&amp;C2954&amp;" / "&amp;E2954</x:f>
        <x:v>6686 / 2024 / RAINBOW TROUT</x:v>
      </x:c>
    </x:row>
    <x:row r="2955" ht="23" customHeight="1">
      <x:c r="A2955" s="8" t="str">
        <x:v>Strathmore Children's Pond</x:v>
      </x:c>
      <x:c r="B2955" s="8" t="str">
        <x:v>6686</x:v>
      </x:c>
      <x:c r="C2955" s="17" t="n">
        <x:v>2024</x:v>
      </x:c>
      <x:c r="D2955" s="18" t="n">
        <x:v>45414</x:v>
      </x:c>
      <x:c r="E2955" s="8" t="str">
        <x:v>TIGER TROUT</x:v>
      </x:c>
      <x:c r="F2955" s="13" t="n">
        <x:v>150</x:v>
      </x:c>
      <x:c r="G2955" s="9" t="n">
        <x:v>19.1</x:v>
      </x:c>
      <x:c r="H2955" s="9" t="n">
        <x:v>75.8</x:v>
      </x:c>
      <x:c r="I2955" s="8" t="str">
        <x:f>B2955&amp;" / "&amp;C2955&amp;" / "&amp;E2955</x:f>
        <x:v>6686 / 2024 / TIGER TROUT</x:v>
      </x:c>
    </x:row>
    <x:row r="2956" ht="23" customHeight="1">
      <x:c r="A2956" s="8" t="str">
        <x:v>Strathmore Children's Pond</x:v>
      </x:c>
      <x:c r="B2956" s="8" t="str">
        <x:v>6686</x:v>
      </x:c>
      <x:c r="C2956" s="17" t="n">
        <x:v>2023</x:v>
      </x:c>
      <x:c r="D2956" s="18" t="n">
        <x:v>45042</x:v>
      </x:c>
      <x:c r="E2956" s="8" t="str">
        <x:v>RAINBOW TROUT</x:v>
      </x:c>
      <x:c r="F2956" s="13" t="n">
        <x:v>1400</x:v>
      </x:c>
      <x:c r="G2956" s="9" t="n">
        <x:v>21.7</x:v>
      </x:c>
      <x:c r="H2956" s="9" t="n">
        <x:v>93.2</x:v>
      </x:c>
      <x:c r="I2956" s="8" t="str">
        <x:f>B2956&amp;" / "&amp;C2956&amp;" / "&amp;E2956</x:f>
        <x:v>6686 / 2023 / RAINBOW TROUT</x:v>
      </x:c>
    </x:row>
    <x:row r="2957" ht="23" customHeight="1">
      <x:c r="A2957" s="8" t="str">
        <x:v>Strathmore Children's Pond</x:v>
      </x:c>
      <x:c r="B2957" s="8" t="str">
        <x:v>6686</x:v>
      </x:c>
      <x:c r="C2957" s="17" t="n">
        <x:v>2023</x:v>
      </x:c>
      <x:c r="D2957" s="18" t="n">
        <x:v>45041</x:v>
      </x:c>
      <x:c r="E2957" s="8" t="str">
        <x:v>TIGER TROUT</x:v>
      </x:c>
      <x:c r="F2957" s="13" t="n">
        <x:v>150</x:v>
      </x:c>
      <x:c r="G2957" s="9" t="n">
        <x:v>19.6</x:v>
      </x:c>
      <x:c r="H2957" s="9" t="n">
        <x:v>83.3</x:v>
      </x:c>
      <x:c r="I2957" s="8" t="str">
        <x:f>B2957&amp;" / "&amp;C2957&amp;" / "&amp;E2957</x:f>
        <x:v>6686 / 2023 / TIGER TROUT</x:v>
      </x:c>
    </x:row>
    <x:row r="2958" ht="23" customHeight="1">
      <x:c r="A2958" s="8" t="str">
        <x:v>Strathmore Children's Pond</x:v>
      </x:c>
      <x:c r="B2958" s="8" t="str">
        <x:v>6686</x:v>
      </x:c>
      <x:c r="C2958" s="17" t="n">
        <x:v>2022</x:v>
      </x:c>
      <x:c r="D2958" s="18" t="n">
        <x:v>44671</x:v>
      </x:c>
      <x:c r="E2958" s="8" t="str">
        <x:v>RAINBOW TROUT</x:v>
      </x:c>
      <x:c r="F2958" s="13" t="n">
        <x:v>1774</x:v>
      </x:c>
      <x:c r="G2958" s="9" t="n">
        <x:v>20.7</x:v>
      </x:c>
      <x:c r="H2958" s="9" t="n">
        <x:v>97.1</x:v>
      </x:c>
      <x:c r="I2958" s="8" t="str">
        <x:f>B2958&amp;" / "&amp;C2958&amp;" / "&amp;E2958</x:f>
        <x:v>6686 / 2022 / RAINBOW TROUT</x:v>
      </x:c>
    </x:row>
    <x:row r="2959" ht="23" customHeight="1">
      <x:c r="A2959" s="8" t="str">
        <x:v>Strathmore Children's Pond</x:v>
      </x:c>
      <x:c r="B2959" s="8" t="str">
        <x:v>6686</x:v>
      </x:c>
      <x:c r="C2959" s="17" t="n">
        <x:v>2022</x:v>
      </x:c>
      <x:c r="D2959" s="18" t="n">
        <x:v>44682</x:v>
      </x:c>
      <x:c r="E2959" s="8" t="str">
        <x:v>TIGER TROUT</x:v>
      </x:c>
      <x:c r="F2959" s="13" t="n">
        <x:v>150</x:v>
      </x:c>
      <x:c r="G2959" s="9" t="n">
        <x:v>17.7</x:v>
      </x:c>
      <x:c r="H2959" s="9" t="n">
        <x:v>61</x:v>
      </x:c>
      <x:c r="I2959" s="8" t="str">
        <x:f>B2959&amp;" / "&amp;C2959&amp;" / "&amp;E2959</x:f>
        <x:v>6686 / 2022 / TIGER TROUT</x:v>
      </x:c>
    </x:row>
    <x:row r="2960" ht="23" customHeight="1">
      <x:c r="A2960" s="8" t="str">
        <x:v>Strathmore Children's Pond</x:v>
      </x:c>
      <x:c r="B2960" s="8" t="str">
        <x:v>6686</x:v>
      </x:c>
      <x:c r="C2960" s="17" t="n">
        <x:v>2021</x:v>
      </x:c>
      <x:c r="D2960" s="18" t="n">
        <x:v>44301</x:v>
      </x:c>
      <x:c r="E2960" s="8" t="str">
        <x:v>RAINBOW TROUT</x:v>
      </x:c>
      <x:c r="F2960" s="13" t="n">
        <x:v>1500</x:v>
      </x:c>
      <x:c r="G2960" s="9" t="n">
        <x:v>21.1</x:v>
      </x:c>
      <x:c r="H2960" s="9" t="n">
        <x:v>93.1</x:v>
      </x:c>
      <x:c r="I2960" s="8" t="str">
        <x:f>B2960&amp;" / "&amp;C2960&amp;" / "&amp;E2960</x:f>
        <x:v>6686 / 2021 / RAINBOW TROUT</x:v>
      </x:c>
    </x:row>
    <x:row r="2961" ht="23" customHeight="1">
      <x:c r="A2961" s="8" t="str">
        <x:v>Strathmore Children's Pond</x:v>
      </x:c>
      <x:c r="B2961" s="8" t="str">
        <x:v>6686</x:v>
      </x:c>
      <x:c r="C2961" s="17" t="n">
        <x:v>2021</x:v>
      </x:c>
      <x:c r="D2961" s="18" t="n">
        <x:v>44305</x:v>
      </x:c>
      <x:c r="E2961" s="8" t="str">
        <x:v>TIGER TROUT</x:v>
      </x:c>
      <x:c r="F2961" s="13" t="n">
        <x:v>150</x:v>
      </x:c>
      <x:c r="G2961" s="9" t="n">
        <x:v>17.7</x:v>
      </x:c>
      <x:c r="H2961" s="9" t="n">
        <x:v>60.9</x:v>
      </x:c>
      <x:c r="I2961" s="8" t="str">
        <x:f>B2961&amp;" / "&amp;C2961&amp;" / "&amp;E2961</x:f>
        <x:v>6686 / 2021 / TIGER TROUT</x:v>
      </x:c>
    </x:row>
    <x:row r="2962" ht="23" customHeight="1">
      <x:c r="A2962" s="8" t="str">
        <x:v>Strubel Lake</x:v>
      </x:c>
      <x:c r="B2962" s="8" t="str">
        <x:v>5919</x:v>
      </x:c>
      <x:c r="C2962" s="17" t="n">
        <x:v>2026</x:v>
      </x:c>
      <x:c r="D2962" s="18" t="n">
        <x:v>46155</x:v>
      </x:c>
      <x:c r="E2962" s="8" t="str">
        <x:v>RAINBOW TROUT</x:v>
      </x:c>
      <x:c r="F2962" s="13" t="n">
        <x:v>12800</x:v>
      </x:c>
      <x:c r="G2962" s="9" t="n">
        <x:v>20.1</x:v>
      </x:c>
      <x:c r="H2962" s="9" t="n">
        <x:v>87.2</x:v>
      </x:c>
      <x:c r="I2962" s="8" t="str">
        <x:f>B2962&amp;" / "&amp;C2962&amp;" / "&amp;E2962</x:f>
        <x:v>5919 / 2026 / RAINBOW TROUT</x:v>
      </x:c>
    </x:row>
    <x:row r="2963" ht="23" customHeight="1">
      <x:c r="A2963" s="8" t="str">
        <x:v>Strubel Lake</x:v>
      </x:c>
      <x:c r="B2963" s="8" t="str">
        <x:v>5919</x:v>
      </x:c>
      <x:c r="C2963" s="17" t="n">
        <x:v>2025</x:v>
      </x:c>
      <x:c r="D2963" s="18" t="n">
        <x:v>45782</x:v>
      </x:c>
      <x:c r="E2963" s="8" t="str">
        <x:v>RAINBOW TROUT</x:v>
      </x:c>
      <x:c r="F2963" s="13" t="n">
        <x:v>12800</x:v>
      </x:c>
      <x:c r="G2963" s="9" t="n">
        <x:v>20.1</x:v>
      </x:c>
      <x:c r="H2963" s="9" t="n">
        <x:v>87.5</x:v>
      </x:c>
      <x:c r="I2963" s="8" t="str">
        <x:f>B2963&amp;" / "&amp;C2963&amp;" / "&amp;E2963</x:f>
        <x:v>5919 / 2025 / RAINBOW TROUT</x:v>
      </x:c>
    </x:row>
    <x:row r="2964" ht="23" customHeight="1">
      <x:c r="A2964" s="8" t="str">
        <x:v>Strubel Lake</x:v>
      </x:c>
      <x:c r="B2964" s="8" t="str">
        <x:v>5919</x:v>
      </x:c>
      <x:c r="C2964" s="17" t="n">
        <x:v>2024</x:v>
      </x:c>
      <x:c r="D2964" s="18" t="n">
        <x:v>45558</x:v>
      </x:c>
      <x:c r="E2964" s="8" t="str">
        <x:v>RAINBOW TROUT</x:v>
      </x:c>
      <x:c r="F2964" s="13" t="n">
        <x:v>7500</x:v>
      </x:c>
      <x:c r="G2964" s="9" t="n">
        <x:v>20.5</x:v>
      </x:c>
      <x:c r="H2964" s="9" t="n">
        <x:v>93.4</x:v>
      </x:c>
      <x:c r="I2964" s="8" t="str">
        <x:f>B2964&amp;" / "&amp;C2964&amp;" / "&amp;E2964</x:f>
        <x:v>5919 / 2024 / RAINBOW TROUT</x:v>
      </x:c>
    </x:row>
    <x:row r="2965" ht="23" customHeight="1">
      <x:c r="A2965" s="8" t="str">
        <x:v>Strubel Lake</x:v>
      </x:c>
      <x:c r="B2965" s="8" t="str">
        <x:v>5919</x:v>
      </x:c>
      <x:c r="C2965" s="17" t="n">
        <x:v>2024</x:v>
      </x:c>
      <x:c r="D2965" s="18" t="n">
        <x:v>45418</x:v>
      </x:c>
      <x:c r="E2965" s="8" t="str">
        <x:v>RAINBOW TROUT</x:v>
      </x:c>
      <x:c r="F2965" s="13" t="n">
        <x:v>6400</x:v>
      </x:c>
      <x:c r="G2965" s="9" t="n">
        <x:v>20.2</x:v>
      </x:c>
      <x:c r="H2965" s="9" t="n">
        <x:v>89.7</x:v>
      </x:c>
      <x:c r="I2965" s="8" t="str">
        <x:f>B2965&amp;" / "&amp;C2965&amp;" / "&amp;E2965</x:f>
        <x:v>5919 / 2024 / RAINBOW TROUT</x:v>
      </x:c>
    </x:row>
    <x:row r="2966" ht="23" customHeight="1">
      <x:c r="A2966" s="8" t="str">
        <x:v>Strubel Lake</x:v>
      </x:c>
      <x:c r="B2966" s="8" t="str">
        <x:v>5919</x:v>
      </x:c>
      <x:c r="C2966" s="17" t="n">
        <x:v>2023</x:v>
      </x:c>
      <x:c r="D2966" s="18" t="n">
        <x:v>45062</x:v>
      </x:c>
      <x:c r="E2966" s="8" t="str">
        <x:v>RAINBOW TROUT</x:v>
      </x:c>
      <x:c r="F2966" s="13" t="n">
        <x:v>6067</x:v>
      </x:c>
      <x:c r="G2966" s="9" t="n">
        <x:v>17.8</x:v>
      </x:c>
      <x:c r="H2966" s="9" t="n">
        <x:v>61.2</x:v>
      </x:c>
      <x:c r="I2966" s="8" t="str">
        <x:f>B2966&amp;" / "&amp;C2966&amp;" / "&amp;E2966</x:f>
        <x:v>5919 / 2023 / RAINBOW TROUT</x:v>
      </x:c>
    </x:row>
    <x:row r="2967" ht="23" customHeight="1">
      <x:c r="A2967" s="8" t="str">
        <x:v>Strubel Lake</x:v>
      </x:c>
      <x:c r="B2967" s="8" t="str">
        <x:v>5919</x:v>
      </x:c>
      <x:c r="C2967" s="17" t="n">
        <x:v>2023</x:v>
      </x:c>
      <x:c r="D2967" s="18" t="n">
        <x:v>45062</x:v>
      </x:c>
      <x:c r="E2967" s="8" t="str">
        <x:v>RAINBOW TROUT</x:v>
      </x:c>
      <x:c r="F2967" s="13" t="n">
        <x:v>2511</x:v>
      </x:c>
      <x:c r="G2967" s="9" t="n">
        <x:v>19.9</x:v>
      </x:c>
      <x:c r="H2967" s="9" t="n">
        <x:v>84.8</x:v>
      </x:c>
      <x:c r="I2967" s="8" t="str">
        <x:f>B2967&amp;" / "&amp;C2967&amp;" / "&amp;E2967</x:f>
        <x:v>5919 / 2023 / RAINBOW TROUT</x:v>
      </x:c>
    </x:row>
    <x:row r="2968" ht="23" customHeight="1">
      <x:c r="A2968" s="8" t="str">
        <x:v>Strubel Lake</x:v>
      </x:c>
      <x:c r="B2968" s="8" t="str">
        <x:v>5919</x:v>
      </x:c>
      <x:c r="C2968" s="17" t="n">
        <x:v>2023</x:v>
      </x:c>
      <x:c r="D2968" s="18" t="n">
        <x:v>45053</x:v>
      </x:c>
      <x:c r="E2968" s="8" t="str">
        <x:v>RAINBOW TROUT</x:v>
      </x:c>
      <x:c r="F2968" s="13" t="n">
        <x:v>10000</x:v>
      </x:c>
      <x:c r="G2968" s="9" t="n">
        <x:v>8.9</x:v>
      </x:c>
      <x:c r="H2968" s="9" t="n">
        <x:v>7.8</x:v>
      </x:c>
      <x:c r="I2968" s="8" t="str">
        <x:f>B2968&amp;" / "&amp;C2968&amp;" / "&amp;E2968</x:f>
        <x:v>5919 / 2023 / RAINBOW TROUT</x:v>
      </x:c>
    </x:row>
    <x:row r="2969" ht="23" customHeight="1">
      <x:c r="A2969" s="8" t="str">
        <x:v>Strubel Lake</x:v>
      </x:c>
      <x:c r="B2969" s="8" t="str">
        <x:v>5919</x:v>
      </x:c>
      <x:c r="C2969" s="17" t="n">
        <x:v>2022</x:v>
      </x:c>
      <x:c r="D2969" s="18" t="n">
        <x:v>44697</x:v>
      </x:c>
      <x:c r="E2969" s="8" t="str">
        <x:v>RAINBOW TROUT</x:v>
      </x:c>
      <x:c r="F2969" s="13" t="n">
        <x:v>12800</x:v>
      </x:c>
      <x:c r="G2969" s="9" t="n">
        <x:v>18.7</x:v>
      </x:c>
      <x:c r="H2969" s="9" t="n">
        <x:v>71.6</x:v>
      </x:c>
      <x:c r="I2969" s="8" t="str">
        <x:f>B2969&amp;" / "&amp;C2969&amp;" / "&amp;E2969</x:f>
        <x:v>5919 / 2022 / RAINBOW TROUT</x:v>
      </x:c>
    </x:row>
    <x:row r="2970" ht="23" customHeight="1">
      <x:c r="A2970" s="8" t="str">
        <x:v>Strubel Lake</x:v>
      </x:c>
      <x:c r="B2970" s="8" t="str">
        <x:v>5919</x:v>
      </x:c>
      <x:c r="C2970" s="17" t="n">
        <x:v>2022</x:v>
      </x:c>
      <x:c r="D2970" s="18" t="n">
        <x:v>44689</x:v>
      </x:c>
      <x:c r="E2970" s="8" t="str">
        <x:v>RAINBOW TROUT</x:v>
      </x:c>
      <x:c r="F2970" s="13" t="n">
        <x:v>6200</x:v>
      </x:c>
      <x:c r="G2970" s="9" t="n">
        <x:v>20</x:v>
      </x:c>
      <x:c r="H2970" s="9" t="n">
        <x:v>89.1</x:v>
      </x:c>
      <x:c r="I2970" s="8" t="str">
        <x:f>B2970&amp;" / "&amp;C2970&amp;" / "&amp;E2970</x:f>
        <x:v>5919 / 2022 / RAINBOW TROUT</x:v>
      </x:c>
    </x:row>
    <x:row r="2971" ht="23" customHeight="1">
      <x:c r="A2971" s="8" t="str">
        <x:v>Strubel Lake</x:v>
      </x:c>
      <x:c r="B2971" s="8" t="str">
        <x:v>5919</x:v>
      </x:c>
      <x:c r="C2971" s="17" t="n">
        <x:v>2021</x:v>
      </x:c>
      <x:c r="D2971" s="18" t="n">
        <x:v>44325</x:v>
      </x:c>
      <x:c r="E2971" s="8" t="str">
        <x:v>RAINBOW TROUT</x:v>
      </x:c>
      <x:c r="F2971" s="13" t="n">
        <x:v>19000</x:v>
      </x:c>
      <x:c r="G2971" s="9" t="n">
        <x:v>17.2</x:v>
      </x:c>
      <x:c r="H2971" s="9" t="n">
        <x:v>56.6</x:v>
      </x:c>
      <x:c r="I2971" s="8" t="str">
        <x:f>B2971&amp;" / "&amp;C2971&amp;" / "&amp;E2971</x:f>
        <x:v>5919 / 2021 / RAINBOW TROUT</x:v>
      </x:c>
    </x:row>
    <x:row r="2972" ht="23" customHeight="1">
      <x:c r="A2972" s="8" t="str">
        <x:v>Sulphur Lake</x:v>
      </x:c>
      <x:c r="B2972" s="8" t="str">
        <x:v>5929</x:v>
      </x:c>
      <x:c r="C2972" s="17" t="n">
        <x:v>2026</x:v>
      </x:c>
      <x:c r="D2972" s="18" t="n">
        <x:v>46167</x:v>
      </x:c>
      <x:c r="E2972" s="8" t="str">
        <x:v>RAINBOW TROUT</x:v>
      </x:c>
      <x:c r="F2972" s="13" t="n">
        <x:v>7500</x:v>
      </x:c>
      <x:c r="G2972" s="9" t="n">
        <x:v>17.9</x:v>
      </x:c>
      <x:c r="H2972" s="9" t="n">
        <x:v>63.2</x:v>
      </x:c>
      <x:c r="I2972" s="8" t="str">
        <x:f>B2972&amp;" / "&amp;C2972&amp;" / "&amp;E2972</x:f>
        <x:v>5929 / 2026 / RAINBOW TROUT</x:v>
      </x:c>
    </x:row>
    <x:row r="2973" ht="23" customHeight="1">
      <x:c r="A2973" s="8" t="str">
        <x:v>Sulphur Lake</x:v>
      </x:c>
      <x:c r="B2973" s="8" t="str">
        <x:v>5929</x:v>
      </x:c>
      <x:c r="C2973" s="17" t="n">
        <x:v>2025</x:v>
      </x:c>
      <x:c r="D2973" s="18" t="n">
        <x:v>45796</x:v>
      </x:c>
      <x:c r="E2973" s="8" t="str">
        <x:v>BROOK TROUT</x:v>
      </x:c>
      <x:c r="F2973" s="13" t="n">
        <x:v>4500</x:v>
      </x:c>
      <x:c r="G2973" s="9" t="n">
        <x:v>19.8</x:v>
      </x:c>
      <x:c r="H2973" s="9" t="n">
        <x:v>84.4</x:v>
      </x:c>
      <x:c r="I2973" s="8" t="str">
        <x:f>B2973&amp;" / "&amp;C2973&amp;" / "&amp;E2973</x:f>
        <x:v>5929 / 2025 / BROOK TROUT</x:v>
      </x:c>
    </x:row>
    <x:row r="2974" ht="23" customHeight="1">
      <x:c r="A2974" s="8" t="str">
        <x:v>Sulphur Lake</x:v>
      </x:c>
      <x:c r="B2974" s="8" t="str">
        <x:v>5929</x:v>
      </x:c>
      <x:c r="C2974" s="17" t="n">
        <x:v>2024</x:v>
      </x:c>
      <x:c r="D2974" s="18" t="n">
        <x:v>45439</x:v>
      </x:c>
      <x:c r="E2974" s="8" t="str">
        <x:v>RAINBOW TROUT</x:v>
      </x:c>
      <x:c r="F2974" s="13" t="n">
        <x:v>3750</x:v>
      </x:c>
      <x:c r="G2974" s="9" t="n">
        <x:v>20</x:v>
      </x:c>
      <x:c r="H2974" s="9" t="n">
        <x:v>86</x:v>
      </x:c>
      <x:c r="I2974" s="8" t="str">
        <x:f>B2974&amp;" / "&amp;C2974&amp;" / "&amp;E2974</x:f>
        <x:v>5929 / 2024 / RAINBOW TROUT</x:v>
      </x:c>
    </x:row>
    <x:row r="2975" ht="23" customHeight="1">
      <x:c r="A2975" s="8" t="str">
        <x:v>Sulphur Lake</x:v>
      </x:c>
      <x:c r="B2975" s="8" t="str">
        <x:v>5929</x:v>
      </x:c>
      <x:c r="C2975" s="17" t="n">
        <x:v>2023</x:v>
      </x:c>
      <x:c r="D2975" s="18" t="n">
        <x:v>45083</x:v>
      </x:c>
      <x:c r="E2975" s="8" t="str">
        <x:v>BROOK TROUT</x:v>
      </x:c>
      <x:c r="F2975" s="13" t="n">
        <x:v>3500</x:v>
      </x:c>
      <x:c r="G2975" s="9" t="n">
        <x:v>22.1</x:v>
      </x:c>
      <x:c r="H2975" s="9" t="n">
        <x:v>97</x:v>
      </x:c>
      <x:c r="I2975" s="8" t="str">
        <x:f>B2975&amp;" / "&amp;C2975&amp;" / "&amp;E2975</x:f>
        <x:v>5929 / 2023 / BROOK TROUT</x:v>
      </x:c>
    </x:row>
    <x:row r="2976" ht="23" customHeight="1">
      <x:c r="A2976" s="8" t="str">
        <x:v>Sulphur Lake</x:v>
      </x:c>
      <x:c r="B2976" s="8" t="str">
        <x:v>5929</x:v>
      </x:c>
      <x:c r="C2976" s="17" t="n">
        <x:v>2022</x:v>
      </x:c>
      <x:c r="D2976" s="18" t="n">
        <x:v>44712</x:v>
      </x:c>
      <x:c r="E2976" s="8" t="str">
        <x:v>RAINBOW TROUT</x:v>
      </x:c>
      <x:c r="F2976" s="13" t="n">
        <x:v>7500</x:v>
      </x:c>
      <x:c r="G2976" s="9" t="n">
        <x:v>13.4</x:v>
      </x:c>
      <x:c r="H2976" s="9" t="n">
        <x:v>26.3</x:v>
      </x:c>
      <x:c r="I2976" s="8" t="str">
        <x:f>B2976&amp;" / "&amp;C2976&amp;" / "&amp;E2976</x:f>
        <x:v>5929 / 2022 / RAINBOW TROUT</x:v>
      </x:c>
    </x:row>
    <x:row r="2977" ht="23" customHeight="1">
      <x:c r="A2977" s="8" t="str">
        <x:v>Sulphur Lake</x:v>
      </x:c>
      <x:c r="B2977" s="8" t="str">
        <x:v>5929</x:v>
      </x:c>
      <x:c r="C2977" s="17" t="n">
        <x:v>2021</x:v>
      </x:c>
      <x:c r="D2977" s="18" t="n">
        <x:v>44341</x:v>
      </x:c>
      <x:c r="E2977" s="8" t="str">
        <x:v>BROOK TROUT</x:v>
      </x:c>
      <x:c r="F2977" s="13" t="n">
        <x:v>3500</x:v>
      </x:c>
      <x:c r="G2977" s="9" t="n">
        <x:v>18.5</x:v>
      </x:c>
      <x:c r="H2977" s="9" t="n">
        <x:v>69.5</x:v>
      </x:c>
      <x:c r="I2977" s="8" t="str">
        <x:f>B2977&amp;" / "&amp;C2977&amp;" / "&amp;E2977</x:f>
        <x:v>5929 / 2021 / BROOK TROUT</x:v>
      </x:c>
    </x:row>
    <x:row r="2978" ht="23" customHeight="1">
      <x:c r="A2978" s="8" t="str">
        <x:v>Sulphur Lake</x:v>
      </x:c>
      <x:c r="B2978" s="8" t="str">
        <x:v>5929</x:v>
      </x:c>
      <x:c r="C2978" s="17" t="n">
        <x:v>2021</x:v>
      </x:c>
      <x:c r="D2978" s="18" t="n">
        <x:v>44340</x:v>
      </x:c>
      <x:c r="E2978" s="8" t="str">
        <x:v>BROOK TROUT</x:v>
      </x:c>
      <x:c r="F2978" s="13" t="n">
        <x:v>1000</x:v>
      </x:c>
      <x:c r="G2978" s="9" t="n">
        <x:v>20.4</x:v>
      </x:c>
      <x:c r="H2978" s="9" t="n">
        <x:v>94.4</x:v>
      </x:c>
      <x:c r="I2978" s="8" t="str">
        <x:f>B2978&amp;" / "&amp;C2978&amp;" / "&amp;E2978</x:f>
        <x:v>5929 / 2021 / BROOK TROUT</x:v>
      </x:c>
    </x:row>
    <x:row r="2979" ht="23" customHeight="1">
      <x:c r="A2979" s="8" t="str">
        <x:v>Swan Lake</x:v>
      </x:c>
      <x:c r="B2979" s="8" t="str">
        <x:v>5944</x:v>
      </x:c>
      <x:c r="C2979" s="17" t="n">
        <x:v>2026</x:v>
      </x:c>
      <x:c r="D2979" s="18" t="n">
        <x:v>46153</x:v>
      </x:c>
      <x:c r="E2979" s="8" t="str">
        <x:v>RAINBOW TROUT</x:v>
      </x:c>
      <x:c r="F2979" s="13" t="n">
        <x:v>15000</x:v>
      </x:c>
      <x:c r="G2979" s="9" t="n">
        <x:v>20.1</x:v>
      </x:c>
      <x:c r="H2979" s="9" t="n">
        <x:v>89.6</x:v>
      </x:c>
      <x:c r="I2979" s="8" t="str">
        <x:f>B2979&amp;" / "&amp;C2979&amp;" / "&amp;E2979</x:f>
        <x:v>5944 / 2026 / RAINBOW TROUT</x:v>
      </x:c>
    </x:row>
    <x:row r="2980" ht="23" customHeight="1">
      <x:c r="A2980" s="8" t="str">
        <x:v>Swan Lake</x:v>
      </x:c>
      <x:c r="B2980" s="8" t="str">
        <x:v>5944</x:v>
      </x:c>
      <x:c r="C2980" s="17" t="n">
        <x:v>2025</x:v>
      </x:c>
      <x:c r="D2980" s="18" t="n">
        <x:v>45930</x:v>
      </x:c>
      <x:c r="E2980" s="8" t="str">
        <x:v>RAINBOW TROUT</x:v>
      </x:c>
      <x:c r="F2980" s="13" t="n">
        <x:v>10617</x:v>
      </x:c>
      <x:c r="G2980" s="9" t="n">
        <x:v>19.2</x:v>
      </x:c>
      <x:c r="H2980" s="9" t="n">
        <x:v>78.7</x:v>
      </x:c>
      <x:c r="I2980" s="8" t="str">
        <x:f>B2980&amp;" / "&amp;C2980&amp;" / "&amp;E2980</x:f>
        <x:v>5944 / 2025 / RAINBOW TROUT</x:v>
      </x:c>
    </x:row>
    <x:row r="2981" ht="23" customHeight="1">
      <x:c r="A2981" s="8" t="str">
        <x:v>Swan Lake</x:v>
      </x:c>
      <x:c r="B2981" s="8" t="str">
        <x:v>5944</x:v>
      </x:c>
      <x:c r="C2981" s="17" t="n">
        <x:v>2025</x:v>
      </x:c>
      <x:c r="D2981" s="18" t="n">
        <x:v>45930</x:v>
      </x:c>
      <x:c r="E2981" s="8" t="str">
        <x:v>RAINBOW TROUT</x:v>
      </x:c>
      <x:c r="F2981" s="13" t="n">
        <x:v>9393</x:v>
      </x:c>
      <x:c r="G2981" s="9" t="n">
        <x:v>20.1</x:v>
      </x:c>
      <x:c r="H2981" s="9" t="n">
        <x:v>90.1</x:v>
      </x:c>
      <x:c r="I2981" s="8" t="str">
        <x:f>B2981&amp;" / "&amp;C2981&amp;" / "&amp;E2981</x:f>
        <x:v>5944 / 2025 / RAINBOW TROUT</x:v>
      </x:c>
    </x:row>
    <x:row r="2982" ht="23" customHeight="1">
      <x:c r="A2982" s="8" t="str">
        <x:v>Swan Lake</x:v>
      </x:c>
      <x:c r="B2982" s="8" t="str">
        <x:v>5944</x:v>
      </x:c>
      <x:c r="C2982" s="17" t="n">
        <x:v>2025</x:v>
      </x:c>
      <x:c r="D2982" s="18" t="n">
        <x:v>45784</x:v>
      </x:c>
      <x:c r="E2982" s="8" t="str">
        <x:v>RAINBOW TROUT</x:v>
      </x:c>
      <x:c r="F2982" s="13" t="n">
        <x:v>15000</x:v>
      </x:c>
      <x:c r="G2982" s="9" t="n">
        <x:v>20</x:v>
      </x:c>
      <x:c r="H2982" s="9" t="n">
        <x:v>87</x:v>
      </x:c>
      <x:c r="I2982" s="8" t="str">
        <x:f>B2982&amp;" / "&amp;C2982&amp;" / "&amp;E2982</x:f>
        <x:v>5944 / 2025 / RAINBOW TROUT</x:v>
      </x:c>
    </x:row>
    <x:row r="2983" ht="23" customHeight="1">
      <x:c r="A2983" s="8" t="str">
        <x:v>Swan Lake</x:v>
      </x:c>
      <x:c r="B2983" s="8" t="str">
        <x:v>5758</x:v>
      </x:c>
      <x:c r="C2983" s="17" t="n">
        <x:v>2025</x:v>
      </x:c>
      <x:c r="D2983" s="18" t="n">
        <x:v>45813</x:v>
      </x:c>
      <x:c r="E2983" s="8" t="str">
        <x:v>WALLEYE</x:v>
      </x:c>
      <x:c r="F2983" s="13" t="n">
        <x:v>1984992</x:v>
      </x:c>
      <x:c r="G2983" s="9" t="n">
        <x:v>0.4</x:v>
      </x:c>
      <x:c r="H2983" s="9" t="str">
        <x:v>Unknown</x:v>
      </x:c>
      <x:c r="I2983" s="8" t="str">
        <x:f>B2983&amp;" / "&amp;C2983&amp;" / "&amp;E2983</x:f>
        <x:v>5758 / 2025 / WALLEYE</x:v>
      </x:c>
    </x:row>
    <x:row r="2984" ht="23" customHeight="1">
      <x:c r="A2984" s="8" t="str">
        <x:v>Swan Lake</x:v>
      </x:c>
      <x:c r="B2984" s="8" t="str">
        <x:v>5944</x:v>
      </x:c>
      <x:c r="C2984" s="17" t="n">
        <x:v>2024</x:v>
      </x:c>
      <x:c r="D2984" s="18" t="n">
        <x:v>45554</x:v>
      </x:c>
      <x:c r="E2984" s="8" t="str">
        <x:v>RAINBOW TROUT</x:v>
      </x:c>
      <x:c r="F2984" s="13" t="n">
        <x:v>15000</x:v>
      </x:c>
      <x:c r="G2984" s="9" t="n">
        <x:v>20.8</x:v>
      </x:c>
      <x:c r="H2984" s="9" t="n">
        <x:v>99.1</x:v>
      </x:c>
      <x:c r="I2984" s="8" t="str">
        <x:f>B2984&amp;" / "&amp;C2984&amp;" / "&amp;E2984</x:f>
        <x:v>5944 / 2024 / RAINBOW TROUT</x:v>
      </x:c>
    </x:row>
    <x:row r="2985" ht="23" customHeight="1">
      <x:c r="A2985" s="8" t="str">
        <x:v>Swan Lake</x:v>
      </x:c>
      <x:c r="B2985" s="8" t="str">
        <x:v>5944</x:v>
      </x:c>
      <x:c r="C2985" s="17" t="n">
        <x:v>2024</x:v>
      </x:c>
      <x:c r="D2985" s="18" t="n">
        <x:v>45429</x:v>
      </x:c>
      <x:c r="E2985" s="8" t="str">
        <x:v>RAINBOW TROUT</x:v>
      </x:c>
      <x:c r="F2985" s="13" t="n">
        <x:v>7500</x:v>
      </x:c>
      <x:c r="G2985" s="9" t="n">
        <x:v>19.3</x:v>
      </x:c>
      <x:c r="H2985" s="9" t="n">
        <x:v>77</x:v>
      </x:c>
      <x:c r="I2985" s="8" t="str">
        <x:f>B2985&amp;" / "&amp;C2985&amp;" / "&amp;E2985</x:f>
        <x:v>5944 / 2024 / RAINBOW TROUT</x:v>
      </x:c>
    </x:row>
    <x:row r="2986" ht="23" customHeight="1">
      <x:c r="A2986" s="8" t="str">
        <x:v>Swan Lake</x:v>
      </x:c>
      <x:c r="B2986" s="8" t="str">
        <x:v>5944</x:v>
      </x:c>
      <x:c r="C2986" s="17" t="n">
        <x:v>2023</x:v>
      </x:c>
      <x:c r="D2986" s="18" t="n">
        <x:v>45188</x:v>
      </x:c>
      <x:c r="E2986" s="8" t="str">
        <x:v>RAINBOW TROUT</x:v>
      </x:c>
      <x:c r="F2986" s="13" t="n">
        <x:v>2430</x:v>
      </x:c>
      <x:c r="G2986" s="9" t="n">
        <x:v>15.4</x:v>
      </x:c>
      <x:c r="H2986" s="9" t="n">
        <x:v>39.2</x:v>
      </x:c>
      <x:c r="I2986" s="8" t="str">
        <x:f>B2986&amp;" / "&amp;C2986&amp;" / "&amp;E2986</x:f>
        <x:v>5944 / 2023 / RAINBOW TROUT</x:v>
      </x:c>
    </x:row>
    <x:row r="2987" ht="23" customHeight="1">
      <x:c r="A2987" s="8" t="str">
        <x:v>Swan Lake</x:v>
      </x:c>
      <x:c r="B2987" s="8" t="str">
        <x:v>5944</x:v>
      </x:c>
      <x:c r="C2987" s="17" t="n">
        <x:v>2023</x:v>
      </x:c>
      <x:c r="D2987" s="18" t="n">
        <x:v>45188</x:v>
      </x:c>
      <x:c r="E2987" s="8" t="str">
        <x:v>RAINBOW TROUT</x:v>
      </x:c>
      <x:c r="F2987" s="13" t="n">
        <x:v>3729</x:v>
      </x:c>
      <x:c r="G2987" s="9" t="n">
        <x:v>17.5</x:v>
      </x:c>
      <x:c r="H2987" s="9" t="n">
        <x:v>65.5</x:v>
      </x:c>
      <x:c r="I2987" s="8" t="str">
        <x:f>B2987&amp;" / "&amp;C2987&amp;" / "&amp;E2987</x:f>
        <x:v>5944 / 2023 / RAINBOW TROUT</x:v>
      </x:c>
    </x:row>
    <x:row r="2988" ht="23" customHeight="1">
      <x:c r="A2988" s="8" t="str">
        <x:v>Swan Lake</x:v>
      </x:c>
      <x:c r="B2988" s="8" t="str">
        <x:v>5944</x:v>
      </x:c>
      <x:c r="C2988" s="17" t="n">
        <x:v>2023</x:v>
      </x:c>
      <x:c r="D2988" s="18" t="n">
        <x:v>45188</x:v>
      </x:c>
      <x:c r="E2988" s="8" t="str">
        <x:v>RAINBOW TROUT</x:v>
      </x:c>
      <x:c r="F2988" s="13" t="n">
        <x:v>6000</x:v>
      </x:c>
      <x:c r="G2988" s="9" t="n">
        <x:v>20.4</x:v>
      </x:c>
      <x:c r="H2988" s="9" t="n">
        <x:v>91.1</x:v>
      </x:c>
      <x:c r="I2988" s="8" t="str">
        <x:f>B2988&amp;" / "&amp;C2988&amp;" / "&amp;E2988</x:f>
        <x:v>5944 / 2023 / RAINBOW TROUT</x:v>
      </x:c>
    </x:row>
    <x:row r="2989" ht="23" customHeight="1">
      <x:c r="A2989" s="8" t="str">
        <x:v>Swan Lake</x:v>
      </x:c>
      <x:c r="B2989" s="8" t="str">
        <x:v>5944</x:v>
      </x:c>
      <x:c r="C2989" s="17" t="n">
        <x:v>2023</x:v>
      </x:c>
      <x:c r="D2989" s="18" t="n">
        <x:v>45063</x:v>
      </x:c>
      <x:c r="E2989" s="8" t="str">
        <x:v>RAINBOW TROUT</x:v>
      </x:c>
      <x:c r="F2989" s="13" t="n">
        <x:v>7110</x:v>
      </x:c>
      <x:c r="G2989" s="9" t="n">
        <x:v>17.3</x:v>
      </x:c>
      <x:c r="H2989" s="9" t="n">
        <x:v>56.3</x:v>
      </x:c>
      <x:c r="I2989" s="8" t="str">
        <x:f>B2989&amp;" / "&amp;C2989&amp;" / "&amp;E2989</x:f>
        <x:v>5944 / 2023 / RAINBOW TROUT</x:v>
      </x:c>
    </x:row>
    <x:row r="2990" ht="23" customHeight="1">
      <x:c r="A2990" s="8" t="str">
        <x:v>Swan Lake</x:v>
      </x:c>
      <x:c r="B2990" s="8" t="str">
        <x:v>5944</x:v>
      </x:c>
      <x:c r="C2990" s="17" t="n">
        <x:v>2022</x:v>
      </x:c>
      <x:c r="D2990" s="18" t="n">
        <x:v>44818</x:v>
      </x:c>
      <x:c r="E2990" s="8" t="str">
        <x:v>RAINBOW TROUT</x:v>
      </x:c>
      <x:c r="F2990" s="13" t="n">
        <x:v>15000</x:v>
      </x:c>
      <x:c r="G2990" s="9" t="n">
        <x:v>17.4</x:v>
      </x:c>
      <x:c r="H2990" s="9" t="n">
        <x:v>57.7</x:v>
      </x:c>
      <x:c r="I2990" s="8" t="str">
        <x:f>B2990&amp;" / "&amp;C2990&amp;" / "&amp;E2990</x:f>
        <x:v>5944 / 2022 / RAINBOW TROUT</x:v>
      </x:c>
    </x:row>
    <x:row r="2991" ht="23" customHeight="1">
      <x:c r="A2991" s="8" t="str">
        <x:v>Swan Lake</x:v>
      </x:c>
      <x:c r="B2991" s="8" t="str">
        <x:v>5944</x:v>
      </x:c>
      <x:c r="C2991" s="17" t="n">
        <x:v>2022</x:v>
      </x:c>
      <x:c r="D2991" s="18" t="n">
        <x:v>44699</x:v>
      </x:c>
      <x:c r="E2991" s="8" t="str">
        <x:v>RAINBOW TROUT</x:v>
      </x:c>
      <x:c r="F2991" s="13" t="n">
        <x:v>15000</x:v>
      </x:c>
      <x:c r="G2991" s="9" t="n">
        <x:v>13.3</x:v>
      </x:c>
      <x:c r="H2991" s="9" t="n">
        <x:v>26.3</x:v>
      </x:c>
      <x:c r="I2991" s="8" t="str">
        <x:f>B2991&amp;" / "&amp;C2991&amp;" / "&amp;E2991</x:f>
        <x:v>5944 / 2022 / RAINBOW TROUT</x:v>
      </x:c>
    </x:row>
    <x:row r="2992" ht="23" customHeight="1">
      <x:c r="A2992" s="8" t="str">
        <x:v>Swan Lake</x:v>
      </x:c>
      <x:c r="B2992" s="8" t="str">
        <x:v>5944</x:v>
      </x:c>
      <x:c r="C2992" s="17" t="n">
        <x:v>2021</x:v>
      </x:c>
      <x:c r="D2992" s="18" t="n">
        <x:v>44467</x:v>
      </x:c>
      <x:c r="E2992" s="8" t="str">
        <x:v>RAINBOW TROUT</x:v>
      </x:c>
      <x:c r="F2992" s="13" t="n">
        <x:v>15000</x:v>
      </x:c>
      <x:c r="G2992" s="9" t="n">
        <x:v>19.6</x:v>
      </x:c>
      <x:c r="H2992" s="9" t="n">
        <x:v>84</x:v>
      </x:c>
      <x:c r="I2992" s="8" t="str">
        <x:f>B2992&amp;" / "&amp;C2992&amp;" / "&amp;E2992</x:f>
        <x:v>5944 / 2021 / RAINBOW TROUT</x:v>
      </x:c>
    </x:row>
    <x:row r="2993" ht="23" customHeight="1">
      <x:c r="A2993" s="8" t="str">
        <x:v>Swan Lake</x:v>
      </x:c>
      <x:c r="B2993" s="8" t="str">
        <x:v>5944</x:v>
      </x:c>
      <x:c r="C2993" s="17" t="n">
        <x:v>2021</x:v>
      </x:c>
      <x:c r="D2993" s="18" t="n">
        <x:v>44335</x:v>
      </x:c>
      <x:c r="E2993" s="8" t="str">
        <x:v>RAINBOW TROUT</x:v>
      </x:c>
      <x:c r="F2993" s="13" t="n">
        <x:v>15000</x:v>
      </x:c>
      <x:c r="G2993" s="9" t="n">
        <x:v>14.8</x:v>
      </x:c>
      <x:c r="H2993" s="9" t="n">
        <x:v>36.2</x:v>
      </x:c>
      <x:c r="I2993" s="8" t="str">
        <x:f>B2993&amp;" / "&amp;C2993&amp;" / "&amp;E2993</x:f>
        <x:v>5944 / 2021 / RAINBOW TROUT</x:v>
      </x:c>
    </x:row>
    <x:row r="2994" ht="23" customHeight="1">
      <x:c r="A2994" s="8" t="str">
        <x:v>Sylvan Lake</x:v>
      </x:c>
      <x:c r="B2994" s="8" t="str">
        <x:v>5952</x:v>
      </x:c>
      <x:c r="C2994" s="17" t="n">
        <x:v>2025</x:v>
      </x:c>
      <x:c r="D2994" s="18" t="n">
        <x:v>45802</x:v>
      </x:c>
      <x:c r="E2994" s="8" t="str">
        <x:v>WALLEYE</x:v>
      </x:c>
      <x:c r="F2994" s="13" t="n">
        <x:v>2300000</x:v>
      </x:c>
      <x:c r="G2994" s="9" t="n">
        <x:v>0.4</x:v>
      </x:c>
      <x:c r="H2994" s="9" t="str">
        <x:v>Unknown</x:v>
      </x:c>
      <x:c r="I2994" s="8" t="str">
        <x:f>B2994&amp;" / "&amp;C2994&amp;" / "&amp;E2994</x:f>
        <x:v>5952 / 2025 / WALLEYE</x:v>
      </x:c>
    </x:row>
    <x:row r="2995" ht="23" customHeight="1">
      <x:c r="A2995" s="8" t="str">
        <x:v>Sylvan Lake</x:v>
      </x:c>
      <x:c r="B2995" s="8" t="str">
        <x:v>5952</x:v>
      </x:c>
      <x:c r="C2995" s="17" t="n">
        <x:v>2024</x:v>
      </x:c>
      <x:c r="D2995" s="18" t="n">
        <x:v>45443</x:v>
      </x:c>
      <x:c r="E2995" s="8" t="str">
        <x:v>WALLEYE</x:v>
      </x:c>
      <x:c r="F2995" s="13" t="n">
        <x:v>2175257</x:v>
      </x:c>
      <x:c r="G2995" s="9" t="n">
        <x:v>0</x:v>
      </x:c>
      <x:c r="H2995" s="9" t="str">
        <x:v>Unknown</x:v>
      </x:c>
      <x:c r="I2995" s="8" t="str">
        <x:f>B2995&amp;" / "&amp;C2995&amp;" / "&amp;E2995</x:f>
        <x:v>5952 / 2024 / WALLEYE</x:v>
      </x:c>
    </x:row>
    <x:row r="2996" ht="23" customHeight="1">
      <x:c r="A2996" s="8" t="str">
        <x:v>Sylvan Lake</x:v>
      </x:c>
      <x:c r="B2996" s="8" t="str">
        <x:v>5952</x:v>
      </x:c>
      <x:c r="C2996" s="17" t="n">
        <x:v>2024</x:v>
      </x:c>
      <x:c r="D2996" s="18" t="n">
        <x:v>45442</x:v>
      </x:c>
      <x:c r="E2996" s="8" t="str">
        <x:v>WALLEYE</x:v>
      </x:c>
      <x:c r="F2996" s="13" t="n">
        <x:v>1468869</x:v>
      </x:c>
      <x:c r="G2996" s="9" t="n">
        <x:v>0</x:v>
      </x:c>
      <x:c r="H2996" s="9" t="str">
        <x:v>Unknown</x:v>
      </x:c>
      <x:c r="I2996" s="8" t="str">
        <x:f>B2996&amp;" / "&amp;C2996&amp;" / "&amp;E2996</x:f>
        <x:v>5952 / 2024 / WALLEYE</x:v>
      </x:c>
    </x:row>
    <x:row r="2997" ht="23" customHeight="1">
      <x:c r="A2997" s="8" t="str">
        <x:v>Sylvan Lake</x:v>
      </x:c>
      <x:c r="B2997" s="8" t="str">
        <x:v>5952</x:v>
      </x:c>
      <x:c r="C2997" s="17" t="n">
        <x:v>2023</x:v>
      </x:c>
      <x:c r="D2997" s="18" t="n">
        <x:v>45075</x:v>
      </x:c>
      <x:c r="E2997" s="8" t="str">
        <x:v>WALLEYE</x:v>
      </x:c>
      <x:c r="F2997" s="13" t="n">
        <x:v>96557</x:v>
      </x:c>
      <x:c r="G2997" s="9" t="n">
        <x:v>0.4</x:v>
      </x:c>
      <x:c r="H2997" s="9" t="n">
        <x:v>0</x:v>
      </x:c>
      <x:c r="I2997" s="8" t="str">
        <x:f>B2997&amp;" / "&amp;C2997&amp;" / "&amp;E2997</x:f>
        <x:v>5952 / 2023 / WALLEYE</x:v>
      </x:c>
    </x:row>
    <x:row r="2998" ht="23" customHeight="1">
      <x:c r="A2998" s="8" t="str">
        <x:v>Sylvan Lake</x:v>
      </x:c>
      <x:c r="B2998" s="8" t="str">
        <x:v>5952</x:v>
      </x:c>
      <x:c r="C2998" s="17" t="n">
        <x:v>2023</x:v>
      </x:c>
      <x:c r="D2998" s="18" t="n">
        <x:v>45072</x:v>
      </x:c>
      <x:c r="E2998" s="8" t="str">
        <x:v>WALLEYE</x:v>
      </x:c>
      <x:c r="F2998" s="13" t="n">
        <x:v>489548</x:v>
      </x:c>
      <x:c r="G2998" s="9" t="n">
        <x:v>0.4</x:v>
      </x:c>
      <x:c r="H2998" s="9" t="n">
        <x:v>0</x:v>
      </x:c>
      <x:c r="I2998" s="8" t="str">
        <x:f>B2998&amp;" / "&amp;C2998&amp;" / "&amp;E2998</x:f>
        <x:v>5952 / 2023 / WALLEYE</x:v>
      </x:c>
    </x:row>
    <x:row r="2999" ht="23" customHeight="1">
      <x:c r="A2999" s="8" t="str">
        <x:v>Sylvan Lake</x:v>
      </x:c>
      <x:c r="B2999" s="8" t="str">
        <x:v>5952</x:v>
      </x:c>
      <x:c r="C2999" s="17" t="n">
        <x:v>2022</x:v>
      </x:c>
      <x:c r="D2999" s="18" t="n">
        <x:v>44709</x:v>
      </x:c>
      <x:c r="E2999" s="8" t="str">
        <x:v>WALLEYE</x:v>
      </x:c>
      <x:c r="F2999" s="13" t="n">
        <x:v>428000</x:v>
      </x:c>
      <x:c r="G2999" s="9" t="n">
        <x:v>0.4</x:v>
      </x:c>
      <x:c r="H2999" s="9" t="n">
        <x:v>0</x:v>
      </x:c>
      <x:c r="I2999" s="8" t="str">
        <x:f>B2999&amp;" / "&amp;C2999&amp;" / "&amp;E2999</x:f>
        <x:v>5952 / 2022 / WALLEYE</x:v>
      </x:c>
    </x:row>
    <x:row r="3000" ht="23" customHeight="1">
      <x:c r="A3000" s="8" t="str">
        <x:v>Sylvan Lake</x:v>
      </x:c>
      <x:c r="B3000" s="8" t="str">
        <x:v>5952</x:v>
      </x:c>
      <x:c r="C3000" s="17" t="n">
        <x:v>2021</x:v>
      </x:c>
      <x:c r="D3000" s="18" t="n">
        <x:v>44424</x:v>
      </x:c>
      <x:c r="E3000" s="8" t="str">
        <x:v>WALLEYE</x:v>
      </x:c>
      <x:c r="F3000" s="13" t="n">
        <x:v>5101</x:v>
      </x:c>
      <x:c r="G3000" s="9" t="n">
        <x:v>7.7</x:v>
      </x:c>
      <x:c r="H3000" s="9" t="n">
        <x:v>3</x:v>
      </x:c>
      <x:c r="I3000" s="8" t="str">
        <x:f>B3000&amp;" / "&amp;C3000&amp;" / "&amp;E3000</x:f>
        <x:v>5952 / 2021 / WALLEYE</x:v>
      </x:c>
    </x:row>
    <x:row r="3001" ht="23" customHeight="1">
      <x:c r="A3001" s="8" t="str">
        <x:v>Sylvan Lake</x:v>
      </x:c>
      <x:c r="B3001" s="8" t="str">
        <x:v>5952</x:v>
      </x:c>
      <x:c r="C3001" s="17" t="n">
        <x:v>2021</x:v>
      </x:c>
      <x:c r="D3001" s="18" t="n">
        <x:v>44382</x:v>
      </x:c>
      <x:c r="E3001" s="8" t="str">
        <x:v>WALLEYE</x:v>
      </x:c>
      <x:c r="F3001" s="13" t="n">
        <x:v>9152</x:v>
      </x:c>
      <x:c r="G3001" s="9" t="n">
        <x:v>4.3</x:v>
      </x:c>
      <x:c r="H3001" s="9" t="n">
        <x:v>1.3</x:v>
      </x:c>
      <x:c r="I3001" s="8" t="str">
        <x:f>B3001&amp;" / "&amp;C3001&amp;" / "&amp;E3001</x:f>
        <x:v>5952 / 2021 / WALLEYE</x:v>
      </x:c>
    </x:row>
    <x:row r="3002" ht="23" customHeight="1">
      <x:c r="A3002" s="8" t="str">
        <x:v>Sylvan Lake</x:v>
      </x:c>
      <x:c r="B3002" s="8" t="str">
        <x:v>5952</x:v>
      </x:c>
      <x:c r="C3002" s="17" t="n">
        <x:v>2021</x:v>
      </x:c>
      <x:c r="D3002" s="18" t="n">
        <x:v>44340</x:v>
      </x:c>
      <x:c r="E3002" s="8" t="str">
        <x:v>WALLEYE</x:v>
      </x:c>
      <x:c r="F3002" s="13" t="n">
        <x:v>513600</x:v>
      </x:c>
      <x:c r="G3002" s="9" t="n">
        <x:v>0.4</x:v>
      </x:c>
      <x:c r="H3002" s="9" t="str">
        <x:v>Unknown</x:v>
      </x:c>
      <x:c r="I3002" s="8" t="str">
        <x:f>B3002&amp;" / "&amp;C3002&amp;" / "&amp;E3002</x:f>
        <x:v>5952 / 2021 / WALLEYE</x:v>
      </x:c>
    </x:row>
    <x:row r="3003" ht="23" customHeight="1">
      <x:c r="A3003" s="8" t="str">
        <x:v>Taber Trout Pond</x:v>
      </x:c>
      <x:c r="B3003" s="8" t="str">
        <x:v>318138</x:v>
      </x:c>
      <x:c r="C3003" s="17" t="n">
        <x:v>2026</x:v>
      </x:c>
      <x:c r="D3003" s="18" t="n">
        <x:v>46162</x:v>
      </x:c>
      <x:c r="E3003" s="8" t="str">
        <x:v>RAINBOW TROUT</x:v>
      </x:c>
      <x:c r="F3003" s="13" t="n">
        <x:v>2500</x:v>
      </x:c>
      <x:c r="G3003" s="9" t="n">
        <x:v>20.7</x:v>
      </x:c>
      <x:c r="H3003" s="9" t="n">
        <x:v>97.9</x:v>
      </x:c>
      <x:c r="I3003" s="8" t="str">
        <x:f>B3003&amp;" / "&amp;C3003&amp;" / "&amp;E3003</x:f>
        <x:v>318138 / 2026 / RAINBOW TROUT</x:v>
      </x:c>
    </x:row>
    <x:row r="3004" ht="23" customHeight="1">
      <x:c r="A3004" s="8" t="str">
        <x:v>Taber Trout Pond</x:v>
      </x:c>
      <x:c r="B3004" s="8" t="str">
        <x:v>318138</x:v>
      </x:c>
      <x:c r="C3004" s="17" t="n">
        <x:v>2025</x:v>
      </x:c>
      <x:c r="D3004" s="18" t="n">
        <x:v>45811</x:v>
      </x:c>
      <x:c r="E3004" s="8" t="str">
        <x:v>RAINBOW TROUT</x:v>
      </x:c>
      <x:c r="F3004" s="13" t="n">
        <x:v>2500</x:v>
      </x:c>
      <x:c r="G3004" s="9" t="n">
        <x:v>20.6</x:v>
      </x:c>
      <x:c r="H3004" s="9" t="n">
        <x:v>89.1</x:v>
      </x:c>
      <x:c r="I3004" s="8" t="str">
        <x:f>B3004&amp;" / "&amp;C3004&amp;" / "&amp;E3004</x:f>
        <x:v>318138 / 2025 / RAINBOW TROUT</x:v>
      </x:c>
    </x:row>
    <x:row r="3005" ht="23" customHeight="1">
      <x:c r="A3005" s="8" t="str">
        <x:v>Taber Trout Pond</x:v>
      </x:c>
      <x:c r="B3005" s="8" t="str">
        <x:v>318138</x:v>
      </x:c>
      <x:c r="C3005" s="17" t="n">
        <x:v>2025</x:v>
      </x:c>
      <x:c r="D3005" s="18" t="n">
        <x:v>45791</x:v>
      </x:c>
      <x:c r="E3005" s="8" t="str">
        <x:v>RAINBOW TROUT</x:v>
      </x:c>
      <x:c r="F3005" s="13" t="n">
        <x:v>50</x:v>
      </x:c>
      <x:c r="G3005" s="9" t="n">
        <x:v>30</x:v>
      </x:c>
      <x:c r="H3005" s="9" t="n">
        <x:v>400</x:v>
      </x:c>
      <x:c r="I3005" s="8" t="str">
        <x:f>B3005&amp;" / "&amp;C3005&amp;" / "&amp;E3005</x:f>
        <x:v>318138 / 2025 / RAINBOW TROUT</x:v>
      </x:c>
    </x:row>
    <x:row r="3006" ht="23" customHeight="1">
      <x:c r="A3006" s="8" t="str">
        <x:v>Taber Trout Pond</x:v>
      </x:c>
      <x:c r="B3006" s="8" t="str">
        <x:v>318138</x:v>
      </x:c>
      <x:c r="C3006" s="17" t="n">
        <x:v>2025</x:v>
      </x:c>
      <x:c r="D3006" s="18" t="n">
        <x:v>45791</x:v>
      </x:c>
      <x:c r="E3006" s="8" t="str">
        <x:v>RAINBOW TROUT</x:v>
      </x:c>
      <x:c r="F3006" s="13" t="n">
        <x:v>2500</x:v>
      </x:c>
      <x:c r="G3006" s="9" t="n">
        <x:v>21</x:v>
      </x:c>
      <x:c r="H3006" s="9" t="n">
        <x:v>89</x:v>
      </x:c>
      <x:c r="I3006" s="8" t="str">
        <x:f>B3006&amp;" / "&amp;C3006&amp;" / "&amp;E3006</x:f>
        <x:v>318138 / 2025 / RAINBOW TROUT</x:v>
      </x:c>
    </x:row>
    <x:row r="3007" ht="23" customHeight="1">
      <x:c r="A3007" s="8" t="str">
        <x:v>Taber Trout Pond</x:v>
      </x:c>
      <x:c r="B3007" s="8" t="str">
        <x:v>318138</x:v>
      </x:c>
      <x:c r="C3007" s="17" t="n">
        <x:v>2024</x:v>
      </x:c>
      <x:c r="D3007" s="18" t="n">
        <x:v>45453</x:v>
      </x:c>
      <x:c r="E3007" s="8" t="str">
        <x:v>RAINBOW TROUT</x:v>
      </x:c>
      <x:c r="F3007" s="13" t="n">
        <x:v>2500</x:v>
      </x:c>
      <x:c r="G3007" s="9" t="n">
        <x:v>21.6</x:v>
      </x:c>
      <x:c r="H3007" s="9" t="n">
        <x:v>88.5</x:v>
      </x:c>
      <x:c r="I3007" s="8" t="str">
        <x:f>B3007&amp;" / "&amp;C3007&amp;" / "&amp;E3007</x:f>
        <x:v>318138 / 2024 / RAINBOW TROUT</x:v>
      </x:c>
    </x:row>
    <x:row r="3008" ht="23" customHeight="1">
      <x:c r="A3008" s="8" t="str">
        <x:v>Taber Trout Pond</x:v>
      </x:c>
      <x:c r="B3008" s="8" t="str">
        <x:v>318138</x:v>
      </x:c>
      <x:c r="C3008" s="17" t="n">
        <x:v>2024</x:v>
      </x:c>
      <x:c r="D3008" s="18" t="n">
        <x:v>45428</x:v>
      </x:c>
      <x:c r="E3008" s="8" t="str">
        <x:v>RAINBOW TROUT</x:v>
      </x:c>
      <x:c r="F3008" s="13" t="n">
        <x:v>60</x:v>
      </x:c>
      <x:c r="G3008" s="9" t="n">
        <x:v>30.1</x:v>
      </x:c>
      <x:c r="H3008" s="9" t="n">
        <x:v>268</x:v>
      </x:c>
      <x:c r="I3008" s="8" t="str">
        <x:f>B3008&amp;" / "&amp;C3008&amp;" / "&amp;E3008</x:f>
        <x:v>318138 / 2024 / RAINBOW TROUT</x:v>
      </x:c>
    </x:row>
    <x:row r="3009" ht="23" customHeight="1">
      <x:c r="A3009" s="8" t="str">
        <x:v>Taber Trout Pond</x:v>
      </x:c>
      <x:c r="B3009" s="8" t="str">
        <x:v>318138</x:v>
      </x:c>
      <x:c r="C3009" s="17" t="n">
        <x:v>2024</x:v>
      </x:c>
      <x:c r="D3009" s="18" t="n">
        <x:v>45428</x:v>
      </x:c>
      <x:c r="E3009" s="8" t="str">
        <x:v>RAINBOW TROUT</x:v>
      </x:c>
      <x:c r="F3009" s="13" t="n">
        <x:v>2500</x:v>
      </x:c>
      <x:c r="G3009" s="9" t="n">
        <x:v>20.1</x:v>
      </x:c>
      <x:c r="H3009" s="9" t="n">
        <x:v>90.9</x:v>
      </x:c>
      <x:c r="I3009" s="8" t="str">
        <x:f>B3009&amp;" / "&amp;C3009&amp;" / "&amp;E3009</x:f>
        <x:v>318138 / 2024 / RAINBOW TROUT</x:v>
      </x:c>
    </x:row>
    <x:row r="3010" ht="23" customHeight="1">
      <x:c r="A3010" s="8" t="str">
        <x:v>Taber Trout Pond</x:v>
      </x:c>
      <x:c r="B3010" s="8" t="str">
        <x:v>318138</x:v>
      </x:c>
      <x:c r="C3010" s="17" t="n">
        <x:v>2023</x:v>
      </x:c>
      <x:c r="D3010" s="18" t="n">
        <x:v>45074</x:v>
      </x:c>
      <x:c r="E3010" s="8" t="str">
        <x:v>RAINBOW TROUT</x:v>
      </x:c>
      <x:c r="F3010" s="13" t="n">
        <x:v>2500</x:v>
      </x:c>
      <x:c r="G3010" s="9" t="n">
        <x:v>20.2</x:v>
      </x:c>
      <x:c r="H3010" s="9" t="n">
        <x:v>90.9</x:v>
      </x:c>
      <x:c r="I3010" s="8" t="str">
        <x:f>B3010&amp;" / "&amp;C3010&amp;" / "&amp;E3010</x:f>
        <x:v>318138 / 2023 / RAINBOW TROUT</x:v>
      </x:c>
    </x:row>
    <x:row r="3011" ht="23" customHeight="1">
      <x:c r="A3011" s="8" t="str">
        <x:v>Taber Trout Pond</x:v>
      </x:c>
      <x:c r="B3011" s="8" t="str">
        <x:v>318138</x:v>
      </x:c>
      <x:c r="C3011" s="17" t="n">
        <x:v>2023</x:v>
      </x:c>
      <x:c r="D3011" s="18" t="n">
        <x:v>45042</x:v>
      </x:c>
      <x:c r="E3011" s="8" t="str">
        <x:v>RAINBOW TROUT</x:v>
      </x:c>
      <x:c r="F3011" s="13" t="n">
        <x:v>2690</x:v>
      </x:c>
      <x:c r="G3011" s="9" t="n">
        <x:v>21.7</x:v>
      </x:c>
      <x:c r="H3011" s="9" t="n">
        <x:v>93.2</x:v>
      </x:c>
      <x:c r="I3011" s="8" t="str">
        <x:f>B3011&amp;" / "&amp;C3011&amp;" / "&amp;E3011</x:f>
        <x:v>318138 / 2023 / RAINBOW TROUT</x:v>
      </x:c>
    </x:row>
    <x:row r="3012" ht="23" customHeight="1">
      <x:c r="A3012" s="8" t="str">
        <x:v>Taber Trout Pond</x:v>
      </x:c>
      <x:c r="B3012" s="8" t="str">
        <x:v>318138</x:v>
      </x:c>
      <x:c r="C3012" s="17" t="n">
        <x:v>2021</x:v>
      </x:c>
      <x:c r="D3012" s="18" t="n">
        <x:v>44454</x:v>
      </x:c>
      <x:c r="E3012" s="8" t="str">
        <x:v>RAINBOW TROUT</x:v>
      </x:c>
      <x:c r="F3012" s="13" t="n">
        <x:v>700</x:v>
      </x:c>
      <x:c r="G3012" s="9" t="n">
        <x:v>20.9</x:v>
      </x:c>
      <x:c r="H3012" s="9" t="n">
        <x:v>92</x:v>
      </x:c>
      <x:c r="I3012" s="8" t="str">
        <x:f>B3012&amp;" / "&amp;C3012&amp;" / "&amp;E3012</x:f>
        <x:v>318138 / 2021 / RAINBOW TROUT</x:v>
      </x:c>
    </x:row>
    <x:row r="3013" ht="23" customHeight="1">
      <x:c r="A3013" s="8" t="str">
        <x:v>Taber Trout Pond</x:v>
      </x:c>
      <x:c r="B3013" s="8" t="str">
        <x:v>318138</x:v>
      </x:c>
      <x:c r="C3013" s="17" t="n">
        <x:v>2021</x:v>
      </x:c>
      <x:c r="D3013" s="18" t="n">
        <x:v>44363</x:v>
      </x:c>
      <x:c r="E3013" s="8" t="str">
        <x:v>RAINBOW TROUT</x:v>
      </x:c>
      <x:c r="F3013" s="13" t="n">
        <x:v>2150</x:v>
      </x:c>
      <x:c r="G3013" s="9" t="n">
        <x:v>20.3</x:v>
      </x:c>
      <x:c r="H3013" s="9" t="n">
        <x:v>88.6</x:v>
      </x:c>
      <x:c r="I3013" s="8" t="str">
        <x:f>B3013&amp;" / "&amp;C3013&amp;" / "&amp;E3013</x:f>
        <x:v>318138 / 2021 / RAINBOW TROUT</x:v>
      </x:c>
    </x:row>
    <x:row r="3014" ht="23" customHeight="1">
      <x:c r="A3014" s="8" t="str">
        <x:v>Taber Trout Pond</x:v>
      </x:c>
      <x:c r="B3014" s="8" t="str">
        <x:v>318138</x:v>
      </x:c>
      <x:c r="C3014" s="17" t="n">
        <x:v>2021</x:v>
      </x:c>
      <x:c r="D3014" s="18" t="n">
        <x:v>44335</x:v>
      </x:c>
      <x:c r="E3014" s="8" t="str">
        <x:v>RAINBOW TROUT</x:v>
      </x:c>
      <x:c r="F3014" s="13" t="n">
        <x:v>2250</x:v>
      </x:c>
      <x:c r="G3014" s="9" t="n">
        <x:v>21.1</x:v>
      </x:c>
      <x:c r="H3014" s="9" t="n">
        <x:v>81.8</x:v>
      </x:c>
      <x:c r="I3014" s="8" t="str">
        <x:f>B3014&amp;" / "&amp;C3014&amp;" / "&amp;E3014</x:f>
        <x:v>318138 / 2021 / RAINBOW TROUT</x:v>
      </x:c>
    </x:row>
    <x:row r="3015" ht="23" customHeight="1">
      <x:c r="A3015" s="8" t="str">
        <x:v>Talus Lake</x:v>
      </x:c>
      <x:c r="B3015" s="8" t="str">
        <x:v>6632</x:v>
      </x:c>
      <x:c r="C3015" s="17" t="n">
        <x:v>2021</x:v>
      </x:c>
      <x:c r="D3015" s="18" t="n">
        <x:v>44447</x:v>
      </x:c>
      <x:c r="E3015" s="8" t="str">
        <x:v>CUTTHROAT TROUT</x:v>
      </x:c>
      <x:c r="F3015" s="13" t="n">
        <x:v>300</x:v>
      </x:c>
      <x:c r="G3015" s="9" t="n">
        <x:v>4.9</x:v>
      </x:c>
      <x:c r="H3015" s="9" t="n">
        <x:v>1.3</x:v>
      </x:c>
      <x:c r="I3015" s="8" t="str">
        <x:f>B3015&amp;" / "&amp;C3015&amp;" / "&amp;E3015</x:f>
        <x:v>6632 / 2021 / CUTTHROAT TROUT</x:v>
      </x:c>
    </x:row>
    <x:row r="3016" ht="23" customHeight="1">
      <x:c r="A3016" s="8" t="str">
        <x:v>Tamarack Lake</x:v>
      </x:c>
      <x:c r="B3016" s="8" t="str">
        <x:v>6635</x:v>
      </x:c>
      <x:c r="C3016" s="17" t="n">
        <x:v>2025</x:v>
      </x:c>
      <x:c r="D3016" s="18" t="n">
        <x:v>45917</x:v>
      </x:c>
      <x:c r="E3016" s="8" t="str">
        <x:v>RAINBOW TROUT</x:v>
      </x:c>
      <x:c r="F3016" s="13" t="n">
        <x:v>8000</x:v>
      </x:c>
      <x:c r="G3016" s="9" t="n">
        <x:v>5.9</x:v>
      </x:c>
      <x:c r="H3016" s="9" t="n">
        <x:v>2.3</x:v>
      </x:c>
      <x:c r="I3016" s="8" t="str">
        <x:f>B3016&amp;" / "&amp;C3016&amp;" / "&amp;E3016</x:f>
        <x:v>6635 / 2025 / RAINBOW TROUT</x:v>
      </x:c>
    </x:row>
    <x:row r="3017" ht="23" customHeight="1">
      <x:c r="A3017" s="8" t="str">
        <x:v>Tamarack Lake</x:v>
      </x:c>
      <x:c r="B3017" s="8" t="str">
        <x:v>6635</x:v>
      </x:c>
      <x:c r="C3017" s="17" t="n">
        <x:v>2024</x:v>
      </x:c>
      <x:c r="D3017" s="18" t="n">
        <x:v>45568</x:v>
      </x:c>
      <x:c r="E3017" s="8" t="str">
        <x:v>RAINBOW TROUT</x:v>
      </x:c>
      <x:c r="F3017" s="13" t="n">
        <x:v>8000</x:v>
      </x:c>
      <x:c r="G3017" s="9" t="n">
        <x:v>6.1</x:v>
      </x:c>
      <x:c r="H3017" s="9" t="n">
        <x:v>2.5</x:v>
      </x:c>
      <x:c r="I3017" s="8" t="str">
        <x:f>B3017&amp;" / "&amp;C3017&amp;" / "&amp;E3017</x:f>
        <x:v>6635 / 2024 / RAINBOW TROUT</x:v>
      </x:c>
    </x:row>
    <x:row r="3018" ht="23" customHeight="1">
      <x:c r="A3018" s="8" t="str">
        <x:v>Tamarack Lake</x:v>
      </x:c>
      <x:c r="B3018" s="8" t="str">
        <x:v>6635</x:v>
      </x:c>
      <x:c r="C3018" s="17" t="n">
        <x:v>2023</x:v>
      </x:c>
      <x:c r="D3018" s="18" t="n">
        <x:v>45209</x:v>
      </x:c>
      <x:c r="E3018" s="8" t="str">
        <x:v>RAINBOW TROUT</x:v>
      </x:c>
      <x:c r="F3018" s="13" t="n">
        <x:v>8000</x:v>
      </x:c>
      <x:c r="G3018" s="9" t="n">
        <x:v>8.5</x:v>
      </x:c>
      <x:c r="H3018" s="9" t="n">
        <x:v>6.6</x:v>
      </x:c>
      <x:c r="I3018" s="8" t="str">
        <x:f>B3018&amp;" / "&amp;C3018&amp;" / "&amp;E3018</x:f>
        <x:v>6635 / 2023 / RAINBOW TROUT</x:v>
      </x:c>
    </x:row>
    <x:row r="3019" ht="23" customHeight="1">
      <x:c r="A3019" s="8" t="str">
        <x:v>Tamarack Lake</x:v>
      </x:c>
      <x:c r="B3019" s="8" t="str">
        <x:v>6635</x:v>
      </x:c>
      <x:c r="C3019" s="17" t="n">
        <x:v>2022</x:v>
      </x:c>
      <x:c r="D3019" s="18" t="n">
        <x:v>44837</x:v>
      </x:c>
      <x:c r="E3019" s="8" t="str">
        <x:v>RAINBOW TROUT</x:v>
      </x:c>
      <x:c r="F3019" s="13" t="n">
        <x:v>8000</x:v>
      </x:c>
      <x:c r="G3019" s="9" t="n">
        <x:v>7.9</x:v>
      </x:c>
      <x:c r="H3019" s="9" t="n">
        <x:v>5.4</x:v>
      </x:c>
      <x:c r="I3019" s="8" t="str">
        <x:f>B3019&amp;" / "&amp;C3019&amp;" / "&amp;E3019</x:f>
        <x:v>6635 / 2022 / RAINBOW TROUT</x:v>
      </x:c>
    </x:row>
    <x:row r="3020" ht="23" customHeight="1">
      <x:c r="A3020" s="8" t="str">
        <x:v>Tamarack Lake</x:v>
      </x:c>
      <x:c r="B3020" s="8" t="str">
        <x:v>6635</x:v>
      </x:c>
      <x:c r="C3020" s="17" t="n">
        <x:v>2021</x:v>
      </x:c>
      <x:c r="D3020" s="18" t="n">
        <x:v>44482</x:v>
      </x:c>
      <x:c r="E3020" s="8" t="str">
        <x:v>RAINBOW TROUT</x:v>
      </x:c>
      <x:c r="F3020" s="13" t="n">
        <x:v>8000</x:v>
      </x:c>
      <x:c r="G3020" s="9" t="n">
        <x:v>7.4</x:v>
      </x:c>
      <x:c r="H3020" s="9" t="n">
        <x:v>4.5</x:v>
      </x:c>
      <x:c r="I3020" s="8" t="str">
        <x:f>B3020&amp;" / "&amp;C3020&amp;" / "&amp;E3020</x:f>
        <x:v>6635 / 2021 / RAINBOW TROUT</x:v>
      </x:c>
    </x:row>
    <x:row r="3021" ht="23" customHeight="1">
      <x:c r="A3021" s="8" t="str">
        <x:v>Tay Lake</x:v>
      </x:c>
      <x:c r="B3021" s="8" t="str">
        <x:v>5968</x:v>
      </x:c>
      <x:c r="C3021" s="17" t="n">
        <x:v>2026</x:v>
      </x:c>
      <x:c r="D3021" s="18" t="n">
        <x:v>46177</x:v>
      </x:c>
      <x:c r="E3021" s="8" t="str">
        <x:v>RAINBOW TROUT</x:v>
      </x:c>
      <x:c r="F3021" s="13" t="n">
        <x:v>5000</x:v>
      </x:c>
      <x:c r="G3021" s="9" t="n">
        <x:v>14.3</x:v>
      </x:c>
      <x:c r="H3021" s="9" t="n">
        <x:v>31.9</x:v>
      </x:c>
      <x:c r="I3021" s="8" t="str">
        <x:f>B3021&amp;" / "&amp;C3021&amp;" / "&amp;E3021</x:f>
        <x:v>5968 / 2026 / RAINBOW TROUT</x:v>
      </x:c>
    </x:row>
    <x:row r="3022" ht="23" customHeight="1">
      <x:c r="A3022" s="8" t="str">
        <x:v>Tay Lake</x:v>
      </x:c>
      <x:c r="B3022" s="8" t="str">
        <x:v>5968</x:v>
      </x:c>
      <x:c r="C3022" s="17" t="n">
        <x:v>2025</x:v>
      </x:c>
      <x:c r="D3022" s="18" t="n">
        <x:v>45811</x:v>
      </x:c>
      <x:c r="E3022" s="8" t="str">
        <x:v>RAINBOW TROUT</x:v>
      </x:c>
      <x:c r="F3022" s="13" t="n">
        <x:v>5000</x:v>
      </x:c>
      <x:c r="G3022" s="9" t="n">
        <x:v>12.6</x:v>
      </x:c>
      <x:c r="H3022" s="9" t="n">
        <x:v>21.6</x:v>
      </x:c>
      <x:c r="I3022" s="8" t="str">
        <x:f>B3022&amp;" / "&amp;C3022&amp;" / "&amp;E3022</x:f>
        <x:v>5968 / 2025 / RAINBOW TROUT</x:v>
      </x:c>
    </x:row>
    <x:row r="3023" ht="23" customHeight="1">
      <x:c r="A3023" s="8" t="str">
        <x:v>Tay Lake</x:v>
      </x:c>
      <x:c r="B3023" s="8" t="str">
        <x:v>5968</x:v>
      </x:c>
      <x:c r="C3023" s="17" t="n">
        <x:v>2024</x:v>
      </x:c>
      <x:c r="D3023" s="18" t="n">
        <x:v>45446</x:v>
      </x:c>
      <x:c r="E3023" s="8" t="str">
        <x:v>RAINBOW TROUT</x:v>
      </x:c>
      <x:c r="F3023" s="13" t="n">
        <x:v>2500</x:v>
      </x:c>
      <x:c r="G3023" s="9" t="n">
        <x:v>20.9</x:v>
      </x:c>
      <x:c r="H3023" s="9" t="n">
        <x:v>99</x:v>
      </x:c>
      <x:c r="I3023" s="8" t="str">
        <x:f>B3023&amp;" / "&amp;C3023&amp;" / "&amp;E3023</x:f>
        <x:v>5968 / 2024 / RAINBOW TROUT</x:v>
      </x:c>
    </x:row>
    <x:row r="3024" ht="23" customHeight="1">
      <x:c r="A3024" s="8" t="str">
        <x:v>Tay Lake</x:v>
      </x:c>
      <x:c r="B3024" s="8" t="str">
        <x:v>5968</x:v>
      </x:c>
      <x:c r="C3024" s="17" t="n">
        <x:v>2023</x:v>
      </x:c>
      <x:c r="D3024" s="18" t="n">
        <x:v>45091</x:v>
      </x:c>
      <x:c r="E3024" s="8" t="str">
        <x:v>RAINBOW TROUT</x:v>
      </x:c>
      <x:c r="F3024" s="13" t="n">
        <x:v>2370</x:v>
      </x:c>
      <x:c r="G3024" s="9" t="n">
        <x:v>18.3</x:v>
      </x:c>
      <x:c r="H3024" s="9" t="n">
        <x:v>66.7</x:v>
      </x:c>
      <x:c r="I3024" s="8" t="str">
        <x:f>B3024&amp;" / "&amp;C3024&amp;" / "&amp;E3024</x:f>
        <x:v>5968 / 2023 / RAINBOW TROUT</x:v>
      </x:c>
    </x:row>
    <x:row r="3025" ht="23" customHeight="1">
      <x:c r="A3025" s="8" t="str">
        <x:v>Tay Lake</x:v>
      </x:c>
      <x:c r="B3025" s="8" t="str">
        <x:v>5968</x:v>
      </x:c>
      <x:c r="C3025" s="17" t="n">
        <x:v>2022</x:v>
      </x:c>
      <x:c r="D3025" s="18" t="n">
        <x:v>44720</x:v>
      </x:c>
      <x:c r="E3025" s="8" t="str">
        <x:v>RAINBOW TROUT</x:v>
      </x:c>
      <x:c r="F3025" s="13" t="n">
        <x:v>5000</x:v>
      </x:c>
      <x:c r="G3025" s="9" t="n">
        <x:v>19</x:v>
      </x:c>
      <x:c r="H3025" s="9" t="n">
        <x:v>75</x:v>
      </x:c>
      <x:c r="I3025" s="8" t="str">
        <x:f>B3025&amp;" / "&amp;C3025&amp;" / "&amp;E3025</x:f>
        <x:v>5968 / 2022 / RAINBOW TROUT</x:v>
      </x:c>
    </x:row>
    <x:row r="3026" ht="23" customHeight="1">
      <x:c r="A3026" s="8" t="str">
        <x:v>Tay Lake</x:v>
      </x:c>
      <x:c r="B3026" s="8" t="str">
        <x:v>5968</x:v>
      </x:c>
      <x:c r="C3026" s="17" t="n">
        <x:v>2021</x:v>
      </x:c>
      <x:c r="D3026" s="18" t="n">
        <x:v>44356</x:v>
      </x:c>
      <x:c r="E3026" s="8" t="str">
        <x:v>RAINBOW TROUT</x:v>
      </x:c>
      <x:c r="F3026" s="13" t="n">
        <x:v>5100</x:v>
      </x:c>
      <x:c r="G3026" s="9" t="n">
        <x:v>18.3</x:v>
      </x:c>
      <x:c r="H3026" s="9" t="n">
        <x:v>67.5</x:v>
      </x:c>
      <x:c r="I3026" s="8" t="str">
        <x:f>B3026&amp;" / "&amp;C3026&amp;" / "&amp;E3026</x:f>
        <x:v>5968 / 2021 / RAINBOW TROUT</x:v>
      </x:c>
    </x:row>
    <x:row r="3027" ht="23" customHeight="1">
      <x:c r="A3027" s="8" t="str">
        <x:v>Tea Lakes</x:v>
      </x:c>
      <x:c r="B3027" s="8" t="str">
        <x:v>5971</x:v>
      </x:c>
      <x:c r="C3027" s="17" t="n">
        <x:v>2025</x:v>
      </x:c>
      <x:c r="D3027" s="18" t="n">
        <x:v>45917</x:v>
      </x:c>
      <x:c r="E3027" s="8" t="str">
        <x:v>RAINBOW TROUT</x:v>
      </x:c>
      <x:c r="F3027" s="13" t="n">
        <x:v>6000</x:v>
      </x:c>
      <x:c r="G3027" s="9" t="n">
        <x:v>5.9</x:v>
      </x:c>
      <x:c r="H3027" s="9" t="n">
        <x:v>2.3</x:v>
      </x:c>
      <x:c r="I3027" s="8" t="str">
        <x:f>B3027&amp;" / "&amp;C3027&amp;" / "&amp;E3027</x:f>
        <x:v>5971 / 2025 / RAINBOW TROUT</x:v>
      </x:c>
    </x:row>
    <x:row r="3028" ht="23" customHeight="1">
      <x:c r="A3028" s="8" t="str">
        <x:v>Tea Lakes</x:v>
      </x:c>
      <x:c r="B3028" s="8" t="str">
        <x:v>5971</x:v>
      </x:c>
      <x:c r="C3028" s="17" t="n">
        <x:v>2022</x:v>
      </x:c>
      <x:c r="D3028" s="18" t="n">
        <x:v>44837</x:v>
      </x:c>
      <x:c r="E3028" s="8" t="str">
        <x:v>RAINBOW TROUT</x:v>
      </x:c>
      <x:c r="F3028" s="13" t="n">
        <x:v>6000</x:v>
      </x:c>
      <x:c r="G3028" s="9" t="n">
        <x:v>7.9</x:v>
      </x:c>
      <x:c r="H3028" s="9" t="n">
        <x:v>5.4</x:v>
      </x:c>
      <x:c r="I3028" s="8" t="str">
        <x:f>B3028&amp;" / "&amp;C3028&amp;" / "&amp;E3028</x:f>
        <x:v>5971 / 2022 / RAINBOW TROUT</x:v>
      </x:c>
    </x:row>
    <x:row r="3029" ht="23" customHeight="1">
      <x:c r="A3029" s="8" t="str">
        <x:v>Tees Fish Pond</x:v>
      </x:c>
      <x:c r="B3029" s="8" t="str">
        <x:v>6718</x:v>
      </x:c>
      <x:c r="C3029" s="17" t="n">
        <x:v>2026</x:v>
      </x:c>
      <x:c r="D3029" s="18" t="n">
        <x:v>46141</x:v>
      </x:c>
      <x:c r="E3029" s="8" t="str">
        <x:v>RAINBOW TROUT</x:v>
      </x:c>
      <x:c r="F3029" s="13" t="n">
        <x:v>400</x:v>
      </x:c>
      <x:c r="G3029" s="9" t="n">
        <x:v>20.1</x:v>
      </x:c>
      <x:c r="H3029" s="9" t="n">
        <x:v>92.6</x:v>
      </x:c>
      <x:c r="I3029" s="8" t="str">
        <x:f>B3029&amp;" / "&amp;C3029&amp;" / "&amp;E3029</x:f>
        <x:v>6718 / 2026 / RAINBOW TROUT</x:v>
      </x:c>
    </x:row>
    <x:row r="3030" ht="23" customHeight="1">
      <x:c r="A3030" s="8" t="str">
        <x:v>Tees Fish Pond</x:v>
      </x:c>
      <x:c r="B3030" s="8" t="str">
        <x:v>6718</x:v>
      </x:c>
      <x:c r="C3030" s="17" t="n">
        <x:v>2025</x:v>
      </x:c>
      <x:c r="D3030" s="18" t="n">
        <x:v>45782</x:v>
      </x:c>
      <x:c r="E3030" s="8" t="str">
        <x:v>RAINBOW TROUT</x:v>
      </x:c>
      <x:c r="F3030" s="13" t="n">
        <x:v>400</x:v>
      </x:c>
      <x:c r="G3030" s="9" t="n">
        <x:v>20.4</x:v>
      </x:c>
      <x:c r="H3030" s="9" t="n">
        <x:v>93.3</x:v>
      </x:c>
      <x:c r="I3030" s="8" t="str">
        <x:f>B3030&amp;" / "&amp;C3030&amp;" / "&amp;E3030</x:f>
        <x:v>6718 / 2025 / RAINBOW TROUT</x:v>
      </x:c>
    </x:row>
    <x:row r="3031" ht="23" customHeight="1">
      <x:c r="A3031" s="8" t="str">
        <x:v>Tees Fish Pond</x:v>
      </x:c>
      <x:c r="B3031" s="8" t="str">
        <x:v>6718</x:v>
      </x:c>
      <x:c r="C3031" s="17" t="n">
        <x:v>2024</x:v>
      </x:c>
      <x:c r="D3031" s="18" t="n">
        <x:v>45419</x:v>
      </x:c>
      <x:c r="E3031" s="8" t="str">
        <x:v>RAINBOW TROUT</x:v>
      </x:c>
      <x:c r="F3031" s="13" t="n">
        <x:v>400</x:v>
      </x:c>
      <x:c r="G3031" s="9" t="n">
        <x:v>20.4</x:v>
      </x:c>
      <x:c r="H3031" s="9" t="n">
        <x:v>91.8</x:v>
      </x:c>
      <x:c r="I3031" s="8" t="str">
        <x:f>B3031&amp;" / "&amp;C3031&amp;" / "&amp;E3031</x:f>
        <x:v>6718 / 2024 / RAINBOW TROUT</x:v>
      </x:c>
    </x:row>
    <x:row r="3032" ht="23" customHeight="1">
      <x:c r="A3032" s="8" t="str">
        <x:v>Tees Fish Pond</x:v>
      </x:c>
      <x:c r="B3032" s="8" t="str">
        <x:v>6718</x:v>
      </x:c>
      <x:c r="C3032" s="17" t="n">
        <x:v>2023</x:v>
      </x:c>
      <x:c r="D3032" s="18" t="n">
        <x:v>45055</x:v>
      </x:c>
      <x:c r="E3032" s="8" t="str">
        <x:v>RAINBOW TROUT</x:v>
      </x:c>
      <x:c r="F3032" s="13" t="n">
        <x:v>400</x:v>
      </x:c>
      <x:c r="G3032" s="9" t="n">
        <x:v>20.5</x:v>
      </x:c>
      <x:c r="H3032" s="9" t="n">
        <x:v>89.9</x:v>
      </x:c>
      <x:c r="I3032" s="8" t="str">
        <x:f>B3032&amp;" / "&amp;C3032&amp;" / "&amp;E3032</x:f>
        <x:v>6718 / 2023 / RAINBOW TROUT</x:v>
      </x:c>
    </x:row>
    <x:row r="3033" ht="23" customHeight="1">
      <x:c r="A3033" s="8" t="str">
        <x:v>Tees Fish Pond</x:v>
      </x:c>
      <x:c r="B3033" s="8" t="str">
        <x:v>6718</x:v>
      </x:c>
      <x:c r="C3033" s="17" t="n">
        <x:v>2022</x:v>
      </x:c>
      <x:c r="D3033" s="18" t="n">
        <x:v>44696</x:v>
      </x:c>
      <x:c r="E3033" s="8" t="str">
        <x:v>RAINBOW TROUT</x:v>
      </x:c>
      <x:c r="F3033" s="13" t="n">
        <x:v>450</x:v>
      </x:c>
      <x:c r="G3033" s="9" t="n">
        <x:v>20.7</x:v>
      </x:c>
      <x:c r="H3033" s="9" t="n">
        <x:v>97.3</x:v>
      </x:c>
      <x:c r="I3033" s="8" t="str">
        <x:f>B3033&amp;" / "&amp;C3033&amp;" / "&amp;E3033</x:f>
        <x:v>6718 / 2022 / RAINBOW TROUT</x:v>
      </x:c>
    </x:row>
    <x:row r="3034" ht="23" customHeight="1">
      <x:c r="A3034" s="8" t="str">
        <x:v>Tees Fish Pond</x:v>
      </x:c>
      <x:c r="B3034" s="8" t="str">
        <x:v>6718</x:v>
      </x:c>
      <x:c r="C3034" s="17" t="n">
        <x:v>2021</x:v>
      </x:c>
      <x:c r="D3034" s="18" t="n">
        <x:v>44308</x:v>
      </x:c>
      <x:c r="E3034" s="8" t="str">
        <x:v>RAINBOW TROUT</x:v>
      </x:c>
      <x:c r="F3034" s="13" t="n">
        <x:v>450</x:v>
      </x:c>
      <x:c r="G3034" s="9" t="n">
        <x:v>20.7</x:v>
      </x:c>
      <x:c r="H3034" s="9" t="n">
        <x:v>93.6</x:v>
      </x:c>
      <x:c r="I3034" s="8" t="str">
        <x:f>B3034&amp;" / "&amp;C3034&amp;" / "&amp;E3034</x:f>
        <x:v>6718 / 2021 / RAINBOW TROUT</x:v>
      </x:c>
    </x:row>
    <x:row r="3035" ht="23" customHeight="1">
      <x:c r="A3035" s="8" t="str">
        <x:v>Telegraph Park Pond</x:v>
      </x:c>
      <x:c r="B3035" s="8" t="str">
        <x:v>6674</x:v>
      </x:c>
      <x:c r="C3035" s="17" t="n">
        <x:v>2026</x:v>
      </x:c>
      <x:c r="D3035" s="18" t="n">
        <x:v>46143</x:v>
      </x:c>
      <x:c r="E3035" s="8" t="str">
        <x:v>BROOK TROUT</x:v>
      </x:c>
      <x:c r="F3035" s="13" t="n">
        <x:v>1200</x:v>
      </x:c>
      <x:c r="G3035" s="9" t="n">
        <x:v>18.7</x:v>
      </x:c>
      <x:c r="H3035" s="9" t="n">
        <x:v>71</x:v>
      </x:c>
      <x:c r="I3035" s="8" t="str">
        <x:f>B3035&amp;" / "&amp;C3035&amp;" / "&amp;E3035</x:f>
        <x:v>6674 / 2026 / BROOK TROUT</x:v>
      </x:c>
    </x:row>
    <x:row r="3036" ht="23" customHeight="1">
      <x:c r="A3036" s="8" t="str">
        <x:v>Telegraph Park Pond</x:v>
      </x:c>
      <x:c r="B3036" s="8" t="str">
        <x:v>6674</x:v>
      </x:c>
      <x:c r="C3036" s="17" t="n">
        <x:v>2026</x:v>
      </x:c>
      <x:c r="D3036" s="18" t="n">
        <x:v>46143</x:v>
      </x:c>
      <x:c r="E3036" s="8" t="str">
        <x:v>BROWN TROUT</x:v>
      </x:c>
      <x:c r="F3036" s="13" t="n">
        <x:v>193</x:v>
      </x:c>
      <x:c r="G3036" s="9" t="n">
        <x:v>18</x:v>
      </x:c>
      <x:c r="H3036" s="9" t="n">
        <x:v>63.3</x:v>
      </x:c>
      <x:c r="I3036" s="8" t="str">
        <x:f>B3036&amp;" / "&amp;C3036&amp;" / "&amp;E3036</x:f>
        <x:v>6674 / 2026 / BROWN TROUT</x:v>
      </x:c>
    </x:row>
    <x:row r="3037" ht="23" customHeight="1">
      <x:c r="A3037" s="8" t="str">
        <x:v>Telegraph Park Pond</x:v>
      </x:c>
      <x:c r="B3037" s="8" t="str">
        <x:v>6674</x:v>
      </x:c>
      <x:c r="C3037" s="17" t="n">
        <x:v>2026</x:v>
      </x:c>
      <x:c r="D3037" s="18" t="n">
        <x:v>46181</x:v>
      </x:c>
      <x:c r="E3037" s="8" t="str">
        <x:v>RAINBOW TROUT</x:v>
      </x:c>
      <x:c r="F3037" s="13" t="n">
        <x:v>700</x:v>
      </x:c>
      <x:c r="G3037" s="9" t="n">
        <x:v>20.4</x:v>
      </x:c>
      <x:c r="H3037" s="9" t="n">
        <x:v>93.4</x:v>
      </x:c>
      <x:c r="I3037" s="8" t="str">
        <x:f>B3037&amp;" / "&amp;C3037&amp;" / "&amp;E3037</x:f>
        <x:v>6674 / 2026 / RAINBOW TROUT</x:v>
      </x:c>
    </x:row>
    <x:row r="3038" ht="23" customHeight="1">
      <x:c r="A3038" s="8" t="str">
        <x:v>Telegraph Park Pond</x:v>
      </x:c>
      <x:c r="B3038" s="8" t="str">
        <x:v>6674</x:v>
      </x:c>
      <x:c r="C3038" s="17" t="n">
        <x:v>2026</x:v>
      </x:c>
      <x:c r="D3038" s="18" t="n">
        <x:v>46155</x:v>
      </x:c>
      <x:c r="E3038" s="8" t="str">
        <x:v>RAINBOW TROUT</x:v>
      </x:c>
      <x:c r="F3038" s="13" t="n">
        <x:v>900</x:v>
      </x:c>
      <x:c r="G3038" s="9" t="n">
        <x:v>20.7</x:v>
      </x:c>
      <x:c r="H3038" s="9" t="n">
        <x:v>93.9</x:v>
      </x:c>
      <x:c r="I3038" s="8" t="str">
        <x:f>B3038&amp;" / "&amp;C3038&amp;" / "&amp;E3038</x:f>
        <x:v>6674 / 2026 / RAINBOW TROUT</x:v>
      </x:c>
    </x:row>
    <x:row r="3039" ht="23" customHeight="1">
      <x:c r="A3039" s="8" t="str">
        <x:v>Telegraph Park Pond</x:v>
      </x:c>
      <x:c r="B3039" s="8" t="str">
        <x:v>6674</x:v>
      </x:c>
      <x:c r="C3039" s="17" t="n">
        <x:v>2026</x:v>
      </x:c>
      <x:c r="D3039" s="18" t="n">
        <x:v>46143</x:v>
      </x:c>
      <x:c r="E3039" s="8" t="str">
        <x:v>RAINBOW TROUT</x:v>
      </x:c>
      <x:c r="F3039" s="13" t="n">
        <x:v>200</x:v>
      </x:c>
      <x:c r="G3039" s="9" t="n">
        <x:v>23</x:v>
      </x:c>
      <x:c r="H3039" s="9" t="n">
        <x:v>131.4</x:v>
      </x:c>
      <x:c r="I3039" s="8" t="str">
        <x:f>B3039&amp;" / "&amp;C3039&amp;" / "&amp;E3039</x:f>
        <x:v>6674 / 2026 / RAINBOW TROUT</x:v>
      </x:c>
    </x:row>
    <x:row r="3040" ht="23" customHeight="1">
      <x:c r="A3040" s="8" t="str">
        <x:v>Telegraph Park Pond</x:v>
      </x:c>
      <x:c r="B3040" s="8" t="str">
        <x:v>6674</x:v>
      </x:c>
      <x:c r="C3040" s="17" t="n">
        <x:v>2025</x:v>
      </x:c>
      <x:c r="D3040" s="18" t="n">
        <x:v>45769</x:v>
      </x:c>
      <x:c r="E3040" s="8" t="str">
        <x:v>BROOK TROUT</x:v>
      </x:c>
      <x:c r="F3040" s="13" t="n">
        <x:v>1200</x:v>
      </x:c>
      <x:c r="G3040" s="9" t="n">
        <x:v>20.2</x:v>
      </x:c>
      <x:c r="H3040" s="9" t="n">
        <x:v>89.2</x:v>
      </x:c>
      <x:c r="I3040" s="8" t="str">
        <x:f>B3040&amp;" / "&amp;C3040&amp;" / "&amp;E3040</x:f>
        <x:v>6674 / 2025 / BROOK TROUT</x:v>
      </x:c>
    </x:row>
    <x:row r="3041" ht="23" customHeight="1">
      <x:c r="A3041" s="8" t="str">
        <x:v>Telegraph Park Pond</x:v>
      </x:c>
      <x:c r="B3041" s="8" t="str">
        <x:v>6674</x:v>
      </x:c>
      <x:c r="C3041" s="17" t="n">
        <x:v>2025</x:v>
      </x:c>
      <x:c r="D3041" s="18" t="n">
        <x:v>45769</x:v>
      </x:c>
      <x:c r="E3041" s="8" t="str">
        <x:v>BROWN TROUT</x:v>
      </x:c>
      <x:c r="F3041" s="13" t="n">
        <x:v>193</x:v>
      </x:c>
      <x:c r="G3041" s="9" t="n">
        <x:v>18.8</x:v>
      </x:c>
      <x:c r="H3041" s="9" t="n">
        <x:v>71.5</x:v>
      </x:c>
      <x:c r="I3041" s="8" t="str">
        <x:f>B3041&amp;" / "&amp;C3041&amp;" / "&amp;E3041</x:f>
        <x:v>6674 / 2025 / BROWN TROUT</x:v>
      </x:c>
    </x:row>
    <x:row r="3042" ht="23" customHeight="1">
      <x:c r="A3042" s="8" t="str">
        <x:v>Telegraph Park Pond</x:v>
      </x:c>
      <x:c r="B3042" s="8" t="str">
        <x:v>6674</x:v>
      </x:c>
      <x:c r="C3042" s="17" t="n">
        <x:v>2025</x:v>
      </x:c>
      <x:c r="D3042" s="18" t="n">
        <x:v>45939</x:v>
      </x:c>
      <x:c r="E3042" s="8" t="str">
        <x:v>RAINBOW TROUT</x:v>
      </x:c>
      <x:c r="F3042" s="13" t="n">
        <x:v>577</x:v>
      </x:c>
      <x:c r="G3042" s="9" t="n">
        <x:v>23.9</x:v>
      </x:c>
      <x:c r="H3042" s="9" t="n">
        <x:v>145.7</x:v>
      </x:c>
      <x:c r="I3042" s="8" t="str">
        <x:f>B3042&amp;" / "&amp;C3042&amp;" / "&amp;E3042</x:f>
        <x:v>6674 / 2025 / RAINBOW TROUT</x:v>
      </x:c>
    </x:row>
    <x:row r="3043" ht="23" customHeight="1">
      <x:c r="A3043" s="8" t="str">
        <x:v>Telegraph Park Pond</x:v>
      </x:c>
      <x:c r="B3043" s="8" t="str">
        <x:v>6674</x:v>
      </x:c>
      <x:c r="C3043" s="17" t="n">
        <x:v>2025</x:v>
      </x:c>
      <x:c r="D3043" s="18" t="n">
        <x:v>45931</x:v>
      </x:c>
      <x:c r="E3043" s="8" t="str">
        <x:v>RAINBOW TROUT</x:v>
      </x:c>
      <x:c r="F3043" s="13" t="n">
        <x:v>1000</x:v>
      </x:c>
      <x:c r="G3043" s="9" t="n">
        <x:v>20.4</x:v>
      </x:c>
      <x:c r="H3043" s="9" t="n">
        <x:v>91.3</x:v>
      </x:c>
      <x:c r="I3043" s="8" t="str">
        <x:f>B3043&amp;" / "&amp;C3043&amp;" / "&amp;E3043</x:f>
        <x:v>6674 / 2025 / RAINBOW TROUT</x:v>
      </x:c>
    </x:row>
    <x:row r="3044" ht="23" customHeight="1">
      <x:c r="A3044" s="8" t="str">
        <x:v>Telegraph Park Pond</x:v>
      </x:c>
      <x:c r="B3044" s="8" t="str">
        <x:v>6674</x:v>
      </x:c>
      <x:c r="C3044" s="17" t="n">
        <x:v>2025</x:v>
      </x:c>
      <x:c r="D3044" s="18" t="n">
        <x:v>45931</x:v>
      </x:c>
      <x:c r="E3044" s="8" t="str">
        <x:v>RAINBOW TROUT</x:v>
      </x:c>
      <x:c r="F3044" s="13" t="n">
        <x:v>1000</x:v>
      </x:c>
      <x:c r="G3044" s="9" t="n">
        <x:v>29.1</x:v>
      </x:c>
      <x:c r="H3044" s="9" t="n">
        <x:v>265.7</x:v>
      </x:c>
      <x:c r="I3044" s="8" t="str">
        <x:f>B3044&amp;" / "&amp;C3044&amp;" / "&amp;E3044</x:f>
        <x:v>6674 / 2025 / RAINBOW TROUT</x:v>
      </x:c>
    </x:row>
    <x:row r="3045" ht="23" customHeight="1">
      <x:c r="A3045" s="8" t="str">
        <x:v>Telegraph Park Pond</x:v>
      </x:c>
      <x:c r="B3045" s="8" t="str">
        <x:v>6674</x:v>
      </x:c>
      <x:c r="C3045" s="17" t="n">
        <x:v>2025</x:v>
      </x:c>
      <x:c r="D3045" s="18" t="n">
        <x:v>45769</x:v>
      </x:c>
      <x:c r="E3045" s="8" t="str">
        <x:v>RAINBOW TROUT</x:v>
      </x:c>
      <x:c r="F3045" s="13" t="n">
        <x:v>1100</x:v>
      </x:c>
      <x:c r="G3045" s="9" t="n">
        <x:v>20.3</x:v>
      </x:c>
      <x:c r="H3045" s="9" t="n">
        <x:v>90.9</x:v>
      </x:c>
      <x:c r="I3045" s="8" t="str">
        <x:f>B3045&amp;" / "&amp;C3045&amp;" / "&amp;E3045</x:f>
        <x:v>6674 / 2025 / RAINBOW TROUT</x:v>
      </x:c>
    </x:row>
    <x:row r="3046" ht="23" customHeight="1">
      <x:c r="A3046" s="8" t="str">
        <x:v>Telegraph Park Pond</x:v>
      </x:c>
      <x:c r="B3046" s="8" t="str">
        <x:v>6674</x:v>
      </x:c>
      <x:c r="C3046" s="17" t="n">
        <x:v>2024</x:v>
      </x:c>
      <x:c r="D3046" s="18" t="n">
        <x:v>45427</x:v>
      </x:c>
      <x:c r="E3046" s="8" t="str">
        <x:v>BROOK TROUT</x:v>
      </x:c>
      <x:c r="F3046" s="13" t="n">
        <x:v>450</x:v>
      </x:c>
      <x:c r="G3046" s="9" t="n">
        <x:v>21.7</x:v>
      </x:c>
      <x:c r="H3046" s="9" t="n">
        <x:v>70.1</x:v>
      </x:c>
      <x:c r="I3046" s="8" t="str">
        <x:f>B3046&amp;" / "&amp;C3046&amp;" / "&amp;E3046</x:f>
        <x:v>6674 / 2024 / BROOK TROUT</x:v>
      </x:c>
    </x:row>
    <x:row r="3047" ht="23" customHeight="1">
      <x:c r="A3047" s="8" t="str">
        <x:v>Telegraph Park Pond</x:v>
      </x:c>
      <x:c r="B3047" s="8" t="str">
        <x:v>6674</x:v>
      </x:c>
      <x:c r="C3047" s="17" t="n">
        <x:v>2024</x:v>
      </x:c>
      <x:c r="D3047" s="18" t="n">
        <x:v>45407</x:v>
      </x:c>
      <x:c r="E3047" s="8" t="str">
        <x:v>BROOK TROUT</x:v>
      </x:c>
      <x:c r="F3047" s="13" t="n">
        <x:v>750</x:v>
      </x:c>
      <x:c r="G3047" s="9" t="n">
        <x:v>18.8</x:v>
      </x:c>
      <x:c r="H3047" s="9" t="n">
        <x:v>72.1</x:v>
      </x:c>
      <x:c r="I3047" s="8" t="str">
        <x:f>B3047&amp;" / "&amp;C3047&amp;" / "&amp;E3047</x:f>
        <x:v>6674 / 2024 / BROOK TROUT</x:v>
      </x:c>
    </x:row>
    <x:row r="3048" ht="23" customHeight="1">
      <x:c r="A3048" s="8" t="str">
        <x:v>Telegraph Park Pond</x:v>
      </x:c>
      <x:c r="B3048" s="8" t="str">
        <x:v>6674</x:v>
      </x:c>
      <x:c r="C3048" s="17" t="n">
        <x:v>2024</x:v>
      </x:c>
      <x:c r="D3048" s="18" t="n">
        <x:v>45407</x:v>
      </x:c>
      <x:c r="E3048" s="8" t="str">
        <x:v>BROWN TROUT</x:v>
      </x:c>
      <x:c r="F3048" s="13" t="n">
        <x:v>283</x:v>
      </x:c>
      <x:c r="G3048" s="9" t="n">
        <x:v>19.7</x:v>
      </x:c>
      <x:c r="H3048" s="9" t="n">
        <x:v>83</x:v>
      </x:c>
      <x:c r="I3048" s="8" t="str">
        <x:f>B3048&amp;" / "&amp;C3048&amp;" / "&amp;E3048</x:f>
        <x:v>6674 / 2024 / BROWN TROUT</x:v>
      </x:c>
    </x:row>
    <x:row r="3049" ht="23" customHeight="1">
      <x:c r="A3049" s="8" t="str">
        <x:v>Telegraph Park Pond</x:v>
      </x:c>
      <x:c r="B3049" s="8" t="str">
        <x:v>6674</x:v>
      </x:c>
      <x:c r="C3049" s="17" t="n">
        <x:v>2024</x:v>
      </x:c>
      <x:c r="D3049" s="18" t="n">
        <x:v>45569</x:v>
      </x:c>
      <x:c r="E3049" s="8" t="str">
        <x:v>RAINBOW TROUT</x:v>
      </x:c>
      <x:c r="F3049" s="13" t="n">
        <x:v>500</x:v>
      </x:c>
      <x:c r="G3049" s="9" t="n">
        <x:v>21.1</x:v>
      </x:c>
      <x:c r="H3049" s="9" t="n">
        <x:v>93.4</x:v>
      </x:c>
      <x:c r="I3049" s="8" t="str">
        <x:f>B3049&amp;" / "&amp;C3049&amp;" / "&amp;E3049</x:f>
        <x:v>6674 / 2024 / RAINBOW TROUT</x:v>
      </x:c>
    </x:row>
    <x:row r="3050" ht="23" customHeight="1">
      <x:c r="A3050" s="8" t="str">
        <x:v>Telegraph Park Pond</x:v>
      </x:c>
      <x:c r="B3050" s="8" t="str">
        <x:v>6674</x:v>
      </x:c>
      <x:c r="C3050" s="17" t="n">
        <x:v>2024</x:v>
      </x:c>
      <x:c r="D3050" s="18" t="n">
        <x:v>45554</x:v>
      </x:c>
      <x:c r="E3050" s="8" t="str">
        <x:v>RAINBOW TROUT</x:v>
      </x:c>
      <x:c r="F3050" s="13" t="n">
        <x:v>1000</x:v>
      </x:c>
      <x:c r="G3050" s="9" t="n">
        <x:v>21.9</x:v>
      </x:c>
      <x:c r="H3050" s="9" t="n">
        <x:v>115.7</x:v>
      </x:c>
      <x:c r="I3050" s="8" t="str">
        <x:f>B3050&amp;" / "&amp;C3050&amp;" / "&amp;E3050</x:f>
        <x:v>6674 / 2024 / RAINBOW TROUT</x:v>
      </x:c>
    </x:row>
    <x:row r="3051" ht="23" customHeight="1">
      <x:c r="A3051" s="8" t="str">
        <x:v>Telegraph Park Pond</x:v>
      </x:c>
      <x:c r="B3051" s="8" t="str">
        <x:v>6674</x:v>
      </x:c>
      <x:c r="C3051" s="17" t="n">
        <x:v>2024</x:v>
      </x:c>
      <x:c r="D3051" s="18" t="n">
        <x:v>45455</x:v>
      </x:c>
      <x:c r="E3051" s="8" t="str">
        <x:v>RAINBOW TROUT</x:v>
      </x:c>
      <x:c r="F3051" s="13" t="n">
        <x:v>500</x:v>
      </x:c>
      <x:c r="G3051" s="9" t="n">
        <x:v>20.4</x:v>
      </x:c>
      <x:c r="H3051" s="9" t="n">
        <x:v>87</x:v>
      </x:c>
      <x:c r="I3051" s="8" t="str">
        <x:f>B3051&amp;" / "&amp;C3051&amp;" / "&amp;E3051</x:f>
        <x:v>6674 / 2024 / RAINBOW TROUT</x:v>
      </x:c>
    </x:row>
    <x:row r="3052" ht="23" customHeight="1">
      <x:c r="A3052" s="8" t="str">
        <x:v>Telegraph Park Pond</x:v>
      </x:c>
      <x:c r="B3052" s="8" t="str">
        <x:v>6674</x:v>
      </x:c>
      <x:c r="C3052" s="17" t="n">
        <x:v>2024</x:v>
      </x:c>
      <x:c r="D3052" s="18" t="n">
        <x:v>45437</x:v>
      </x:c>
      <x:c r="E3052" s="8" t="str">
        <x:v>RAINBOW TROUT</x:v>
      </x:c>
      <x:c r="F3052" s="13" t="n">
        <x:v>300</x:v>
      </x:c>
      <x:c r="G3052" s="9" t="n">
        <x:v>20.7</x:v>
      </x:c>
      <x:c r="H3052" s="9" t="n">
        <x:v>96</x:v>
      </x:c>
      <x:c r="I3052" s="8" t="str">
        <x:f>B3052&amp;" / "&amp;C3052&amp;" / "&amp;E3052</x:f>
        <x:v>6674 / 2024 / RAINBOW TROUT</x:v>
      </x:c>
    </x:row>
    <x:row r="3053" ht="23" customHeight="1">
      <x:c r="A3053" s="8" t="str">
        <x:v>Telegraph Park Pond</x:v>
      </x:c>
      <x:c r="B3053" s="8" t="str">
        <x:v>6674</x:v>
      </x:c>
      <x:c r="C3053" s="17" t="n">
        <x:v>2024</x:v>
      </x:c>
      <x:c r="D3053" s="18" t="n">
        <x:v>45407</x:v>
      </x:c>
      <x:c r="E3053" s="8" t="str">
        <x:v>RAINBOW TROUT</x:v>
      </x:c>
      <x:c r="F3053" s="13" t="n">
        <x:v>605</x:v>
      </x:c>
      <x:c r="G3053" s="9" t="n">
        <x:v>20.9</x:v>
      </x:c>
      <x:c r="H3053" s="9" t="n">
        <x:v>97.9</x:v>
      </x:c>
      <x:c r="I3053" s="8" t="str">
        <x:f>B3053&amp;" / "&amp;C3053&amp;" / "&amp;E3053</x:f>
        <x:v>6674 / 2024 / RAINBOW TROUT</x:v>
      </x:c>
    </x:row>
    <x:row r="3054" ht="23" customHeight="1">
      <x:c r="A3054" s="8" t="str">
        <x:v>Telegraph Park Pond</x:v>
      </x:c>
      <x:c r="B3054" s="8" t="str">
        <x:v>6674</x:v>
      </x:c>
      <x:c r="C3054" s="17" t="n">
        <x:v>2024</x:v>
      </x:c>
      <x:c r="D3054" s="18" t="n">
        <x:v>45407</x:v>
      </x:c>
      <x:c r="E3054" s="8" t="str">
        <x:v>TIGER TROUT</x:v>
      </x:c>
      <x:c r="F3054" s="13" t="n">
        <x:v>200</x:v>
      </x:c>
      <x:c r="G3054" s="9" t="n">
        <x:v>19.5</x:v>
      </x:c>
      <x:c r="H3054" s="9" t="n">
        <x:v>79.5</x:v>
      </x:c>
      <x:c r="I3054" s="8" t="str">
        <x:f>B3054&amp;" / "&amp;C3054&amp;" / "&amp;E3054</x:f>
        <x:v>6674 / 2024 / TIGER TROUT</x:v>
      </x:c>
    </x:row>
    <x:row r="3055" ht="23" customHeight="1">
      <x:c r="A3055" s="8" t="str">
        <x:v>Telegraph Park Pond</x:v>
      </x:c>
      <x:c r="B3055" s="8" t="str">
        <x:v>6674</x:v>
      </x:c>
      <x:c r="C3055" s="17" t="n">
        <x:v>2023</x:v>
      </x:c>
      <x:c r="D3055" s="18" t="n">
        <x:v>45053</x:v>
      </x:c>
      <x:c r="E3055" s="8" t="str">
        <x:v>BROOK TROUT</x:v>
      </x:c>
      <x:c r="F3055" s="13" t="n">
        <x:v>1200</x:v>
      </x:c>
      <x:c r="G3055" s="9" t="n">
        <x:v>20.7</x:v>
      </x:c>
      <x:c r="H3055" s="9" t="n">
        <x:v>90.3</x:v>
      </x:c>
      <x:c r="I3055" s="8" t="str">
        <x:f>B3055&amp;" / "&amp;C3055&amp;" / "&amp;E3055</x:f>
        <x:v>6674 / 2023 / BROOK TROUT</x:v>
      </x:c>
    </x:row>
    <x:row r="3056" ht="23" customHeight="1">
      <x:c r="A3056" s="8" t="str">
        <x:v>Telegraph Park Pond</x:v>
      </x:c>
      <x:c r="B3056" s="8" t="str">
        <x:v>6674</x:v>
      </x:c>
      <x:c r="C3056" s="17" t="n">
        <x:v>2023</x:v>
      </x:c>
      <x:c r="D3056" s="18" t="n">
        <x:v>45043</x:v>
      </x:c>
      <x:c r="E3056" s="8" t="str">
        <x:v>BROWN TROUT</x:v>
      </x:c>
      <x:c r="F3056" s="13" t="n">
        <x:v>193</x:v>
      </x:c>
      <x:c r="G3056" s="9" t="n">
        <x:v>18.3</x:v>
      </x:c>
      <x:c r="H3056" s="9" t="n">
        <x:v>68.4</x:v>
      </x:c>
      <x:c r="I3056" s="8" t="str">
        <x:f>B3056&amp;" / "&amp;C3056&amp;" / "&amp;E3056</x:f>
        <x:v>6674 / 2023 / BROWN TROUT</x:v>
      </x:c>
    </x:row>
    <x:row r="3057" ht="23" customHeight="1">
      <x:c r="A3057" s="8" t="str">
        <x:v>Telegraph Park Pond</x:v>
      </x:c>
      <x:c r="B3057" s="8" t="str">
        <x:v>6674</x:v>
      </x:c>
      <x:c r="C3057" s="17" t="n">
        <x:v>2023</x:v>
      </x:c>
      <x:c r="D3057" s="18" t="n">
        <x:v>45189</x:v>
      </x:c>
      <x:c r="E3057" s="8" t="str">
        <x:v>RAINBOW TROUT</x:v>
      </x:c>
      <x:c r="F3057" s="13" t="n">
        <x:v>506</x:v>
      </x:c>
      <x:c r="G3057" s="9" t="n">
        <x:v>20.9</x:v>
      </x:c>
      <x:c r="H3057" s="9" t="n">
        <x:v>93.8</x:v>
      </x:c>
      <x:c r="I3057" s="8" t="str">
        <x:f>B3057&amp;" / "&amp;C3057&amp;" / "&amp;E3057</x:f>
        <x:v>6674 / 2023 / RAINBOW TROUT</x:v>
      </x:c>
    </x:row>
    <x:row r="3058" ht="23" customHeight="1">
      <x:c r="A3058" s="8" t="str">
        <x:v>Telegraph Park Pond</x:v>
      </x:c>
      <x:c r="B3058" s="8" t="str">
        <x:v>6674</x:v>
      </x:c>
      <x:c r="C3058" s="17" t="n">
        <x:v>2023</x:v>
      </x:c>
      <x:c r="D3058" s="18" t="n">
        <x:v>45043</x:v>
      </x:c>
      <x:c r="E3058" s="8" t="str">
        <x:v>RAINBOW TROUT</x:v>
      </x:c>
      <x:c r="F3058" s="13" t="n">
        <x:v>1100</x:v>
      </x:c>
      <x:c r="G3058" s="9" t="n">
        <x:v>20.6</x:v>
      </x:c>
      <x:c r="H3058" s="9" t="n">
        <x:v>96.9</x:v>
      </x:c>
      <x:c r="I3058" s="8" t="str">
        <x:f>B3058&amp;" / "&amp;C3058&amp;" / "&amp;E3058</x:f>
        <x:v>6674 / 2023 / RAINBOW TROUT</x:v>
      </x:c>
    </x:row>
    <x:row r="3059" ht="23" customHeight="1">
      <x:c r="A3059" s="8" t="str">
        <x:v>Telegraph Park Pond</x:v>
      </x:c>
      <x:c r="B3059" s="8" t="str">
        <x:v>6674</x:v>
      </x:c>
      <x:c r="C3059" s="17" t="n">
        <x:v>2022</x:v>
      </x:c>
      <x:c r="D3059" s="18" t="n">
        <x:v>44684</x:v>
      </x:c>
      <x:c r="E3059" s="8" t="str">
        <x:v>BROOK TROUT</x:v>
      </x:c>
      <x:c r="F3059" s="13" t="n">
        <x:v>1200</x:v>
      </x:c>
      <x:c r="G3059" s="9" t="n">
        <x:v>20.2</x:v>
      </x:c>
      <x:c r="H3059" s="9" t="n">
        <x:v>91.2</x:v>
      </x:c>
      <x:c r="I3059" s="8" t="str">
        <x:f>B3059&amp;" / "&amp;C3059&amp;" / "&amp;E3059</x:f>
        <x:v>6674 / 2022 / BROOK TROUT</x:v>
      </x:c>
    </x:row>
    <x:row r="3060" ht="23" customHeight="1">
      <x:c r="A3060" s="8" t="str">
        <x:v>Telegraph Park Pond</x:v>
      </x:c>
      <x:c r="B3060" s="8" t="str">
        <x:v>6674</x:v>
      </x:c>
      <x:c r="C3060" s="17" t="n">
        <x:v>2022</x:v>
      </x:c>
      <x:c r="D3060" s="18" t="n">
        <x:v>44684</x:v>
      </x:c>
      <x:c r="E3060" s="8" t="str">
        <x:v>BROWN TROUT</x:v>
      </x:c>
      <x:c r="F3060" s="13" t="n">
        <x:v>193</x:v>
      </x:c>
      <x:c r="G3060" s="9" t="n">
        <x:v>18.7</x:v>
      </x:c>
      <x:c r="H3060" s="9" t="n">
        <x:v>72.7</x:v>
      </x:c>
      <x:c r="I3060" s="8" t="str">
        <x:f>B3060&amp;" / "&amp;C3060&amp;" / "&amp;E3060</x:f>
        <x:v>6674 / 2022 / BROWN TROUT</x:v>
      </x:c>
    </x:row>
    <x:row r="3061" ht="23" customHeight="1">
      <x:c r="A3061" s="8" t="str">
        <x:v>Telegraph Park Pond</x:v>
      </x:c>
      <x:c r="B3061" s="8" t="str">
        <x:v>6674</x:v>
      </x:c>
      <x:c r="C3061" s="17" t="n">
        <x:v>2022</x:v>
      </x:c>
      <x:c r="D3061" s="18" t="n">
        <x:v>44829</x:v>
      </x:c>
      <x:c r="E3061" s="8" t="str">
        <x:v>RAINBOW TROUT</x:v>
      </x:c>
      <x:c r="F3061" s="13" t="n">
        <x:v>1000</x:v>
      </x:c>
      <x:c r="G3061" s="9" t="n">
        <x:v>27.4</x:v>
      </x:c>
      <x:c r="H3061" s="9" t="n">
        <x:v>224.2</x:v>
      </x:c>
      <x:c r="I3061" s="8" t="str">
        <x:f>B3061&amp;" / "&amp;C3061&amp;" / "&amp;E3061</x:f>
        <x:v>6674 / 2022 / RAINBOW TROUT</x:v>
      </x:c>
    </x:row>
    <x:row r="3062" ht="23" customHeight="1">
      <x:c r="A3062" s="8" t="str">
        <x:v>Telegraph Park Pond</x:v>
      </x:c>
      <x:c r="B3062" s="8" t="str">
        <x:v>6674</x:v>
      </x:c>
      <x:c r="C3062" s="17" t="n">
        <x:v>2022</x:v>
      </x:c>
      <x:c r="D3062" s="18" t="n">
        <x:v>44817</x:v>
      </x:c>
      <x:c r="E3062" s="8" t="str">
        <x:v>RAINBOW TROUT</x:v>
      </x:c>
      <x:c r="F3062" s="13" t="n">
        <x:v>1200</x:v>
      </x:c>
      <x:c r="G3062" s="9" t="n">
        <x:v>22.2</x:v>
      </x:c>
      <x:c r="H3062" s="9" t="n">
        <x:v>106.7</x:v>
      </x:c>
      <x:c r="I3062" s="8" t="str">
        <x:f>B3062&amp;" / "&amp;C3062&amp;" / "&amp;E3062</x:f>
        <x:v>6674 / 2022 / RAINBOW TROUT</x:v>
      </x:c>
    </x:row>
    <x:row r="3063" ht="23" customHeight="1">
      <x:c r="A3063" s="8" t="str">
        <x:v>Telegraph Park Pond</x:v>
      </x:c>
      <x:c r="B3063" s="8" t="str">
        <x:v>6674</x:v>
      </x:c>
      <x:c r="C3063" s="17" t="n">
        <x:v>2022</x:v>
      </x:c>
      <x:c r="D3063" s="18" t="n">
        <x:v>44684</x:v>
      </x:c>
      <x:c r="E3063" s="8" t="str">
        <x:v>RAINBOW TROUT</x:v>
      </x:c>
      <x:c r="F3063" s="13" t="n">
        <x:v>1100</x:v>
      </x:c>
      <x:c r="G3063" s="9" t="n">
        <x:v>20.5</x:v>
      </x:c>
      <x:c r="H3063" s="9" t="n">
        <x:v>95.7</x:v>
      </x:c>
      <x:c r="I3063" s="8" t="str">
        <x:f>B3063&amp;" / "&amp;C3063&amp;" / "&amp;E3063</x:f>
        <x:v>6674 / 2022 / RAINBOW TROUT</x:v>
      </x:c>
    </x:row>
    <x:row r="3064" ht="23" customHeight="1">
      <x:c r="A3064" s="8" t="str">
        <x:v>Telegraph Park Pond</x:v>
      </x:c>
      <x:c r="B3064" s="8" t="str">
        <x:v>6674</x:v>
      </x:c>
      <x:c r="C3064" s="17" t="n">
        <x:v>2021</x:v>
      </x:c>
      <x:c r="D3064" s="18" t="n">
        <x:v>44312</x:v>
      </x:c>
      <x:c r="E3064" s="8" t="str">
        <x:v>BROOK TROUT</x:v>
      </x:c>
      <x:c r="F3064" s="13" t="n">
        <x:v>1200</x:v>
      </x:c>
      <x:c r="G3064" s="9" t="n">
        <x:v>19.7</x:v>
      </x:c>
      <x:c r="H3064" s="9" t="n">
        <x:v>84.6</x:v>
      </x:c>
      <x:c r="I3064" s="8" t="str">
        <x:f>B3064&amp;" / "&amp;C3064&amp;" / "&amp;E3064</x:f>
        <x:v>6674 / 2021 / BROOK TROUT</x:v>
      </x:c>
    </x:row>
    <x:row r="3065" ht="23" customHeight="1">
      <x:c r="A3065" s="8" t="str">
        <x:v>Telegraph Park Pond</x:v>
      </x:c>
      <x:c r="B3065" s="8" t="str">
        <x:v>6674</x:v>
      </x:c>
      <x:c r="C3065" s="17" t="n">
        <x:v>2021</x:v>
      </x:c>
      <x:c r="D3065" s="18" t="n">
        <x:v>44312</x:v>
      </x:c>
      <x:c r="E3065" s="8" t="str">
        <x:v>BROWN TROUT</x:v>
      </x:c>
      <x:c r="F3065" s="13" t="n">
        <x:v>193</x:v>
      </x:c>
      <x:c r="G3065" s="9" t="n">
        <x:v>17</x:v>
      </x:c>
      <x:c r="H3065" s="9" t="n">
        <x:v>54</x:v>
      </x:c>
      <x:c r="I3065" s="8" t="str">
        <x:f>B3065&amp;" / "&amp;C3065&amp;" / "&amp;E3065</x:f>
        <x:v>6674 / 2021 / BROWN TROUT</x:v>
      </x:c>
    </x:row>
    <x:row r="3066" ht="23" customHeight="1">
      <x:c r="A3066" s="8" t="str">
        <x:v>Telegraph Park Pond</x:v>
      </x:c>
      <x:c r="B3066" s="8" t="str">
        <x:v>6674</x:v>
      </x:c>
      <x:c r="C3066" s="17" t="n">
        <x:v>2021</x:v>
      </x:c>
      <x:c r="D3066" s="18" t="n">
        <x:v>44447</x:v>
      </x:c>
      <x:c r="E3066" s="8" t="str">
        <x:v>RAINBOW TROUT</x:v>
      </x:c>
      <x:c r="F3066" s="13" t="n">
        <x:v>1200</x:v>
      </x:c>
      <x:c r="G3066" s="9" t="n">
        <x:v>21.8</x:v>
      </x:c>
      <x:c r="H3066" s="9" t="n">
        <x:v>101.1</x:v>
      </x:c>
      <x:c r="I3066" s="8" t="str">
        <x:f>B3066&amp;" / "&amp;C3066&amp;" / "&amp;E3066</x:f>
        <x:v>6674 / 2021 / RAINBOW TROUT</x:v>
      </x:c>
    </x:row>
    <x:row r="3067" ht="23" customHeight="1">
      <x:c r="A3067" s="8" t="str">
        <x:v>Telegraph Park Pond</x:v>
      </x:c>
      <x:c r="B3067" s="8" t="str">
        <x:v>6674</x:v>
      </x:c>
      <x:c r="C3067" s="17" t="n">
        <x:v>2021</x:v>
      </x:c>
      <x:c r="D3067" s="18" t="n">
        <x:v>44312</x:v>
      </x:c>
      <x:c r="E3067" s="8" t="str">
        <x:v>RAINBOW TROUT</x:v>
      </x:c>
      <x:c r="F3067" s="13" t="n">
        <x:v>1000</x:v>
      </x:c>
      <x:c r="G3067" s="9" t="n">
        <x:v>20.6</x:v>
      </x:c>
      <x:c r="H3067" s="9" t="n">
        <x:v>97.3</x:v>
      </x:c>
      <x:c r="I3067" s="8" t="str">
        <x:f>B3067&amp;" / "&amp;C3067&amp;" / "&amp;E3067</x:f>
        <x:v>6674 / 2021 / RAINBOW TROUT</x:v>
      </x:c>
    </x:row>
    <x:row r="3068" ht="23" customHeight="1">
      <x:c r="A3068" s="8" t="str">
        <x:v>Texaco East Pond</x:v>
      </x:c>
      <x:c r="B3068" s="8" t="str">
        <x:v>6636</x:v>
      </x:c>
      <x:c r="C3068" s="17" t="n">
        <x:v>2026</x:v>
      </x:c>
      <x:c r="D3068" s="18" t="n">
        <x:v>46164</x:v>
      </x:c>
      <x:c r="E3068" s="8" t="str">
        <x:v>RAINBOW TROUT</x:v>
      </x:c>
      <x:c r="F3068" s="13" t="n">
        <x:v>2700</x:v>
      </x:c>
      <x:c r="G3068" s="9" t="n">
        <x:v>21.4</x:v>
      </x:c>
      <x:c r="H3068" s="9" t="n">
        <x:v>108.9</x:v>
      </x:c>
      <x:c r="I3068" s="8" t="str">
        <x:f>B3068&amp;" / "&amp;C3068&amp;" / "&amp;E3068</x:f>
        <x:v>6636 / 2026 / RAINBOW TROUT</x:v>
      </x:c>
    </x:row>
    <x:row r="3069" ht="23" customHeight="1">
      <x:c r="A3069" s="8" t="str">
        <x:v>Texaco East Pond</x:v>
      </x:c>
      <x:c r="B3069" s="8" t="str">
        <x:v>6636</x:v>
      </x:c>
      <x:c r="C3069" s="17" t="n">
        <x:v>2025</x:v>
      </x:c>
      <x:c r="D3069" s="18" t="n">
        <x:v>45784</x:v>
      </x:c>
      <x:c r="E3069" s="8" t="str">
        <x:v>RAINBOW TROUT</x:v>
      </x:c>
      <x:c r="F3069" s="13" t="n">
        <x:v>2700</x:v>
      </x:c>
      <x:c r="G3069" s="9" t="n">
        <x:v>21</x:v>
      </x:c>
      <x:c r="H3069" s="9" t="n">
        <x:v>102</x:v>
      </x:c>
      <x:c r="I3069" s="8" t="str">
        <x:f>B3069&amp;" / "&amp;C3069&amp;" / "&amp;E3069</x:f>
        <x:v>6636 / 2025 / RAINBOW TROUT</x:v>
      </x:c>
    </x:row>
    <x:row r="3070" ht="23" customHeight="1">
      <x:c r="A3070" s="8" t="str">
        <x:v>Texaco East Pond</x:v>
      </x:c>
      <x:c r="B3070" s="8" t="str">
        <x:v>6636</x:v>
      </x:c>
      <x:c r="C3070" s="17" t="n">
        <x:v>2024</x:v>
      </x:c>
      <x:c r="D3070" s="18" t="n">
        <x:v>45422</x:v>
      </x:c>
      <x:c r="E3070" s="8" t="str">
        <x:v>RAINBOW TROUT</x:v>
      </x:c>
      <x:c r="F3070" s="13" t="n">
        <x:v>1080</x:v>
      </x:c>
      <x:c r="G3070" s="9" t="n">
        <x:v>20.1</x:v>
      </x:c>
      <x:c r="H3070" s="9" t="n">
        <x:v>87.2</x:v>
      </x:c>
      <x:c r="I3070" s="8" t="str">
        <x:f>B3070&amp;" / "&amp;C3070&amp;" / "&amp;E3070</x:f>
        <x:v>6636 / 2024 / RAINBOW TROUT</x:v>
      </x:c>
    </x:row>
    <x:row r="3071" ht="23" customHeight="1">
      <x:c r="A3071" s="8" t="str">
        <x:v>Texaco East Pond</x:v>
      </x:c>
      <x:c r="B3071" s="8" t="str">
        <x:v>6636</x:v>
      </x:c>
      <x:c r="C3071" s="17" t="n">
        <x:v>2023</x:v>
      </x:c>
      <x:c r="D3071" s="18" t="n">
        <x:v>45053</x:v>
      </x:c>
      <x:c r="E3071" s="8" t="str">
        <x:v>RAINBOW TROUT</x:v>
      </x:c>
      <x:c r="F3071" s="13" t="n">
        <x:v>1077</x:v>
      </x:c>
      <x:c r="G3071" s="9" t="n">
        <x:v>19.7</x:v>
      </x:c>
      <x:c r="H3071" s="9" t="n">
        <x:v>84.5</x:v>
      </x:c>
      <x:c r="I3071" s="8" t="str">
        <x:f>B3071&amp;" / "&amp;C3071&amp;" / "&amp;E3071</x:f>
        <x:v>6636 / 2023 / RAINBOW TROUT</x:v>
      </x:c>
    </x:row>
    <x:row r="3072" ht="23" customHeight="1">
      <x:c r="A3072" s="8" t="str">
        <x:v>Texaco East Pond</x:v>
      </x:c>
      <x:c r="B3072" s="8" t="str">
        <x:v>6636</x:v>
      </x:c>
      <x:c r="C3072" s="17" t="n">
        <x:v>2022</x:v>
      </x:c>
      <x:c r="D3072" s="18" t="n">
        <x:v>44693</x:v>
      </x:c>
      <x:c r="E3072" s="8" t="str">
        <x:v>RAINBOW TROUT</x:v>
      </x:c>
      <x:c r="F3072" s="13" t="n">
        <x:v>2700</x:v>
      </x:c>
      <x:c r="G3072" s="9" t="n">
        <x:v>21.5</x:v>
      </x:c>
      <x:c r="H3072" s="9" t="n">
        <x:v>110.3</x:v>
      </x:c>
      <x:c r="I3072" s="8" t="str">
        <x:f>B3072&amp;" / "&amp;C3072&amp;" / "&amp;E3072</x:f>
        <x:v>6636 / 2022 / RAINBOW TROUT</x:v>
      </x:c>
    </x:row>
    <x:row r="3073" ht="23" customHeight="1">
      <x:c r="A3073" s="8" t="str">
        <x:v>Texaco East Pond</x:v>
      </x:c>
      <x:c r="B3073" s="8" t="str">
        <x:v>6636</x:v>
      </x:c>
      <x:c r="C3073" s="17" t="n">
        <x:v>2021</x:v>
      </x:c>
      <x:c r="D3073" s="18" t="n">
        <x:v>44325</x:v>
      </x:c>
      <x:c r="E3073" s="8" t="str">
        <x:v>RAINBOW TROUT</x:v>
      </x:c>
      <x:c r="F3073" s="13" t="n">
        <x:v>2700</x:v>
      </x:c>
      <x:c r="G3073" s="9" t="n">
        <x:v>18.4</x:v>
      </x:c>
      <x:c r="H3073" s="9" t="n">
        <x:v>68.6</x:v>
      </x:c>
      <x:c r="I3073" s="8" t="str">
        <x:f>B3073&amp;" / "&amp;C3073&amp;" / "&amp;E3073</x:f>
        <x:v>6636 / 2021 / RAINBOW TROUT</x:v>
      </x:c>
    </x:row>
    <x:row r="3074" ht="23" customHeight="1">
      <x:c r="A3074" s="8" t="str">
        <x:v>Texaco Pond</x:v>
      </x:c>
      <x:c r="B3074" s="8" t="str">
        <x:v>6637</x:v>
      </x:c>
      <x:c r="C3074" s="17" t="n">
        <x:v>2026</x:v>
      </x:c>
      <x:c r="D3074" s="18" t="n">
        <x:v>46164</x:v>
      </x:c>
      <x:c r="E3074" s="8" t="str">
        <x:v>RAINBOW TROUT</x:v>
      </x:c>
      <x:c r="F3074" s="13" t="n">
        <x:v>1500</x:v>
      </x:c>
      <x:c r="G3074" s="9" t="n">
        <x:v>21.1</x:v>
      </x:c>
      <x:c r="H3074" s="9" t="n">
        <x:v>104.5</x:v>
      </x:c>
      <x:c r="I3074" s="8" t="str">
        <x:f>B3074&amp;" / "&amp;C3074&amp;" / "&amp;E3074</x:f>
        <x:v>6637 / 2026 / RAINBOW TROUT</x:v>
      </x:c>
    </x:row>
    <x:row r="3075" ht="23" customHeight="1">
      <x:c r="A3075" s="8" t="str">
        <x:v>Texaco Pond</x:v>
      </x:c>
      <x:c r="B3075" s="8" t="str">
        <x:v>6637</x:v>
      </x:c>
      <x:c r="C3075" s="17" t="n">
        <x:v>2025</x:v>
      </x:c>
      <x:c r="D3075" s="18" t="n">
        <x:v>45784</x:v>
      </x:c>
      <x:c r="E3075" s="8" t="str">
        <x:v>RAINBOW TROUT</x:v>
      </x:c>
      <x:c r="F3075" s="13" t="n">
        <x:v>1500</x:v>
      </x:c>
      <x:c r="G3075" s="9" t="n">
        <x:v>21</x:v>
      </x:c>
      <x:c r="H3075" s="9" t="n">
        <x:v>102</x:v>
      </x:c>
      <x:c r="I3075" s="8" t="str">
        <x:f>B3075&amp;" / "&amp;C3075&amp;" / "&amp;E3075</x:f>
        <x:v>6637 / 2025 / RAINBOW TROUT</x:v>
      </x:c>
    </x:row>
    <x:row r="3076" ht="23" customHeight="1">
      <x:c r="A3076" s="8" t="str">
        <x:v>Texaco Pond</x:v>
      </x:c>
      <x:c r="B3076" s="8" t="str">
        <x:v>6637</x:v>
      </x:c>
      <x:c r="C3076" s="17" t="n">
        <x:v>2024</x:v>
      </x:c>
      <x:c r="D3076" s="18" t="n">
        <x:v>45422</x:v>
      </x:c>
      <x:c r="E3076" s="8" t="str">
        <x:v>RAINBOW TROUT</x:v>
      </x:c>
      <x:c r="F3076" s="13" t="n">
        <x:v>600</x:v>
      </x:c>
      <x:c r="G3076" s="9" t="n">
        <x:v>20.1</x:v>
      </x:c>
      <x:c r="H3076" s="9" t="n">
        <x:v>88.3</x:v>
      </x:c>
      <x:c r="I3076" s="8" t="str">
        <x:f>B3076&amp;" / "&amp;C3076&amp;" / "&amp;E3076</x:f>
        <x:v>6637 / 2024 / RAINBOW TROUT</x:v>
      </x:c>
    </x:row>
    <x:row r="3077" ht="23" customHeight="1">
      <x:c r="A3077" s="8" t="str">
        <x:v>Texaco Pond</x:v>
      </x:c>
      <x:c r="B3077" s="8" t="str">
        <x:v>6637</x:v>
      </x:c>
      <x:c r="C3077" s="17" t="n">
        <x:v>2023</x:v>
      </x:c>
      <x:c r="D3077" s="18" t="n">
        <x:v>45054</x:v>
      </x:c>
      <x:c r="E3077" s="8" t="str">
        <x:v>RAINBOW TROUT</x:v>
      </x:c>
      <x:c r="F3077" s="13" t="n">
        <x:v>599</x:v>
      </x:c>
      <x:c r="G3077" s="9" t="n">
        <x:v>20.5</x:v>
      </x:c>
      <x:c r="H3077" s="9" t="n">
        <x:v>94.8</x:v>
      </x:c>
      <x:c r="I3077" s="8" t="str">
        <x:f>B3077&amp;" / "&amp;C3077&amp;" / "&amp;E3077</x:f>
        <x:v>6637 / 2023 / RAINBOW TROUT</x:v>
      </x:c>
    </x:row>
    <x:row r="3078" ht="23" customHeight="1">
      <x:c r="A3078" s="8" t="str">
        <x:v>Texaco Pond</x:v>
      </x:c>
      <x:c r="B3078" s="8" t="str">
        <x:v>6637</x:v>
      </x:c>
      <x:c r="C3078" s="17" t="n">
        <x:v>2022</x:v>
      </x:c>
      <x:c r="D3078" s="18" t="n">
        <x:v>44693</x:v>
      </x:c>
      <x:c r="E3078" s="8" t="str">
        <x:v>RAINBOW TROUT</x:v>
      </x:c>
      <x:c r="F3078" s="13" t="n">
        <x:v>1500</x:v>
      </x:c>
      <x:c r="G3078" s="9" t="n">
        <x:v>21.5</x:v>
      </x:c>
      <x:c r="H3078" s="9" t="n">
        <x:v>110.3</x:v>
      </x:c>
      <x:c r="I3078" s="8" t="str">
        <x:f>B3078&amp;" / "&amp;C3078&amp;" / "&amp;E3078</x:f>
        <x:v>6637 / 2022 / RAINBOW TROUT</x:v>
      </x:c>
    </x:row>
    <x:row r="3079" ht="23" customHeight="1">
      <x:c r="A3079" s="8" t="str">
        <x:v>Texaco Pond</x:v>
      </x:c>
      <x:c r="B3079" s="8" t="str">
        <x:v>6637</x:v>
      </x:c>
      <x:c r="C3079" s="17" t="n">
        <x:v>2021</x:v>
      </x:c>
      <x:c r="D3079" s="18" t="n">
        <x:v>44325</x:v>
      </x:c>
      <x:c r="E3079" s="8" t="str">
        <x:v>RAINBOW TROUT</x:v>
      </x:c>
      <x:c r="F3079" s="13" t="n">
        <x:v>1500</x:v>
      </x:c>
      <x:c r="G3079" s="9" t="n">
        <x:v>19</x:v>
      </x:c>
      <x:c r="H3079" s="9" t="n">
        <x:v>75.4</x:v>
      </x:c>
      <x:c r="I3079" s="8" t="str">
        <x:f>B3079&amp;" / "&amp;C3079&amp;" / "&amp;E3079</x:f>
        <x:v>6637 / 2021 / RAINBOW TROUT</x:v>
      </x:c>
    </x:row>
    <x:row r="3080" ht="23" customHeight="1">
      <x:c r="A3080" s="8" t="str">
        <x:v>Three Isle Lake</x:v>
      </x:c>
      <x:c r="B3080" s="8" t="str">
        <x:v>5990</x:v>
      </x:c>
      <x:c r="C3080" s="17" t="n">
        <x:v>2025</x:v>
      </x:c>
      <x:c r="D3080" s="18" t="n">
        <x:v>45908</x:v>
      </x:c>
      <x:c r="E3080" s="8" t="str">
        <x:v>CUTTHROAT TROUT</x:v>
      </x:c>
      <x:c r="F3080" s="13" t="n">
        <x:v>3300</x:v>
      </x:c>
      <x:c r="G3080" s="9" t="n">
        <x:v>4.2</x:v>
      </x:c>
      <x:c r="H3080" s="9" t="n">
        <x:v>0.8</x:v>
      </x:c>
      <x:c r="I3080" s="8" t="str">
        <x:f>B3080&amp;" / "&amp;C3080&amp;" / "&amp;E3080</x:f>
        <x:v>5990 / 2025 / CUTTHROAT TROUT</x:v>
      </x:c>
    </x:row>
    <x:row r="3081" ht="23" customHeight="1">
      <x:c r="A3081" s="8" t="str">
        <x:v>Three Isle Lake</x:v>
      </x:c>
      <x:c r="B3081" s="8" t="str">
        <x:v>5990</x:v>
      </x:c>
      <x:c r="C3081" s="17" t="n">
        <x:v>2021</x:v>
      </x:c>
      <x:c r="D3081" s="18" t="n">
        <x:v>44447</x:v>
      </x:c>
      <x:c r="E3081" s="8" t="str">
        <x:v>CUTTHROAT TROUT</x:v>
      </x:c>
      <x:c r="F3081" s="13" t="n">
        <x:v>3300</x:v>
      </x:c>
      <x:c r="G3081" s="9" t="n">
        <x:v>4.9</x:v>
      </x:c>
      <x:c r="H3081" s="9" t="n">
        <x:v>1.3</x:v>
      </x:c>
      <x:c r="I3081" s="8" t="str">
        <x:f>B3081&amp;" / "&amp;C3081&amp;" / "&amp;E3081</x:f>
        <x:v>5990 / 2021 / CUTTHROAT TROUT</x:v>
      </x:c>
    </x:row>
    <x:row r="3082" ht="23" customHeight="1">
      <x:c r="A3082" s="8" t="str">
        <x:v>Tim Horton Children's Pond</x:v>
      </x:c>
      <x:c r="B3082" s="8" t="str">
        <x:v>6677</x:v>
      </x:c>
      <x:c r="C3082" s="17" t="n">
        <x:v>2026</x:v>
      </x:c>
      <x:c r="D3082" s="18" t="n">
        <x:v>46156</x:v>
      </x:c>
      <x:c r="E3082" s="8" t="str">
        <x:v>WESTSLOPE CUTTHROAT TROUT</x:v>
      </x:c>
      <x:c r="F3082" s="13" t="n">
        <x:v>600</x:v>
      </x:c>
      <x:c r="G3082" s="9" t="n">
        <x:v>14.2</x:v>
      </x:c>
      <x:c r="H3082" s="9" t="n">
        <x:v>31</x:v>
      </x:c>
      <x:c r="I3082" s="8" t="str">
        <x:f>B3082&amp;" / "&amp;C3082&amp;" / "&amp;E3082</x:f>
        <x:v>6677 / 2026 / WESTSLOPE CUTTHROAT TROUT</x:v>
      </x:c>
    </x:row>
    <x:row r="3083" ht="23" customHeight="1">
      <x:c r="A3083" s="8" t="str">
        <x:v>Tim Horton Children's Pond</x:v>
      </x:c>
      <x:c r="B3083" s="8" t="str">
        <x:v>6677</x:v>
      </x:c>
      <x:c r="C3083" s="17" t="n">
        <x:v>2025</x:v>
      </x:c>
      <x:c r="D3083" s="18" t="n">
        <x:v>45792</x:v>
      </x:c>
      <x:c r="E3083" s="8" t="str">
        <x:v>CUTTHROAT TROUT</x:v>
      </x:c>
      <x:c r="F3083" s="13" t="n">
        <x:v>300</x:v>
      </x:c>
      <x:c r="G3083" s="9" t="n">
        <x:v>13.2</x:v>
      </x:c>
      <x:c r="H3083" s="9" t="n">
        <x:v>24.7</x:v>
      </x:c>
      <x:c r="I3083" s="8" t="str">
        <x:f>B3083&amp;" / "&amp;C3083&amp;" / "&amp;E3083</x:f>
        <x:v>6677 / 2025 / CUTTHROAT TROUT</x:v>
      </x:c>
    </x:row>
    <x:row r="3084" ht="23" customHeight="1">
      <x:c r="A3084" s="8" t="str">
        <x:v>Tim Horton Children's Pond</x:v>
      </x:c>
      <x:c r="B3084" s="8" t="str">
        <x:v>6677</x:v>
      </x:c>
      <x:c r="C3084" s="17" t="n">
        <x:v>2025</x:v>
      </x:c>
      <x:c r="D3084" s="18" t="n">
        <x:v>45792</x:v>
      </x:c>
      <x:c r="E3084" s="8" t="str">
        <x:v>RAINBOW TROUT</x:v>
      </x:c>
      <x:c r="F3084" s="13" t="n">
        <x:v>300</x:v>
      </x:c>
      <x:c r="G3084" s="9" t="n">
        <x:v>20.1</x:v>
      </x:c>
      <x:c r="H3084" s="9" t="n">
        <x:v>87.7</x:v>
      </x:c>
      <x:c r="I3084" s="8" t="str">
        <x:f>B3084&amp;" / "&amp;C3084&amp;" / "&amp;E3084</x:f>
        <x:v>6677 / 2025 / RAINBOW TROUT</x:v>
      </x:c>
    </x:row>
    <x:row r="3085" ht="23" customHeight="1">
      <x:c r="A3085" s="8" t="str">
        <x:v>Tim Horton Children's Pond</x:v>
      </x:c>
      <x:c r="B3085" s="8" t="str">
        <x:v>6677</x:v>
      </x:c>
      <x:c r="C3085" s="17" t="n">
        <x:v>2024</x:v>
      </x:c>
      <x:c r="D3085" s="18" t="n">
        <x:v>45425</x:v>
      </x:c>
      <x:c r="E3085" s="8" t="str">
        <x:v>RAINBOW TROUT</x:v>
      </x:c>
      <x:c r="F3085" s="13" t="n">
        <x:v>600</x:v>
      </x:c>
      <x:c r="G3085" s="9" t="n">
        <x:v>20</x:v>
      </x:c>
      <x:c r="H3085" s="9" t="n">
        <x:v>86.1</x:v>
      </x:c>
      <x:c r="I3085" s="8" t="str">
        <x:f>B3085&amp;" / "&amp;C3085&amp;" / "&amp;E3085</x:f>
        <x:v>6677 / 2024 / RAINBOW TROUT</x:v>
      </x:c>
    </x:row>
    <x:row r="3086" ht="23" customHeight="1">
      <x:c r="A3086" s="8" t="str">
        <x:v>Tim Horton Children's Pond</x:v>
      </x:c>
      <x:c r="B3086" s="8" t="str">
        <x:v>6677</x:v>
      </x:c>
      <x:c r="C3086" s="17" t="n">
        <x:v>2023</x:v>
      </x:c>
      <x:c r="D3086" s="18" t="n">
        <x:v>45064</x:v>
      </x:c>
      <x:c r="E3086" s="8" t="str">
        <x:v>RAINBOW TROUT</x:v>
      </x:c>
      <x:c r="F3086" s="13" t="n">
        <x:v>602</x:v>
      </x:c>
      <x:c r="G3086" s="9" t="n">
        <x:v>21.8</x:v>
      </x:c>
      <x:c r="H3086" s="9" t="n">
        <x:v>112</x:v>
      </x:c>
      <x:c r="I3086" s="8" t="str">
        <x:f>B3086&amp;" / "&amp;C3086&amp;" / "&amp;E3086</x:f>
        <x:v>6677 / 2023 / RAINBOW TROUT</x:v>
      </x:c>
    </x:row>
    <x:row r="3087" ht="23" customHeight="1">
      <x:c r="A3087" s="8" t="str">
        <x:v>Tim Horton Children's Pond</x:v>
      </x:c>
      <x:c r="B3087" s="8" t="str">
        <x:v>6677</x:v>
      </x:c>
      <x:c r="C3087" s="17" t="n">
        <x:v>2022</x:v>
      </x:c>
      <x:c r="D3087" s="18" t="n">
        <x:v>44693</x:v>
      </x:c>
      <x:c r="E3087" s="8" t="str">
        <x:v>RAINBOW TROUT</x:v>
      </x:c>
      <x:c r="F3087" s="13" t="n">
        <x:v>1200</x:v>
      </x:c>
      <x:c r="G3087" s="9" t="n">
        <x:v>21.8</x:v>
      </x:c>
      <x:c r="H3087" s="9" t="n">
        <x:v>113.1</x:v>
      </x:c>
      <x:c r="I3087" s="8" t="str">
        <x:f>B3087&amp;" / "&amp;C3087&amp;" / "&amp;E3087</x:f>
        <x:v>6677 / 2022 / RAINBOW TROUT</x:v>
      </x:c>
    </x:row>
    <x:row r="3088" ht="23" customHeight="1">
      <x:c r="A3088" s="8" t="str">
        <x:v>Tim Horton Children's Pond</x:v>
      </x:c>
      <x:c r="B3088" s="8" t="str">
        <x:v>6677</x:v>
      </x:c>
      <x:c r="C3088" s="17" t="n">
        <x:v>2021</x:v>
      </x:c>
      <x:c r="D3088" s="18" t="n">
        <x:v>44328</x:v>
      </x:c>
      <x:c r="E3088" s="8" t="str">
        <x:v>RAINBOW TROUT</x:v>
      </x:c>
      <x:c r="F3088" s="13" t="n">
        <x:v>1200</x:v>
      </x:c>
      <x:c r="G3088" s="9" t="n">
        <x:v>22.6</x:v>
      </x:c>
      <x:c r="H3088" s="9" t="n">
        <x:v>127.5</x:v>
      </x:c>
      <x:c r="I3088" s="8" t="str">
        <x:f>B3088&amp;" / "&amp;C3088&amp;" / "&amp;E3088</x:f>
        <x:v>6677 / 2021 / RAINBOW TROUT</x:v>
      </x:c>
    </x:row>
    <x:row r="3089" ht="23" customHeight="1">
      <x:c r="A3089" s="8" t="str">
        <x:v>Trapper Lake</x:v>
      </x:c>
      <x:c r="B3089" s="8" t="str">
        <x:v>6638</x:v>
      </x:c>
      <x:c r="C3089" s="17" t="n">
        <x:v>2024</x:v>
      </x:c>
      <x:c r="D3089" s="18" t="n">
        <x:v>45567</x:v>
      </x:c>
      <x:c r="E3089" s="8" t="str">
        <x:v>RAINBOW TROUT</x:v>
      </x:c>
      <x:c r="F3089" s="13" t="n">
        <x:v>1100</x:v>
      </x:c>
      <x:c r="G3089" s="9" t="n">
        <x:v>6.1</x:v>
      </x:c>
      <x:c r="H3089" s="9" t="n">
        <x:v>2.5</x:v>
      </x:c>
      <x:c r="I3089" s="8" t="str">
        <x:f>B3089&amp;" / "&amp;C3089&amp;" / "&amp;E3089</x:f>
        <x:v>6638 / 2024 / RAINBOW TROUT</x:v>
      </x:c>
    </x:row>
    <x:row r="3090" ht="23" customHeight="1">
      <x:c r="A3090" s="8" t="str">
        <x:v>Trapper Lake</x:v>
      </x:c>
      <x:c r="B3090" s="8" t="str">
        <x:v>6638</x:v>
      </x:c>
      <x:c r="C3090" s="17" t="n">
        <x:v>2022</x:v>
      </x:c>
      <x:c r="D3090" s="18" t="n">
        <x:v>44838</x:v>
      </x:c>
      <x:c r="E3090" s="8" t="str">
        <x:v>RAINBOW TROUT</x:v>
      </x:c>
      <x:c r="F3090" s="13" t="n">
        <x:v>1100</x:v>
      </x:c>
      <x:c r="G3090" s="9" t="n">
        <x:v>7</x:v>
      </x:c>
      <x:c r="H3090" s="9" t="n">
        <x:v>3.8</x:v>
      </x:c>
      <x:c r="I3090" s="8" t="str">
        <x:f>B3090&amp;" / "&amp;C3090&amp;" / "&amp;E3090</x:f>
        <x:v>6638 / 2022 / RAINBOW TROUT</x:v>
      </x:c>
    </x:row>
    <x:row r="3091" ht="23" customHeight="1">
      <x:c r="A3091" s="8" t="str">
        <x:v>Travers Reservoir</x:v>
      </x:c>
      <x:c r="B3091" s="8" t="str">
        <x:v>3537</x:v>
      </x:c>
      <x:c r="C3091" s="17" t="n">
        <x:v>2025</x:v>
      </x:c>
      <x:c r="D3091" s="18" t="n">
        <x:v>45797</x:v>
      </x:c>
      <x:c r="E3091" s="8" t="str">
        <x:v>WALLEYE</x:v>
      </x:c>
      <x:c r="F3091" s="13" t="n">
        <x:v>668628</x:v>
      </x:c>
      <x:c r="G3091" s="9" t="n">
        <x:v>0.4</x:v>
      </x:c>
      <x:c r="H3091" s="9" t="str">
        <x:v>Unknown</x:v>
      </x:c>
      <x:c r="I3091" s="8" t="str">
        <x:f>B3091&amp;" / "&amp;C3091&amp;" / "&amp;E3091</x:f>
        <x:v>3537 / 2025 / WALLEYE</x:v>
      </x:c>
    </x:row>
    <x:row r="3092" ht="23" customHeight="1">
      <x:c r="A3092" s="8" t="str">
        <x:v>Travers Reservoir</x:v>
      </x:c>
      <x:c r="B3092" s="8" t="str">
        <x:v>3537</x:v>
      </x:c>
      <x:c r="C3092" s="17" t="n">
        <x:v>2025</x:v>
      </x:c>
      <x:c r="D3092" s="18" t="n">
        <x:v>45796</x:v>
      </x:c>
      <x:c r="E3092" s="8" t="str">
        <x:v>WALLEYE</x:v>
      </x:c>
      <x:c r="F3092" s="13" t="n">
        <x:v>427632</x:v>
      </x:c>
      <x:c r="G3092" s="9" t="n">
        <x:v>0.4</x:v>
      </x:c>
      <x:c r="H3092" s="9" t="str">
        <x:v>Unknown</x:v>
      </x:c>
      <x:c r="I3092" s="8" t="str">
        <x:f>B3092&amp;" / "&amp;C3092&amp;" / "&amp;E3092</x:f>
        <x:v>3537 / 2025 / WALLEYE</x:v>
      </x:c>
    </x:row>
    <x:row r="3093" ht="23" customHeight="1">
      <x:c r="A3093" s="8" t="str">
        <x:v>Travers Reservoir</x:v>
      </x:c>
      <x:c r="B3093" s="8" t="str">
        <x:v>3537</x:v>
      </x:c>
      <x:c r="C3093" s="17" t="n">
        <x:v>2025</x:v>
      </x:c>
      <x:c r="D3093" s="18" t="n">
        <x:v>45795</x:v>
      </x:c>
      <x:c r="E3093" s="8" t="str">
        <x:v>WALLEYE</x:v>
      </x:c>
      <x:c r="F3093" s="13" t="n">
        <x:v>393337</x:v>
      </x:c>
      <x:c r="G3093" s="9" t="n">
        <x:v>0.4</x:v>
      </x:c>
      <x:c r="H3093" s="9" t="str">
        <x:v>Unknown</x:v>
      </x:c>
      <x:c r="I3093" s="8" t="str">
        <x:f>B3093&amp;" / "&amp;C3093&amp;" / "&amp;E3093</x:f>
        <x:v>3537 / 2025 / WALLEYE</x:v>
      </x:c>
    </x:row>
    <x:row r="3094" ht="23" customHeight="1">
      <x:c r="A3094" s="8" t="str">
        <x:v>Travers Reservoir</x:v>
      </x:c>
      <x:c r="B3094" s="8" t="str">
        <x:v>3537</x:v>
      </x:c>
      <x:c r="C3094" s="17" t="n">
        <x:v>2024</x:v>
      </x:c>
      <x:c r="D3094" s="18" t="n">
        <x:v>45439</x:v>
      </x:c>
      <x:c r="E3094" s="8" t="str">
        <x:v>WALLEYE</x:v>
      </x:c>
      <x:c r="F3094" s="13" t="n">
        <x:v>509158</x:v>
      </x:c>
      <x:c r="G3094" s="9" t="n">
        <x:v>0</x:v>
      </x:c>
      <x:c r="H3094" s="9" t="str">
        <x:v>Unknown</x:v>
      </x:c>
      <x:c r="I3094" s="8" t="str">
        <x:f>B3094&amp;" / "&amp;C3094&amp;" / "&amp;E3094</x:f>
        <x:v>3537 / 2024 / WALLEYE</x:v>
      </x:c>
    </x:row>
    <x:row r="3095" ht="23" customHeight="1">
      <x:c r="A3095" s="8" t="str">
        <x:v>Travers Reservoir</x:v>
      </x:c>
      <x:c r="B3095" s="8" t="str">
        <x:v>3537</x:v>
      </x:c>
      <x:c r="C3095" s="17" t="n">
        <x:v>2024</x:v>
      </x:c>
      <x:c r="D3095" s="18" t="n">
        <x:v>45437</x:v>
      </x:c>
      <x:c r="E3095" s="8" t="str">
        <x:v>WALLEYE</x:v>
      </x:c>
      <x:c r="F3095" s="13" t="n">
        <x:v>1990842</x:v>
      </x:c>
      <x:c r="G3095" s="9" t="n">
        <x:v>0</x:v>
      </x:c>
      <x:c r="H3095" s="9" t="str">
        <x:v>Unknown</x:v>
      </x:c>
      <x:c r="I3095" s="8" t="str">
        <x:f>B3095&amp;" / "&amp;C3095&amp;" / "&amp;E3095</x:f>
        <x:v>3537 / 2024 / WALLEYE</x:v>
      </x:c>
    </x:row>
    <x:row r="3096" ht="23" customHeight="1">
      <x:c r="A3096" s="8" t="str">
        <x:v>Travers Reservoir</x:v>
      </x:c>
      <x:c r="B3096" s="8" t="str">
        <x:v>3537</x:v>
      </x:c>
      <x:c r="C3096" s="17" t="n">
        <x:v>2023</x:v>
      </x:c>
      <x:c r="D3096" s="18" t="n">
        <x:v>45077</x:v>
      </x:c>
      <x:c r="E3096" s="8" t="str">
        <x:v>WALLEYE</x:v>
      </x:c>
      <x:c r="F3096" s="13" t="n">
        <x:v>1153500</x:v>
      </x:c>
      <x:c r="G3096" s="9" t="n">
        <x:v>0.4</x:v>
      </x:c>
      <x:c r="H3096" s="9" t="n">
        <x:v>0</x:v>
      </x:c>
      <x:c r="I3096" s="8" t="str">
        <x:f>B3096&amp;" / "&amp;C3096&amp;" / "&amp;E3096</x:f>
        <x:v>3537 / 2023 / WALLEYE</x:v>
      </x:c>
    </x:row>
    <x:row r="3097" ht="23" customHeight="1">
      <x:c r="A3097" s="8" t="str">
        <x:v>Travers Reservoir</x:v>
      </x:c>
      <x:c r="B3097" s="8" t="str">
        <x:v>3537</x:v>
      </x:c>
      <x:c r="C3097" s="17" t="n">
        <x:v>2022</x:v>
      </x:c>
      <x:c r="D3097" s="18" t="n">
        <x:v>44710</x:v>
      </x:c>
      <x:c r="E3097" s="8" t="str">
        <x:v>WALLEYE</x:v>
      </x:c>
      <x:c r="F3097" s="13" t="n">
        <x:v>230700</x:v>
      </x:c>
      <x:c r="G3097" s="9" t="n">
        <x:v>0.4</x:v>
      </x:c>
      <x:c r="H3097" s="9" t="n">
        <x:v>0</x:v>
      </x:c>
      <x:c r="I3097" s="8" t="str">
        <x:f>B3097&amp;" / "&amp;C3097&amp;" / "&amp;E3097</x:f>
        <x:v>3537 / 2022 / WALLEYE</x:v>
      </x:c>
    </x:row>
    <x:row r="3098" ht="23" customHeight="1">
      <x:c r="A3098" s="8" t="str">
        <x:v>Travers Reservoir</x:v>
      </x:c>
      <x:c r="B3098" s="8" t="str">
        <x:v>3537</x:v>
      </x:c>
      <x:c r="C3098" s="17" t="n">
        <x:v>2021</x:v>
      </x:c>
      <x:c r="D3098" s="18" t="n">
        <x:v>44496</x:v>
      </x:c>
      <x:c r="E3098" s="8" t="str">
        <x:v>WALLEYE</x:v>
      </x:c>
      <x:c r="F3098" s="13" t="n">
        <x:v>857</x:v>
      </x:c>
      <x:c r="G3098" s="9" t="n">
        <x:v>15.4</x:v>
      </x:c>
      <x:c r="H3098" s="9" t="n">
        <x:v>39.4</x:v>
      </x:c>
      <x:c r="I3098" s="8" t="str">
        <x:f>B3098&amp;" / "&amp;C3098&amp;" / "&amp;E3098</x:f>
        <x:v>3537 / 2021 / WALLEYE</x:v>
      </x:c>
    </x:row>
    <x:row r="3099" ht="23" customHeight="1">
      <x:c r="A3099" s="8" t="str">
        <x:v>Travers Reservoir</x:v>
      </x:c>
      <x:c r="B3099" s="8" t="str">
        <x:v>3537</x:v>
      </x:c>
      <x:c r="C3099" s="17" t="n">
        <x:v>2021</x:v>
      </x:c>
      <x:c r="D3099" s="18" t="n">
        <x:v>44475</x:v>
      </x:c>
      <x:c r="E3099" s="8" t="str">
        <x:v>WALLEYE</x:v>
      </x:c>
      <x:c r="F3099" s="13" t="n">
        <x:v>682</x:v>
      </x:c>
      <x:c r="G3099" s="9" t="n">
        <x:v>15.6</x:v>
      </x:c>
      <x:c r="H3099" s="9" t="n">
        <x:v>37.7</x:v>
      </x:c>
      <x:c r="I3099" s="8" t="str">
        <x:f>B3099&amp;" / "&amp;C3099&amp;" / "&amp;E3099</x:f>
        <x:v>3537 / 2021 / WALLEYE</x:v>
      </x:c>
    </x:row>
    <x:row r="3100" ht="23" customHeight="1">
      <x:c r="A3100" s="8" t="str">
        <x:v>Travers Reservoir</x:v>
      </x:c>
      <x:c r="B3100" s="8" t="str">
        <x:v>3537</x:v>
      </x:c>
      <x:c r="C3100" s="17" t="n">
        <x:v>2021</x:v>
      </x:c>
      <x:c r="D3100" s="18" t="n">
        <x:v>44475</x:v>
      </x:c>
      <x:c r="E3100" s="8" t="str">
        <x:v>WALLEYE</x:v>
      </x:c>
      <x:c r="F3100" s="13" t="n">
        <x:v>1738</x:v>
      </x:c>
      <x:c r="G3100" s="9" t="n">
        <x:v>13</x:v>
      </x:c>
      <x:c r="H3100" s="9" t="n">
        <x:v>12.4</x:v>
      </x:c>
      <x:c r="I3100" s="8" t="str">
        <x:f>B3100&amp;" / "&amp;C3100&amp;" / "&amp;E3100</x:f>
        <x:v>3537 / 2021 / WALLEYE</x:v>
      </x:c>
    </x:row>
    <x:row r="3101" ht="23" customHeight="1">
      <x:c r="A3101" s="8" t="str">
        <x:v>Travers Reservoir</x:v>
      </x:c>
      <x:c r="B3101" s="8" t="str">
        <x:v>3537</x:v>
      </x:c>
      <x:c r="C3101" s="17" t="n">
        <x:v>2021</x:v>
      </x:c>
      <x:c r="D3101" s="18" t="n">
        <x:v>44341</x:v>
      </x:c>
      <x:c r="E3101" s="8" t="str">
        <x:v>WALLEYE</x:v>
      </x:c>
      <x:c r="F3101" s="13" t="n">
        <x:v>276840</x:v>
      </x:c>
      <x:c r="G3101" s="9" t="n">
        <x:v>0.4</x:v>
      </x:c>
      <x:c r="H3101" s="9" t="str">
        <x:v>Unknown</x:v>
      </x:c>
      <x:c r="I3101" s="8" t="str">
        <x:f>B3101&amp;" / "&amp;C3101&amp;" / "&amp;E3101</x:f>
        <x:v>3537 / 2021 / WALLEYE</x:v>
      </x:c>
    </x:row>
    <x:row r="3102" ht="23" customHeight="1">
      <x:c r="A3102" s="8" t="str">
        <x:v>Twin Lakes</x:v>
      </x:c>
      <x:c r="B3102" s="8" t="str">
        <x:v>6039</x:v>
      </x:c>
      <x:c r="C3102" s="17" t="n">
        <x:v>2026</x:v>
      </x:c>
      <x:c r="D3102" s="18" t="n">
        <x:v>46161</x:v>
      </x:c>
      <x:c r="E3102" s="8" t="str">
        <x:v>RAINBOW TROUT</x:v>
      </x:c>
      <x:c r="F3102" s="13" t="n">
        <x:v>7000</x:v>
      </x:c>
      <x:c r="G3102" s="9" t="n">
        <x:v>20.3</x:v>
      </x:c>
      <x:c r="H3102" s="9" t="n">
        <x:v>90.8</x:v>
      </x:c>
      <x:c r="I3102" s="8" t="str">
        <x:f>B3102&amp;" / "&amp;C3102&amp;" / "&amp;E3102</x:f>
        <x:v>6039 / 2026 / RAINBOW TROUT</x:v>
      </x:c>
    </x:row>
    <x:row r="3103" ht="23" customHeight="1">
      <x:c r="A3103" s="8" t="str">
        <x:v>Twin Lakes</x:v>
      </x:c>
      <x:c r="B3103" s="8" t="str">
        <x:v>6039</x:v>
      </x:c>
      <x:c r="C3103" s="17" t="n">
        <x:v>2025</x:v>
      </x:c>
      <x:c r="D3103" s="18" t="n">
        <x:v>45782</x:v>
      </x:c>
      <x:c r="E3103" s="8" t="str">
        <x:v>RAINBOW TROUT</x:v>
      </x:c>
      <x:c r="F3103" s="13" t="n">
        <x:v>7000</x:v>
      </x:c>
      <x:c r="G3103" s="9" t="n">
        <x:v>20.1</x:v>
      </x:c>
      <x:c r="H3103" s="9" t="n">
        <x:v>87.5</x:v>
      </x:c>
      <x:c r="I3103" s="8" t="str">
        <x:f>B3103&amp;" / "&amp;C3103&amp;" / "&amp;E3103</x:f>
        <x:v>6039 / 2025 / RAINBOW TROUT</x:v>
      </x:c>
    </x:row>
    <x:row r="3104" ht="23" customHeight="1">
      <x:c r="A3104" s="8" t="str">
        <x:v>Twin Lakes</x:v>
      </x:c>
      <x:c r="B3104" s="8" t="str">
        <x:v>6039</x:v>
      </x:c>
      <x:c r="C3104" s="17" t="n">
        <x:v>2024</x:v>
      </x:c>
      <x:c r="D3104" s="18" t="n">
        <x:v>45571</x:v>
      </x:c>
      <x:c r="E3104" s="8" t="str">
        <x:v>RAINBOW TROUT</x:v>
      </x:c>
      <x:c r="F3104" s="13" t="n">
        <x:v>65</x:v>
      </x:c>
      <x:c r="G3104" s="9" t="n">
        <x:v>65</x:v>
      </x:c>
      <x:c r="H3104" s="9" t="n">
        <x:v>9000</x:v>
      </x:c>
      <x:c r="I3104" s="8" t="str">
        <x:f>B3104&amp;" / "&amp;C3104&amp;" / "&amp;E3104</x:f>
        <x:v>6039 / 2024 / RAINBOW TROUT</x:v>
      </x:c>
    </x:row>
    <x:row r="3105" ht="23" customHeight="1">
      <x:c r="A3105" s="8" t="str">
        <x:v>Twin Lakes</x:v>
      </x:c>
      <x:c r="B3105" s="8" t="str">
        <x:v>6039</x:v>
      </x:c>
      <x:c r="C3105" s="17" t="n">
        <x:v>2024</x:v>
      </x:c>
      <x:c r="D3105" s="18" t="n">
        <x:v>45420</x:v>
      </x:c>
      <x:c r="E3105" s="8" t="str">
        <x:v>RAINBOW TROUT</x:v>
      </x:c>
      <x:c r="F3105" s="13" t="n">
        <x:v>26</x:v>
      </x:c>
      <x:c r="G3105" s="9" t="n">
        <x:v>35.1</x:v>
      </x:c>
      <x:c r="H3105" s="9" t="n">
        <x:v>1610</x:v>
      </x:c>
      <x:c r="I3105" s="8" t="str">
        <x:f>B3105&amp;" / "&amp;C3105&amp;" / "&amp;E3105</x:f>
        <x:v>6039 / 2024 / RAINBOW TROUT</x:v>
      </x:c>
    </x:row>
    <x:row r="3106" ht="23" customHeight="1">
      <x:c r="A3106" s="8" t="str">
        <x:v>Twin Lakes</x:v>
      </x:c>
      <x:c r="B3106" s="8" t="str">
        <x:v>6039</x:v>
      </x:c>
      <x:c r="C3106" s="17" t="n">
        <x:v>2024</x:v>
      </x:c>
      <x:c r="D3106" s="18" t="n">
        <x:v>45414</x:v>
      </x:c>
      <x:c r="E3106" s="8" t="str">
        <x:v>RAINBOW TROUT</x:v>
      </x:c>
      <x:c r="F3106" s="13" t="n">
        <x:v>3500</x:v>
      </x:c>
      <x:c r="G3106" s="9" t="n">
        <x:v>20</x:v>
      </x:c>
      <x:c r="H3106" s="9" t="n">
        <x:v>87</x:v>
      </x:c>
      <x:c r="I3106" s="8" t="str">
        <x:f>B3106&amp;" / "&amp;C3106&amp;" / "&amp;E3106</x:f>
        <x:v>6039 / 2024 / RAINBOW TROUT</x:v>
      </x:c>
    </x:row>
    <x:row r="3107" ht="23" customHeight="1">
      <x:c r="A3107" s="8" t="str">
        <x:v>Twin Lakes</x:v>
      </x:c>
      <x:c r="B3107" s="8" t="str">
        <x:v>6039</x:v>
      </x:c>
      <x:c r="C3107" s="17" t="n">
        <x:v>2023</x:v>
      </x:c>
      <x:c r="D3107" s="18" t="n">
        <x:v>45202</x:v>
      </x:c>
      <x:c r="E3107" s="8" t="str">
        <x:v>RAINBOW TROUT</x:v>
      </x:c>
      <x:c r="F3107" s="13" t="n">
        <x:v>250</x:v>
      </x:c>
      <x:c r="G3107" s="9" t="n">
        <x:v>30.1</x:v>
      </x:c>
      <x:c r="H3107" s="9" t="n">
        <x:v>1100.1</x:v>
      </x:c>
      <x:c r="I3107" s="8" t="str">
        <x:f>B3107&amp;" / "&amp;C3107&amp;" / "&amp;E3107</x:f>
        <x:v>6039 / 2023 / RAINBOW TROUT</x:v>
      </x:c>
    </x:row>
    <x:row r="3108" ht="23" customHeight="1">
      <x:c r="A3108" s="8" t="str">
        <x:v>Twin Lakes</x:v>
      </x:c>
      <x:c r="B3108" s="8" t="str">
        <x:v>6039</x:v>
      </x:c>
      <x:c r="C3108" s="17" t="n">
        <x:v>2023</x:v>
      </x:c>
      <x:c r="D3108" s="18" t="n">
        <x:v>45068</x:v>
      </x:c>
      <x:c r="E3108" s="8" t="str">
        <x:v>RAINBOW TROUT</x:v>
      </x:c>
      <x:c r="F3108" s="13" t="n">
        <x:v>4000</x:v>
      </x:c>
      <x:c r="G3108" s="9" t="n">
        <x:v>8.4</x:v>
      </x:c>
      <x:c r="H3108" s="9" t="n">
        <x:v>6.6</x:v>
      </x:c>
      <x:c r="I3108" s="8" t="str">
        <x:f>B3108&amp;" / "&amp;C3108&amp;" / "&amp;E3108</x:f>
        <x:v>6039 / 2023 / RAINBOW TROUT</x:v>
      </x:c>
    </x:row>
    <x:row r="3109" ht="23" customHeight="1">
      <x:c r="A3109" s="8" t="str">
        <x:v>Twin Lakes</x:v>
      </x:c>
      <x:c r="B3109" s="8" t="str">
        <x:v>6039</x:v>
      </x:c>
      <x:c r="C3109" s="17" t="n">
        <x:v>2023</x:v>
      </x:c>
      <x:c r="D3109" s="18" t="n">
        <x:v>45057</x:v>
      </x:c>
      <x:c r="E3109" s="8" t="str">
        <x:v>RAINBOW TROUT</x:v>
      </x:c>
      <x:c r="F3109" s="13" t="n">
        <x:v>2835</x:v>
      </x:c>
      <x:c r="G3109" s="9" t="n">
        <x:v>19.5</x:v>
      </x:c>
      <x:c r="H3109" s="9" t="n">
        <x:v>82.1</x:v>
      </x:c>
      <x:c r="I3109" s="8" t="str">
        <x:f>B3109&amp;" / "&amp;C3109&amp;" / "&amp;E3109</x:f>
        <x:v>6039 / 2023 / RAINBOW TROUT</x:v>
      </x:c>
    </x:row>
    <x:row r="3110" ht="23" customHeight="1">
      <x:c r="A3110" s="8" t="str">
        <x:v>Twin Lakes</x:v>
      </x:c>
      <x:c r="B3110" s="8" t="str">
        <x:v>6039</x:v>
      </x:c>
      <x:c r="C3110" s="17" t="n">
        <x:v>2022</x:v>
      </x:c>
      <x:c r="D3110" s="18" t="n">
        <x:v>44734</x:v>
      </x:c>
      <x:c r="E3110" s="8" t="str">
        <x:v>RAINBOW TROUT</x:v>
      </x:c>
      <x:c r="F3110" s="13" t="n">
        <x:v>1000</x:v>
      </x:c>
      <x:c r="G3110" s="9" t="n">
        <x:v>27.4</x:v>
      </x:c>
      <x:c r="H3110" s="9" t="n">
        <x:v>150</x:v>
      </x:c>
      <x:c r="I3110" s="8" t="str">
        <x:f>B3110&amp;" / "&amp;C3110&amp;" / "&amp;E3110</x:f>
        <x:v>6039 / 2022 / RAINBOW TROUT</x:v>
      </x:c>
    </x:row>
    <x:row r="3111" ht="23" customHeight="1">
      <x:c r="A3111" s="8" t="str">
        <x:v>Twin Lakes</x:v>
      </x:c>
      <x:c r="B3111" s="8" t="str">
        <x:v>6039</x:v>
      </x:c>
      <x:c r="C3111" s="17" t="n">
        <x:v>2022</x:v>
      </x:c>
      <x:c r="D3111" s="18" t="n">
        <x:v>44699</x:v>
      </x:c>
      <x:c r="E3111" s="8" t="str">
        <x:v>RAINBOW TROUT</x:v>
      </x:c>
      <x:c r="F3111" s="13" t="n">
        <x:v>7000</x:v>
      </x:c>
      <x:c r="G3111" s="9" t="n">
        <x:v>20.5</x:v>
      </x:c>
      <x:c r="H3111" s="9" t="n">
        <x:v>93.4</x:v>
      </x:c>
      <x:c r="I3111" s="8" t="str">
        <x:f>B3111&amp;" / "&amp;C3111&amp;" / "&amp;E3111</x:f>
        <x:v>6039 / 2022 / RAINBOW TROUT</x:v>
      </x:c>
    </x:row>
    <x:row r="3112" ht="23" customHeight="1">
      <x:c r="A3112" s="8" t="str">
        <x:v>Twin Lakes</x:v>
      </x:c>
      <x:c r="B3112" s="8" t="str">
        <x:v>6039</x:v>
      </x:c>
      <x:c r="C3112" s="17" t="n">
        <x:v>2021</x:v>
      </x:c>
      <x:c r="D3112" s="18" t="n">
        <x:v>44329</x:v>
      </x:c>
      <x:c r="E3112" s="8" t="str">
        <x:v>RAINBOW TROUT</x:v>
      </x:c>
      <x:c r="F3112" s="13" t="n">
        <x:v>7000</x:v>
      </x:c>
      <x:c r="G3112" s="9" t="n">
        <x:v>22.3</x:v>
      </x:c>
      <x:c r="H3112" s="9" t="n">
        <x:v>122.1</x:v>
      </x:c>
      <x:c r="I3112" s="8" t="str">
        <x:f>B3112&amp;" / "&amp;C3112&amp;" / "&amp;E3112</x:f>
        <x:v>6039 / 2021 / RAINBOW TROUT</x:v>
      </x:c>
    </x:row>
    <x:row r="3113" ht="23" customHeight="1">
      <x:c r="A3113" s="8" t="str">
        <x:v>Twin Lakes</x:v>
      </x:c>
      <x:c r="B3113" s="8" t="str">
        <x:v>6039</x:v>
      </x:c>
      <x:c r="C3113" s="17" t="n">
        <x:v>2021</x:v>
      </x:c>
      <x:c r="D3113" s="18" t="n">
        <x:v>44319</x:v>
      </x:c>
      <x:c r="E3113" s="8" t="str">
        <x:v>RAINBOW TROUT</x:v>
      </x:c>
      <x:c r="F3113" s="13" t="n">
        <x:v>100</x:v>
      </x:c>
      <x:c r="G3113" s="9" t="n">
        <x:v>50</x:v>
      </x:c>
      <x:c r="H3113" s="9" t="n">
        <x:v>2600</x:v>
      </x:c>
      <x:c r="I3113" s="8" t="str">
        <x:f>B3113&amp;" / "&amp;C3113&amp;" / "&amp;E3113</x:f>
        <x:v>6039 / 2021 / RAINBOW TROUT</x:v>
      </x:c>
    </x:row>
    <x:row r="3114" ht="23" customHeight="1">
      <x:c r="A3114" s="8" t="str">
        <x:v>Twin Valley Reservoir</x:v>
      </x:c>
      <x:c r="B3114" s="8" t="str">
        <x:v>23327</x:v>
      </x:c>
      <x:c r="C3114" s="17" t="n">
        <x:v>2025</x:v>
      </x:c>
      <x:c r="D3114" s="18" t="n">
        <x:v>45812</x:v>
      </x:c>
      <x:c r="E3114" s="8" t="str">
        <x:v>WALLEYE</x:v>
      </x:c>
      <x:c r="F3114" s="13" t="n">
        <x:v>1000000</x:v>
      </x:c>
      <x:c r="G3114" s="9" t="n">
        <x:v>0.4</x:v>
      </x:c>
      <x:c r="H3114" s="9" t="str">
        <x:v>Unknown</x:v>
      </x:c>
      <x:c r="I3114" s="8" t="str">
        <x:f>B3114&amp;" / "&amp;C3114&amp;" / "&amp;E3114</x:f>
        <x:v>23327 / 2025 / WALLEYE</x:v>
      </x:c>
    </x:row>
    <x:row r="3115" ht="23" customHeight="1">
      <x:c r="A3115" s="8" t="str">
        <x:v>Twin Valley Reservoir</x:v>
      </x:c>
      <x:c r="B3115" s="8" t="str">
        <x:v>23327</x:v>
      </x:c>
      <x:c r="C3115" s="17" t="n">
        <x:v>2024</x:v>
      </x:c>
      <x:c r="D3115" s="18" t="n">
        <x:v>45439</x:v>
      </x:c>
      <x:c r="E3115" s="8" t="str">
        <x:v>WALLEYE</x:v>
      </x:c>
      <x:c r="F3115" s="13" t="n">
        <x:v>1825000</x:v>
      </x:c>
      <x:c r="G3115" s="9" t="n">
        <x:v>0</x:v>
      </x:c>
      <x:c r="H3115" s="9" t="str">
        <x:v>Unknown</x:v>
      </x:c>
      <x:c r="I3115" s="8" t="str">
        <x:f>B3115&amp;" / "&amp;C3115&amp;" / "&amp;E3115</x:f>
        <x:v>23327 / 2024 / WALLEYE</x:v>
      </x:c>
    </x:row>
    <x:row r="3116" ht="23" customHeight="1">
      <x:c r="A3116" s="8" t="str">
        <x:v>Twin Valley Reservoir</x:v>
      </x:c>
      <x:c r="B3116" s="8" t="str">
        <x:v>23327</x:v>
      </x:c>
      <x:c r="C3116" s="17" t="n">
        <x:v>2023</x:v>
      </x:c>
      <x:c r="D3116" s="18" t="n">
        <x:v>45077</x:v>
      </x:c>
      <x:c r="E3116" s="8" t="str">
        <x:v>WALLEYE</x:v>
      </x:c>
      <x:c r="F3116" s="13" t="n">
        <x:v>228500</x:v>
      </x:c>
      <x:c r="G3116" s="9" t="n">
        <x:v>0.4</x:v>
      </x:c>
      <x:c r="H3116" s="9" t="n">
        <x:v>0</x:v>
      </x:c>
      <x:c r="I3116" s="8" t="str">
        <x:f>B3116&amp;" / "&amp;C3116&amp;" / "&amp;E3116</x:f>
        <x:v>23327 / 2023 / WALLEYE</x:v>
      </x:c>
    </x:row>
    <x:row r="3117" ht="23" customHeight="1">
      <x:c r="A3117" s="8" t="str">
        <x:v>Twin Valley Reservoir</x:v>
      </x:c>
      <x:c r="B3117" s="8" t="str">
        <x:v>23327</x:v>
      </x:c>
      <x:c r="C3117" s="17" t="n">
        <x:v>2022</x:v>
      </x:c>
      <x:c r="D3117" s="18" t="n">
        <x:v>44710</x:v>
      </x:c>
      <x:c r="E3117" s="8" t="str">
        <x:v>WALLEYE</x:v>
      </x:c>
      <x:c r="F3117" s="13" t="n">
        <x:v>78500</x:v>
      </x:c>
      <x:c r="G3117" s="9" t="n">
        <x:v>0.4</x:v>
      </x:c>
      <x:c r="H3117" s="9" t="n">
        <x:v>0</x:v>
      </x:c>
      <x:c r="I3117" s="8" t="str">
        <x:f>B3117&amp;" / "&amp;C3117&amp;" / "&amp;E3117</x:f>
        <x:v>23327 / 2022 / WALLEYE</x:v>
      </x:c>
    </x:row>
    <x:row r="3118" ht="23" customHeight="1">
      <x:c r="A3118" s="8" t="str">
        <x:v>Two Hills Pond</x:v>
      </x:c>
      <x:c r="B3118" s="8" t="str">
        <x:v>6670</x:v>
      </x:c>
      <x:c r="C3118" s="17" t="n">
        <x:v>2026</x:v>
      </x:c>
      <x:c r="D3118" s="18" t="n">
        <x:v>46150</x:v>
      </x:c>
      <x:c r="E3118" s="8" t="str">
        <x:v>RAINBOW TROUT</x:v>
      </x:c>
      <x:c r="F3118" s="13" t="n">
        <x:v>700</x:v>
      </x:c>
      <x:c r="G3118" s="9" t="n">
        <x:v>21</x:v>
      </x:c>
      <x:c r="H3118" s="9" t="n">
        <x:v>95.8</x:v>
      </x:c>
      <x:c r="I3118" s="8" t="str">
        <x:f>B3118&amp;" / "&amp;C3118&amp;" / "&amp;E3118</x:f>
        <x:v>6670 / 2026 / RAINBOW TROUT</x:v>
      </x:c>
    </x:row>
    <x:row r="3119" ht="23" customHeight="1">
      <x:c r="A3119" s="8" t="str">
        <x:v>Two Hills Pond</x:v>
      </x:c>
      <x:c r="B3119" s="8" t="str">
        <x:v>6670</x:v>
      </x:c>
      <x:c r="C3119" s="17" t="n">
        <x:v>2023</x:v>
      </x:c>
      <x:c r="D3119" s="18" t="n">
        <x:v>45060</x:v>
      </x:c>
      <x:c r="E3119" s="8" t="str">
        <x:v>RAINBOW TROUT</x:v>
      </x:c>
      <x:c r="F3119" s="13" t="n">
        <x:v>700</x:v>
      </x:c>
      <x:c r="G3119" s="9" t="n">
        <x:v>20.5</x:v>
      </x:c>
      <x:c r="H3119" s="9" t="n">
        <x:v>89.9</x:v>
      </x:c>
      <x:c r="I3119" s="8" t="str">
        <x:f>B3119&amp;" / "&amp;C3119&amp;" / "&amp;E3119</x:f>
        <x:v>6670 / 2023 / RAINBOW TROUT</x:v>
      </x:c>
    </x:row>
    <x:row r="3120" ht="23" customHeight="1">
      <x:c r="A3120" s="8" t="str">
        <x:v>Two Hills Pond</x:v>
      </x:c>
      <x:c r="B3120" s="8" t="str">
        <x:v>6670</x:v>
      </x:c>
      <x:c r="C3120" s="17" t="n">
        <x:v>2022</x:v>
      </x:c>
      <x:c r="D3120" s="18" t="n">
        <x:v>44699</x:v>
      </x:c>
      <x:c r="E3120" s="8" t="str">
        <x:v>RAINBOW TROUT</x:v>
      </x:c>
      <x:c r="F3120" s="13" t="n">
        <x:v>700</x:v>
      </x:c>
      <x:c r="G3120" s="9" t="n">
        <x:v>20.9</x:v>
      </x:c>
      <x:c r="H3120" s="9" t="n">
        <x:v>97.9</x:v>
      </x:c>
      <x:c r="I3120" s="8" t="str">
        <x:f>B3120&amp;" / "&amp;C3120&amp;" / "&amp;E3120</x:f>
        <x:v>6670 / 2022 / RAINBOW TROUT</x:v>
      </x:c>
    </x:row>
    <x:row r="3121" ht="23" customHeight="1">
      <x:c r="A3121" s="8" t="str">
        <x:v>Two Hills Pond</x:v>
      </x:c>
      <x:c r="B3121" s="8" t="str">
        <x:v>6670</x:v>
      </x:c>
      <x:c r="C3121" s="17" t="n">
        <x:v>2021</x:v>
      </x:c>
      <x:c r="D3121" s="18" t="n">
        <x:v>44326</x:v>
      </x:c>
      <x:c r="E3121" s="8" t="str">
        <x:v>RAINBOW TROUT</x:v>
      </x:c>
      <x:c r="F3121" s="13" t="n">
        <x:v>650</x:v>
      </x:c>
      <x:c r="G3121" s="9" t="n">
        <x:v>20.1</x:v>
      </x:c>
      <x:c r="H3121" s="9" t="n">
        <x:v>87.5</x:v>
      </x:c>
      <x:c r="I3121" s="8" t="str">
        <x:f>B3121&amp;" / "&amp;C3121&amp;" / "&amp;E3121</x:f>
        <x:v>6670 / 2021 / RAINBOW TROUT</x:v>
      </x:c>
    </x:row>
    <x:row r="3122" ht="23" customHeight="1">
      <x:c r="A3122" s="8" t="str">
        <x:v>Upper Burstall Lake</x:v>
      </x:c>
      <x:c r="B3122" s="8" t="str">
        <x:v>4167</x:v>
      </x:c>
      <x:c r="C3122" s="17" t="n">
        <x:v>2025</x:v>
      </x:c>
      <x:c r="D3122" s="18" t="n">
        <x:v>45908</x:v>
      </x:c>
      <x:c r="E3122" s="8" t="str">
        <x:v>CUTTHROAT TROUT</x:v>
      </x:c>
      <x:c r="F3122" s="13" t="n">
        <x:v>1200</x:v>
      </x:c>
      <x:c r="G3122" s="9" t="n">
        <x:v>4.2</x:v>
      </x:c>
      <x:c r="H3122" s="9" t="n">
        <x:v>0.8</x:v>
      </x:c>
      <x:c r="I3122" s="8" t="str">
        <x:f>B3122&amp;" / "&amp;C3122&amp;" / "&amp;E3122</x:f>
        <x:v>4167 / 2025 / CUTTHROAT TROUT</x:v>
      </x:c>
    </x:row>
    <x:row r="3123" ht="23" customHeight="1">
      <x:c r="A3123" s="8" t="str">
        <x:v>Upper Burstall Lake</x:v>
      </x:c>
      <x:c r="B3123" s="8" t="str">
        <x:v>4167</x:v>
      </x:c>
      <x:c r="C3123" s="17" t="n">
        <x:v>2021</x:v>
      </x:c>
      <x:c r="D3123" s="18" t="n">
        <x:v>44447</x:v>
      </x:c>
      <x:c r="E3123" s="8" t="str">
        <x:v>CUTTHROAT TROUT</x:v>
      </x:c>
      <x:c r="F3123" s="13" t="n">
        <x:v>1300</x:v>
      </x:c>
      <x:c r="G3123" s="9" t="n">
        <x:v>4.9</x:v>
      </x:c>
      <x:c r="H3123" s="9" t="n">
        <x:v>1.3</x:v>
      </x:c>
      <x:c r="I3123" s="8" t="str">
        <x:f>B3123&amp;" / "&amp;C3123&amp;" / "&amp;E3123</x:f>
        <x:v>4167 / 2021 / CUTTHROAT TROUT</x:v>
      </x:c>
    </x:row>
    <x:row r="3124" ht="23" customHeight="1">
      <x:c r="A3124" s="8" t="str">
        <x:v>Upper Champion Lake</x:v>
      </x:c>
      <x:c r="B3124" s="8" t="str">
        <x:v>6607</x:v>
      </x:c>
      <x:c r="C3124" s="17" t="n">
        <x:v>2026</x:v>
      </x:c>
      <x:c r="D3124" s="18" t="n">
        <x:v>46178</x:v>
      </x:c>
      <x:c r="E3124" s="8" t="str">
        <x:v>WESTSLOPE CUTTHROAT TROUT</x:v>
      </x:c>
      <x:c r="F3124" s="13" t="n">
        <x:v>300</x:v>
      </x:c>
      <x:c r="G3124" s="9" t="n">
        <x:v>15.8</x:v>
      </x:c>
      <x:c r="H3124" s="9" t="n">
        <x:v>42.5</x:v>
      </x:c>
      <x:c r="I3124" s="8" t="str">
        <x:f>B3124&amp;" / "&amp;C3124&amp;" / "&amp;E3124</x:f>
        <x:v>6607 / 2026 / WESTSLOPE CUTTHROAT TROUT</x:v>
      </x:c>
    </x:row>
    <x:row r="3125" ht="23" customHeight="1">
      <x:c r="A3125" s="8" t="str">
        <x:v>Upper Champion Lake</x:v>
      </x:c>
      <x:c r="B3125" s="8" t="str">
        <x:v>6607</x:v>
      </x:c>
      <x:c r="C3125" s="17" t="n">
        <x:v>2025</x:v>
      </x:c>
      <x:c r="D3125" s="18" t="n">
        <x:v>45810</x:v>
      </x:c>
      <x:c r="E3125" s="8" t="str">
        <x:v>CUTTHROAT TROUT</x:v>
      </x:c>
      <x:c r="F3125" s="13" t="n">
        <x:v>300</x:v>
      </x:c>
      <x:c r="G3125" s="9" t="n">
        <x:v>14.1</x:v>
      </x:c>
      <x:c r="H3125" s="9" t="n">
        <x:v>30.2</x:v>
      </x:c>
      <x:c r="I3125" s="8" t="str">
        <x:f>B3125&amp;" / "&amp;C3125&amp;" / "&amp;E3125</x:f>
        <x:v>6607 / 2025 / CUTTHROAT TROUT</x:v>
      </x:c>
    </x:row>
    <x:row r="3126" ht="23" customHeight="1">
      <x:c r="A3126" s="8" t="str">
        <x:v>Upper Champion Lake</x:v>
      </x:c>
      <x:c r="B3126" s="8" t="str">
        <x:v>6607</x:v>
      </x:c>
      <x:c r="C3126" s="17" t="n">
        <x:v>2023</x:v>
      </x:c>
      <x:c r="D3126" s="18" t="n">
        <x:v>45089</x:v>
      </x:c>
      <x:c r="E3126" s="8" t="str">
        <x:v>CUTTHROAT TROUT</x:v>
      </x:c>
      <x:c r="F3126" s="13" t="n">
        <x:v>300</x:v>
      </x:c>
      <x:c r="G3126" s="9" t="n">
        <x:v>14.5</x:v>
      </x:c>
      <x:c r="H3126" s="9" t="n">
        <x:v>32.8</x:v>
      </x:c>
      <x:c r="I3126" s="8" t="str">
        <x:f>B3126&amp;" / "&amp;C3126&amp;" / "&amp;E3126</x:f>
        <x:v>6607 / 2023 / CUTTHROAT TROUT</x:v>
      </x:c>
    </x:row>
    <x:row r="3127" ht="23" customHeight="1">
      <x:c r="A3127" s="8" t="str">
        <x:v>Upper Champion Lake</x:v>
      </x:c>
      <x:c r="B3127" s="8" t="str">
        <x:v>6607</x:v>
      </x:c>
      <x:c r="C3127" s="17" t="n">
        <x:v>2022</x:v>
      </x:c>
      <x:c r="D3127" s="18" t="n">
        <x:v>44712</x:v>
      </x:c>
      <x:c r="E3127" s="8" t="str">
        <x:v>CUTTHROAT TROUT</x:v>
      </x:c>
      <x:c r="F3127" s="13" t="n">
        <x:v>300</x:v>
      </x:c>
      <x:c r="G3127" s="9" t="n">
        <x:v>13.8</x:v>
      </x:c>
      <x:c r="H3127" s="9" t="n">
        <x:v>28.7</x:v>
      </x:c>
      <x:c r="I3127" s="8" t="str">
        <x:f>B3127&amp;" / "&amp;C3127&amp;" / "&amp;E3127</x:f>
        <x:v>6607 / 2022 / CUTTHROAT TROUT</x:v>
      </x:c>
    </x:row>
    <x:row r="3128" ht="23" customHeight="1">
      <x:c r="A3128" s="8" t="str">
        <x:v>Upper Champion Lake</x:v>
      </x:c>
      <x:c r="B3128" s="8" t="str">
        <x:v>6607</x:v>
      </x:c>
      <x:c r="C3128" s="17" t="n">
        <x:v>2021</x:v>
      </x:c>
      <x:c r="D3128" s="18" t="n">
        <x:v>44363</x:v>
      </x:c>
      <x:c r="E3128" s="8" t="str">
        <x:v>RAINBOW TROUT</x:v>
      </x:c>
      <x:c r="F3128" s="13" t="n">
        <x:v>300</x:v>
      </x:c>
      <x:c r="G3128" s="9" t="n">
        <x:v>22.7</x:v>
      </x:c>
      <x:c r="H3128" s="9" t="n">
        <x:v>129.5</x:v>
      </x:c>
      <x:c r="I3128" s="8" t="str">
        <x:f>B3128&amp;" / "&amp;C3128&amp;" / "&amp;E3128</x:f>
        <x:v>6607 / 2021 / RAINBOW TROUT</x:v>
      </x:c>
    </x:row>
    <x:row r="3129" ht="23" customHeight="1">
      <x:c r="A3129" s="8" t="str">
        <x:v>Upper Headwall Lake</x:v>
      </x:c>
      <x:c r="B3129" s="8" t="str">
        <x:v>4806</x:v>
      </x:c>
      <x:c r="C3129" s="17" t="n">
        <x:v>2021</x:v>
      </x:c>
      <x:c r="D3129" s="18" t="n">
        <x:v>44447</x:v>
      </x:c>
      <x:c r="E3129" s="8" t="str">
        <x:v>CUTTHROAT TROUT</x:v>
      </x:c>
      <x:c r="F3129" s="13" t="n">
        <x:v>900</x:v>
      </x:c>
      <x:c r="G3129" s="9" t="n">
        <x:v>4.9</x:v>
      </x:c>
      <x:c r="H3129" s="9" t="n">
        <x:v>1.3</x:v>
      </x:c>
      <x:c r="I3129" s="8" t="str">
        <x:f>B3129&amp;" / "&amp;C3129&amp;" / "&amp;E3129</x:f>
        <x:v>4806 / 2021 / CUTTHROAT TROUT</x:v>
      </x:c>
    </x:row>
    <x:row r="3130" ht="23" customHeight="1">
      <x:c r="A3130" s="8" t="str">
        <x:v>Upper Hogarth Lake</x:v>
      </x:c>
      <x:c r="B3130" s="8" t="str">
        <x:v>4837</x:v>
      </x:c>
      <x:c r="C3130" s="17" t="n">
        <x:v>2025</x:v>
      </x:c>
      <x:c r="D3130" s="18" t="n">
        <x:v>45908</x:v>
      </x:c>
      <x:c r="E3130" s="8" t="str">
        <x:v>CUTTHROAT TROUT</x:v>
      </x:c>
      <x:c r="F3130" s="13" t="n">
        <x:v>1200</x:v>
      </x:c>
      <x:c r="G3130" s="9" t="n">
        <x:v>4.2</x:v>
      </x:c>
      <x:c r="H3130" s="9" t="n">
        <x:v>0.8</x:v>
      </x:c>
      <x:c r="I3130" s="8" t="str">
        <x:f>B3130&amp;" / "&amp;C3130&amp;" / "&amp;E3130</x:f>
        <x:v>4837 / 2025 / CUTTHROAT TROUT</x:v>
      </x:c>
    </x:row>
    <x:row r="3131" ht="23" customHeight="1">
      <x:c r="A3131" s="8" t="str">
        <x:v>Upper Hogarth Lake</x:v>
      </x:c>
      <x:c r="B3131" s="8" t="str">
        <x:v>4837</x:v>
      </x:c>
      <x:c r="C3131" s="17" t="n">
        <x:v>2021</x:v>
      </x:c>
      <x:c r="D3131" s="18" t="n">
        <x:v>44447</x:v>
      </x:c>
      <x:c r="E3131" s="8" t="str">
        <x:v>CUTTHROAT TROUT</x:v>
      </x:c>
      <x:c r="F3131" s="13" t="n">
        <x:v>250</x:v>
      </x:c>
      <x:c r="G3131" s="9" t="n">
        <x:v>4.9</x:v>
      </x:c>
      <x:c r="H3131" s="9" t="n">
        <x:v>1.3</x:v>
      </x:c>
      <x:c r="I3131" s="8" t="str">
        <x:f>B3131&amp;" / "&amp;C3131&amp;" / "&amp;E3131</x:f>
        <x:v>4837 / 2021 / CUTTHROAT TROUT</x:v>
      </x:c>
    </x:row>
    <x:row r="3132" ht="23" customHeight="1">
      <x:c r="A3132" s="8" t="str">
        <x:v>Upper Kananaskis Lake</x:v>
      </x:c>
      <x:c r="B3132" s="8" t="str">
        <x:v>6061</x:v>
      </x:c>
      <x:c r="C3132" s="17" t="n">
        <x:v>2026</x:v>
      </x:c>
      <x:c r="D3132" s="18" t="n">
        <x:v>46178</x:v>
      </x:c>
      <x:c r="E3132" s="8" t="str">
        <x:v>WESTSLOPE CUTTHROAT TROUT</x:v>
      </x:c>
      <x:c r="F3132" s="13" t="n">
        <x:v>5000</x:v>
      </x:c>
      <x:c r="G3132" s="9" t="n">
        <x:v>15.8</x:v>
      </x:c>
      <x:c r="H3132" s="9" t="n">
        <x:v>42.5</x:v>
      </x:c>
      <x:c r="I3132" s="8" t="str">
        <x:f>B3132&amp;" / "&amp;C3132&amp;" / "&amp;E3132</x:f>
        <x:v>6061 / 2026 / WESTSLOPE CUTTHROAT TROUT</x:v>
      </x:c>
    </x:row>
    <x:row r="3133" ht="23" customHeight="1">
      <x:c r="A3133" s="8" t="str">
        <x:v>Upper Kananaskis Lake</x:v>
      </x:c>
      <x:c r="B3133" s="8" t="str">
        <x:v>6061</x:v>
      </x:c>
      <x:c r="C3133" s="17" t="n">
        <x:v>2025</x:v>
      </x:c>
      <x:c r="D3133" s="18" t="n">
        <x:v>45910</x:v>
      </x:c>
      <x:c r="E3133" s="8" t="str">
        <x:v>CUTTHROAT TROUT</x:v>
      </x:c>
      <x:c r="F3133" s="13" t="n">
        <x:v>2300</x:v>
      </x:c>
      <x:c r="G3133" s="9" t="n">
        <x:v>19.8</x:v>
      </x:c>
      <x:c r="H3133" s="9" t="n">
        <x:v>87</x:v>
      </x:c>
      <x:c r="I3133" s="8" t="str">
        <x:f>B3133&amp;" / "&amp;C3133&amp;" / "&amp;E3133</x:f>
        <x:v>6061 / 2025 / CUTTHROAT TROUT</x:v>
      </x:c>
    </x:row>
    <x:row r="3134" ht="23" customHeight="1">
      <x:c r="A3134" s="8" t="str">
        <x:v>Upper Kananaskis Lake</x:v>
      </x:c>
      <x:c r="B3134" s="8" t="str">
        <x:v>6061</x:v>
      </x:c>
      <x:c r="C3134" s="17" t="n">
        <x:v>2025</x:v>
      </x:c>
      <x:c r="D3134" s="18" t="n">
        <x:v>45832</x:v>
      </x:c>
      <x:c r="E3134" s="8" t="str">
        <x:v>CUTTHROAT TROUT</x:v>
      </x:c>
      <x:c r="F3134" s="13" t="n">
        <x:v>5000</x:v>
      </x:c>
      <x:c r="G3134" s="9" t="n">
        <x:v>15</x:v>
      </x:c>
      <x:c r="H3134" s="9" t="n">
        <x:v>36.8</x:v>
      </x:c>
      <x:c r="I3134" s="8" t="str">
        <x:f>B3134&amp;" / "&amp;C3134&amp;" / "&amp;E3134</x:f>
        <x:v>6061 / 2025 / CUTTHROAT TROUT</x:v>
      </x:c>
    </x:row>
    <x:row r="3135" ht="23" customHeight="1">
      <x:c r="A3135" s="8" t="str">
        <x:v>Upper Kananaskis Lake</x:v>
      </x:c>
      <x:c r="B3135" s="8" t="str">
        <x:v>6061</x:v>
      </x:c>
      <x:c r="C3135" s="17" t="n">
        <x:v>2022</x:v>
      </x:c>
      <x:c r="D3135" s="18" t="n">
        <x:v>44824</x:v>
      </x:c>
      <x:c r="E3135" s="8" t="str">
        <x:v>CUTTHROAT TROUT</x:v>
      </x:c>
      <x:c r="F3135" s="13" t="n">
        <x:v>2000</x:v>
      </x:c>
      <x:c r="G3135" s="9" t="n">
        <x:v>21.5</x:v>
      </x:c>
      <x:c r="H3135" s="9" t="n">
        <x:v>113.3</x:v>
      </x:c>
      <x:c r="I3135" s="8" t="str">
        <x:f>B3135&amp;" / "&amp;C3135&amp;" / "&amp;E3135</x:f>
        <x:v>6061 / 2022 / CUTTHROAT TROUT</x:v>
      </x:c>
    </x:row>
    <x:row r="3136" ht="23" customHeight="1">
      <x:c r="A3136" s="8" t="str">
        <x:v>Upper Kananaskis Lake</x:v>
      </x:c>
      <x:c r="B3136" s="8" t="str">
        <x:v>6061</x:v>
      </x:c>
      <x:c r="C3136" s="17" t="n">
        <x:v>2022</x:v>
      </x:c>
      <x:c r="D3136" s="18" t="n">
        <x:v>44776</x:v>
      </x:c>
      <x:c r="E3136" s="8" t="str">
        <x:v>CUTTHROAT TROUT</x:v>
      </x:c>
      <x:c r="F3136" s="13" t="n">
        <x:v>404</x:v>
      </x:c>
      <x:c r="G3136" s="9" t="n">
        <x:v>50.1</x:v>
      </x:c>
      <x:c r="H3136" s="9" t="n">
        <x:v>1250</x:v>
      </x:c>
      <x:c r="I3136" s="8" t="str">
        <x:f>B3136&amp;" / "&amp;C3136&amp;" / "&amp;E3136</x:f>
        <x:v>6061 / 2022 / CUTTHROAT TROUT</x:v>
      </x:c>
    </x:row>
    <x:row r="3137" ht="23" customHeight="1">
      <x:c r="A3137" s="8" t="str">
        <x:v>Upper Pierre Greys Lake</x:v>
      </x:c>
      <x:c r="B3137" s="8" t="str">
        <x:v>5572</x:v>
      </x:c>
      <x:c r="C3137" s="17" t="n">
        <x:v>2026</x:v>
      </x:c>
      <x:c r="D3137" s="18" t="n">
        <x:v>46174</x:v>
      </x:c>
      <x:c r="E3137" s="8" t="str">
        <x:v>BROOK TROUT</x:v>
      </x:c>
      <x:c r="F3137" s="13" t="n">
        <x:v>9000</x:v>
      </x:c>
      <x:c r="G3137" s="9" t="n">
        <x:v>20.1</x:v>
      </x:c>
      <x:c r="H3137" s="9" t="n">
        <x:v>89.3</x:v>
      </x:c>
      <x:c r="I3137" s="8" t="str">
        <x:f>B3137&amp;" / "&amp;C3137&amp;" / "&amp;E3137</x:f>
        <x:v>5572 / 2026 / BROOK TROUT</x:v>
      </x:c>
    </x:row>
    <x:row r="3138" ht="23" customHeight="1">
      <x:c r="A3138" s="8" t="str">
        <x:v>Upper Pierre Greys Lake</x:v>
      </x:c>
      <x:c r="B3138" s="8" t="str">
        <x:v>5572</x:v>
      </x:c>
      <x:c r="C3138" s="17" t="n">
        <x:v>2026</x:v>
      </x:c>
      <x:c r="D3138" s="18" t="n">
        <x:v>46174</x:v>
      </x:c>
      <x:c r="E3138" s="8" t="str">
        <x:v>BROWN TROUT</x:v>
      </x:c>
      <x:c r="F3138" s="13" t="n">
        <x:v>1000</x:v>
      </x:c>
      <x:c r="G3138" s="9" t="n">
        <x:v>21.9</x:v>
      </x:c>
      <x:c r="H3138" s="9" t="n">
        <x:v>116.4</x:v>
      </x:c>
      <x:c r="I3138" s="8" t="str">
        <x:f>B3138&amp;" / "&amp;C3138&amp;" / "&amp;E3138</x:f>
        <x:v>5572 / 2026 / BROWN TROUT</x:v>
      </x:c>
    </x:row>
    <x:row r="3139" ht="23" customHeight="1">
      <x:c r="A3139" s="8" t="str">
        <x:v>Upper Pierre Greys Lake</x:v>
      </x:c>
      <x:c r="B3139" s="8" t="str">
        <x:v>5572</x:v>
      </x:c>
      <x:c r="C3139" s="17" t="n">
        <x:v>2025</x:v>
      </x:c>
      <x:c r="D3139" s="18" t="n">
        <x:v>45924</x:v>
      </x:c>
      <x:c r="E3139" s="8" t="str">
        <x:v>BROOK TROUT</x:v>
      </x:c>
      <x:c r="F3139" s="13" t="n">
        <x:v>9500</x:v>
      </x:c>
      <x:c r="G3139" s="9" t="n">
        <x:v>12.3</x:v>
      </x:c>
      <x:c r="H3139" s="9" t="n">
        <x:v>20.2</x:v>
      </x:c>
      <x:c r="I3139" s="8" t="str">
        <x:f>B3139&amp;" / "&amp;C3139&amp;" / "&amp;E3139</x:f>
        <x:v>5572 / 2025 / BROOK TROUT</x:v>
      </x:c>
    </x:row>
    <x:row r="3140" ht="23" customHeight="1">
      <x:c r="A3140" s="8" t="str">
        <x:v>Upper Pierre Greys Lake</x:v>
      </x:c>
      <x:c r="B3140" s="8" t="str">
        <x:v>5572</x:v>
      </x:c>
      <x:c r="C3140" s="17" t="n">
        <x:v>2025</x:v>
      </x:c>
      <x:c r="D3140" s="18" t="n">
        <x:v>45833</x:v>
      </x:c>
      <x:c r="E3140" s="8" t="str">
        <x:v>BROOK TROUT</x:v>
      </x:c>
      <x:c r="F3140" s="13" t="n">
        <x:v>3562</x:v>
      </x:c>
      <x:c r="G3140" s="9" t="n">
        <x:v>20.3</x:v>
      </x:c>
      <x:c r="H3140" s="9" t="n">
        <x:v>90.4</x:v>
      </x:c>
      <x:c r="I3140" s="8" t="str">
        <x:f>B3140&amp;" / "&amp;C3140&amp;" / "&amp;E3140</x:f>
        <x:v>5572 / 2025 / BROOK TROUT</x:v>
      </x:c>
    </x:row>
    <x:row r="3141" ht="23" customHeight="1">
      <x:c r="A3141" s="8" t="str">
        <x:v>Upper Pierre Greys Lake</x:v>
      </x:c>
      <x:c r="B3141" s="8" t="str">
        <x:v>5572</x:v>
      </x:c>
      <x:c r="C3141" s="17" t="n">
        <x:v>2025</x:v>
      </x:c>
      <x:c r="D3141" s="18" t="n">
        <x:v>45790</x:v>
      </x:c>
      <x:c r="E3141" s="8" t="str">
        <x:v>BROOK TROUT</x:v>
      </x:c>
      <x:c r="F3141" s="13" t="n">
        <x:v>2000</x:v>
      </x:c>
      <x:c r="G3141" s="9" t="n">
        <x:v>19.8</x:v>
      </x:c>
      <x:c r="H3141" s="9" t="n">
        <x:v>83.3</x:v>
      </x:c>
      <x:c r="I3141" s="8" t="str">
        <x:f>B3141&amp;" / "&amp;C3141&amp;" / "&amp;E3141</x:f>
        <x:v>5572 / 2025 / BROOK TROUT</x:v>
      </x:c>
    </x:row>
    <x:row r="3142" ht="23" customHeight="1">
      <x:c r="A3142" s="8" t="str">
        <x:v>Upper Pierre Greys Lake</x:v>
      </x:c>
      <x:c r="B3142" s="8" t="str">
        <x:v>5572</x:v>
      </x:c>
      <x:c r="C3142" s="17" t="n">
        <x:v>2024</x:v>
      </x:c>
      <x:c r="D3142" s="18" t="n">
        <x:v>45552</x:v>
      </x:c>
      <x:c r="E3142" s="8" t="str">
        <x:v>BROOK TROUT</x:v>
      </x:c>
      <x:c r="F3142" s="13" t="n">
        <x:v>2000</x:v>
      </x:c>
      <x:c r="G3142" s="9" t="n">
        <x:v>23</x:v>
      </x:c>
      <x:c r="H3142" s="9" t="n">
        <x:v>131.6</x:v>
      </x:c>
      <x:c r="I3142" s="8" t="str">
        <x:f>B3142&amp;" / "&amp;C3142&amp;" / "&amp;E3142</x:f>
        <x:v>5572 / 2024 / BROOK TROUT</x:v>
      </x:c>
    </x:row>
    <x:row r="3143" ht="23" customHeight="1">
      <x:c r="A3143" s="8" t="str">
        <x:v>Upper Pierre Greys Lake</x:v>
      </x:c>
      <x:c r="B3143" s="8" t="str">
        <x:v>5572</x:v>
      </x:c>
      <x:c r="C3143" s="17" t="n">
        <x:v>2024</x:v>
      </x:c>
      <x:c r="D3143" s="18" t="n">
        <x:v>45453</x:v>
      </x:c>
      <x:c r="E3143" s="8" t="str">
        <x:v>BROOK TROUT</x:v>
      </x:c>
      <x:c r="F3143" s="13" t="n">
        <x:v>2162</x:v>
      </x:c>
      <x:c r="G3143" s="9" t="n">
        <x:v>21.1</x:v>
      </x:c>
      <x:c r="H3143" s="9" t="n">
        <x:v>74</x:v>
      </x:c>
      <x:c r="I3143" s="8" t="str">
        <x:f>B3143&amp;" / "&amp;C3143&amp;" / "&amp;E3143</x:f>
        <x:v>5572 / 2024 / BROOK TROUT</x:v>
      </x:c>
    </x:row>
    <x:row r="3144" ht="23" customHeight="1">
      <x:c r="A3144" s="8" t="str">
        <x:v>Upper Pierre Greys Lake</x:v>
      </x:c>
      <x:c r="B3144" s="8" t="str">
        <x:v>5572</x:v>
      </x:c>
      <x:c r="C3144" s="17" t="n">
        <x:v>2024</x:v>
      </x:c>
      <x:c r="D3144" s="18" t="n">
        <x:v>45421</x:v>
      </x:c>
      <x:c r="E3144" s="8" t="str">
        <x:v>BROOK TROUT</x:v>
      </x:c>
      <x:c r="F3144" s="13" t="n">
        <x:v>3500</x:v>
      </x:c>
      <x:c r="G3144" s="9" t="n">
        <x:v>19.2</x:v>
      </x:c>
      <x:c r="H3144" s="9" t="n">
        <x:v>76</x:v>
      </x:c>
      <x:c r="I3144" s="8" t="str">
        <x:f>B3144&amp;" / "&amp;C3144&amp;" / "&amp;E3144</x:f>
        <x:v>5572 / 2024 / BROOK TROUT</x:v>
      </x:c>
    </x:row>
    <x:row r="3145" ht="23" customHeight="1">
      <x:c r="A3145" s="8" t="str">
        <x:v>Upper Pierre Greys Lake</x:v>
      </x:c>
      <x:c r="B3145" s="8" t="str">
        <x:v>5572</x:v>
      </x:c>
      <x:c r="C3145" s="17" t="n">
        <x:v>2024</x:v>
      </x:c>
      <x:c r="D3145" s="18" t="n">
        <x:v>45421</x:v>
      </x:c>
      <x:c r="E3145" s="8" t="str">
        <x:v>BROWN TROUT</x:v>
      </x:c>
      <x:c r="F3145" s="13" t="n">
        <x:v>1000</x:v>
      </x:c>
      <x:c r="G3145" s="9" t="n">
        <x:v>20.5</x:v>
      </x:c>
      <x:c r="H3145" s="9" t="n">
        <x:v>93.4</x:v>
      </x:c>
      <x:c r="I3145" s="8" t="str">
        <x:f>B3145&amp;" / "&amp;C3145&amp;" / "&amp;E3145</x:f>
        <x:v>5572 / 2024 / BROWN TROUT</x:v>
      </x:c>
    </x:row>
    <x:row r="3146" ht="23" customHeight="1">
      <x:c r="A3146" s="8" t="str">
        <x:v>Upper Pierre Greys Lake</x:v>
      </x:c>
      <x:c r="B3146" s="8" t="str">
        <x:v>5572</x:v>
      </x:c>
      <x:c r="C3146" s="17" t="n">
        <x:v>2023</x:v>
      </x:c>
      <x:c r="D3146" s="18" t="n">
        <x:v>45177</x:v>
      </x:c>
      <x:c r="E3146" s="8" t="str">
        <x:v>BROOK TROUT</x:v>
      </x:c>
      <x:c r="F3146" s="13" t="n">
        <x:v>8000</x:v>
      </x:c>
      <x:c r="G3146" s="9" t="n">
        <x:v>10.9</x:v>
      </x:c>
      <x:c r="H3146" s="9" t="n">
        <x:v>13.9</x:v>
      </x:c>
      <x:c r="I3146" s="8" t="str">
        <x:f>B3146&amp;" / "&amp;C3146&amp;" / "&amp;E3146</x:f>
        <x:v>5572 / 2023 / BROOK TROUT</x:v>
      </x:c>
    </x:row>
    <x:row r="3147" ht="23" customHeight="1">
      <x:c r="A3147" s="8" t="str">
        <x:v>Upper Pierre Greys Lake</x:v>
      </x:c>
      <x:c r="B3147" s="8" t="str">
        <x:v>5572</x:v>
      </x:c>
      <x:c r="C3147" s="17" t="n">
        <x:v>2023</x:v>
      </x:c>
      <x:c r="D3147" s="18" t="n">
        <x:v>45070</x:v>
      </x:c>
      <x:c r="E3147" s="8" t="str">
        <x:v>BROOK TROUT</x:v>
      </x:c>
      <x:c r="F3147" s="13" t="n">
        <x:v>6000</x:v>
      </x:c>
      <x:c r="G3147" s="9" t="n">
        <x:v>20.2</x:v>
      </x:c>
      <x:c r="H3147" s="9" t="n">
        <x:v>55.6</x:v>
      </x:c>
      <x:c r="I3147" s="8" t="str">
        <x:f>B3147&amp;" / "&amp;C3147&amp;" / "&amp;E3147</x:f>
        <x:v>5572 / 2023 / BROOK TROUT</x:v>
      </x:c>
    </x:row>
    <x:row r="3148" ht="23" customHeight="1">
      <x:c r="A3148" s="8" t="str">
        <x:v>Upper Pierre Greys Lake</x:v>
      </x:c>
      <x:c r="B3148" s="8" t="str">
        <x:v>5572</x:v>
      </x:c>
      <x:c r="C3148" s="17" t="n">
        <x:v>2022</x:v>
      </x:c>
      <x:c r="D3148" s="18" t="n">
        <x:v>44816</x:v>
      </x:c>
      <x:c r="E3148" s="8" t="str">
        <x:v>BROOK TROUT</x:v>
      </x:c>
      <x:c r="F3148" s="13" t="n">
        <x:v>5000</x:v>
      </x:c>
      <x:c r="G3148" s="9" t="n">
        <x:v>12.7</x:v>
      </x:c>
      <x:c r="H3148" s="9" t="n">
        <x:v>22.7</x:v>
      </x:c>
      <x:c r="I3148" s="8" t="str">
        <x:f>B3148&amp;" / "&amp;C3148&amp;" / "&amp;E3148</x:f>
        <x:v>5572 / 2022 / BROOK TROUT</x:v>
      </x:c>
    </x:row>
    <x:row r="3149" ht="23" customHeight="1">
      <x:c r="A3149" s="8" t="str">
        <x:v>Upper Pierre Greys Lake</x:v>
      </x:c>
      <x:c r="B3149" s="8" t="str">
        <x:v>5572</x:v>
      </x:c>
      <x:c r="C3149" s="17" t="n">
        <x:v>2022</x:v>
      </x:c>
      <x:c r="D3149" s="18" t="n">
        <x:v>44710</x:v>
      </x:c>
      <x:c r="E3149" s="8" t="str">
        <x:v>BROOK TROUT</x:v>
      </x:c>
      <x:c r="F3149" s="13" t="n">
        <x:v>5737</x:v>
      </x:c>
      <x:c r="G3149" s="9" t="n">
        <x:v>19.4</x:v>
      </x:c>
      <x:c r="H3149" s="9" t="n">
        <x:v>80.2</x:v>
      </x:c>
      <x:c r="I3149" s="8" t="str">
        <x:f>B3149&amp;" / "&amp;C3149&amp;" / "&amp;E3149</x:f>
        <x:v>5572 / 2022 / BROOK TROUT</x:v>
      </x:c>
    </x:row>
    <x:row r="3150" ht="23" customHeight="1">
      <x:c r="A3150" s="8" t="str">
        <x:v>Upper Pierre Greys Lake</x:v>
      </x:c>
      <x:c r="B3150" s="8" t="str">
        <x:v>5572</x:v>
      </x:c>
      <x:c r="C3150" s="17" t="n">
        <x:v>2022</x:v>
      </x:c>
      <x:c r="D3150" s="18" t="n">
        <x:v>44710</x:v>
      </x:c>
      <x:c r="E3150" s="8" t="str">
        <x:v>BROWN TROUT</x:v>
      </x:c>
      <x:c r="F3150" s="13" t="n">
        <x:v>1000</x:v>
      </x:c>
      <x:c r="G3150" s="9" t="n">
        <x:v>17.7</x:v>
      </x:c>
      <x:c r="H3150" s="9" t="n">
        <x:v>61.3</x:v>
      </x:c>
      <x:c r="I3150" s="8" t="str">
        <x:f>B3150&amp;" / "&amp;C3150&amp;" / "&amp;E3150</x:f>
        <x:v>5572 / 2022 / BROWN TROUT</x:v>
      </x:c>
    </x:row>
    <x:row r="3151" ht="23" customHeight="1">
      <x:c r="A3151" s="8" t="str">
        <x:v>Upper Pierre Greys Lake</x:v>
      </x:c>
      <x:c r="B3151" s="8" t="str">
        <x:v>5572</x:v>
      </x:c>
      <x:c r="C3151" s="17" t="n">
        <x:v>2021</x:v>
      </x:c>
      <x:c r="D3151" s="18" t="n">
        <x:v>44346</x:v>
      </x:c>
      <x:c r="E3151" s="8" t="str">
        <x:v>BROOK TROUT</x:v>
      </x:c>
      <x:c r="F3151" s="13" t="n">
        <x:v>9000</x:v>
      </x:c>
      <x:c r="G3151" s="9" t="n">
        <x:v>18.5</x:v>
      </x:c>
      <x:c r="H3151" s="9" t="n">
        <x:v>70</x:v>
      </x:c>
      <x:c r="I3151" s="8" t="str">
        <x:f>B3151&amp;" / "&amp;C3151&amp;" / "&amp;E3151</x:f>
        <x:v>5572 / 2021 / BROOK TROUT</x:v>
      </x:c>
    </x:row>
    <x:row r="3152" ht="23" customHeight="1">
      <x:c r="A3152" s="8" t="str">
        <x:v>Upper Smuts Lake</x:v>
      </x:c>
      <x:c r="B3152" s="8" t="str">
        <x:v>6606</x:v>
      </x:c>
      <x:c r="C3152" s="17" t="n">
        <x:v>2025</x:v>
      </x:c>
      <x:c r="D3152" s="18" t="n">
        <x:v>45908</x:v>
      </x:c>
      <x:c r="E3152" s="8" t="str">
        <x:v>CUTTHROAT TROUT</x:v>
      </x:c>
      <x:c r="F3152" s="13" t="n">
        <x:v>200</x:v>
      </x:c>
      <x:c r="G3152" s="9" t="n">
        <x:v>4.2</x:v>
      </x:c>
      <x:c r="H3152" s="9" t="n">
        <x:v>0.8</x:v>
      </x:c>
      <x:c r="I3152" s="8" t="str">
        <x:f>B3152&amp;" / "&amp;C3152&amp;" / "&amp;E3152</x:f>
        <x:v>6606 / 2025 / CUTTHROAT TROUT</x:v>
      </x:c>
    </x:row>
    <x:row r="3153" ht="23" customHeight="1">
      <x:c r="A3153" s="8" t="str">
        <x:v>Upper Wildhorse Lake</x:v>
      </x:c>
      <x:c r="B3153" s="8" t="str">
        <x:v>6160</x:v>
      </x:c>
      <x:c r="C3153" s="17" t="n">
        <x:v>2026</x:v>
      </x:c>
      <x:c r="D3153" s="18" t="n">
        <x:v>46170</x:v>
      </x:c>
      <x:c r="E3153" s="8" t="str">
        <x:v>BROOK TROUT</x:v>
      </x:c>
      <x:c r="F3153" s="13" t="n">
        <x:v>2500</x:v>
      </x:c>
      <x:c r="G3153" s="9" t="n">
        <x:v>5.2</x:v>
      </x:c>
      <x:c r="H3153" s="9" t="n">
        <x:v>1.5</x:v>
      </x:c>
      <x:c r="I3153" s="8" t="str">
        <x:f>B3153&amp;" / "&amp;C3153&amp;" / "&amp;E3153</x:f>
        <x:v>6160 / 2026 / BROOK TROUT</x:v>
      </x:c>
    </x:row>
    <x:row r="3154" ht="23" customHeight="1">
      <x:c r="A3154" s="8" t="str">
        <x:v>Upper Wildhorse Lake</x:v>
      </x:c>
      <x:c r="B3154" s="8" t="str">
        <x:v>6160</x:v>
      </x:c>
      <x:c r="C3154" s="17" t="n">
        <x:v>2025</x:v>
      </x:c>
      <x:c r="D3154" s="18" t="n">
        <x:v>45796</x:v>
      </x:c>
      <x:c r="E3154" s="8" t="str">
        <x:v>BROOK TROUT</x:v>
      </x:c>
      <x:c r="F3154" s="13" t="n">
        <x:v>2500</x:v>
      </x:c>
      <x:c r="G3154" s="9" t="n">
        <x:v>5.1</x:v>
      </x:c>
      <x:c r="H3154" s="9" t="n">
        <x:v>1.4</x:v>
      </x:c>
      <x:c r="I3154" s="8" t="str">
        <x:f>B3154&amp;" / "&amp;C3154&amp;" / "&amp;E3154</x:f>
        <x:v>6160 / 2025 / BROOK TROUT</x:v>
      </x:c>
    </x:row>
    <x:row r="3155" ht="23" customHeight="1">
      <x:c r="A3155" s="8" t="str">
        <x:v>Upper Wildhorse Lake</x:v>
      </x:c>
      <x:c r="B3155" s="8" t="str">
        <x:v>6160</x:v>
      </x:c>
      <x:c r="C3155" s="17" t="n">
        <x:v>2024</x:v>
      </x:c>
      <x:c r="D3155" s="18" t="n">
        <x:v>45442</x:v>
      </x:c>
      <x:c r="E3155" s="8" t="str">
        <x:v>BROOK TROUT</x:v>
      </x:c>
      <x:c r="F3155" s="13" t="n">
        <x:v>2500</x:v>
      </x:c>
      <x:c r="G3155" s="9" t="n">
        <x:v>7.4</x:v>
      </x:c>
      <x:c r="H3155" s="9" t="n">
        <x:v>4.4</x:v>
      </x:c>
      <x:c r="I3155" s="8" t="str">
        <x:f>B3155&amp;" / "&amp;C3155&amp;" / "&amp;E3155</x:f>
        <x:v>6160 / 2024 / BROOK TROUT</x:v>
      </x:c>
    </x:row>
    <x:row r="3156" ht="23" customHeight="1">
      <x:c r="A3156" s="8" t="str">
        <x:v>Upper Wildhorse Lake</x:v>
      </x:c>
      <x:c r="B3156" s="8" t="str">
        <x:v>6160</x:v>
      </x:c>
      <x:c r="C3156" s="17" t="n">
        <x:v>2022</x:v>
      </x:c>
      <x:c r="D3156" s="18" t="n">
        <x:v>44719</x:v>
      </x:c>
      <x:c r="E3156" s="8" t="str">
        <x:v>BROOK TROUT</x:v>
      </x:c>
      <x:c r="F3156" s="13" t="n">
        <x:v>2500</x:v>
      </x:c>
      <x:c r="G3156" s="9" t="n">
        <x:v>7.4</x:v>
      </x:c>
      <x:c r="H3156" s="9" t="n">
        <x:v>4.4</x:v>
      </x:c>
      <x:c r="I3156" s="8" t="str">
        <x:f>B3156&amp;" / "&amp;C3156&amp;" / "&amp;E3156</x:f>
        <x:v>6160 / 2022 / BROOK TROUT</x:v>
      </x:c>
    </x:row>
    <x:row r="3157" ht="23" customHeight="1">
      <x:c r="A3157" s="8" t="str">
        <x:v>Upper Wildhorse Lake</x:v>
      </x:c>
      <x:c r="B3157" s="8" t="str">
        <x:v>6160</x:v>
      </x:c>
      <x:c r="C3157" s="17" t="n">
        <x:v>2021</x:v>
      </x:c>
      <x:c r="D3157" s="18" t="n">
        <x:v>44348</x:v>
      </x:c>
      <x:c r="E3157" s="8" t="str">
        <x:v>BROOK TROUT</x:v>
      </x:c>
      <x:c r="F3157" s="13" t="n">
        <x:v>2500</x:v>
      </x:c>
      <x:c r="G3157" s="9" t="n">
        <x:v>6.6</x:v>
      </x:c>
      <x:c r="H3157" s="9" t="n">
        <x:v>3.2</x:v>
      </x:c>
      <x:c r="I3157" s="8" t="str">
        <x:f>B3157&amp;" / "&amp;C3157&amp;" / "&amp;E3157</x:f>
        <x:v>6160 / 2021 / BROOK TROUT</x:v>
      </x:c>
    </x:row>
    <x:row r="3158" ht="23" customHeight="1">
      <x:c r="A3158" s="8" t="str">
        <x:v>Valleyview Children's Pond</x:v>
      </x:c>
      <x:c r="B3158" s="8" t="str">
        <x:v>6618</x:v>
      </x:c>
      <x:c r="C3158" s="17" t="n">
        <x:v>2026</x:v>
      </x:c>
      <x:c r="D3158" s="18" t="n">
        <x:v>46161</x:v>
      </x:c>
      <x:c r="E3158" s="8" t="str">
        <x:v>RAINBOW TROUT</x:v>
      </x:c>
      <x:c r="F3158" s="13" t="n">
        <x:v>500</x:v>
      </x:c>
      <x:c r="G3158" s="9" t="n">
        <x:v>23.7</x:v>
      </x:c>
      <x:c r="H3158" s="9" t="n">
        <x:v>147.2</x:v>
      </x:c>
      <x:c r="I3158" s="8" t="str">
        <x:f>B3158&amp;" / "&amp;C3158&amp;" / "&amp;E3158</x:f>
        <x:v>6618 / 2026 / RAINBOW TROUT</x:v>
      </x:c>
    </x:row>
    <x:row r="3159" ht="23" customHeight="1">
      <x:c r="A3159" s="8" t="str">
        <x:v>Valleyview Children's Pond</x:v>
      </x:c>
      <x:c r="B3159" s="8" t="str">
        <x:v>6618</x:v>
      </x:c>
      <x:c r="C3159" s="17" t="n">
        <x:v>2025</x:v>
      </x:c>
      <x:c r="D3159" s="18" t="n">
        <x:v>45788</x:v>
      </x:c>
      <x:c r="E3159" s="8" t="str">
        <x:v>RAINBOW TROUT</x:v>
      </x:c>
      <x:c r="F3159" s="13" t="n">
        <x:v>500</x:v>
      </x:c>
      <x:c r="G3159" s="9" t="n">
        <x:v>23.6</x:v>
      </x:c>
      <x:c r="H3159" s="9" t="n">
        <x:v>144.6</x:v>
      </x:c>
      <x:c r="I3159" s="8" t="str">
        <x:f>B3159&amp;" / "&amp;C3159&amp;" / "&amp;E3159</x:f>
        <x:v>6618 / 2025 / RAINBOW TROUT</x:v>
      </x:c>
    </x:row>
    <x:row r="3160" ht="23" customHeight="1">
      <x:c r="A3160" s="8" t="str">
        <x:v>Valleyview Children's Pond</x:v>
      </x:c>
      <x:c r="B3160" s="8" t="str">
        <x:v>6618</x:v>
      </x:c>
      <x:c r="C3160" s="17" t="n">
        <x:v>2024</x:v>
      </x:c>
      <x:c r="D3160" s="18" t="n">
        <x:v>45441</x:v>
      </x:c>
      <x:c r="E3160" s="8" t="str">
        <x:v>RAINBOW TROUT</x:v>
      </x:c>
      <x:c r="F3160" s="13" t="n">
        <x:v>250</x:v>
      </x:c>
      <x:c r="G3160" s="9" t="n">
        <x:v>20.7</x:v>
      </x:c>
      <x:c r="H3160" s="9" t="n">
        <x:v>95.2</x:v>
      </x:c>
      <x:c r="I3160" s="8" t="str">
        <x:f>B3160&amp;" / "&amp;C3160&amp;" / "&amp;E3160</x:f>
        <x:v>6618 / 2024 / RAINBOW TROUT</x:v>
      </x:c>
    </x:row>
    <x:row r="3161" ht="23" customHeight="1">
      <x:c r="A3161" s="8" t="str">
        <x:v>Valleyview Children's Pond</x:v>
      </x:c>
      <x:c r="B3161" s="8" t="str">
        <x:v>6618</x:v>
      </x:c>
      <x:c r="C3161" s="17" t="n">
        <x:v>2023</x:v>
      </x:c>
      <x:c r="D3161" s="18" t="n">
        <x:v>45068</x:v>
      </x:c>
      <x:c r="E3161" s="8" t="str">
        <x:v>RAINBOW TROUT</x:v>
      </x:c>
      <x:c r="F3161" s="13" t="n">
        <x:v>251</x:v>
      </x:c>
      <x:c r="G3161" s="9" t="n">
        <x:v>21.5</x:v>
      </x:c>
      <x:c r="H3161" s="9" t="n">
        <x:v>108</x:v>
      </x:c>
      <x:c r="I3161" s="8" t="str">
        <x:f>B3161&amp;" / "&amp;C3161&amp;" / "&amp;E3161</x:f>
        <x:v>6618 / 2023 / RAINBOW TROUT</x:v>
      </x:c>
    </x:row>
    <x:row r="3162" ht="23" customHeight="1">
      <x:c r="A3162" s="8" t="str">
        <x:v>Valleyview Children's Pond</x:v>
      </x:c>
      <x:c r="B3162" s="8" t="str">
        <x:v>6618</x:v>
      </x:c>
      <x:c r="C3162" s="17" t="n">
        <x:v>2022</x:v>
      </x:c>
      <x:c r="D3162" s="18" t="n">
        <x:v>44696</x:v>
      </x:c>
      <x:c r="E3162" s="8" t="str">
        <x:v>RAINBOW TROUT</x:v>
      </x:c>
      <x:c r="F3162" s="13" t="n">
        <x:v>500</x:v>
      </x:c>
      <x:c r="G3162" s="9" t="n">
        <x:v>21.9</x:v>
      </x:c>
      <x:c r="H3162" s="9" t="n">
        <x:v>116.9</x:v>
      </x:c>
      <x:c r="I3162" s="8" t="str">
        <x:f>B3162&amp;" / "&amp;C3162&amp;" / "&amp;E3162</x:f>
        <x:v>6618 / 2022 / RAINBOW TROUT</x:v>
      </x:c>
    </x:row>
    <x:row r="3163" ht="23" customHeight="1">
      <x:c r="A3163" s="8" t="str">
        <x:v>Valleyview Children's Pond</x:v>
      </x:c>
      <x:c r="B3163" s="8" t="str">
        <x:v>6618</x:v>
      </x:c>
      <x:c r="C3163" s="17" t="n">
        <x:v>2021</x:v>
      </x:c>
      <x:c r="D3163" s="18" t="n">
        <x:v>44332</x:v>
      </x:c>
      <x:c r="E3163" s="8" t="str">
        <x:v>RAINBOW TROUT</x:v>
      </x:c>
      <x:c r="F3163" s="13" t="n">
        <x:v>500</x:v>
      </x:c>
      <x:c r="G3163" s="9" t="n">
        <x:v>19.1</x:v>
      </x:c>
      <x:c r="H3163" s="9" t="n">
        <x:v>77.4</x:v>
      </x:c>
      <x:c r="I3163" s="8" t="str">
        <x:f>B3163&amp;" / "&amp;C3163&amp;" / "&amp;E3163</x:f>
        <x:v>6618 / 2021 / RAINBOW TROUT</x:v>
      </x:c>
    </x:row>
    <x:row r="3164" ht="23" customHeight="1">
      <x:c r="A3164" s="8" t="str">
        <x:v>Vegreville Children's Pond</x:v>
      </x:c>
      <x:c r="B3164" s="8" t="str">
        <x:v>6619</x:v>
      </x:c>
      <x:c r="C3164" s="17" t="n">
        <x:v>2026</x:v>
      </x:c>
      <x:c r="D3164" s="18" t="n">
        <x:v>46155</x:v>
      </x:c>
      <x:c r="E3164" s="8" t="str">
        <x:v>RAINBOW TROUT</x:v>
      </x:c>
      <x:c r="F3164" s="13" t="n">
        <x:v>600</x:v>
      </x:c>
      <x:c r="G3164" s="9" t="n">
        <x:v>20.7</x:v>
      </x:c>
      <x:c r="H3164" s="9" t="n">
        <x:v>93.9</x:v>
      </x:c>
      <x:c r="I3164" s="8" t="str">
        <x:f>B3164&amp;" / "&amp;C3164&amp;" / "&amp;E3164</x:f>
        <x:v>6619 / 2026 / RAINBOW TROUT</x:v>
      </x:c>
    </x:row>
    <x:row r="3165" ht="23" customHeight="1">
      <x:c r="A3165" s="8" t="str">
        <x:v>Vegreville Children's Pond</x:v>
      </x:c>
      <x:c r="B3165" s="8" t="str">
        <x:v>6619</x:v>
      </x:c>
      <x:c r="C3165" s="17" t="n">
        <x:v>2025</x:v>
      </x:c>
      <x:c r="D3165" s="18" t="n">
        <x:v>45789</x:v>
      </x:c>
      <x:c r="E3165" s="8" t="str">
        <x:v>RAINBOW TROUT</x:v>
      </x:c>
      <x:c r="F3165" s="13" t="n">
        <x:v>600</x:v>
      </x:c>
      <x:c r="G3165" s="9" t="n">
        <x:v>21</x:v>
      </x:c>
      <x:c r="H3165" s="9" t="n">
        <x:v>89</x:v>
      </x:c>
      <x:c r="I3165" s="8" t="str">
        <x:f>B3165&amp;" / "&amp;C3165&amp;" / "&amp;E3165</x:f>
        <x:v>6619 / 2025 / RAINBOW TROUT</x:v>
      </x:c>
    </x:row>
    <x:row r="3166" ht="23" customHeight="1">
      <x:c r="A3166" s="8" t="str">
        <x:v>Vegreville Children's Pond</x:v>
      </x:c>
      <x:c r="B3166" s="8" t="str">
        <x:v>6619</x:v>
      </x:c>
      <x:c r="C3166" s="17" t="n">
        <x:v>2024</x:v>
      </x:c>
      <x:c r="D3166" s="18" t="n">
        <x:v>45420</x:v>
      </x:c>
      <x:c r="E3166" s="8" t="str">
        <x:v>RAINBOW TROUT</x:v>
      </x:c>
      <x:c r="F3166" s="13" t="n">
        <x:v>600</x:v>
      </x:c>
      <x:c r="G3166" s="9" t="n">
        <x:v>20.9</x:v>
      </x:c>
      <x:c r="H3166" s="9" t="n">
        <x:v>91.8</x:v>
      </x:c>
      <x:c r="I3166" s="8" t="str">
        <x:f>B3166&amp;" / "&amp;C3166&amp;" / "&amp;E3166</x:f>
        <x:v>6619 / 2024 / RAINBOW TROUT</x:v>
      </x:c>
    </x:row>
    <x:row r="3167" ht="23" customHeight="1">
      <x:c r="A3167" s="8" t="str">
        <x:v>Vegreville Children's Pond</x:v>
      </x:c>
      <x:c r="B3167" s="8" t="str">
        <x:v>6619</x:v>
      </x:c>
      <x:c r="C3167" s="17" t="n">
        <x:v>2023</x:v>
      </x:c>
      <x:c r="D3167" s="18" t="n">
        <x:v>45063</x:v>
      </x:c>
      <x:c r="E3167" s="8" t="str">
        <x:v>RAINBOW TROUT</x:v>
      </x:c>
      <x:c r="F3167" s="13" t="n">
        <x:v>675</x:v>
      </x:c>
      <x:c r="G3167" s="9" t="n">
        <x:v>20.5</x:v>
      </x:c>
      <x:c r="H3167" s="9" t="n">
        <x:v>89.9</x:v>
      </x:c>
      <x:c r="I3167" s="8" t="str">
        <x:f>B3167&amp;" / "&amp;C3167&amp;" / "&amp;E3167</x:f>
        <x:v>6619 / 2023 / RAINBOW TROUT</x:v>
      </x:c>
    </x:row>
    <x:row r="3168" ht="23" customHeight="1">
      <x:c r="A3168" s="8" t="str">
        <x:v>Vegreville Children's Pond</x:v>
      </x:c>
      <x:c r="B3168" s="8" t="str">
        <x:v>6619</x:v>
      </x:c>
      <x:c r="C3168" s="17" t="n">
        <x:v>2022</x:v>
      </x:c>
      <x:c r="D3168" s="18" t="n">
        <x:v>44699</x:v>
      </x:c>
      <x:c r="E3168" s="8" t="str">
        <x:v>RAINBOW TROUT</x:v>
      </x:c>
      <x:c r="F3168" s="13" t="n">
        <x:v>700</x:v>
      </x:c>
      <x:c r="G3168" s="9" t="n">
        <x:v>20.9</x:v>
      </x:c>
      <x:c r="H3168" s="9" t="n">
        <x:v>97.9</x:v>
      </x:c>
      <x:c r="I3168" s="8" t="str">
        <x:f>B3168&amp;" / "&amp;C3168&amp;" / "&amp;E3168</x:f>
        <x:v>6619 / 2022 / RAINBOW TROUT</x:v>
      </x:c>
    </x:row>
    <x:row r="3169" ht="23" customHeight="1">
      <x:c r="A3169" s="8" t="str">
        <x:v>Vegreville Children's Pond</x:v>
      </x:c>
      <x:c r="B3169" s="8" t="str">
        <x:v>6619</x:v>
      </x:c>
      <x:c r="C3169" s="17" t="n">
        <x:v>2021</x:v>
      </x:c>
      <x:c r="D3169" s="18" t="n">
        <x:v>44326</x:v>
      </x:c>
      <x:c r="E3169" s="8" t="str">
        <x:v>RAINBOW TROUT</x:v>
      </x:c>
      <x:c r="F3169" s="13" t="n">
        <x:v>500</x:v>
      </x:c>
      <x:c r="G3169" s="9" t="n">
        <x:v>20.1</x:v>
      </x:c>
      <x:c r="H3169" s="9" t="n">
        <x:v>87.5</x:v>
      </x:c>
      <x:c r="I3169" s="8" t="str">
        <x:f>B3169&amp;" / "&amp;C3169&amp;" / "&amp;E3169</x:f>
        <x:v>6619 / 2021 / RAINBOW TROUT</x:v>
      </x:c>
    </x:row>
    <x:row r="3170" ht="23" customHeight="1">
      <x:c r="A3170" s="8" t="str">
        <x:v>Vegreville Trout Pond</x:v>
      </x:c>
      <x:c r="B3170" s="8" t="str">
        <x:v>6620</x:v>
      </x:c>
      <x:c r="C3170" s="17" t="n">
        <x:v>2026</x:v>
      </x:c>
      <x:c r="D3170" s="18" t="n">
        <x:v>46154</x:v>
      </x:c>
      <x:c r="E3170" s="8" t="str">
        <x:v>RAINBOW TROUT</x:v>
      </x:c>
      <x:c r="F3170" s="13" t="n">
        <x:v>10000</x:v>
      </x:c>
      <x:c r="G3170" s="9" t="n">
        <x:v>20.2</x:v>
      </x:c>
      <x:c r="H3170" s="9" t="n">
        <x:v>91.7</x:v>
      </x:c>
      <x:c r="I3170" s="8" t="str">
        <x:f>B3170&amp;" / "&amp;C3170&amp;" / "&amp;E3170</x:f>
        <x:v>6620 / 2026 / RAINBOW TROUT</x:v>
      </x:c>
    </x:row>
    <x:row r="3171" ht="23" customHeight="1">
      <x:c r="A3171" s="8" t="str">
        <x:v>Vegreville Trout Pond</x:v>
      </x:c>
      <x:c r="B3171" s="8" t="str">
        <x:v>6620</x:v>
      </x:c>
      <x:c r="C3171" s="17" t="n">
        <x:v>2025</x:v>
      </x:c>
      <x:c r="D3171" s="18" t="n">
        <x:v>45772</x:v>
      </x:c>
      <x:c r="E3171" s="8" t="str">
        <x:v>RAINBOW TROUT</x:v>
      </x:c>
      <x:c r="F3171" s="13" t="n">
        <x:v>10000</x:v>
      </x:c>
      <x:c r="G3171" s="9" t="n">
        <x:v>20.6</x:v>
      </x:c>
      <x:c r="H3171" s="9" t="n">
        <x:v>96.4</x:v>
      </x:c>
      <x:c r="I3171" s="8" t="str">
        <x:f>B3171&amp;" / "&amp;C3171&amp;" / "&amp;E3171</x:f>
        <x:v>6620 / 2025 / RAINBOW TROUT</x:v>
      </x:c>
    </x:row>
    <x:row r="3172" ht="23" customHeight="1">
      <x:c r="A3172" s="8" t="str">
        <x:v>Vegreville Trout Pond</x:v>
      </x:c>
      <x:c r="B3172" s="8" t="str">
        <x:v>6620</x:v>
      </x:c>
      <x:c r="C3172" s="17" t="n">
        <x:v>2024</x:v>
      </x:c>
      <x:c r="D3172" s="18" t="n">
        <x:v>45566</x:v>
      </x:c>
      <x:c r="E3172" s="8" t="str">
        <x:v>RAINBOW TROUT</x:v>
      </x:c>
      <x:c r="F3172" s="13" t="n">
        <x:v>5000</x:v>
      </x:c>
      <x:c r="G3172" s="9" t="n">
        <x:v>21.6</x:v>
      </x:c>
      <x:c r="H3172" s="9" t="n">
        <x:v>103.4</x:v>
      </x:c>
      <x:c r="I3172" s="8" t="str">
        <x:f>B3172&amp;" / "&amp;C3172&amp;" / "&amp;E3172</x:f>
        <x:v>6620 / 2024 / RAINBOW TROUT</x:v>
      </x:c>
    </x:row>
    <x:row r="3173" ht="23" customHeight="1">
      <x:c r="A3173" s="8" t="str">
        <x:v>Vegreville Trout Pond</x:v>
      </x:c>
      <x:c r="B3173" s="8" t="str">
        <x:v>6620</x:v>
      </x:c>
      <x:c r="C3173" s="17" t="n">
        <x:v>2024</x:v>
      </x:c>
      <x:c r="D3173" s="18" t="n">
        <x:v>45401</x:v>
      </x:c>
      <x:c r="E3173" s="8" t="str">
        <x:v>RAINBOW TROUT</x:v>
      </x:c>
      <x:c r="F3173" s="13" t="n">
        <x:v>10000</x:v>
      </x:c>
      <x:c r="G3173" s="9" t="n">
        <x:v>7.7</x:v>
      </x:c>
      <x:c r="H3173" s="9" t="n">
        <x:v>5</x:v>
      </x:c>
      <x:c r="I3173" s="8" t="str">
        <x:f>B3173&amp;" / "&amp;C3173&amp;" / "&amp;E3173</x:f>
        <x:v>6620 / 2024 / RAINBOW TROUT</x:v>
      </x:c>
    </x:row>
    <x:row r="3174" ht="23" customHeight="1">
      <x:c r="A3174" s="8" t="str">
        <x:v>Vegreville Trout Pond</x:v>
      </x:c>
      <x:c r="B3174" s="8" t="str">
        <x:v>6620</x:v>
      </x:c>
      <x:c r="C3174" s="17" t="n">
        <x:v>2024</x:v>
      </x:c>
      <x:c r="D3174" s="18" t="n">
        <x:v>45401</x:v>
      </x:c>
      <x:c r="E3174" s="8" t="str">
        <x:v>RAINBOW TROUT</x:v>
      </x:c>
      <x:c r="F3174" s="13" t="n">
        <x:v>4000</x:v>
      </x:c>
      <x:c r="G3174" s="9" t="n">
        <x:v>20</x:v>
      </x:c>
      <x:c r="H3174" s="9" t="n">
        <x:v>87</x:v>
      </x:c>
      <x:c r="I3174" s="8" t="str">
        <x:f>B3174&amp;" / "&amp;C3174&amp;" / "&amp;E3174</x:f>
        <x:v>6620 / 2024 / RAINBOW TROUT</x:v>
      </x:c>
    </x:row>
    <x:row r="3175" ht="23" customHeight="1">
      <x:c r="A3175" s="8" t="str">
        <x:v>Vegreville Trout Pond</x:v>
      </x:c>
      <x:c r="B3175" s="8" t="str">
        <x:v>6620</x:v>
      </x:c>
      <x:c r="C3175" s="17" t="n">
        <x:v>2023</x:v>
      </x:c>
      <x:c r="D3175" s="18" t="n">
        <x:v>45188</x:v>
      </x:c>
      <x:c r="E3175" s="8" t="str">
        <x:v>RAINBOW TROUT</x:v>
      </x:c>
      <x:c r="F3175" s="13" t="n">
        <x:v>4000</x:v>
      </x:c>
      <x:c r="G3175" s="9" t="n">
        <x:v>14.4</x:v>
      </x:c>
      <x:c r="H3175" s="9" t="n">
        <x:v>32.5</x:v>
      </x:c>
      <x:c r="I3175" s="8" t="str">
        <x:f>B3175&amp;" / "&amp;C3175&amp;" / "&amp;E3175</x:f>
        <x:v>6620 / 2023 / RAINBOW TROUT</x:v>
      </x:c>
    </x:row>
    <x:row r="3176" ht="23" customHeight="1">
      <x:c r="A3176" s="8" t="str">
        <x:v>Vegreville Trout Pond</x:v>
      </x:c>
      <x:c r="B3176" s="8" t="str">
        <x:v>6620</x:v>
      </x:c>
      <x:c r="C3176" s="17" t="n">
        <x:v>2023</x:v>
      </x:c>
      <x:c r="D3176" s="18" t="n">
        <x:v>45048</x:v>
      </x:c>
      <x:c r="E3176" s="8" t="str">
        <x:v>RAINBOW TROUT</x:v>
      </x:c>
      <x:c r="F3176" s="13" t="n">
        <x:v>3990</x:v>
      </x:c>
      <x:c r="G3176" s="9" t="n">
        <x:v>20</x:v>
      </x:c>
      <x:c r="H3176" s="9" t="n">
        <x:v>86.2</x:v>
      </x:c>
      <x:c r="I3176" s="8" t="str">
        <x:f>B3176&amp;" / "&amp;C3176&amp;" / "&amp;E3176</x:f>
        <x:v>6620 / 2023 / RAINBOW TROUT</x:v>
      </x:c>
    </x:row>
    <x:row r="3177" ht="23" customHeight="1">
      <x:c r="A3177" s="8" t="str">
        <x:v>Vegreville Trout Pond</x:v>
      </x:c>
      <x:c r="B3177" s="8" t="str">
        <x:v>6620</x:v>
      </x:c>
      <x:c r="C3177" s="17" t="n">
        <x:v>2023</x:v>
      </x:c>
      <x:c r="D3177" s="18" t="n">
        <x:v>45046</x:v>
      </x:c>
      <x:c r="E3177" s="8" t="str">
        <x:v>RAINBOW TROUT</x:v>
      </x:c>
      <x:c r="F3177" s="13" t="n">
        <x:v>7000</x:v>
      </x:c>
      <x:c r="G3177" s="9" t="n">
        <x:v>7.5</x:v>
      </x:c>
      <x:c r="H3177" s="9" t="n">
        <x:v>4.6</x:v>
      </x:c>
      <x:c r="I3177" s="8" t="str">
        <x:f>B3177&amp;" / "&amp;C3177&amp;" / "&amp;E3177</x:f>
        <x:v>6620 / 2023 / RAINBOW TROUT</x:v>
      </x:c>
    </x:row>
    <x:row r="3178" ht="23" customHeight="1">
      <x:c r="A3178" s="8" t="str">
        <x:v>Vegreville Trout Pond</x:v>
      </x:c>
      <x:c r="B3178" s="8" t="str">
        <x:v>6620</x:v>
      </x:c>
      <x:c r="C3178" s="17" t="n">
        <x:v>2022</x:v>
      </x:c>
      <x:c r="D3178" s="18" t="n">
        <x:v>44683</x:v>
      </x:c>
      <x:c r="E3178" s="8" t="str">
        <x:v>RAINBOW TROUT</x:v>
      </x:c>
      <x:c r="F3178" s="13" t="n">
        <x:v>10000</x:v>
      </x:c>
      <x:c r="G3178" s="9" t="n">
        <x:v>21.2</x:v>
      </x:c>
      <x:c r="H3178" s="9" t="n">
        <x:v>105.9</x:v>
      </x:c>
      <x:c r="I3178" s="8" t="str">
        <x:f>B3178&amp;" / "&amp;C3178&amp;" / "&amp;E3178</x:f>
        <x:v>6620 / 2022 / RAINBOW TROUT</x:v>
      </x:c>
    </x:row>
    <x:row r="3179" ht="23" customHeight="1">
      <x:c r="A3179" s="8" t="str">
        <x:v>Vegreville Trout Pond</x:v>
      </x:c>
      <x:c r="B3179" s="8" t="str">
        <x:v>6620</x:v>
      </x:c>
      <x:c r="C3179" s="17" t="n">
        <x:v>2021</x:v>
      </x:c>
      <x:c r="D3179" s="18" t="n">
        <x:v>44314</x:v>
      </x:c>
      <x:c r="E3179" s="8" t="str">
        <x:v>RAINBOW TROUT</x:v>
      </x:c>
      <x:c r="F3179" s="13" t="n">
        <x:v>50</x:v>
      </x:c>
      <x:c r="G3179" s="9" t="n">
        <x:v>30</x:v>
      </x:c>
      <x:c r="H3179" s="9" t="n">
        <x:v>410</x:v>
      </x:c>
      <x:c r="I3179" s="8" t="str">
        <x:f>B3179&amp;" / "&amp;C3179&amp;" / "&amp;E3179</x:f>
        <x:v>6620 / 2021 / RAINBOW TROUT</x:v>
      </x:c>
    </x:row>
    <x:row r="3180" ht="23" customHeight="1">
      <x:c r="A3180" s="8" t="str">
        <x:v>Vegreville Trout Pond</x:v>
      </x:c>
      <x:c r="B3180" s="8" t="str">
        <x:v>6620</x:v>
      </x:c>
      <x:c r="C3180" s="17" t="n">
        <x:v>2021</x:v>
      </x:c>
      <x:c r="D3180" s="18" t="n">
        <x:v>44313</x:v>
      </x:c>
      <x:c r="E3180" s="8" t="str">
        <x:v>RAINBOW TROUT</x:v>
      </x:c>
      <x:c r="F3180" s="13" t="n">
        <x:v>2000</x:v>
      </x:c>
      <x:c r="G3180" s="9" t="n">
        <x:v>21.5</x:v>
      </x:c>
      <x:c r="H3180" s="9" t="n">
        <x:v>109.4</x:v>
      </x:c>
      <x:c r="I3180" s="8" t="str">
        <x:f>B3180&amp;" / "&amp;C3180&amp;" / "&amp;E3180</x:f>
        <x:v>6620 / 2021 / RAINBOW TROUT</x:v>
      </x:c>
    </x:row>
    <x:row r="3181" ht="23" customHeight="1">
      <x:c r="A3181" s="8" t="str">
        <x:v>Vegreville Trout Pond</x:v>
      </x:c>
      <x:c r="B3181" s="8" t="str">
        <x:v>6620</x:v>
      </x:c>
      <x:c r="C3181" s="17" t="n">
        <x:v>2021</x:v>
      </x:c>
      <x:c r="D3181" s="18" t="n">
        <x:v>44313</x:v>
      </x:c>
      <x:c r="E3181" s="8" t="str">
        <x:v>RAINBOW TROUT</x:v>
      </x:c>
      <x:c r="F3181" s="13" t="n">
        <x:v>1550</x:v>
      </x:c>
      <x:c r="G3181" s="9" t="n">
        <x:v>18.2</x:v>
      </x:c>
      <x:c r="H3181" s="9" t="n">
        <x:v>67</x:v>
      </x:c>
      <x:c r="I3181" s="8" t="str">
        <x:f>B3181&amp;" / "&amp;C3181&amp;" / "&amp;E3181</x:f>
        <x:v>6620 / 2021 / RAINBOW TROUT</x:v>
      </x:c>
    </x:row>
    <x:row r="3182" ht="23" customHeight="1">
      <x:c r="A3182" s="8" t="str">
        <x:v>Vegreville Trout Pond</x:v>
      </x:c>
      <x:c r="B3182" s="8" t="str">
        <x:v>6620</x:v>
      </x:c>
      <x:c r="C3182" s="17" t="n">
        <x:v>2021</x:v>
      </x:c>
      <x:c r="D3182" s="18" t="n">
        <x:v>44312</x:v>
      </x:c>
      <x:c r="E3182" s="8" t="str">
        <x:v>RAINBOW TROUT</x:v>
      </x:c>
      <x:c r="F3182" s="13" t="n">
        <x:v>6450</x:v>
      </x:c>
      <x:c r="G3182" s="9" t="n">
        <x:v>19.5</x:v>
      </x:c>
      <x:c r="H3182" s="9" t="n">
        <x:v>82.1</x:v>
      </x:c>
      <x:c r="I3182" s="8" t="str">
        <x:f>B3182&amp;" / "&amp;C3182&amp;" / "&amp;E3182</x:f>
        <x:v>6620 / 2021 / RAINBOW TROUT</x:v>
      </x:c>
    </x:row>
    <x:row r="3183" ht="23" customHeight="1">
      <x:c r="A3183" s="8" t="str">
        <x:v>Vermilion Park Pond</x:v>
      </x:c>
      <x:c r="B3183" s="8" t="str">
        <x:v>6082</x:v>
      </x:c>
      <x:c r="C3183" s="17" t="n">
        <x:v>2026</x:v>
      </x:c>
      <x:c r="D3183" s="18" t="n">
        <x:v>46150</x:v>
      </x:c>
      <x:c r="E3183" s="8" t="str">
        <x:v>RAINBOW TROUT</x:v>
      </x:c>
      <x:c r="F3183" s="13" t="n">
        <x:v>1250</x:v>
      </x:c>
      <x:c r="G3183" s="9" t="n">
        <x:v>21</x:v>
      </x:c>
      <x:c r="H3183" s="9" t="n">
        <x:v>95.8</x:v>
      </x:c>
      <x:c r="I3183" s="8" t="str">
        <x:f>B3183&amp;" / "&amp;C3183&amp;" / "&amp;E3183</x:f>
        <x:v>6082 / 2026 / RAINBOW TROUT</x:v>
      </x:c>
    </x:row>
    <x:row r="3184" ht="23" customHeight="1">
      <x:c r="A3184" s="8" t="str">
        <x:v>Vermilion Park Pond</x:v>
      </x:c>
      <x:c r="B3184" s="8" t="str">
        <x:v>6082</x:v>
      </x:c>
      <x:c r="C3184" s="17" t="n">
        <x:v>2025</x:v>
      </x:c>
      <x:c r="D3184" s="18" t="n">
        <x:v>45789</x:v>
      </x:c>
      <x:c r="E3184" s="8" t="str">
        <x:v>RAINBOW TROUT</x:v>
      </x:c>
      <x:c r="F3184" s="13" t="n">
        <x:v>1250</x:v>
      </x:c>
      <x:c r="G3184" s="9" t="n">
        <x:v>21</x:v>
      </x:c>
      <x:c r="H3184" s="9" t="n">
        <x:v>89</x:v>
      </x:c>
      <x:c r="I3184" s="8" t="str">
        <x:f>B3184&amp;" / "&amp;C3184&amp;" / "&amp;E3184</x:f>
        <x:v>6082 / 2025 / RAINBOW TROUT</x:v>
      </x:c>
    </x:row>
    <x:row r="3185" ht="23" customHeight="1">
      <x:c r="A3185" s="8" t="str">
        <x:v>Vermilion Park Pond</x:v>
      </x:c>
      <x:c r="B3185" s="8" t="str">
        <x:v>6082</x:v>
      </x:c>
      <x:c r="C3185" s="17" t="n">
        <x:v>2024</x:v>
      </x:c>
      <x:c r="D3185" s="18" t="n">
        <x:v>45420</x:v>
      </x:c>
      <x:c r="E3185" s="8" t="str">
        <x:v>RAINBOW TROUT</x:v>
      </x:c>
      <x:c r="F3185" s="13" t="n">
        <x:v>1250</x:v>
      </x:c>
      <x:c r="G3185" s="9" t="n">
        <x:v>20.9</x:v>
      </x:c>
      <x:c r="H3185" s="9" t="n">
        <x:v>91.8</x:v>
      </x:c>
      <x:c r="I3185" s="8" t="str">
        <x:f>B3185&amp;" / "&amp;C3185&amp;" / "&amp;E3185</x:f>
        <x:v>6082 / 2024 / RAINBOW TROUT</x:v>
      </x:c>
    </x:row>
    <x:row r="3186" ht="23" customHeight="1">
      <x:c r="A3186" s="8" t="str">
        <x:v>Vermilion Park Pond</x:v>
      </x:c>
      <x:c r="B3186" s="8" t="str">
        <x:v>6082</x:v>
      </x:c>
      <x:c r="C3186" s="17" t="n">
        <x:v>2023</x:v>
      </x:c>
      <x:c r="D3186" s="18" t="n">
        <x:v>45064</x:v>
      </x:c>
      <x:c r="E3186" s="8" t="str">
        <x:v>RAINBOW TROUT</x:v>
      </x:c>
      <x:c r="F3186" s="13" t="n">
        <x:v>1250</x:v>
      </x:c>
      <x:c r="G3186" s="9" t="n">
        <x:v>20.5</x:v>
      </x:c>
      <x:c r="H3186" s="9" t="n">
        <x:v>89.9</x:v>
      </x:c>
      <x:c r="I3186" s="8" t="str">
        <x:f>B3186&amp;" / "&amp;C3186&amp;" / "&amp;E3186</x:f>
        <x:v>6082 / 2023 / RAINBOW TROUT</x:v>
      </x:c>
    </x:row>
    <x:row r="3187" ht="23" customHeight="1">
      <x:c r="A3187" s="8" t="str">
        <x:v>Vermilion Park Pond</x:v>
      </x:c>
      <x:c r="B3187" s="8" t="str">
        <x:v>6082</x:v>
      </x:c>
      <x:c r="C3187" s="17" t="n">
        <x:v>2022</x:v>
      </x:c>
      <x:c r="D3187" s="18" t="n">
        <x:v>44698</x:v>
      </x:c>
      <x:c r="E3187" s="8" t="str">
        <x:v>RAINBOW TROUT</x:v>
      </x:c>
      <x:c r="F3187" s="13" t="n">
        <x:v>1250</x:v>
      </x:c>
      <x:c r="G3187" s="9" t="n">
        <x:v>20.9</x:v>
      </x:c>
      <x:c r="H3187" s="9" t="n">
        <x:v>95.4</x:v>
      </x:c>
      <x:c r="I3187" s="8" t="str">
        <x:f>B3187&amp;" / "&amp;C3187&amp;" / "&amp;E3187</x:f>
        <x:v>6082 / 2022 / RAINBOW TROUT</x:v>
      </x:c>
    </x:row>
    <x:row r="3188" ht="23" customHeight="1">
      <x:c r="A3188" s="8" t="str">
        <x:v>Vermilion Park Pond</x:v>
      </x:c>
      <x:c r="B3188" s="8" t="str">
        <x:v>6082</x:v>
      </x:c>
      <x:c r="C3188" s="17" t="n">
        <x:v>2021</x:v>
      </x:c>
      <x:c r="D3188" s="18" t="n">
        <x:v>44320</x:v>
      </x:c>
      <x:c r="E3188" s="8" t="str">
        <x:v>RAINBOW TROUT</x:v>
      </x:c>
      <x:c r="F3188" s="13" t="n">
        <x:v>1250</x:v>
      </x:c>
      <x:c r="G3188" s="9" t="n">
        <x:v>21</x:v>
      </x:c>
      <x:c r="H3188" s="9" t="n">
        <x:v>96.4</x:v>
      </x:c>
      <x:c r="I3188" s="8" t="str">
        <x:f>B3188&amp;" / "&amp;C3188&amp;" / "&amp;E3188</x:f>
        <x:v>6082 / 2021 / RAINBOW TROUT</x:v>
      </x:c>
    </x:row>
    <x:row r="3189" ht="23" customHeight="1">
      <x:c r="A3189" s="8" t="str">
        <x:v>Victor Lake</x:v>
      </x:c>
      <x:c r="B3189" s="8" t="str">
        <x:v>6086</x:v>
      </x:c>
      <x:c r="C3189" s="17" t="n">
        <x:v>2026</x:v>
      </x:c>
      <x:c r="D3189" s="18" t="n">
        <x:v>46177</x:v>
      </x:c>
      <x:c r="E3189" s="8" t="str">
        <x:v>RAINBOW TROUT</x:v>
      </x:c>
      <x:c r="F3189" s="13" t="n">
        <x:v>15000</x:v>
      </x:c>
      <x:c r="G3189" s="9" t="n">
        <x:v>17.3</x:v>
      </x:c>
      <x:c r="H3189" s="9" t="n">
        <x:v>56.8</x:v>
      </x:c>
      <x:c r="I3189" s="8" t="str">
        <x:f>B3189&amp;" / "&amp;C3189&amp;" / "&amp;E3189</x:f>
        <x:v>6086 / 2026 / RAINBOW TROUT</x:v>
      </x:c>
    </x:row>
    <x:row r="3190" ht="23" customHeight="1">
      <x:c r="A3190" s="8" t="str">
        <x:v>Victor Lake</x:v>
      </x:c>
      <x:c r="B3190" s="8" t="str">
        <x:v>6086</x:v>
      </x:c>
      <x:c r="C3190" s="17" t="n">
        <x:v>2025</x:v>
      </x:c>
      <x:c r="D3190" s="18" t="n">
        <x:v>45804</x:v>
      </x:c>
      <x:c r="E3190" s="8" t="str">
        <x:v>RAINBOW TROUT</x:v>
      </x:c>
      <x:c r="F3190" s="13" t="n">
        <x:v>15000</x:v>
      </x:c>
      <x:c r="G3190" s="9" t="n">
        <x:v>18.1</x:v>
      </x:c>
      <x:c r="H3190" s="9" t="n">
        <x:v>67.5</x:v>
      </x:c>
      <x:c r="I3190" s="8" t="str">
        <x:f>B3190&amp;" / "&amp;C3190&amp;" / "&amp;E3190</x:f>
        <x:v>6086 / 2025 / RAINBOW TROUT</x:v>
      </x:c>
    </x:row>
    <x:row r="3191" ht="23" customHeight="1">
      <x:c r="A3191" s="8" t="str">
        <x:v>Victor Lake</x:v>
      </x:c>
      <x:c r="B3191" s="8" t="str">
        <x:v>6086</x:v>
      </x:c>
      <x:c r="C3191" s="17" t="n">
        <x:v>2024</x:v>
      </x:c>
      <x:c r="D3191" s="18" t="n">
        <x:v>45553</x:v>
      </x:c>
      <x:c r="E3191" s="8" t="str">
        <x:v>RAINBOW TROUT</x:v>
      </x:c>
      <x:c r="F3191" s="13" t="n">
        <x:v>5000</x:v>
      </x:c>
      <x:c r="G3191" s="9" t="n">
        <x:v>22.7</x:v>
      </x:c>
      <x:c r="H3191" s="9" t="n">
        <x:v>129.5</x:v>
      </x:c>
      <x:c r="I3191" s="8" t="str">
        <x:f>B3191&amp;" / "&amp;C3191&amp;" / "&amp;E3191</x:f>
        <x:v>6086 / 2024 / RAINBOW TROUT</x:v>
      </x:c>
    </x:row>
    <x:row r="3192" ht="23" customHeight="1">
      <x:c r="A3192" s="8" t="str">
        <x:v>Victor Lake</x:v>
      </x:c>
      <x:c r="B3192" s="8" t="str">
        <x:v>6086</x:v>
      </x:c>
      <x:c r="C3192" s="17" t="n">
        <x:v>2024</x:v>
      </x:c>
      <x:c r="D3192" s="18" t="n">
        <x:v>45552</x:v>
      </x:c>
      <x:c r="E3192" s="8" t="str">
        <x:v>RAINBOW TROUT</x:v>
      </x:c>
      <x:c r="F3192" s="13" t="n">
        <x:v>10000</x:v>
      </x:c>
      <x:c r="G3192" s="9" t="n">
        <x:v>5.2</x:v>
      </x:c>
      <x:c r="H3192" s="9" t="n">
        <x:v>1.5</x:v>
      </x:c>
      <x:c r="I3192" s="8" t="str">
        <x:f>B3192&amp;" / "&amp;C3192&amp;" / "&amp;E3192</x:f>
        <x:v>6086 / 2024 / RAINBOW TROUT</x:v>
      </x:c>
    </x:row>
    <x:row r="3193" ht="23" customHeight="1">
      <x:c r="A3193" s="8" t="str">
        <x:v>Victor Lake</x:v>
      </x:c>
      <x:c r="B3193" s="8" t="str">
        <x:v>6086</x:v>
      </x:c>
      <x:c r="C3193" s="17" t="n">
        <x:v>2024</x:v>
      </x:c>
      <x:c r="D3193" s="18" t="n">
        <x:v>45422</x:v>
      </x:c>
      <x:c r="E3193" s="8" t="str">
        <x:v>RAINBOW TROUT</x:v>
      </x:c>
      <x:c r="F3193" s="13" t="n">
        <x:v>7500</x:v>
      </x:c>
      <x:c r="G3193" s="9" t="n">
        <x:v>19.9</x:v>
      </x:c>
      <x:c r="H3193" s="9" t="n">
        <x:v>85.6</x:v>
      </x:c>
      <x:c r="I3193" s="8" t="str">
        <x:f>B3193&amp;" / "&amp;C3193&amp;" / "&amp;E3193</x:f>
        <x:v>6086 / 2024 / RAINBOW TROUT</x:v>
      </x:c>
    </x:row>
    <x:row r="3194" ht="23" customHeight="1">
      <x:c r="A3194" s="8" t="str">
        <x:v>Victor Lake</x:v>
      </x:c>
      <x:c r="B3194" s="8" t="str">
        <x:v>6086</x:v>
      </x:c>
      <x:c r="C3194" s="17" t="n">
        <x:v>2023</x:v>
      </x:c>
      <x:c r="D3194" s="18" t="n">
        <x:v>45075</x:v>
      </x:c>
      <x:c r="E3194" s="8" t="str">
        <x:v>RAINBOW TROUT</x:v>
      </x:c>
      <x:c r="F3194" s="13" t="n">
        <x:v>7110</x:v>
      </x:c>
      <x:c r="G3194" s="9" t="n">
        <x:v>17.4</x:v>
      </x:c>
      <x:c r="H3194" s="9" t="n">
        <x:v>56.4</x:v>
      </x:c>
      <x:c r="I3194" s="8" t="str">
        <x:f>B3194&amp;" / "&amp;C3194&amp;" / "&amp;E3194</x:f>
        <x:v>6086 / 2023 / RAINBOW TROUT</x:v>
      </x:c>
    </x:row>
    <x:row r="3195" ht="23" customHeight="1">
      <x:c r="A3195" s="8" t="str">
        <x:v>Victor Lake</x:v>
      </x:c>
      <x:c r="B3195" s="8" t="str">
        <x:v>6086</x:v>
      </x:c>
      <x:c r="C3195" s="17" t="n">
        <x:v>2022</x:v>
      </x:c>
      <x:c r="D3195" s="18" t="n">
        <x:v>44721</x:v>
      </x:c>
      <x:c r="E3195" s="8" t="str">
        <x:v>RAINBOW TROUT</x:v>
      </x:c>
      <x:c r="F3195" s="13" t="n">
        <x:v>15000</x:v>
      </x:c>
      <x:c r="G3195" s="9" t="n">
        <x:v>13.1</x:v>
      </x:c>
      <x:c r="H3195" s="9" t="n">
        <x:v>25.1</x:v>
      </x:c>
      <x:c r="I3195" s="8" t="str">
        <x:f>B3195&amp;" / "&amp;C3195&amp;" / "&amp;E3195</x:f>
        <x:v>6086 / 2022 / RAINBOW TROUT</x:v>
      </x:c>
    </x:row>
    <x:row r="3196" ht="23" customHeight="1">
      <x:c r="A3196" s="8" t="str">
        <x:v>Victor Lake</x:v>
      </x:c>
      <x:c r="B3196" s="8" t="str">
        <x:v>6086</x:v>
      </x:c>
      <x:c r="C3196" s="17" t="n">
        <x:v>2021</x:v>
      </x:c>
      <x:c r="D3196" s="18" t="n">
        <x:v>44355</x:v>
      </x:c>
      <x:c r="E3196" s="8" t="str">
        <x:v>RAINBOW TROUT</x:v>
      </x:c>
      <x:c r="F3196" s="13" t="n">
        <x:v>15000</x:v>
      </x:c>
      <x:c r="G3196" s="9" t="n">
        <x:v>15</x:v>
      </x:c>
      <x:c r="H3196" s="9" t="n">
        <x:v>37</x:v>
      </x:c>
      <x:c r="I3196" s="8" t="str">
        <x:f>B3196&amp;" / "&amp;C3196&amp;" / "&amp;E3196</x:f>
        <x:v>6086 / 2021 / RAINBOW TROUT</x:v>
      </x:c>
    </x:row>
    <x:row r="3197" ht="23" customHeight="1">
      <x:c r="A3197" s="8" t="str">
        <x:v>Wadlin Lake</x:v>
      </x:c>
      <x:c r="B3197" s="8" t="str">
        <x:v>6097</x:v>
      </x:c>
      <x:c r="C3197" s="17" t="n">
        <x:v>2026</x:v>
      </x:c>
      <x:c r="D3197" s="18" t="n">
        <x:v>46192</x:v>
      </x:c>
      <x:c r="E3197" s="8" t="str">
        <x:v>WALLEYE</x:v>
      </x:c>
      <x:c r="F3197" s="13" t="n">
        <x:v>486957</x:v>
      </x:c>
      <x:c r="G3197" s="9" t="n">
        <x:v>0.4</x:v>
      </x:c>
      <x:c r="H3197" s="9" t="str">
        <x:v>Unknown</x:v>
      </x:c>
      <x:c r="I3197" s="8" t="str">
        <x:f>B3197&amp;" / "&amp;C3197&amp;" / "&amp;E3197</x:f>
        <x:v>6097 / 2026 / WALLEYE</x:v>
      </x:c>
    </x:row>
    <x:row r="3198" ht="23" customHeight="1">
      <x:c r="A3198" s="8" t="str">
        <x:v>Wadlin Lake</x:v>
      </x:c>
      <x:c r="B3198" s="8" t="str">
        <x:v>6097</x:v>
      </x:c>
      <x:c r="C3198" s="17" t="n">
        <x:v>2025</x:v>
      </x:c>
      <x:c r="D3198" s="18" t="n">
        <x:v>45817</x:v>
      </x:c>
      <x:c r="E3198" s="8" t="str">
        <x:v>WALLEYE</x:v>
      </x:c>
      <x:c r="F3198" s="13" t="n">
        <x:v>1520390</x:v>
      </x:c>
      <x:c r="G3198" s="9" t="n">
        <x:v>0.4</x:v>
      </x:c>
      <x:c r="H3198" s="9" t="str">
        <x:v>Unknown</x:v>
      </x:c>
      <x:c r="I3198" s="8" t="str">
        <x:f>B3198&amp;" / "&amp;C3198&amp;" / "&amp;E3198</x:f>
        <x:v>6097 / 2025 / WALLEYE</x:v>
      </x:c>
    </x:row>
    <x:row r="3199" ht="23" customHeight="1">
      <x:c r="A3199" s="8" t="str">
        <x:v>Wallace Park Pond</x:v>
      </x:c>
      <x:c r="B3199" s="8" t="str">
        <x:v>6622</x:v>
      </x:c>
      <x:c r="C3199" s="17" t="n">
        <x:v>2026</x:v>
      </x:c>
      <x:c r="D3199" s="18" t="n">
        <x:v>46155</x:v>
      </x:c>
      <x:c r="E3199" s="8" t="str">
        <x:v>RAINBOW TROUT</x:v>
      </x:c>
      <x:c r="F3199" s="13" t="n">
        <x:v>500</x:v>
      </x:c>
      <x:c r="G3199" s="9" t="n">
        <x:v>20.7</x:v>
      </x:c>
      <x:c r="H3199" s="9" t="n">
        <x:v>93.9</x:v>
      </x:c>
      <x:c r="I3199" s="8" t="str">
        <x:f>B3199&amp;" / "&amp;C3199&amp;" / "&amp;E3199</x:f>
        <x:v>6622 / 2026 / RAINBOW TROUT</x:v>
      </x:c>
    </x:row>
    <x:row r="3200" ht="23" customHeight="1">
      <x:c r="A3200" s="8" t="str">
        <x:v>Wallace Park Pond</x:v>
      </x:c>
      <x:c r="B3200" s="8" t="str">
        <x:v>6622</x:v>
      </x:c>
      <x:c r="C3200" s="17" t="n">
        <x:v>2025</x:v>
      </x:c>
      <x:c r="D3200" s="18" t="n">
        <x:v>45789</x:v>
      </x:c>
      <x:c r="E3200" s="8" t="str">
        <x:v>RAINBOW TROUT</x:v>
      </x:c>
      <x:c r="F3200" s="13" t="n">
        <x:v>500</x:v>
      </x:c>
      <x:c r="G3200" s="9" t="n">
        <x:v>21</x:v>
      </x:c>
      <x:c r="H3200" s="9" t="n">
        <x:v>89</x:v>
      </x:c>
      <x:c r="I3200" s="8" t="str">
        <x:f>B3200&amp;" / "&amp;C3200&amp;" / "&amp;E3200</x:f>
        <x:v>6622 / 2025 / RAINBOW TROUT</x:v>
      </x:c>
    </x:row>
    <x:row r="3201" ht="23" customHeight="1">
      <x:c r="A3201" s="8" t="str">
        <x:v>Wallace Park Pond</x:v>
      </x:c>
      <x:c r="B3201" s="8" t="str">
        <x:v>6622</x:v>
      </x:c>
      <x:c r="C3201" s="17" t="n">
        <x:v>2024</x:v>
      </x:c>
      <x:c r="D3201" s="18" t="n">
        <x:v>45422</x:v>
      </x:c>
      <x:c r="E3201" s="8" t="str">
        <x:v>RAINBOW TROUT</x:v>
      </x:c>
      <x:c r="F3201" s="13" t="n">
        <x:v>500</x:v>
      </x:c>
      <x:c r="G3201" s="9" t="n">
        <x:v>20.9</x:v>
      </x:c>
      <x:c r="H3201" s="9" t="n">
        <x:v>92.1</x:v>
      </x:c>
      <x:c r="I3201" s="8" t="str">
        <x:f>B3201&amp;" / "&amp;C3201&amp;" / "&amp;E3201</x:f>
        <x:v>6622 / 2024 / RAINBOW TROUT</x:v>
      </x:c>
    </x:row>
    <x:row r="3202" ht="23" customHeight="1">
      <x:c r="A3202" s="8" t="str">
        <x:v>Wallace Park Pond</x:v>
      </x:c>
      <x:c r="B3202" s="8" t="str">
        <x:v>6622</x:v>
      </x:c>
      <x:c r="C3202" s="17" t="n">
        <x:v>2023</x:v>
      </x:c>
      <x:c r="D3202" s="18" t="n">
        <x:v>45064</x:v>
      </x:c>
      <x:c r="E3202" s="8" t="str">
        <x:v>RAINBOW TROUT</x:v>
      </x:c>
      <x:c r="F3202" s="13" t="n">
        <x:v>500</x:v>
      </x:c>
      <x:c r="G3202" s="9" t="n">
        <x:v>20.5</x:v>
      </x:c>
      <x:c r="H3202" s="9" t="n">
        <x:v>89.9</x:v>
      </x:c>
      <x:c r="I3202" s="8" t="str">
        <x:f>B3202&amp;" / "&amp;C3202&amp;" / "&amp;E3202</x:f>
        <x:v>6622 / 2023 / RAINBOW TROUT</x:v>
      </x:c>
    </x:row>
    <x:row r="3203" ht="23" customHeight="1">
      <x:c r="A3203" s="8" t="str">
        <x:v>Wallace Park Pond</x:v>
      </x:c>
      <x:c r="B3203" s="8" t="str">
        <x:v>6622</x:v>
      </x:c>
      <x:c r="C3203" s="17" t="n">
        <x:v>2022</x:v>
      </x:c>
      <x:c r="D3203" s="18" t="n">
        <x:v>44698</x:v>
      </x:c>
      <x:c r="E3203" s="8" t="str">
        <x:v>RAINBOW TROUT</x:v>
      </x:c>
      <x:c r="F3203" s="13" t="n">
        <x:v>500</x:v>
      </x:c>
      <x:c r="G3203" s="9" t="n">
        <x:v>20.9</x:v>
      </x:c>
      <x:c r="H3203" s="9" t="n">
        <x:v>95.4</x:v>
      </x:c>
      <x:c r="I3203" s="8" t="str">
        <x:f>B3203&amp;" / "&amp;C3203&amp;" / "&amp;E3203</x:f>
        <x:v>6622 / 2022 / RAINBOW TROUT</x:v>
      </x:c>
    </x:row>
    <x:row r="3204" ht="23" customHeight="1">
      <x:c r="A3204" s="8" t="str">
        <x:v>Wallace Park Pond</x:v>
      </x:c>
      <x:c r="B3204" s="8" t="str">
        <x:v>6622</x:v>
      </x:c>
      <x:c r="C3204" s="17" t="n">
        <x:v>2021</x:v>
      </x:c>
      <x:c r="D3204" s="18" t="n">
        <x:v>44320</x:v>
      </x:c>
      <x:c r="E3204" s="8" t="str">
        <x:v>RAINBOW TROUT</x:v>
      </x:c>
      <x:c r="F3204" s="13" t="n">
        <x:v>500</x:v>
      </x:c>
      <x:c r="G3204" s="9" t="n">
        <x:v>21</x:v>
      </x:c>
      <x:c r="H3204" s="9" t="n">
        <x:v>96.4</x:v>
      </x:c>
      <x:c r="I3204" s="8" t="str">
        <x:f>B3204&amp;" / "&amp;C3204&amp;" / "&amp;E3204</x:f>
        <x:v>6622 / 2021 / RAINBOW TROUT</x:v>
      </x:c>
    </x:row>
    <x:row r="3205" ht="23" customHeight="1">
      <x:c r="A3205" s="8" t="str">
        <x:v>Waskasoo Park Pond</x:v>
      </x:c>
      <x:c r="B3205" s="8" t="str">
        <x:v>6623</x:v>
      </x:c>
      <x:c r="C3205" s="17" t="n">
        <x:v>2026</x:v>
      </x:c>
      <x:c r="D3205" s="18" t="n">
        <x:v>46148</x:v>
      </x:c>
      <x:c r="E3205" s="8" t="str">
        <x:v>RAINBOW TROUT</x:v>
      </x:c>
      <x:c r="F3205" s="13" t="n">
        <x:v>2100</x:v>
      </x:c>
      <x:c r="G3205" s="9" t="n">
        <x:v>21</x:v>
      </x:c>
      <x:c r="H3205" s="9" t="n">
        <x:v>95.4</x:v>
      </x:c>
      <x:c r="I3205" s="8" t="str">
        <x:f>B3205&amp;" / "&amp;C3205&amp;" / "&amp;E3205</x:f>
        <x:v>6623 / 2026 / RAINBOW TROUT</x:v>
      </x:c>
    </x:row>
    <x:row r="3206" ht="23" customHeight="1">
      <x:c r="A3206" s="8" t="str">
        <x:v>Waskasoo Park Pond</x:v>
      </x:c>
      <x:c r="B3206" s="8" t="str">
        <x:v>6623</x:v>
      </x:c>
      <x:c r="C3206" s="17" t="n">
        <x:v>2025</x:v>
      </x:c>
      <x:c r="D3206" s="18" t="n">
        <x:v>45784</x:v>
      </x:c>
      <x:c r="E3206" s="8" t="str">
        <x:v>RAINBOW TROUT</x:v>
      </x:c>
      <x:c r="F3206" s="13" t="n">
        <x:v>2100</x:v>
      </x:c>
      <x:c r="G3206" s="9" t="n">
        <x:v>20.4</x:v>
      </x:c>
      <x:c r="H3206" s="9" t="n">
        <x:v>93.3</x:v>
      </x:c>
      <x:c r="I3206" s="8" t="str">
        <x:f>B3206&amp;" / "&amp;C3206&amp;" / "&amp;E3206</x:f>
        <x:v>6623 / 2025 / RAINBOW TROUT</x:v>
      </x:c>
    </x:row>
    <x:row r="3207" ht="23" customHeight="1">
      <x:c r="A3207" s="8" t="str">
        <x:v>Waskasoo Park Pond</x:v>
      </x:c>
      <x:c r="B3207" s="8" t="str">
        <x:v>6623</x:v>
      </x:c>
      <x:c r="C3207" s="17" t="n">
        <x:v>2025</x:v>
      </x:c>
      <x:c r="D3207" s="18" t="n">
        <x:v>45784</x:v>
      </x:c>
      <x:c r="E3207" s="8" t="str">
        <x:v>RAINBOW TROUT</x:v>
      </x:c>
      <x:c r="F3207" s="13" t="n">
        <x:v>50</x:v>
      </x:c>
      <x:c r="G3207" s="9" t="n">
        <x:v>30</x:v>
      </x:c>
      <x:c r="H3207" s="9" t="n">
        <x:v>220.1</x:v>
      </x:c>
      <x:c r="I3207" s="8" t="str">
        <x:f>B3207&amp;" / "&amp;C3207&amp;" / "&amp;E3207</x:f>
        <x:v>6623 / 2025 / RAINBOW TROUT</x:v>
      </x:c>
    </x:row>
    <x:row r="3208" ht="23" customHeight="1">
      <x:c r="A3208" s="8" t="str">
        <x:v>Waskasoo Park Pond</x:v>
      </x:c>
      <x:c r="B3208" s="8" t="str">
        <x:v>6623</x:v>
      </x:c>
      <x:c r="C3208" s="17" t="n">
        <x:v>2024</x:v>
      </x:c>
      <x:c r="D3208" s="18" t="n">
        <x:v>45427</x:v>
      </x:c>
      <x:c r="E3208" s="8" t="str">
        <x:v>RAINBOW TROUT</x:v>
      </x:c>
      <x:c r="F3208" s="13" t="n">
        <x:v>27</x:v>
      </x:c>
      <x:c r="G3208" s="9" t="n">
        <x:v>30.1</x:v>
      </x:c>
      <x:c r="H3208" s="9" t="n">
        <x:v>265.1</x:v>
      </x:c>
      <x:c r="I3208" s="8" t="str">
        <x:f>B3208&amp;" / "&amp;C3208&amp;" / "&amp;E3208</x:f>
        <x:v>6623 / 2024 / RAINBOW TROUT</x:v>
      </x:c>
    </x:row>
    <x:row r="3209" ht="23" customHeight="1">
      <x:c r="A3209" s="8" t="str">
        <x:v>Waskasoo Park Pond</x:v>
      </x:c>
      <x:c r="B3209" s="8" t="str">
        <x:v>6623</x:v>
      </x:c>
      <x:c r="C3209" s="17" t="n">
        <x:v>2024</x:v>
      </x:c>
      <x:c r="D3209" s="18" t="n">
        <x:v>45427</x:v>
      </x:c>
      <x:c r="E3209" s="8" t="str">
        <x:v>RAINBOW TROUT</x:v>
      </x:c>
      <x:c r="F3209" s="13" t="n">
        <x:v>2100</x:v>
      </x:c>
      <x:c r="G3209" s="9" t="n">
        <x:v>20.4</x:v>
      </x:c>
      <x:c r="H3209" s="9" t="n">
        <x:v>90.1</x:v>
      </x:c>
      <x:c r="I3209" s="8" t="str">
        <x:f>B3209&amp;" / "&amp;C3209&amp;" / "&amp;E3209</x:f>
        <x:v>6623 / 2024 / RAINBOW TROUT</x:v>
      </x:c>
    </x:row>
    <x:row r="3210" ht="23" customHeight="1">
      <x:c r="A3210" s="8" t="str">
        <x:v>Waskasoo Park Pond</x:v>
      </x:c>
      <x:c r="B3210" s="8" t="str">
        <x:v>6623</x:v>
      </x:c>
      <x:c r="C3210" s="17" t="n">
        <x:v>2023</x:v>
      </x:c>
      <x:c r="D3210" s="18" t="n">
        <x:v>45091</x:v>
      </x:c>
      <x:c r="E3210" s="8" t="str">
        <x:v>RAINBOW TROUT</x:v>
      </x:c>
      <x:c r="F3210" s="13" t="n">
        <x:v>1000</x:v>
      </x:c>
      <x:c r="G3210" s="9" t="n">
        <x:v>20.1</x:v>
      </x:c>
      <x:c r="H3210" s="9" t="n">
        <x:v>90.5</x:v>
      </x:c>
      <x:c r="I3210" s="8" t="str">
        <x:f>B3210&amp;" / "&amp;C3210&amp;" / "&amp;E3210</x:f>
        <x:v>6623 / 2023 / RAINBOW TROUT</x:v>
      </x:c>
    </x:row>
    <x:row r="3211" ht="23" customHeight="1">
      <x:c r="A3211" s="8" t="str">
        <x:v>Waskasoo Park Pond</x:v>
      </x:c>
      <x:c r="B3211" s="8" t="str">
        <x:v>6623</x:v>
      </x:c>
      <x:c r="C3211" s="17" t="n">
        <x:v>2023</x:v>
      </x:c>
      <x:c r="D3211" s="18" t="n">
        <x:v>45055</x:v>
      </x:c>
      <x:c r="E3211" s="8" t="str">
        <x:v>RAINBOW TROUT</x:v>
      </x:c>
      <x:c r="F3211" s="13" t="n">
        <x:v>1500</x:v>
      </x:c>
      <x:c r="G3211" s="9" t="n">
        <x:v>20.5</x:v>
      </x:c>
      <x:c r="H3211" s="9" t="n">
        <x:v>89.9</x:v>
      </x:c>
      <x:c r="I3211" s="8" t="str">
        <x:f>B3211&amp;" / "&amp;C3211&amp;" / "&amp;E3211</x:f>
        <x:v>6623 / 2023 / RAINBOW TROUT</x:v>
      </x:c>
    </x:row>
    <x:row r="3212" ht="23" customHeight="1">
      <x:c r="A3212" s="8" t="str">
        <x:v>Waskasoo Park Pond</x:v>
      </x:c>
      <x:c r="B3212" s="8" t="str">
        <x:v>6623</x:v>
      </x:c>
      <x:c r="C3212" s="17" t="n">
        <x:v>2022</x:v>
      </x:c>
      <x:c r="D3212" s="18" t="n">
        <x:v>44724</x:v>
      </x:c>
      <x:c r="E3212" s="8" t="str">
        <x:v>RAINBOW TROUT</x:v>
      </x:c>
      <x:c r="F3212" s="13" t="n">
        <x:v>1200</x:v>
      </x:c>
      <x:c r="G3212" s="9" t="n">
        <x:v>20.6</x:v>
      </x:c>
      <x:c r="H3212" s="9" t="n">
        <x:v>91.5</x:v>
      </x:c>
      <x:c r="I3212" s="8" t="str">
        <x:f>B3212&amp;" / "&amp;C3212&amp;" / "&amp;E3212</x:f>
        <x:v>6623 / 2022 / RAINBOW TROUT</x:v>
      </x:c>
    </x:row>
    <x:row r="3213" ht="23" customHeight="1">
      <x:c r="A3213" s="8" t="str">
        <x:v>Waskasoo Park Pond</x:v>
      </x:c>
      <x:c r="B3213" s="8" t="str">
        <x:v>6623</x:v>
      </x:c>
      <x:c r="C3213" s="17" t="n">
        <x:v>2021</x:v>
      </x:c>
      <x:c r="D3213" s="18" t="n">
        <x:v>44448</x:v>
      </x:c>
      <x:c r="E3213" s="8" t="str">
        <x:v>RAINBOW TROUT</x:v>
      </x:c>
      <x:c r="F3213" s="13" t="n">
        <x:v>600</x:v>
      </x:c>
      <x:c r="G3213" s="9" t="n">
        <x:v>21.8</x:v>
      </x:c>
      <x:c r="H3213" s="9" t="n">
        <x:v>101.1</x:v>
      </x:c>
      <x:c r="I3213" s="8" t="str">
        <x:f>B3213&amp;" / "&amp;C3213&amp;" / "&amp;E3213</x:f>
        <x:v>6623 / 2021 / RAINBOW TROUT</x:v>
      </x:c>
    </x:row>
    <x:row r="3214" ht="23" customHeight="1">
      <x:c r="A3214" s="8" t="str">
        <x:v>Waskasoo Park Pond</x:v>
      </x:c>
      <x:c r="B3214" s="8" t="str">
        <x:v>6623</x:v>
      </x:c>
      <x:c r="C3214" s="17" t="n">
        <x:v>2021</x:v>
      </x:c>
      <x:c r="D3214" s="18" t="n">
        <x:v>44370</x:v>
      </x:c>
      <x:c r="E3214" s="8" t="str">
        <x:v>RAINBOW TROUT</x:v>
      </x:c>
      <x:c r="F3214" s="13" t="n">
        <x:v>1000</x:v>
      </x:c>
      <x:c r="G3214" s="9" t="n">
        <x:v>21.1</x:v>
      </x:c>
      <x:c r="H3214" s="9" t="n">
        <x:v>91.2</x:v>
      </x:c>
      <x:c r="I3214" s="8" t="str">
        <x:f>B3214&amp;" / "&amp;C3214&amp;" / "&amp;E3214</x:f>
        <x:v>6623 / 2021 / RAINBOW TROUT</x:v>
      </x:c>
    </x:row>
    <x:row r="3215" ht="23" customHeight="1">
      <x:c r="A3215" s="8" t="str">
        <x:v>Waskasoo Park Pond</x:v>
      </x:c>
      <x:c r="B3215" s="8" t="str">
        <x:v>6623</x:v>
      </x:c>
      <x:c r="C3215" s="17" t="n">
        <x:v>2021</x:v>
      </x:c>
      <x:c r="D3215" s="18" t="n">
        <x:v>44308</x:v>
      </x:c>
      <x:c r="E3215" s="8" t="str">
        <x:v>RAINBOW TROUT</x:v>
      </x:c>
      <x:c r="F3215" s="13" t="n">
        <x:v>1500</x:v>
      </x:c>
      <x:c r="G3215" s="9" t="n">
        <x:v>20.7</x:v>
      </x:c>
      <x:c r="H3215" s="9" t="n">
        <x:v>93.6</x:v>
      </x:c>
      <x:c r="I3215" s="8" t="str">
        <x:f>B3215&amp;" / "&amp;C3215&amp;" / "&amp;E3215</x:f>
        <x:v>6623 / 2021 / RAINBOW TROUT</x:v>
      </x:c>
    </x:row>
    <x:row r="3216" ht="23" customHeight="1">
      <x:c r="A3216" s="8" t="str">
        <x:v>Watridge Lake</x:v>
      </x:c>
      <x:c r="B3216" s="8" t="str">
        <x:v>6120</x:v>
      </x:c>
      <x:c r="C3216" s="17" t="n">
        <x:v>2023</x:v>
      </x:c>
      <x:c r="D3216" s="18" t="n">
        <x:v>45175</x:v>
      </x:c>
      <x:c r="E3216" s="8" t="str">
        <x:v>WESTSLOPE CUTTHROAT TROUT</x:v>
      </x:c>
      <x:c r="F3216" s="13" t="n">
        <x:v>700</x:v>
      </x:c>
      <x:c r="G3216" s="9" t="n">
        <x:v>16.8</x:v>
      </x:c>
      <x:c r="H3216" s="9" t="n">
        <x:v>51.4</x:v>
      </x:c>
      <x:c r="I3216" s="8" t="str">
        <x:f>B3216&amp;" / "&amp;C3216&amp;" / "&amp;E3216</x:f>
        <x:v>6120 / 2023 / WESTSLOPE CUTTHROAT TROUT</x:v>
      </x:c>
    </x:row>
    <x:row r="3217" ht="23" customHeight="1">
      <x:c r="A3217" s="8" t="str">
        <x:v>Watridge Lake</x:v>
      </x:c>
      <x:c r="B3217" s="8" t="str">
        <x:v>6120</x:v>
      </x:c>
      <x:c r="C3217" s="17" t="n">
        <x:v>2023</x:v>
      </x:c>
      <x:c r="D3217" s="18" t="n">
        <x:v>45175</x:v>
      </x:c>
      <x:c r="E3217" s="8" t="str">
        <x:v>WESTSLOPE CUTTHROAT TROUT</x:v>
      </x:c>
      <x:c r="F3217" s="13" t="n">
        <x:v>800</x:v>
      </x:c>
      <x:c r="G3217" s="9" t="n">
        <x:v>28.6</x:v>
      </x:c>
      <x:c r="H3217" s="9" t="n">
        <x:v>252.5</x:v>
      </x:c>
      <x:c r="I3217" s="8" t="str">
        <x:f>B3217&amp;" / "&amp;C3217&amp;" / "&amp;E3217</x:f>
        <x:v>6120 / 2023 / WESTSLOPE CUTTHROAT TROUT</x:v>
      </x:c>
    </x:row>
    <x:row r="3218" ht="23" customHeight="1">
      <x:c r="A3218" s="8" t="str">
        <x:v>Weberville Pond</x:v>
      </x:c>
      <x:c r="B3218" s="8" t="str">
        <x:v>6609</x:v>
      </x:c>
      <x:c r="C3218" s="17" t="n">
        <x:v>2026</x:v>
      </x:c>
      <x:c r="D3218" s="18" t="n">
        <x:v>46162</x:v>
      </x:c>
      <x:c r="E3218" s="8" t="str">
        <x:v>RAINBOW TROUT</x:v>
      </x:c>
      <x:c r="F3218" s="13" t="n">
        <x:v>1000</x:v>
      </x:c>
      <x:c r="G3218" s="9" t="n">
        <x:v>21.5</x:v>
      </x:c>
      <x:c r="H3218" s="9" t="n">
        <x:v>109</x:v>
      </x:c>
      <x:c r="I3218" s="8" t="str">
        <x:f>B3218&amp;" / "&amp;C3218&amp;" / "&amp;E3218</x:f>
        <x:v>6609 / 2026 / RAINBOW TROUT</x:v>
      </x:c>
    </x:row>
    <x:row r="3219" ht="23" customHeight="1">
      <x:c r="A3219" s="8" t="str">
        <x:v>Weberville Pond</x:v>
      </x:c>
      <x:c r="B3219" s="8" t="str">
        <x:v>6609</x:v>
      </x:c>
      <x:c r="C3219" s="17" t="n">
        <x:v>2025</x:v>
      </x:c>
      <x:c r="D3219" s="18" t="n">
        <x:v>45789</x:v>
      </x:c>
      <x:c r="E3219" s="8" t="str">
        <x:v>RAINBOW TROUT</x:v>
      </x:c>
      <x:c r="F3219" s="13" t="n">
        <x:v>1000</x:v>
      </x:c>
      <x:c r="G3219" s="9" t="n">
        <x:v>20.8</x:v>
      </x:c>
      <x:c r="H3219" s="9" t="n">
        <x:v>95.5</x:v>
      </x:c>
      <x:c r="I3219" s="8" t="str">
        <x:f>B3219&amp;" / "&amp;C3219&amp;" / "&amp;E3219</x:f>
        <x:v>6609 / 2025 / RAINBOW TROUT</x:v>
      </x:c>
    </x:row>
    <x:row r="3220" ht="23" customHeight="1">
      <x:c r="A3220" s="8" t="str">
        <x:v>Weberville Pond</x:v>
      </x:c>
      <x:c r="B3220" s="8" t="str">
        <x:v>6609</x:v>
      </x:c>
      <x:c r="C3220" s="17" t="n">
        <x:v>2024</x:v>
      </x:c>
      <x:c r="D3220" s="18" t="n">
        <x:v>45426</x:v>
      </x:c>
      <x:c r="E3220" s="8" t="str">
        <x:v>RAINBOW TROUT</x:v>
      </x:c>
      <x:c r="F3220" s="13" t="n">
        <x:v>500</x:v>
      </x:c>
      <x:c r="G3220" s="9" t="n">
        <x:v>20.7</x:v>
      </x:c>
      <x:c r="H3220" s="9" t="n">
        <x:v>95.1</x:v>
      </x:c>
      <x:c r="I3220" s="8" t="str">
        <x:f>B3220&amp;" / "&amp;C3220&amp;" / "&amp;E3220</x:f>
        <x:v>6609 / 2024 / RAINBOW TROUT</x:v>
      </x:c>
    </x:row>
    <x:row r="3221" ht="23" customHeight="1">
      <x:c r="A3221" s="8" t="str">
        <x:v>Weberville Pond</x:v>
      </x:c>
      <x:c r="B3221" s="8" t="str">
        <x:v>6609</x:v>
      </x:c>
      <x:c r="C3221" s="17" t="n">
        <x:v>2023</x:v>
      </x:c>
      <x:c r="D3221" s="18" t="n">
        <x:v>45069</x:v>
      </x:c>
      <x:c r="E3221" s="8" t="str">
        <x:v>RAINBOW TROUT</x:v>
      </x:c>
      <x:c r="F3221" s="13" t="n">
        <x:v>502</x:v>
      </x:c>
      <x:c r="G3221" s="9" t="n">
        <x:v>21.2</x:v>
      </x:c>
      <x:c r="H3221" s="9" t="n">
        <x:v>101.5</x:v>
      </x:c>
      <x:c r="I3221" s="8" t="str">
        <x:f>B3221&amp;" / "&amp;C3221&amp;" / "&amp;E3221</x:f>
        <x:v>6609 / 2023 / RAINBOW TROUT</x:v>
      </x:c>
    </x:row>
    <x:row r="3222" ht="23" customHeight="1">
      <x:c r="A3222" s="8" t="str">
        <x:v>Weberville Pond</x:v>
      </x:c>
      <x:c r="B3222" s="8" t="str">
        <x:v>6609</x:v>
      </x:c>
      <x:c r="C3222" s="17" t="n">
        <x:v>2022</x:v>
      </x:c>
      <x:c r="D3222" s="18" t="n">
        <x:v>44697</x:v>
      </x:c>
      <x:c r="E3222" s="8" t="str">
        <x:v>RAINBOW TROUT</x:v>
      </x:c>
      <x:c r="F3222" s="13" t="n">
        <x:v>1000</x:v>
      </x:c>
      <x:c r="G3222" s="9" t="n">
        <x:v>21.9</x:v>
      </x:c>
      <x:c r="H3222" s="9" t="n">
        <x:v>116.9</x:v>
      </x:c>
      <x:c r="I3222" s="8" t="str">
        <x:f>B3222&amp;" / "&amp;C3222&amp;" / "&amp;E3222</x:f>
        <x:v>6609 / 2022 / RAINBOW TROUT</x:v>
      </x:c>
    </x:row>
    <x:row r="3223" ht="23" customHeight="1">
      <x:c r="A3223" s="8" t="str">
        <x:v>Weberville Pond</x:v>
      </x:c>
      <x:c r="B3223" s="8" t="str">
        <x:v>6609</x:v>
      </x:c>
      <x:c r="C3223" s="17" t="n">
        <x:v>2021</x:v>
      </x:c>
      <x:c r="D3223" s="18" t="n">
        <x:v>44332</x:v>
      </x:c>
      <x:c r="E3223" s="8" t="str">
        <x:v>RAINBOW TROUT</x:v>
      </x:c>
      <x:c r="F3223" s="13" t="n">
        <x:v>1000</x:v>
      </x:c>
      <x:c r="G3223" s="9" t="n">
        <x:v>19.1</x:v>
      </x:c>
      <x:c r="H3223" s="9" t="n">
        <x:v>77.4</x:v>
      </x:c>
      <x:c r="I3223" s="8" t="str">
        <x:f>B3223&amp;" / "&amp;C3223&amp;" / "&amp;E3223</x:f>
        <x:v>6609 / 2021 / RAINBOW TROUT</x:v>
      </x:c>
    </x:row>
    <x:row r="3224" ht="23" customHeight="1">
      <x:c r="A3224" s="8" t="str">
        <x:v>West Dollar Lake</x:v>
      </x:c>
      <x:c r="B3224" s="8" t="str">
        <x:v>6524</x:v>
      </x:c>
      <x:c r="C3224" s="17" t="n">
        <x:v>2026</x:v>
      </x:c>
      <x:c r="D3224" s="18" t="n">
        <x:v>46161</x:v>
      </x:c>
      <x:c r="E3224" s="8" t="str">
        <x:v>BROWN TROUT</x:v>
      </x:c>
      <x:c r="F3224" s="13" t="n">
        <x:v>500</x:v>
      </x:c>
      <x:c r="G3224" s="9" t="n">
        <x:v>21.8</x:v>
      </x:c>
      <x:c r="H3224" s="9" t="n">
        <x:v>114.5</x:v>
      </x:c>
      <x:c r="I3224" s="8" t="str">
        <x:f>B3224&amp;" / "&amp;C3224&amp;" / "&amp;E3224</x:f>
        <x:v>6524 / 2026 / BROWN TROUT</x:v>
      </x:c>
    </x:row>
    <x:row r="3225" ht="23" customHeight="1">
      <x:c r="A3225" s="8" t="str">
        <x:v>West Dollar Lake</x:v>
      </x:c>
      <x:c r="B3225" s="8" t="str">
        <x:v>6524</x:v>
      </x:c>
      <x:c r="C3225" s="17" t="n">
        <x:v>2026</x:v>
      </x:c>
      <x:c r="D3225" s="18" t="n">
        <x:v>46161</x:v>
      </x:c>
      <x:c r="E3225" s="8" t="str">
        <x:v>RAINBOW TROUT</x:v>
      </x:c>
      <x:c r="F3225" s="13" t="n">
        <x:v>1000</x:v>
      </x:c>
      <x:c r="G3225" s="9" t="n">
        <x:v>20.3</x:v>
      </x:c>
      <x:c r="H3225" s="9" t="n">
        <x:v>92.9</x:v>
      </x:c>
      <x:c r="I3225" s="8" t="str">
        <x:f>B3225&amp;" / "&amp;C3225&amp;" / "&amp;E3225</x:f>
        <x:v>6524 / 2026 / RAINBOW TROUT</x:v>
      </x:c>
    </x:row>
    <x:row r="3226" ht="23" customHeight="1">
      <x:c r="A3226" s="8" t="str">
        <x:v>West Dollar Lake</x:v>
      </x:c>
      <x:c r="B3226" s="8" t="str">
        <x:v>6524</x:v>
      </x:c>
      <x:c r="C3226" s="17" t="n">
        <x:v>2025</x:v>
      </x:c>
      <x:c r="D3226" s="18" t="n">
        <x:v>45788</x:v>
      </x:c>
      <x:c r="E3226" s="8" t="str">
        <x:v>BROWN TROUT</x:v>
      </x:c>
      <x:c r="F3226" s="13" t="n">
        <x:v>250</x:v>
      </x:c>
      <x:c r="G3226" s="9" t="n">
        <x:v>19.1</x:v>
      </x:c>
      <x:c r="H3226" s="9" t="n">
        <x:v>75.2</x:v>
      </x:c>
      <x:c r="I3226" s="8" t="str">
        <x:f>B3226&amp;" / "&amp;C3226&amp;" / "&amp;E3226</x:f>
        <x:v>6524 / 2025 / BROWN TROUT</x:v>
      </x:c>
    </x:row>
    <x:row r="3227" ht="23" customHeight="1">
      <x:c r="A3227" s="8" t="str">
        <x:v>West Dollar Lake</x:v>
      </x:c>
      <x:c r="B3227" s="8" t="str">
        <x:v>6524</x:v>
      </x:c>
      <x:c r="C3227" s="17" t="n">
        <x:v>2025</x:v>
      </x:c>
      <x:c r="D3227" s="18" t="n">
        <x:v>45788</x:v>
      </x:c>
      <x:c r="E3227" s="8" t="str">
        <x:v>RAINBOW TROUT</x:v>
      </x:c>
      <x:c r="F3227" s="13" t="n">
        <x:v>1000</x:v>
      </x:c>
      <x:c r="G3227" s="9" t="n">
        <x:v>20.2</x:v>
      </x:c>
      <x:c r="H3227" s="9" t="n">
        <x:v>91.3</x:v>
      </x:c>
      <x:c r="I3227" s="8" t="str">
        <x:f>B3227&amp;" / "&amp;C3227&amp;" / "&amp;E3227</x:f>
        <x:v>6524 / 2025 / RAINBOW TROUT</x:v>
      </x:c>
    </x:row>
    <x:row r="3228" ht="23" customHeight="1">
      <x:c r="A3228" s="8" t="str">
        <x:v>West Dollar Lake</x:v>
      </x:c>
      <x:c r="B3228" s="8" t="str">
        <x:v>6524</x:v>
      </x:c>
      <x:c r="C3228" s="17" t="n">
        <x:v>2024</x:v>
      </x:c>
      <x:c r="D3228" s="18" t="n">
        <x:v>45419</x:v>
      </x:c>
      <x:c r="E3228" s="8" t="str">
        <x:v>BROWN TROUT</x:v>
      </x:c>
      <x:c r="F3228" s="13" t="n">
        <x:v>250</x:v>
      </x:c>
      <x:c r="G3228" s="9" t="n">
        <x:v>19.5</x:v>
      </x:c>
      <x:c r="H3228" s="9" t="n">
        <x:v>80</x:v>
      </x:c>
      <x:c r="I3228" s="8" t="str">
        <x:f>B3228&amp;" / "&amp;C3228&amp;" / "&amp;E3228</x:f>
        <x:v>6524 / 2024 / BROWN TROUT</x:v>
      </x:c>
    </x:row>
    <x:row r="3229" ht="23" customHeight="1">
      <x:c r="A3229" s="8" t="str">
        <x:v>West Dollar Lake</x:v>
      </x:c>
      <x:c r="B3229" s="8" t="str">
        <x:v>6524</x:v>
      </x:c>
      <x:c r="C3229" s="17" t="n">
        <x:v>2024</x:v>
      </x:c>
      <x:c r="D3229" s="18" t="n">
        <x:v>45419</x:v>
      </x:c>
      <x:c r="E3229" s="8" t="str">
        <x:v>RAINBOW TROUT</x:v>
      </x:c>
      <x:c r="F3229" s="13" t="n">
        <x:v>500</x:v>
      </x:c>
      <x:c r="G3229" s="9" t="n">
        <x:v>19.9</x:v>
      </x:c>
      <x:c r="H3229" s="9" t="n">
        <x:v>85.5</x:v>
      </x:c>
      <x:c r="I3229" s="8" t="str">
        <x:f>B3229&amp;" / "&amp;C3229&amp;" / "&amp;E3229</x:f>
        <x:v>6524 / 2024 / RAINBOW TROUT</x:v>
      </x:c>
    </x:row>
    <x:row r="3230" ht="23" customHeight="1">
      <x:c r="A3230" s="8" t="str">
        <x:v>West Dollar Lake</x:v>
      </x:c>
      <x:c r="B3230" s="8" t="str">
        <x:v>6524</x:v>
      </x:c>
      <x:c r="C3230" s="17" t="n">
        <x:v>2023</x:v>
      </x:c>
      <x:c r="D3230" s="18" t="n">
        <x:v>45054</x:v>
      </x:c>
      <x:c r="E3230" s="8" t="str">
        <x:v>BROWN TROUT</x:v>
      </x:c>
      <x:c r="F3230" s="13" t="n">
        <x:v>250</x:v>
      </x:c>
      <x:c r="G3230" s="9" t="n">
        <x:v>18.6</x:v>
      </x:c>
      <x:c r="H3230" s="9" t="n">
        <x:v>71.2</x:v>
      </x:c>
      <x:c r="I3230" s="8" t="str">
        <x:f>B3230&amp;" / "&amp;C3230&amp;" / "&amp;E3230</x:f>
        <x:v>6524 / 2023 / BROWN TROUT</x:v>
      </x:c>
    </x:row>
    <x:row r="3231" ht="23" customHeight="1">
      <x:c r="A3231" s="8" t="str">
        <x:v>West Dollar Lake</x:v>
      </x:c>
      <x:c r="B3231" s="8" t="str">
        <x:v>6524</x:v>
      </x:c>
      <x:c r="C3231" s="17" t="n">
        <x:v>2023</x:v>
      </x:c>
      <x:c r="D3231" s="18" t="n">
        <x:v>45054</x:v>
      </x:c>
      <x:c r="E3231" s="8" t="str">
        <x:v>RAINBOW TROUT</x:v>
      </x:c>
      <x:c r="F3231" s="13" t="n">
        <x:v>502</x:v>
      </x:c>
      <x:c r="G3231" s="9" t="n">
        <x:v>18.6</x:v>
      </x:c>
      <x:c r="H3231" s="9" t="n">
        <x:v>71.2</x:v>
      </x:c>
      <x:c r="I3231" s="8" t="str">
        <x:f>B3231&amp;" / "&amp;C3231&amp;" / "&amp;E3231</x:f>
        <x:v>6524 / 2023 / RAINBOW TROUT</x:v>
      </x:c>
    </x:row>
    <x:row r="3232" ht="23" customHeight="1">
      <x:c r="A3232" s="8" t="str">
        <x:v>West Dollar Lake</x:v>
      </x:c>
      <x:c r="B3232" s="8" t="str">
        <x:v>6524</x:v>
      </x:c>
      <x:c r="C3232" s="17" t="n">
        <x:v>2022</x:v>
      </x:c>
      <x:c r="D3232" s="18" t="n">
        <x:v>44696</x:v>
      </x:c>
      <x:c r="E3232" s="8" t="str">
        <x:v>BROWN TROUT</x:v>
      </x:c>
      <x:c r="F3232" s="13" t="n">
        <x:v>250</x:v>
      </x:c>
      <x:c r="G3232" s="9" t="n">
        <x:v>17.9</x:v>
      </x:c>
      <x:c r="H3232" s="9" t="n">
        <x:v>63</x:v>
      </x:c>
      <x:c r="I3232" s="8" t="str">
        <x:f>B3232&amp;" / "&amp;C3232&amp;" / "&amp;E3232</x:f>
        <x:v>6524 / 2022 / BROWN TROUT</x:v>
      </x:c>
    </x:row>
    <x:row r="3233" ht="23" customHeight="1">
      <x:c r="A3233" s="8" t="str">
        <x:v>West Dollar Lake</x:v>
      </x:c>
      <x:c r="B3233" s="8" t="str">
        <x:v>6524</x:v>
      </x:c>
      <x:c r="C3233" s="17" t="n">
        <x:v>2022</x:v>
      </x:c>
      <x:c r="D3233" s="18" t="n">
        <x:v>44696</x:v>
      </x:c>
      <x:c r="E3233" s="8" t="str">
        <x:v>RAINBOW TROUT</x:v>
      </x:c>
      <x:c r="F3233" s="13" t="n">
        <x:v>1000</x:v>
      </x:c>
      <x:c r="G3233" s="9" t="n">
        <x:v>21.4</x:v>
      </x:c>
      <x:c r="H3233" s="9" t="n">
        <x:v>108.9</x:v>
      </x:c>
      <x:c r="I3233" s="8" t="str">
        <x:f>B3233&amp;" / "&amp;C3233&amp;" / "&amp;E3233</x:f>
        <x:v>6524 / 2022 / RAINBOW TROUT</x:v>
      </x:c>
    </x:row>
    <x:row r="3234" ht="23" customHeight="1">
      <x:c r="A3234" s="8" t="str">
        <x:v>West Dollar Lake</x:v>
      </x:c>
      <x:c r="B3234" s="8" t="str">
        <x:v>6524</x:v>
      </x:c>
      <x:c r="C3234" s="17" t="n">
        <x:v>2021</x:v>
      </x:c>
      <x:c r="D3234" s="18" t="n">
        <x:v>44332</x:v>
      </x:c>
      <x:c r="E3234" s="8" t="str">
        <x:v>BROWN TROUT</x:v>
      </x:c>
      <x:c r="F3234" s="13" t="n">
        <x:v>250</x:v>
      </x:c>
      <x:c r="G3234" s="9" t="n">
        <x:v>19.1</x:v>
      </x:c>
      <x:c r="H3234" s="9" t="n">
        <x:v>76.9</x:v>
      </x:c>
      <x:c r="I3234" s="8" t="str">
        <x:f>B3234&amp;" / "&amp;C3234&amp;" / "&amp;E3234</x:f>
        <x:v>6524 / 2021 / BROWN TROUT</x:v>
      </x:c>
    </x:row>
    <x:row r="3235" ht="23" customHeight="1">
      <x:c r="A3235" s="8" t="str">
        <x:v>West Dollar Lake</x:v>
      </x:c>
      <x:c r="B3235" s="8" t="str">
        <x:v>6524</x:v>
      </x:c>
      <x:c r="C3235" s="17" t="n">
        <x:v>2021</x:v>
      </x:c>
      <x:c r="D3235" s="18" t="n">
        <x:v>44332</x:v>
      </x:c>
      <x:c r="E3235" s="8" t="str">
        <x:v>RAINBOW TROUT</x:v>
      </x:c>
      <x:c r="F3235" s="13" t="n">
        <x:v>1000</x:v>
      </x:c>
      <x:c r="G3235" s="9" t="n">
        <x:v>19.4</x:v>
      </x:c>
      <x:c r="H3235" s="9" t="n">
        <x:v>80.7</x:v>
      </x:c>
      <x:c r="I3235" s="8" t="str">
        <x:f>B3235&amp;" / "&amp;C3235&amp;" / "&amp;E3235</x:f>
        <x:v>6524 / 2021 / RAINBOW TROUT</x:v>
      </x:c>
    </x:row>
    <x:row r="3236" ht="23" customHeight="1">
      <x:c r="A3236" s="8" t="str">
        <x:v>West Memorial Lake</x:v>
      </x:c>
      <x:c r="B3236" s="8" t="str">
        <x:v>6610</x:v>
      </x:c>
      <x:c r="C3236" s="17" t="n">
        <x:v>2021</x:v>
      </x:c>
      <x:c r="D3236" s="18" t="n">
        <x:v>44447</x:v>
      </x:c>
      <x:c r="E3236" s="8" t="str">
        <x:v>CUTTHROAT TROUT</x:v>
      </x:c>
      <x:c r="F3236" s="13" t="n">
        <x:v>400</x:v>
      </x:c>
      <x:c r="G3236" s="9" t="n">
        <x:v>4.9</x:v>
      </x:c>
      <x:c r="H3236" s="9" t="n">
        <x:v>1.3</x:v>
      </x:c>
      <x:c r="I3236" s="8" t="str">
        <x:f>B3236&amp;" / "&amp;C3236&amp;" / "&amp;E3236</x:f>
        <x:v>6610 / 2021 / CUTTHROAT TROUT</x:v>
      </x:c>
    </x:row>
    <x:row r="3237" ht="23" customHeight="1">
      <x:c r="A3237" s="8" t="str">
        <x:v>Westlock Recreation Pond</x:v>
      </x:c>
      <x:c r="B3237" s="8" t="str">
        <x:v>6613</x:v>
      </x:c>
      <x:c r="C3237" s="17" t="n">
        <x:v>2026</x:v>
      </x:c>
      <x:c r="D3237" s="18" t="n">
        <x:v>46156</x:v>
      </x:c>
      <x:c r="E3237" s="8" t="str">
        <x:v>RAINBOW TROUT</x:v>
      </x:c>
      <x:c r="F3237" s="13" t="n">
        <x:v>1200</x:v>
      </x:c>
      <x:c r="G3237" s="9" t="n">
        <x:v>20.7</x:v>
      </x:c>
      <x:c r="H3237" s="9" t="n">
        <x:v>93.1</x:v>
      </x:c>
      <x:c r="I3237" s="8" t="str">
        <x:f>B3237&amp;" / "&amp;C3237&amp;" / "&amp;E3237</x:f>
        <x:v>6613 / 2026 / RAINBOW TROUT</x:v>
      </x:c>
    </x:row>
    <x:row r="3238" ht="23" customHeight="1">
      <x:c r="A3238" s="8" t="str">
        <x:v>Westlock Recreation Pond</x:v>
      </x:c>
      <x:c r="B3238" s="8" t="str">
        <x:v>6613</x:v>
      </x:c>
      <x:c r="C3238" s="17" t="n">
        <x:v>2025</x:v>
      </x:c>
      <x:c r="D3238" s="18" t="n">
        <x:v>45790</x:v>
      </x:c>
      <x:c r="E3238" s="8" t="str">
        <x:v>RAINBOW TROUT</x:v>
      </x:c>
      <x:c r="F3238" s="13" t="n">
        <x:v>1200</x:v>
      </x:c>
      <x:c r="G3238" s="9" t="n">
        <x:v>21</x:v>
      </x:c>
      <x:c r="H3238" s="9" t="n">
        <x:v>89</x:v>
      </x:c>
      <x:c r="I3238" s="8" t="str">
        <x:f>B3238&amp;" / "&amp;C3238&amp;" / "&amp;E3238</x:f>
        <x:v>6613 / 2025 / RAINBOW TROUT</x:v>
      </x:c>
    </x:row>
    <x:row r="3239" ht="23" customHeight="1">
      <x:c r="A3239" s="8" t="str">
        <x:v>Westlock Recreation Pond</x:v>
      </x:c>
      <x:c r="B3239" s="8" t="str">
        <x:v>6613</x:v>
      </x:c>
      <x:c r="C3239" s="17" t="n">
        <x:v>2024</x:v>
      </x:c>
      <x:c r="D3239" s="18" t="n">
        <x:v>45421</x:v>
      </x:c>
      <x:c r="E3239" s="8" t="str">
        <x:v>RAINBOW TROUT</x:v>
      </x:c>
      <x:c r="F3239" s="13" t="n">
        <x:v>1200</x:v>
      </x:c>
      <x:c r="G3239" s="9" t="n">
        <x:v>20.9</x:v>
      </x:c>
      <x:c r="H3239" s="9" t="n">
        <x:v>91.8</x:v>
      </x:c>
      <x:c r="I3239" s="8" t="str">
        <x:f>B3239&amp;" / "&amp;C3239&amp;" / "&amp;E3239</x:f>
        <x:v>6613 / 2024 / RAINBOW TROUT</x:v>
      </x:c>
    </x:row>
    <x:row r="3240" ht="23" customHeight="1">
      <x:c r="A3240" s="8" t="str">
        <x:v>Westlock Recreation Pond</x:v>
      </x:c>
      <x:c r="B3240" s="8" t="str">
        <x:v>6613</x:v>
      </x:c>
      <x:c r="C3240" s="17" t="n">
        <x:v>2023</x:v>
      </x:c>
      <x:c r="D3240" s="18" t="n">
        <x:v>45197</x:v>
      </x:c>
      <x:c r="E3240" s="8" t="str">
        <x:v>RAINBOW TROUT</x:v>
      </x:c>
      <x:c r="F3240" s="13" t="n">
        <x:v>252</x:v>
      </x:c>
      <x:c r="G3240" s="9" t="n">
        <x:v>22.3</x:v>
      </x:c>
      <x:c r="H3240" s="9" t="n">
        <x:v>121.6</x:v>
      </x:c>
      <x:c r="I3240" s="8" t="str">
        <x:f>B3240&amp;" / "&amp;C3240&amp;" / "&amp;E3240</x:f>
        <x:v>6613 / 2023 / RAINBOW TROUT</x:v>
      </x:c>
    </x:row>
    <x:row r="3241" ht="23" customHeight="1">
      <x:c r="A3241" s="8" t="str">
        <x:v>Westlock Recreation Pond</x:v>
      </x:c>
      <x:c r="B3241" s="8" t="str">
        <x:v>6613</x:v>
      </x:c>
      <x:c r="C3241" s="17" t="n">
        <x:v>2022</x:v>
      </x:c>
      <x:c r="D3241" s="18" t="n">
        <x:v>44699</x:v>
      </x:c>
      <x:c r="E3241" s="8" t="str">
        <x:v>RAINBOW TROUT</x:v>
      </x:c>
      <x:c r="F3241" s="13" t="n">
        <x:v>1500</x:v>
      </x:c>
      <x:c r="G3241" s="9" t="n">
        <x:v>20.9</x:v>
      </x:c>
      <x:c r="H3241" s="9" t="n">
        <x:v>97.9</x:v>
      </x:c>
      <x:c r="I3241" s="8" t="str">
        <x:f>B3241&amp;" / "&amp;C3241&amp;" / "&amp;E3241</x:f>
        <x:v>6613 / 2022 / RAINBOW TROUT</x:v>
      </x:c>
    </x:row>
    <x:row r="3242" ht="23" customHeight="1">
      <x:c r="A3242" s="8" t="str">
        <x:v>Westlock Recreation Pond</x:v>
      </x:c>
      <x:c r="B3242" s="8" t="str">
        <x:v>6613</x:v>
      </x:c>
      <x:c r="C3242" s="17" t="n">
        <x:v>2022</x:v>
      </x:c>
      <x:c r="D3242" s="18" t="n">
        <x:v>44697</x:v>
      </x:c>
      <x:c r="E3242" s="8" t="str">
        <x:v>RAINBOW TROUT</x:v>
      </x:c>
      <x:c r="F3242" s="13" t="n">
        <x:v>500</x:v>
      </x:c>
      <x:c r="G3242" s="9" t="n">
        <x:v>21.9</x:v>
      </x:c>
      <x:c r="H3242" s="9" t="n">
        <x:v>116.9</x:v>
      </x:c>
      <x:c r="I3242" s="8" t="str">
        <x:f>B3242&amp;" / "&amp;C3242&amp;" / "&amp;E3242</x:f>
        <x:v>6613 / 2022 / RAINBOW TROUT</x:v>
      </x:c>
    </x:row>
    <x:row r="3243" ht="23" customHeight="1">
      <x:c r="A3243" s="8" t="str">
        <x:v>Westlock Recreation Pond</x:v>
      </x:c>
      <x:c r="B3243" s="8" t="str">
        <x:v>6613</x:v>
      </x:c>
      <x:c r="C3243" s="17" t="n">
        <x:v>2021</x:v>
      </x:c>
      <x:c r="D3243" s="18" t="n">
        <x:v>44455</x:v>
      </x:c>
      <x:c r="E3243" s="8" t="str">
        <x:v>RAINBOW TROUT</x:v>
      </x:c>
      <x:c r="F3243" s="13" t="n">
        <x:v>500</x:v>
      </x:c>
      <x:c r="G3243" s="9" t="n">
        <x:v>20.9</x:v>
      </x:c>
      <x:c r="H3243" s="9" t="n">
        <x:v>92</x:v>
      </x:c>
      <x:c r="I3243" s="8" t="str">
        <x:f>B3243&amp;" / "&amp;C3243&amp;" / "&amp;E3243</x:f>
        <x:v>6613 / 2021 / RAINBOW TROUT</x:v>
      </x:c>
    </x:row>
    <x:row r="3244" ht="23" customHeight="1">
      <x:c r="A3244" s="8" t="str">
        <x:v>Westlock Recreation Pond</x:v>
      </x:c>
      <x:c r="B3244" s="8" t="str">
        <x:v>6613</x:v>
      </x:c>
      <x:c r="C3244" s="17" t="n">
        <x:v>2021</x:v>
      </x:c>
      <x:c r="D3244" s="18" t="n">
        <x:v>44326</x:v>
      </x:c>
      <x:c r="E3244" s="8" t="str">
        <x:v>RAINBOW TROUT</x:v>
      </x:c>
      <x:c r="F3244" s="13" t="n">
        <x:v>1100</x:v>
      </x:c>
      <x:c r="G3244" s="9" t="n">
        <x:v>20.1</x:v>
      </x:c>
      <x:c r="H3244" s="9" t="n">
        <x:v>87.5</x:v>
      </x:c>
      <x:c r="I3244" s="8" t="str">
        <x:f>B3244&amp;" / "&amp;C3244&amp;" / "&amp;E3244</x:f>
        <x:v>6613 / 2021 / RAINBOW TROUT</x:v>
      </x:c>
    </x:row>
    <x:row r="3245" ht="23" customHeight="1">
      <x:c r="A3245" s="8" t="str">
        <x:v>Wetaskiwin Pond</x:v>
      </x:c>
      <x:c r="B3245" s="8" t="str">
        <x:v>18019</x:v>
      </x:c>
      <x:c r="C3245" s="17" t="n">
        <x:v>2026</x:v>
      </x:c>
      <x:c r="D3245" s="18" t="n">
        <x:v>46149</x:v>
      </x:c>
      <x:c r="E3245" s="8" t="str">
        <x:v>BROOK TROUT</x:v>
      </x:c>
      <x:c r="F3245" s="13" t="n">
        <x:v>250</x:v>
      </x:c>
      <x:c r="G3245" s="9" t="n">
        <x:v>19.3</x:v>
      </x:c>
      <x:c r="H3245" s="9" t="n">
        <x:v>77.2</x:v>
      </x:c>
      <x:c r="I3245" s="8" t="str">
        <x:f>B3245&amp;" / "&amp;C3245&amp;" / "&amp;E3245</x:f>
        <x:v>18019 / 2026 / BROOK TROUT</x:v>
      </x:c>
    </x:row>
    <x:row r="3246" ht="23" customHeight="1">
      <x:c r="A3246" s="8" t="str">
        <x:v>Wetaskiwin Pond</x:v>
      </x:c>
      <x:c r="B3246" s="8" t="str">
        <x:v>18019</x:v>
      </x:c>
      <x:c r="C3246" s="17" t="n">
        <x:v>2026</x:v>
      </x:c>
      <x:c r="D3246" s="18" t="n">
        <x:v>46149</x:v>
      </x:c>
      <x:c r="E3246" s="8" t="str">
        <x:v>RAINBOW TROUT</x:v>
      </x:c>
      <x:c r="F3246" s="13" t="n">
        <x:v>150</x:v>
      </x:c>
      <x:c r="G3246" s="9" t="n">
        <x:v>24.2</x:v>
      </x:c>
      <x:c r="H3246" s="9" t="n">
        <x:v>152.2</x:v>
      </x:c>
      <x:c r="I3246" s="8" t="str">
        <x:f>B3246&amp;" / "&amp;C3246&amp;" / "&amp;E3246</x:f>
        <x:v>18019 / 2026 / RAINBOW TROUT</x:v>
      </x:c>
    </x:row>
    <x:row r="3247" ht="23" customHeight="1">
      <x:c r="A3247" s="8" t="str">
        <x:v>Wetaskiwin Pond</x:v>
      </x:c>
      <x:c r="B3247" s="8" t="str">
        <x:v>18019</x:v>
      </x:c>
      <x:c r="C3247" s="17" t="n">
        <x:v>2025</x:v>
      </x:c>
      <x:c r="D3247" s="18" t="n">
        <x:v>45786</x:v>
      </x:c>
      <x:c r="E3247" s="8" t="str">
        <x:v>BROOK TROUT</x:v>
      </x:c>
      <x:c r="F3247" s="13" t="n">
        <x:v>250</x:v>
      </x:c>
      <x:c r="G3247" s="9" t="n">
        <x:v>19.6</x:v>
      </x:c>
      <x:c r="H3247" s="9" t="n">
        <x:v>80.9</x:v>
      </x:c>
      <x:c r="I3247" s="8" t="str">
        <x:f>B3247&amp;" / "&amp;C3247&amp;" / "&amp;E3247</x:f>
        <x:v>18019 / 2025 / BROOK TROUT</x:v>
      </x:c>
    </x:row>
    <x:row r="3248" ht="23" customHeight="1">
      <x:c r="A3248" s="8" t="str">
        <x:v>Wetaskiwin Pond</x:v>
      </x:c>
      <x:c r="B3248" s="8" t="str">
        <x:v>18019</x:v>
      </x:c>
      <x:c r="C3248" s="17" t="n">
        <x:v>2025</x:v>
      </x:c>
      <x:c r="D3248" s="18" t="n">
        <x:v>45786</x:v>
      </x:c>
      <x:c r="E3248" s="8" t="str">
        <x:v>RAINBOW TROUT</x:v>
      </x:c>
      <x:c r="F3248" s="13" t="n">
        <x:v>150</x:v>
      </x:c>
      <x:c r="G3248" s="9" t="n">
        <x:v>20.1</x:v>
      </x:c>
      <x:c r="H3248" s="9" t="n">
        <x:v>87.5</x:v>
      </x:c>
      <x:c r="I3248" s="8" t="str">
        <x:f>B3248&amp;" / "&amp;C3248&amp;" / "&amp;E3248</x:f>
        <x:v>18019 / 2025 / RAINBOW TROUT</x:v>
      </x:c>
    </x:row>
    <x:row r="3249" ht="23" customHeight="1">
      <x:c r="A3249" s="8" t="str">
        <x:v>Wetaskiwin Pond</x:v>
      </x:c>
      <x:c r="B3249" s="8" t="str">
        <x:v>18019</x:v>
      </x:c>
      <x:c r="C3249" s="17" t="n">
        <x:v>2024</x:v>
      </x:c>
      <x:c r="D3249" s="18" t="n">
        <x:v>45427</x:v>
      </x:c>
      <x:c r="E3249" s="8" t="str">
        <x:v>BROOK TROUT</x:v>
      </x:c>
      <x:c r="F3249" s="13" t="n">
        <x:v>250</x:v>
      </x:c>
      <x:c r="G3249" s="9" t="n">
        <x:v>21.7</x:v>
      </x:c>
      <x:c r="H3249" s="9" t="n">
        <x:v>70.1</x:v>
      </x:c>
      <x:c r="I3249" s="8" t="str">
        <x:f>B3249&amp;" / "&amp;C3249&amp;" / "&amp;E3249</x:f>
        <x:v>18019 / 2024 / BROOK TROUT</x:v>
      </x:c>
    </x:row>
    <x:row r="3250" ht="23" customHeight="1">
      <x:c r="A3250" s="8" t="str">
        <x:v>Wetaskiwin Pond</x:v>
      </x:c>
      <x:c r="B3250" s="8" t="str">
        <x:v>18019</x:v>
      </x:c>
      <x:c r="C3250" s="17" t="n">
        <x:v>2024</x:v>
      </x:c>
      <x:c r="D3250" s="18" t="n">
        <x:v>45429</x:v>
      </x:c>
      <x:c r="E3250" s="8" t="str">
        <x:v>RAINBOW TROUT</x:v>
      </x:c>
      <x:c r="F3250" s="13" t="n">
        <x:v>150</x:v>
      </x:c>
      <x:c r="G3250" s="9" t="n">
        <x:v>20.1</x:v>
      </x:c>
      <x:c r="H3250" s="9" t="n">
        <x:v>88</x:v>
      </x:c>
      <x:c r="I3250" s="8" t="str">
        <x:f>B3250&amp;" / "&amp;C3250&amp;" / "&amp;E3250</x:f>
        <x:v>18019 / 2024 / RAINBOW TROUT</x:v>
      </x:c>
    </x:row>
    <x:row r="3251" ht="23" customHeight="1">
      <x:c r="A3251" s="8" t="str">
        <x:v>Wetaskiwin Pond</x:v>
      </x:c>
      <x:c r="B3251" s="8" t="str">
        <x:v>18019</x:v>
      </x:c>
      <x:c r="C3251" s="17" t="n">
        <x:v>2023</x:v>
      </x:c>
      <x:c r="D3251" s="18" t="n">
        <x:v>45053</x:v>
      </x:c>
      <x:c r="E3251" s="8" t="str">
        <x:v>BROOK TROUT</x:v>
      </x:c>
      <x:c r="F3251" s="13" t="n">
        <x:v>250</x:v>
      </x:c>
      <x:c r="G3251" s="9" t="n">
        <x:v>20.7</x:v>
      </x:c>
      <x:c r="H3251" s="9" t="n">
        <x:v>90.3</x:v>
      </x:c>
      <x:c r="I3251" s="8" t="str">
        <x:f>B3251&amp;" / "&amp;C3251&amp;" / "&amp;E3251</x:f>
        <x:v>18019 / 2023 / BROOK TROUT</x:v>
      </x:c>
    </x:row>
    <x:row r="3252" ht="23" customHeight="1">
      <x:c r="A3252" s="8" t="str">
        <x:v>Wetaskiwin Pond</x:v>
      </x:c>
      <x:c r="B3252" s="8" t="str">
        <x:v>18019</x:v>
      </x:c>
      <x:c r="C3252" s="17" t="n">
        <x:v>2023</x:v>
      </x:c>
      <x:c r="D3252" s="18" t="n">
        <x:v>45049</x:v>
      </x:c>
      <x:c r="E3252" s="8" t="str">
        <x:v>RAINBOW TROUT</x:v>
      </x:c>
      <x:c r="F3252" s="13" t="n">
        <x:v>300</x:v>
      </x:c>
      <x:c r="G3252" s="9" t="n">
        <x:v>20</x:v>
      </x:c>
      <x:c r="H3252" s="9" t="n">
        <x:v>86.6</x:v>
      </x:c>
      <x:c r="I3252" s="8" t="str">
        <x:f>B3252&amp;" / "&amp;C3252&amp;" / "&amp;E3252</x:f>
        <x:v>18019 / 2023 / RAINBOW TROUT</x:v>
      </x:c>
    </x:row>
    <x:row r="3253" ht="23" customHeight="1">
      <x:c r="A3253" s="8" t="str">
        <x:v>Wetaskiwin Pond</x:v>
      </x:c>
      <x:c r="B3253" s="8" t="str">
        <x:v>18019</x:v>
      </x:c>
      <x:c r="C3253" s="17" t="n">
        <x:v>2022</x:v>
      </x:c>
      <x:c r="D3253" s="18" t="n">
        <x:v>44687</x:v>
      </x:c>
      <x:c r="E3253" s="8" t="str">
        <x:v>BROOK TROUT</x:v>
      </x:c>
      <x:c r="F3253" s="13" t="n">
        <x:v>250</x:v>
      </x:c>
      <x:c r="G3253" s="9" t="n">
        <x:v>19.5</x:v>
      </x:c>
      <x:c r="H3253" s="9" t="n">
        <x:v>82.2</x:v>
      </x:c>
      <x:c r="I3253" s="8" t="str">
        <x:f>B3253&amp;" / "&amp;C3253&amp;" / "&amp;E3253</x:f>
        <x:v>18019 / 2022 / BROOK TROUT</x:v>
      </x:c>
    </x:row>
    <x:row r="3254" ht="23" customHeight="1">
      <x:c r="A3254" s="8" t="str">
        <x:v>Wetaskiwin Pond</x:v>
      </x:c>
      <x:c r="B3254" s="8" t="str">
        <x:v>18019</x:v>
      </x:c>
      <x:c r="C3254" s="17" t="n">
        <x:v>2022</x:v>
      </x:c>
      <x:c r="D3254" s="18" t="n">
        <x:v>44727</x:v>
      </x:c>
      <x:c r="E3254" s="8" t="str">
        <x:v>RAINBOW TROUT</x:v>
      </x:c>
      <x:c r="F3254" s="13" t="n">
        <x:v>200</x:v>
      </x:c>
      <x:c r="G3254" s="9" t="n">
        <x:v>20.6</x:v>
      </x:c>
      <x:c r="H3254" s="9" t="n">
        <x:v>91.5</x:v>
      </x:c>
      <x:c r="I3254" s="8" t="str">
        <x:f>B3254&amp;" / "&amp;C3254&amp;" / "&amp;E3254</x:f>
        <x:v>18019 / 2022 / RAINBOW TROUT</x:v>
      </x:c>
    </x:row>
    <x:row r="3255" ht="23" customHeight="1">
      <x:c r="A3255" s="8" t="str">
        <x:v>Wetaskiwin Pond</x:v>
      </x:c>
      <x:c r="B3255" s="8" t="str">
        <x:v>18019</x:v>
      </x:c>
      <x:c r="C3255" s="17" t="n">
        <x:v>2022</x:v>
      </x:c>
      <x:c r="D3255" s="18" t="n">
        <x:v>44687</x:v>
      </x:c>
      <x:c r="E3255" s="8" t="str">
        <x:v>RAINBOW TROUT</x:v>
      </x:c>
      <x:c r="F3255" s="13" t="n">
        <x:v>150</x:v>
      </x:c>
      <x:c r="G3255" s="9" t="n">
        <x:v>21</x:v>
      </x:c>
      <x:c r="H3255" s="9" t="n">
        <x:v>102.4</x:v>
      </x:c>
      <x:c r="I3255" s="8" t="str">
        <x:f>B3255&amp;" / "&amp;C3255&amp;" / "&amp;E3255</x:f>
        <x:v>18019 / 2022 / RAINBOW TROUT</x:v>
      </x:c>
    </x:row>
    <x:row r="3256" ht="23" customHeight="1">
      <x:c r="A3256" s="8" t="str">
        <x:v>Wetaskiwin Pond</x:v>
      </x:c>
      <x:c r="B3256" s="8" t="str">
        <x:v>18019</x:v>
      </x:c>
      <x:c r="C3256" s="17" t="n">
        <x:v>2021</x:v>
      </x:c>
      <x:c r="D3256" s="18" t="n">
        <x:v>44319</x:v>
      </x:c>
      <x:c r="E3256" s="8" t="str">
        <x:v>BROOK TROUT</x:v>
      </x:c>
      <x:c r="F3256" s="13" t="n">
        <x:v>250</x:v>
      </x:c>
      <x:c r="G3256" s="9" t="n">
        <x:v>20.2</x:v>
      </x:c>
      <x:c r="H3256" s="9" t="n">
        <x:v>90.7</x:v>
      </x:c>
      <x:c r="I3256" s="8" t="str">
        <x:f>B3256&amp;" / "&amp;C3256&amp;" / "&amp;E3256</x:f>
        <x:v>18019 / 2021 / BROOK TROUT</x:v>
      </x:c>
    </x:row>
    <x:row r="3257" ht="23" customHeight="1">
      <x:c r="A3257" s="8" t="str">
        <x:v>Wetaskiwin Pond</x:v>
      </x:c>
      <x:c r="B3257" s="8" t="str">
        <x:v>18019</x:v>
      </x:c>
      <x:c r="C3257" s="17" t="n">
        <x:v>2021</x:v>
      </x:c>
      <x:c r="D3257" s="18" t="n">
        <x:v>44319</x:v>
      </x:c>
      <x:c r="E3257" s="8" t="str">
        <x:v>RAINBOW TROUT</x:v>
      </x:c>
      <x:c r="F3257" s="13" t="n">
        <x:v>150</x:v>
      </x:c>
      <x:c r="G3257" s="9" t="n">
        <x:v>20.7</x:v>
      </x:c>
      <x:c r="H3257" s="9" t="n">
        <x:v>98.7</x:v>
      </x:c>
      <x:c r="I3257" s="8" t="str">
        <x:f>B3257&amp;" / "&amp;C3257&amp;" / "&amp;E3257</x:f>
        <x:v>18019 / 2021 / RAINBOW TROUT</x:v>
      </x:c>
    </x:row>
    <x:row r="3258" ht="23" customHeight="1">
      <x:c r="A3258" s="8" t="str">
        <x:v>Whitecourt Town Pond</x:v>
      </x:c>
      <x:c r="B3258" s="8" t="str">
        <x:v>21137</x:v>
      </x:c>
      <x:c r="C3258" s="17" t="n">
        <x:v>2026</x:v>
      </x:c>
      <x:c r="D3258" s="18" t="n">
        <x:v>46153</x:v>
      </x:c>
      <x:c r="E3258" s="8" t="str">
        <x:v>RAINBOW TROUT</x:v>
      </x:c>
      <x:c r="F3258" s="13" t="n">
        <x:v>1500</x:v>
      </x:c>
      <x:c r="G3258" s="9" t="n">
        <x:v>24.9</x:v>
      </x:c>
      <x:c r="H3258" s="9" t="n">
        <x:v>172.2</x:v>
      </x:c>
      <x:c r="I3258" s="8" t="str">
        <x:f>B3258&amp;" / "&amp;C3258&amp;" / "&amp;E3258</x:f>
        <x:v>21137 / 2026 / RAINBOW TROUT</x:v>
      </x:c>
    </x:row>
    <x:row r="3259" ht="23" customHeight="1">
      <x:c r="A3259" s="8" t="str">
        <x:v>Whitecourt Town Pond</x:v>
      </x:c>
      <x:c r="B3259" s="8" t="str">
        <x:v>21137</x:v>
      </x:c>
      <x:c r="C3259" s="17" t="n">
        <x:v>2025</x:v>
      </x:c>
      <x:c r="D3259" s="18" t="n">
        <x:v>45788</x:v>
      </x:c>
      <x:c r="E3259" s="8" t="str">
        <x:v>RAINBOW TROUT</x:v>
      </x:c>
      <x:c r="F3259" s="13" t="n">
        <x:v>1500</x:v>
      </x:c>
      <x:c r="G3259" s="9" t="n">
        <x:v>23.6</x:v>
      </x:c>
      <x:c r="H3259" s="9" t="n">
        <x:v>144.6</x:v>
      </x:c>
      <x:c r="I3259" s="8" t="str">
        <x:f>B3259&amp;" / "&amp;C3259&amp;" / "&amp;E3259</x:f>
        <x:v>21137 / 2025 / RAINBOW TROUT</x:v>
      </x:c>
    </x:row>
    <x:row r="3260" ht="23" customHeight="1">
      <x:c r="A3260" s="8" t="str">
        <x:v>Whitecourt Town Pond</x:v>
      </x:c>
      <x:c r="B3260" s="8" t="str">
        <x:v>21137</x:v>
      </x:c>
      <x:c r="C3260" s="17" t="n">
        <x:v>2024</x:v>
      </x:c>
      <x:c r="D3260" s="18" t="n">
        <x:v>45439</x:v>
      </x:c>
      <x:c r="E3260" s="8" t="str">
        <x:v>RAINBOW TROUT</x:v>
      </x:c>
      <x:c r="F3260" s="13" t="n">
        <x:v>753</x:v>
      </x:c>
      <x:c r="G3260" s="9" t="n">
        <x:v>23.2</x:v>
      </x:c>
      <x:c r="H3260" s="9" t="n">
        <x:v>135</x:v>
      </x:c>
      <x:c r="I3260" s="8" t="str">
        <x:f>B3260&amp;" / "&amp;C3260&amp;" / "&amp;E3260</x:f>
        <x:v>21137 / 2024 / RAINBOW TROUT</x:v>
      </x:c>
    </x:row>
    <x:row r="3261" ht="23" customHeight="1">
      <x:c r="A3261" s="8" t="str">
        <x:v>Whitecourt Town Pond</x:v>
      </x:c>
      <x:c r="B3261" s="8" t="str">
        <x:v>21137</x:v>
      </x:c>
      <x:c r="C3261" s="17" t="n">
        <x:v>2023</x:v>
      </x:c>
      <x:c r="D3261" s="18" t="n">
        <x:v>45054</x:v>
      </x:c>
      <x:c r="E3261" s="8" t="str">
        <x:v>RAINBOW TROUT</x:v>
      </x:c>
      <x:c r="F3261" s="13" t="n">
        <x:v>753</x:v>
      </x:c>
      <x:c r="G3261" s="9" t="n">
        <x:v>20.3</x:v>
      </x:c>
      <x:c r="H3261" s="9" t="n">
        <x:v>92</x:v>
      </x:c>
      <x:c r="I3261" s="8" t="str">
        <x:f>B3261&amp;" / "&amp;C3261&amp;" / "&amp;E3261</x:f>
        <x:v>21137 / 2023 / RAINBOW TROUT</x:v>
      </x:c>
    </x:row>
    <x:row r="3262" ht="23" customHeight="1">
      <x:c r="A3262" s="8" t="str">
        <x:v>Whitecourt Town Pond</x:v>
      </x:c>
      <x:c r="B3262" s="8" t="str">
        <x:v>21137</x:v>
      </x:c>
      <x:c r="C3262" s="17" t="n">
        <x:v>2022</x:v>
      </x:c>
      <x:c r="D3262" s="18" t="n">
        <x:v>44698</x:v>
      </x:c>
      <x:c r="E3262" s="8" t="str">
        <x:v>RAINBOW TROUT</x:v>
      </x:c>
      <x:c r="F3262" s="13" t="n">
        <x:v>1500</x:v>
      </x:c>
      <x:c r="G3262" s="9" t="n">
        <x:v>20.4</x:v>
      </x:c>
      <x:c r="H3262" s="9" t="n">
        <x:v>94.5</x:v>
      </x:c>
      <x:c r="I3262" s="8" t="str">
        <x:f>B3262&amp;" / "&amp;C3262&amp;" / "&amp;E3262</x:f>
        <x:v>21137 / 2022 / RAINBOW TROUT</x:v>
      </x:c>
    </x:row>
    <x:row r="3263" ht="23" customHeight="1">
      <x:c r="A3263" s="8" t="str">
        <x:v>Whitecourt Town Pond</x:v>
      </x:c>
      <x:c r="B3263" s="8" t="str">
        <x:v>21137</x:v>
      </x:c>
      <x:c r="C3263" s="17" t="n">
        <x:v>2021</x:v>
      </x:c>
      <x:c r="D3263" s="18" t="n">
        <x:v>44333</x:v>
      </x:c>
      <x:c r="E3263" s="8" t="str">
        <x:v>RAINBOW TROUT</x:v>
      </x:c>
      <x:c r="F3263" s="13" t="n">
        <x:v>1500</x:v>
      </x:c>
      <x:c r="G3263" s="9" t="n">
        <x:v>18</x:v>
      </x:c>
      <x:c r="H3263" s="9" t="n">
        <x:v>64.2</x:v>
      </x:c>
      <x:c r="I3263" s="8" t="str">
        <x:f>B3263&amp;" / "&amp;C3263&amp;" / "&amp;E3263</x:f>
        <x:v>21137 / 2021 / RAINBOW TROUT</x:v>
      </x:c>
    </x:row>
    <x:row r="3264" ht="23" customHeight="1">
      <x:c r="A3264" s="8" t="str">
        <x:v>Wildwood Pond</x:v>
      </x:c>
      <x:c r="B3264" s="8" t="str">
        <x:v>6625</x:v>
      </x:c>
      <x:c r="C3264" s="17" t="n">
        <x:v>2026</x:v>
      </x:c>
      <x:c r="D3264" s="18" t="n">
        <x:v>46168</x:v>
      </x:c>
      <x:c r="E3264" s="8" t="str">
        <x:v>RAINBOW TROUT</x:v>
      </x:c>
      <x:c r="F3264" s="13" t="n">
        <x:v>1500</x:v>
      </x:c>
      <x:c r="G3264" s="9" t="n">
        <x:v>23.4</x:v>
      </x:c>
      <x:c r="H3264" s="9" t="n">
        <x:v>138</x:v>
      </x:c>
      <x:c r="I3264" s="8" t="str">
        <x:f>B3264&amp;" / "&amp;C3264&amp;" / "&amp;E3264</x:f>
        <x:v>6625 / 2026 / RAINBOW TROUT</x:v>
      </x:c>
    </x:row>
    <x:row r="3265" ht="23" customHeight="1">
      <x:c r="A3265" s="8" t="str">
        <x:v>Wildwood Pond</x:v>
      </x:c>
      <x:c r="B3265" s="8" t="str">
        <x:v>6625</x:v>
      </x:c>
      <x:c r="C3265" s="17" t="n">
        <x:v>2025</x:v>
      </x:c>
      <x:c r="D3265" s="18" t="n">
        <x:v>45790</x:v>
      </x:c>
      <x:c r="E3265" s="8" t="str">
        <x:v>RAINBOW TROUT</x:v>
      </x:c>
      <x:c r="F3265" s="13" t="n">
        <x:v>1500</x:v>
      </x:c>
      <x:c r="G3265" s="9" t="n">
        <x:v>23.7</x:v>
      </x:c>
      <x:c r="H3265" s="9" t="n">
        <x:v>143.9</x:v>
      </x:c>
      <x:c r="I3265" s="8" t="str">
        <x:f>B3265&amp;" / "&amp;C3265&amp;" / "&amp;E3265</x:f>
        <x:v>6625 / 2025 / RAINBOW TROUT</x:v>
      </x:c>
    </x:row>
    <x:row r="3266" ht="23" customHeight="1">
      <x:c r="A3266" s="8" t="str">
        <x:v>Wildwood Pond</x:v>
      </x:c>
      <x:c r="B3266" s="8" t="str">
        <x:v>6625</x:v>
      </x:c>
      <x:c r="C3266" s="17" t="n">
        <x:v>2024</x:v>
      </x:c>
      <x:c r="D3266" s="18" t="n">
        <x:v>45425</x:v>
      </x:c>
      <x:c r="E3266" s="8" t="str">
        <x:v>RAINBOW TROUT</x:v>
      </x:c>
      <x:c r="F3266" s="13" t="n">
        <x:v>753</x:v>
      </x:c>
      <x:c r="G3266" s="9" t="n">
        <x:v>23</x:v>
      </x:c>
      <x:c r="H3266" s="9" t="n">
        <x:v>131</x:v>
      </x:c>
      <x:c r="I3266" s="8" t="str">
        <x:f>B3266&amp;" / "&amp;C3266&amp;" / "&amp;E3266</x:f>
        <x:v>6625 / 2024 / RAINBOW TROUT</x:v>
      </x:c>
    </x:row>
    <x:row r="3267" ht="23" customHeight="1">
      <x:c r="A3267" s="8" t="str">
        <x:v>Wildwood Pond</x:v>
      </x:c>
      <x:c r="B3267" s="8" t="str">
        <x:v>6625</x:v>
      </x:c>
      <x:c r="C3267" s="17" t="n">
        <x:v>2023</x:v>
      </x:c>
      <x:c r="D3267" s="18" t="n">
        <x:v>45064</x:v>
      </x:c>
      <x:c r="E3267" s="8" t="str">
        <x:v>RAINBOW TROUT</x:v>
      </x:c>
      <x:c r="F3267" s="13" t="n">
        <x:v>753</x:v>
      </x:c>
      <x:c r="G3267" s="9" t="n">
        <x:v>21.7</x:v>
      </x:c>
      <x:c r="H3267" s="9" t="n">
        <x:v>111.1</x:v>
      </x:c>
      <x:c r="I3267" s="8" t="str">
        <x:f>B3267&amp;" / "&amp;C3267&amp;" / "&amp;E3267</x:f>
        <x:v>6625 / 2023 / RAINBOW TROUT</x:v>
      </x:c>
    </x:row>
    <x:row r="3268" ht="23" customHeight="1">
      <x:c r="A3268" s="8" t="str">
        <x:v>Wildwood Pond</x:v>
      </x:c>
      <x:c r="B3268" s="8" t="str">
        <x:v>6625</x:v>
      </x:c>
      <x:c r="C3268" s="17" t="n">
        <x:v>2022</x:v>
      </x:c>
      <x:c r="D3268" s="18" t="n">
        <x:v>44699</x:v>
      </x:c>
      <x:c r="E3268" s="8" t="str">
        <x:v>RAINBOW TROUT</x:v>
      </x:c>
      <x:c r="F3268" s="13" t="n">
        <x:v>1500</x:v>
      </x:c>
      <x:c r="G3268" s="9" t="n">
        <x:v>20.4</x:v>
      </x:c>
      <x:c r="H3268" s="9" t="n">
        <x:v>94.2</x:v>
      </x:c>
      <x:c r="I3268" s="8" t="str">
        <x:f>B3268&amp;" / "&amp;C3268&amp;" / "&amp;E3268</x:f>
        <x:v>6625 / 2022 / RAINBOW TROUT</x:v>
      </x:c>
    </x:row>
    <x:row r="3269" ht="23" customHeight="1">
      <x:c r="A3269" s="8" t="str">
        <x:v>Wildwood Pond</x:v>
      </x:c>
      <x:c r="B3269" s="8" t="str">
        <x:v>6625</x:v>
      </x:c>
      <x:c r="C3269" s="17" t="n">
        <x:v>2021</x:v>
      </x:c>
      <x:c r="D3269" s="18" t="n">
        <x:v>44327</x:v>
      </x:c>
      <x:c r="E3269" s="8" t="str">
        <x:v>RAINBOW TROUT</x:v>
      </x:c>
      <x:c r="F3269" s="13" t="n">
        <x:v>1500</x:v>
      </x:c>
      <x:c r="G3269" s="9" t="n">
        <x:v>16.3</x:v>
      </x:c>
      <x:c r="H3269" s="9" t="n">
        <x:v>47.7</x:v>
      </x:c>
      <x:c r="I3269" s="8" t="str">
        <x:f>B3269&amp;" / "&amp;C3269&amp;" / "&amp;E3269</x:f>
        <x:v>6625 / 2021 / RAINBOW TROUT</x:v>
      </x:c>
    </x:row>
    <x:row r="3270" ht="23" customHeight="1">
      <x:c r="A3270" s="8" t="str">
        <x:v>Winagami Lake</x:v>
      </x:c>
      <x:c r="B3270" s="8" t="str">
        <x:v>6169</x:v>
      </x:c>
      <x:c r="C3270" s="17" t="n">
        <x:v>2025</x:v>
      </x:c>
      <x:c r="D3270" s="18" t="n">
        <x:v>45814</x:v>
      </x:c>
      <x:c r="E3270" s="8" t="str">
        <x:v>WALLEYE</x:v>
      </x:c>
      <x:c r="F3270" s="13" t="n">
        <x:v>533860</x:v>
      </x:c>
      <x:c r="G3270" s="9" t="n">
        <x:v>0.4</x:v>
      </x:c>
      <x:c r="H3270" s="9" t="str">
        <x:v>Unknown</x:v>
      </x:c>
      <x:c r="I3270" s="8" t="str">
        <x:f>B3270&amp;" / "&amp;C3270&amp;" / "&amp;E3270</x:f>
        <x:v>6169 / 2025 / WALLEYE</x:v>
      </x:c>
    </x:row>
    <x:row r="3271" ht="23" customHeight="1">
      <x:c r="A3271" s="8" t="str">
        <x:v>Winagami Lake</x:v>
      </x:c>
      <x:c r="B3271" s="8" t="str">
        <x:v>6169</x:v>
      </x:c>
      <x:c r="C3271" s="17" t="n">
        <x:v>2025</x:v>
      </x:c>
      <x:c r="D3271" s="18" t="n">
        <x:v>45811</x:v>
      </x:c>
      <x:c r="E3271" s="8" t="str">
        <x:v>WALLEYE</x:v>
      </x:c>
      <x:c r="F3271" s="13" t="n">
        <x:v>458439</x:v>
      </x:c>
      <x:c r="G3271" s="9" t="n">
        <x:v>0.4</x:v>
      </x:c>
      <x:c r="H3271" s="9" t="str">
        <x:v>Unknown</x:v>
      </x:c>
      <x:c r="I3271" s="8" t="str">
        <x:f>B3271&amp;" / "&amp;C3271&amp;" / "&amp;E3271</x:f>
        <x:v>6169 / 2025 / WALLEYE</x:v>
      </x:c>
    </x:row>
    <x:row r="3272" ht="23" customHeight="1">
      <x:c r="A3272" s="8" t="str">
        <x:v>Winagami Lake</x:v>
      </x:c>
      <x:c r="B3272" s="8" t="str">
        <x:v>6169</x:v>
      </x:c>
      <x:c r="C3272" s="17" t="n">
        <x:v>2025</x:v>
      </x:c>
      <x:c r="D3272" s="18" t="n">
        <x:v>45805</x:v>
      </x:c>
      <x:c r="E3272" s="8" t="str">
        <x:v>WALLEYE</x:v>
      </x:c>
      <x:c r="F3272" s="13" t="n">
        <x:v>3293262</x:v>
      </x:c>
      <x:c r="G3272" s="9" t="n">
        <x:v>0.4</x:v>
      </x:c>
      <x:c r="H3272" s="9" t="str">
        <x:v>Unknown</x:v>
      </x:c>
      <x:c r="I3272" s="8" t="str">
        <x:f>B3272&amp;" / "&amp;C3272&amp;" / "&amp;E3272</x:f>
        <x:v>6169 / 2025 / WALLEYE</x:v>
      </x:c>
    </x:row>
    <x:row r="3273" ht="23" customHeight="1">
      <x:c r="A3273" s="8" t="str">
        <x:v>Winagami Lake</x:v>
      </x:c>
      <x:c r="B3273" s="8" t="str">
        <x:v>6169</x:v>
      </x:c>
      <x:c r="C3273" s="17" t="n">
        <x:v>2024</x:v>
      </x:c>
      <x:c r="D3273" s="18" t="n">
        <x:v>45449</x:v>
      </x:c>
      <x:c r="E3273" s="8" t="str">
        <x:v>WALLEYE</x:v>
      </x:c>
      <x:c r="F3273" s="13" t="n">
        <x:v>1044098</x:v>
      </x:c>
      <x:c r="G3273" s="9" t="n">
        <x:v>0</x:v>
      </x:c>
      <x:c r="H3273" s="9" t="str">
        <x:v>Unknown</x:v>
      </x:c>
      <x:c r="I3273" s="8" t="str">
        <x:f>B3273&amp;" / "&amp;C3273&amp;" / "&amp;E3273</x:f>
        <x:v>6169 / 2024 / WALLEYE</x:v>
      </x:c>
    </x:row>
    <x:row r="3274" ht="23" customHeight="1">
      <x:c r="A3274" s="8" t="str">
        <x:v>Winagami Lake</x:v>
      </x:c>
      <x:c r="B3274" s="8" t="str">
        <x:v>6169</x:v>
      </x:c>
      <x:c r="C3274" s="17" t="n">
        <x:v>2024</x:v>
      </x:c>
      <x:c r="D3274" s="18" t="n">
        <x:v>45447</x:v>
      </x:c>
      <x:c r="E3274" s="8" t="str">
        <x:v>WALLEYE</x:v>
      </x:c>
      <x:c r="F3274" s="13" t="n">
        <x:v>967050</x:v>
      </x:c>
      <x:c r="G3274" s="9" t="n">
        <x:v>0</x:v>
      </x:c>
      <x:c r="H3274" s="9" t="str">
        <x:v>Unknown</x:v>
      </x:c>
      <x:c r="I3274" s="8" t="str">
        <x:f>B3274&amp;" / "&amp;C3274&amp;" / "&amp;E3274</x:f>
        <x:v>6169 / 2024 / WALLEYE</x:v>
      </x:c>
    </x:row>
    <x:row r="3275" ht="23" customHeight="1">
      <x:c r="A3275" s="8" t="str">
        <x:v>Winagami Lake</x:v>
      </x:c>
      <x:c r="B3275" s="8" t="str">
        <x:v>6169</x:v>
      </x:c>
      <x:c r="C3275" s="17" t="n">
        <x:v>2024</x:v>
      </x:c>
      <x:c r="D3275" s="18" t="n">
        <x:v>45446</x:v>
      </x:c>
      <x:c r="E3275" s="8" t="str">
        <x:v>WALLEYE</x:v>
      </x:c>
      <x:c r="F3275" s="13" t="n">
        <x:v>1457587</x:v>
      </x:c>
      <x:c r="G3275" s="9" t="n">
        <x:v>0</x:v>
      </x:c>
      <x:c r="H3275" s="9" t="str">
        <x:v>Unknown</x:v>
      </x:c>
      <x:c r="I3275" s="8" t="str">
        <x:f>B3275&amp;" / "&amp;C3275&amp;" / "&amp;E3275</x:f>
        <x:v>6169 / 2024 / WALLEYE</x:v>
      </x:c>
    </x:row>
    <x:row r="3276" ht="23" customHeight="1">
      <x:c r="A3276" s="8" t="str">
        <x:v>Winagami Lake</x:v>
      </x:c>
      <x:c r="B3276" s="8" t="str">
        <x:v>6169</x:v>
      </x:c>
      <x:c r="C3276" s="17" t="n">
        <x:v>2023</x:v>
      </x:c>
      <x:c r="D3276" s="18" t="n">
        <x:v>45081</x:v>
      </x:c>
      <x:c r="E3276" s="8" t="str">
        <x:v>WALLEYE</x:v>
      </x:c>
      <x:c r="F3276" s="13" t="n">
        <x:v>585176</x:v>
      </x:c>
      <x:c r="G3276" s="9" t="n">
        <x:v>0.4</x:v>
      </x:c>
      <x:c r="H3276" s="9" t="n">
        <x:v>0</x:v>
      </x:c>
      <x:c r="I3276" s="8" t="str">
        <x:f>B3276&amp;" / "&amp;C3276&amp;" / "&amp;E3276</x:f>
        <x:v>6169 / 2023 / WALLEYE</x:v>
      </x:c>
    </x:row>
    <x:row r="3277" ht="23" customHeight="1">
      <x:c r="A3277" s="8" t="str">
        <x:v>Winchell Lake</x:v>
      </x:c>
      <x:c r="B3277" s="8" t="str">
        <x:v>6617</x:v>
      </x:c>
      <x:c r="C3277" s="17" t="n">
        <x:v>2026</x:v>
      </x:c>
      <x:c r="D3277" s="18" t="n">
        <x:v>46163</x:v>
      </x:c>
      <x:c r="E3277" s="8" t="str">
        <x:v>RAINBOW TROUT</x:v>
      </x:c>
      <x:c r="F3277" s="13" t="n">
        <x:v>4000</x:v>
      </x:c>
      <x:c r="G3277" s="9" t="n">
        <x:v>21.3</x:v>
      </x:c>
      <x:c r="H3277" s="9" t="n">
        <x:v>104.1</x:v>
      </x:c>
      <x:c r="I3277" s="8" t="str">
        <x:f>B3277&amp;" / "&amp;C3277&amp;" / "&amp;E3277</x:f>
        <x:v>6617 / 2026 / RAINBOW TROUT</x:v>
      </x:c>
    </x:row>
    <x:row r="3278" ht="23" customHeight="1">
      <x:c r="A3278" s="8" t="str">
        <x:v>Winchell Lake</x:v>
      </x:c>
      <x:c r="B3278" s="8" t="str">
        <x:v>6617</x:v>
      </x:c>
      <x:c r="C3278" s="17" t="n">
        <x:v>2025</x:v>
      </x:c>
      <x:c r="D3278" s="18" t="n">
        <x:v>45938</x:v>
      </x:c>
      <x:c r="E3278" s="8" t="str">
        <x:v>RAINBOW TROUT</x:v>
      </x:c>
      <x:c r="F3278" s="13" t="n">
        <x:v>2156</x:v>
      </x:c>
      <x:c r="G3278" s="9" t="n">
        <x:v>26.8</x:v>
      </x:c>
      <x:c r="H3278" s="9" t="n">
        <x:v>213.3</x:v>
      </x:c>
      <x:c r="I3278" s="8" t="str">
        <x:f>B3278&amp;" / "&amp;C3278&amp;" / "&amp;E3278</x:f>
        <x:v>6617 / 2025 / RAINBOW TROUT</x:v>
      </x:c>
    </x:row>
    <x:row r="3279" ht="23" customHeight="1">
      <x:c r="A3279" s="8" t="str">
        <x:v>Winchell Lake</x:v>
      </x:c>
      <x:c r="B3279" s="8" t="str">
        <x:v>6617</x:v>
      </x:c>
      <x:c r="C3279" s="17" t="n">
        <x:v>2025</x:v>
      </x:c>
      <x:c r="D3279" s="18" t="n">
        <x:v>45938</x:v>
      </x:c>
      <x:c r="E3279" s="8" t="str">
        <x:v>RAINBOW TROUT</x:v>
      </x:c>
      <x:c r="F3279" s="13" t="n">
        <x:v>2760</x:v>
      </x:c>
      <x:c r="G3279" s="9" t="n">
        <x:v>19.9</x:v>
      </x:c>
      <x:c r="H3279" s="9" t="n">
        <x:v>87.2</x:v>
      </x:c>
      <x:c r="I3279" s="8" t="str">
        <x:f>B3279&amp;" / "&amp;C3279&amp;" / "&amp;E3279</x:f>
        <x:v>6617 / 2025 / RAINBOW TROUT</x:v>
      </x:c>
    </x:row>
    <x:row r="3280" ht="23" customHeight="1">
      <x:c r="A3280" s="8" t="str">
        <x:v>Winchell Lake</x:v>
      </x:c>
      <x:c r="B3280" s="8" t="str">
        <x:v>6617</x:v>
      </x:c>
      <x:c r="C3280" s="17" t="n">
        <x:v>2025</x:v>
      </x:c>
      <x:c r="D3280" s="18" t="n">
        <x:v>45783</x:v>
      </x:c>
      <x:c r="E3280" s="8" t="str">
        <x:v>RAINBOW TROUT</x:v>
      </x:c>
      <x:c r="F3280" s="13" t="n">
        <x:v>4000</x:v>
      </x:c>
      <x:c r="G3280" s="9" t="n">
        <x:v>20</x:v>
      </x:c>
      <x:c r="H3280" s="9" t="n">
        <x:v>86</x:v>
      </x:c>
      <x:c r="I3280" s="8" t="str">
        <x:f>B3280&amp;" / "&amp;C3280&amp;" / "&amp;E3280</x:f>
        <x:v>6617 / 2025 / RAINBOW TROUT</x:v>
      </x:c>
    </x:row>
    <x:row r="3281" ht="23" customHeight="1">
      <x:c r="A3281" s="8" t="str">
        <x:v>Winchell Lake</x:v>
      </x:c>
      <x:c r="B3281" s="8" t="str">
        <x:v>6617</x:v>
      </x:c>
      <x:c r="C3281" s="17" t="n">
        <x:v>2024</x:v>
      </x:c>
      <x:c r="D3281" s="18" t="n">
        <x:v>45420</x:v>
      </x:c>
      <x:c r="E3281" s="8" t="str">
        <x:v>RAINBOW TROUT</x:v>
      </x:c>
      <x:c r="F3281" s="13" t="n">
        <x:v>3000</x:v>
      </x:c>
      <x:c r="G3281" s="9" t="n">
        <x:v>20</x:v>
      </x:c>
      <x:c r="H3281" s="9" t="n">
        <x:v>85.8</x:v>
      </x:c>
      <x:c r="I3281" s="8" t="str">
        <x:f>B3281&amp;" / "&amp;C3281&amp;" / "&amp;E3281</x:f>
        <x:v>6617 / 2024 / RAINBOW TROUT</x:v>
      </x:c>
    </x:row>
    <x:row r="3282" ht="23" customHeight="1">
      <x:c r="A3282" s="8" t="str">
        <x:v>Winchell Lake</x:v>
      </x:c>
      <x:c r="B3282" s="8" t="str">
        <x:v>6617</x:v>
      </x:c>
      <x:c r="C3282" s="17" t="n">
        <x:v>2023</x:v>
      </x:c>
      <x:c r="D3282" s="18" t="n">
        <x:v>45062</x:v>
      </x:c>
      <x:c r="E3282" s="8" t="str">
        <x:v>RAINBOW TROUT</x:v>
      </x:c>
      <x:c r="F3282" s="13" t="n">
        <x:v>4000</x:v>
      </x:c>
      <x:c r="G3282" s="9" t="n">
        <x:v>19.9</x:v>
      </x:c>
      <x:c r="H3282" s="9" t="n">
        <x:v>84.8</x:v>
      </x:c>
      <x:c r="I3282" s="8" t="str">
        <x:f>B3282&amp;" / "&amp;C3282&amp;" / "&amp;E3282</x:f>
        <x:v>6617 / 2023 / RAINBOW TROUT</x:v>
      </x:c>
    </x:row>
    <x:row r="3283" ht="23" customHeight="1">
      <x:c r="A3283" s="8" t="str">
        <x:v>Winchell Lake</x:v>
      </x:c>
      <x:c r="B3283" s="8" t="str">
        <x:v>6617</x:v>
      </x:c>
      <x:c r="C3283" s="17" t="n">
        <x:v>2022</x:v>
      </x:c>
      <x:c r="D3283" s="18" t="n">
        <x:v>44689</x:v>
      </x:c>
      <x:c r="E3283" s="8" t="str">
        <x:v>RAINBOW TROUT</x:v>
      </x:c>
      <x:c r="F3283" s="13" t="n">
        <x:v>6000</x:v>
      </x:c>
      <x:c r="G3283" s="9" t="n">
        <x:v>20.4</x:v>
      </x:c>
      <x:c r="H3283" s="9" t="n">
        <x:v>93.9</x:v>
      </x:c>
      <x:c r="I3283" s="8" t="str">
        <x:f>B3283&amp;" / "&amp;C3283&amp;" / "&amp;E3283</x:f>
        <x:v>6617 / 2022 / RAINBOW TROUT</x:v>
      </x:c>
    </x:row>
    <x:row r="3284" ht="23" customHeight="1">
      <x:c r="A3284" s="8" t="str">
        <x:v>Winchell Lake</x:v>
      </x:c>
      <x:c r="B3284" s="8" t="str">
        <x:v>6617</x:v>
      </x:c>
      <x:c r="C3284" s="17" t="n">
        <x:v>2021</x:v>
      </x:c>
      <x:c r="D3284" s="18" t="n">
        <x:v>44329</x:v>
      </x:c>
      <x:c r="E3284" s="8" t="str">
        <x:v>RAINBOW TROUT</x:v>
      </x:c>
      <x:c r="F3284" s="13" t="n">
        <x:v>6000</x:v>
      </x:c>
      <x:c r="G3284" s="9" t="n">
        <x:v>22.3</x:v>
      </x:c>
      <x:c r="H3284" s="9" t="n">
        <x:v>123</x:v>
      </x:c>
      <x:c r="I3284" s="8" t="str">
        <x:f>B3284&amp;" / "&amp;C3284&amp;" / "&amp;E3284</x:f>
        <x:v>6617 / 2021 / RAINBOW TROUT</x:v>
      </x:c>
    </x:row>
    <x:row r="3285" ht="23" customHeight="1">
      <x:c r="A3285" s="8" t="str">
        <x:v>Windsor Lake</x:v>
      </x:c>
      <x:c r="B3285" s="8" t="str">
        <x:v>6173</x:v>
      </x:c>
      <x:c r="C3285" s="17" t="n">
        <x:v>2026</x:v>
      </x:c>
      <x:c r="D3285" s="18" t="n">
        <x:v>46141</x:v>
      </x:c>
      <x:c r="E3285" s="8" t="str">
        <x:v>RAINBOW TROUT</x:v>
      </x:c>
      <x:c r="F3285" s="13" t="n">
        <x:v>2000</x:v>
      </x:c>
      <x:c r="G3285" s="9" t="n">
        <x:v>20.1</x:v>
      </x:c>
      <x:c r="H3285" s="9" t="n">
        <x:v>92.6</x:v>
      </x:c>
      <x:c r="I3285" s="8" t="str">
        <x:f>B3285&amp;" / "&amp;C3285&amp;" / "&amp;E3285</x:f>
        <x:v>6173 / 2026 / RAINBOW TROUT</x:v>
      </x:c>
    </x:row>
    <x:row r="3286" ht="23" customHeight="1">
      <x:c r="A3286" s="8" t="str">
        <x:v>Windsor Lake</x:v>
      </x:c>
      <x:c r="B3286" s="8" t="str">
        <x:v>6173</x:v>
      </x:c>
      <x:c r="C3286" s="17" t="n">
        <x:v>2025</x:v>
      </x:c>
      <x:c r="D3286" s="18" t="n">
        <x:v>45777</x:v>
      </x:c>
      <x:c r="E3286" s="8" t="str">
        <x:v>RAINBOW TROUT</x:v>
      </x:c>
      <x:c r="F3286" s="13" t="n">
        <x:v>2000</x:v>
      </x:c>
      <x:c r="G3286" s="9" t="n">
        <x:v>20.2</x:v>
      </x:c>
      <x:c r="H3286" s="9" t="n">
        <x:v>89.5</x:v>
      </x:c>
      <x:c r="I3286" s="8" t="str">
        <x:f>B3286&amp;" / "&amp;C3286&amp;" / "&amp;E3286</x:f>
        <x:v>6173 / 2025 / RAINBOW TROUT</x:v>
      </x:c>
    </x:row>
    <x:row r="3287" ht="23" customHeight="1">
      <x:c r="A3287" s="8" t="str">
        <x:v>Windsor Lake</x:v>
      </x:c>
      <x:c r="B3287" s="8" t="str">
        <x:v>6173</x:v>
      </x:c>
      <x:c r="C3287" s="17" t="n">
        <x:v>2025</x:v>
      </x:c>
      <x:c r="D3287" s="18" t="n">
        <x:v>45776</x:v>
      </x:c>
      <x:c r="E3287" s="8" t="str">
        <x:v>RAINBOW TROUT</x:v>
      </x:c>
      <x:c r="F3287" s="13" t="n">
        <x:v>1500</x:v>
      </x:c>
      <x:c r="G3287" s="9" t="n">
        <x:v>20.3</x:v>
      </x:c>
      <x:c r="H3287" s="9" t="n">
        <x:v>94.3</x:v>
      </x:c>
      <x:c r="I3287" s="8" t="str">
        <x:f>B3287&amp;" / "&amp;C3287&amp;" / "&amp;E3287</x:f>
        <x:v>6173 / 2025 / RAINBOW TROUT</x:v>
      </x:c>
    </x:row>
    <x:row r="3288" ht="23" customHeight="1">
      <x:c r="A3288" s="8" t="str">
        <x:v>Windsor Lake</x:v>
      </x:c>
      <x:c r="B3288" s="8" t="str">
        <x:v>6173</x:v>
      </x:c>
      <x:c r="C3288" s="17" t="n">
        <x:v>2024</x:v>
      </x:c>
      <x:c r="D3288" s="18" t="n">
        <x:v>45405</x:v>
      </x:c>
      <x:c r="E3288" s="8" t="str">
        <x:v>RAINBOW TROUT</x:v>
      </x:c>
      <x:c r="F3288" s="13" t="n">
        <x:v>4732</x:v>
      </x:c>
      <x:c r="G3288" s="9" t="n">
        <x:v>20.5</x:v>
      </x:c>
      <x:c r="H3288" s="9" t="n">
        <x:v>92.3</x:v>
      </x:c>
      <x:c r="I3288" s="8" t="str">
        <x:f>B3288&amp;" / "&amp;C3288&amp;" / "&amp;E3288</x:f>
        <x:v>6173 / 2024 / RAINBOW TROUT</x:v>
      </x:c>
    </x:row>
    <x:row r="3289" ht="23" customHeight="1">
      <x:c r="A3289" s="8" t="str">
        <x:v>Windsor Lake</x:v>
      </x:c>
      <x:c r="B3289" s="8" t="str">
        <x:v>6173</x:v>
      </x:c>
      <x:c r="C3289" s="17" t="n">
        <x:v>2023</x:v>
      </x:c>
      <x:c r="D3289" s="18" t="n">
        <x:v>45055</x:v>
      </x:c>
      <x:c r="E3289" s="8" t="str">
        <x:v>RAINBOW TROUT</x:v>
      </x:c>
      <x:c r="F3289" s="13" t="n">
        <x:v>4300</x:v>
      </x:c>
      <x:c r="G3289" s="9" t="n">
        <x:v>20.5</x:v>
      </x:c>
      <x:c r="H3289" s="9" t="n">
        <x:v>89.9</x:v>
      </x:c>
      <x:c r="I3289" s="8" t="str">
        <x:f>B3289&amp;" / "&amp;C3289&amp;" / "&amp;E3289</x:f>
        <x:v>6173 / 2023 / RAINBOW TROUT</x:v>
      </x:c>
    </x:row>
    <x:row r="3290" ht="23" customHeight="1">
      <x:c r="A3290" s="8" t="str">
        <x:v>Windsor Lake</x:v>
      </x:c>
      <x:c r="B3290" s="8" t="str">
        <x:v>6173</x:v>
      </x:c>
      <x:c r="C3290" s="17" t="n">
        <x:v>2021</x:v>
      </x:c>
      <x:c r="D3290" s="18" t="n">
        <x:v>44462</x:v>
      </x:c>
      <x:c r="E3290" s="8" t="str">
        <x:v>RAINBOW TROUT</x:v>
      </x:c>
      <x:c r="F3290" s="13" t="n">
        <x:v>3500</x:v>
      </x:c>
      <x:c r="G3290" s="9" t="n">
        <x:v>20.9</x:v>
      </x:c>
      <x:c r="H3290" s="9" t="n">
        <x:v>99.3</x:v>
      </x:c>
      <x:c r="I3290" s="8" t="str">
        <x:f>B3290&amp;" / "&amp;C3290&amp;" / "&amp;E3290</x:f>
        <x:v>6173 / 2021 / RAINBOW TROUT</x:v>
      </x:c>
    </x:row>
    <x:row r="3291" ht="23" customHeight="1">
      <x:c r="A3291" s="8" t="str">
        <x:v>Windsor Lake</x:v>
      </x:c>
      <x:c r="B3291" s="8" t="str">
        <x:v>6173</x:v>
      </x:c>
      <x:c r="C3291" s="17" t="n">
        <x:v>2021</x:v>
      </x:c>
      <x:c r="D3291" s="18" t="n">
        <x:v>44362</x:v>
      </x:c>
      <x:c r="E3291" s="8" t="str">
        <x:v>RAINBOW TROUT</x:v>
      </x:c>
      <x:c r="F3291" s="13" t="n">
        <x:v>1000</x:v>
      </x:c>
      <x:c r="G3291" s="9" t="n">
        <x:v>20.5</x:v>
      </x:c>
      <x:c r="H3291" s="9" t="n">
        <x:v>89.8</x:v>
      </x:c>
      <x:c r="I3291" s="8" t="str">
        <x:f>B3291&amp;" / "&amp;C3291&amp;" / "&amp;E3291</x:f>
        <x:v>6173 / 2021 / RAINBOW TROUT</x:v>
      </x:c>
    </x:row>
    <x:row r="3292" ht="23" customHeight="1">
      <x:c r="A3292" s="8" t="str">
        <x:v>Windsor Lake</x:v>
      </x:c>
      <x:c r="B3292" s="8" t="str">
        <x:v>6173</x:v>
      </x:c>
      <x:c r="C3292" s="17" t="n">
        <x:v>2021</x:v>
      </x:c>
      <x:c r="D3292" s="18" t="n">
        <x:v>44306</x:v>
      </x:c>
      <x:c r="E3292" s="8" t="str">
        <x:v>RAINBOW TROUT</x:v>
      </x:c>
      <x:c r="F3292" s="13" t="n">
        <x:v>2000</x:v>
      </x:c>
      <x:c r="G3292" s="9" t="n">
        <x:v>20.8</x:v>
      </x:c>
      <x:c r="H3292" s="9" t="n">
        <x:v>102.7</x:v>
      </x:c>
      <x:c r="I3292" s="8" t="str">
        <x:f>B3292&amp;" / "&amp;C3292&amp;" / "&amp;E3292</x:f>
        <x:v>6173 / 2021 / RAINBOW TROUT</x:v>
      </x:c>
    </x:row>
    <x:row r="3293" ht="23" customHeight="1">
      <x:c r="A3293" s="8" t="str">
        <x:v>Wolf Creek Pond</x:v>
      </x:c>
      <x:c r="B3293" s="8" t="str">
        <x:v>6626</x:v>
      </x:c>
      <x:c r="C3293" s="17" t="n">
        <x:v>2026</x:v>
      </x:c>
      <x:c r="D3293" s="18" t="n">
        <x:v>46167</x:v>
      </x:c>
      <x:c r="E3293" s="8" t="str">
        <x:v>RAINBOW TROUT</x:v>
      </x:c>
      <x:c r="F3293" s="13" t="n">
        <x:v>750</x:v>
      </x:c>
      <x:c r="G3293" s="9" t="n">
        <x:v>23.3</x:v>
      </x:c>
      <x:c r="H3293" s="9" t="n">
        <x:v>137.1</x:v>
      </x:c>
      <x:c r="I3293" s="8" t="str">
        <x:f>B3293&amp;" / "&amp;C3293&amp;" / "&amp;E3293</x:f>
        <x:v>6626 / 2026 / RAINBOW TROUT</x:v>
      </x:c>
    </x:row>
    <x:row r="3294" ht="23" customHeight="1">
      <x:c r="A3294" s="8" t="str">
        <x:v>Wolf Creek Pond</x:v>
      </x:c>
      <x:c r="B3294" s="8" t="str">
        <x:v>6626</x:v>
      </x:c>
      <x:c r="C3294" s="17" t="n">
        <x:v>2025</x:v>
      </x:c>
      <x:c r="D3294" s="18" t="n">
        <x:v>45803</x:v>
      </x:c>
      <x:c r="E3294" s="8" t="str">
        <x:v>RAINBOW TROUT</x:v>
      </x:c>
      <x:c r="F3294" s="13" t="n">
        <x:v>750</x:v>
      </x:c>
      <x:c r="G3294" s="9" t="n">
        <x:v>23.1</x:v>
      </x:c>
      <x:c r="H3294" s="9" t="n">
        <x:v>133.3</x:v>
      </x:c>
      <x:c r="I3294" s="8" t="str">
        <x:f>B3294&amp;" / "&amp;C3294&amp;" / "&amp;E3294</x:f>
        <x:v>6626 / 2025 / RAINBOW TROUT</x:v>
      </x:c>
    </x:row>
    <x:row r="3295" ht="23" customHeight="1">
      <x:c r="A3295" s="8" t="str">
        <x:v>Wolf Creek Pond</x:v>
      </x:c>
      <x:c r="B3295" s="8" t="str">
        <x:v>6626</x:v>
      </x:c>
      <x:c r="C3295" s="17" t="n">
        <x:v>2024</x:v>
      </x:c>
      <x:c r="D3295" s="18" t="n">
        <x:v>45442</x:v>
      </x:c>
      <x:c r="E3295" s="8" t="str">
        <x:v>RAINBOW TROUT</x:v>
      </x:c>
      <x:c r="F3295" s="13" t="n">
        <x:v>375</x:v>
      </x:c>
      <x:c r="G3295" s="9" t="n">
        <x:v>20.1</x:v>
      </x:c>
      <x:c r="H3295" s="9" t="n">
        <x:v>88</x:v>
      </x:c>
      <x:c r="I3295" s="8" t="str">
        <x:f>B3295&amp;" / "&amp;C3295&amp;" / "&amp;E3295</x:f>
        <x:v>6626 / 2024 / RAINBOW TROUT</x:v>
      </x:c>
    </x:row>
    <x:row r="3296" ht="23" customHeight="1">
      <x:c r="A3296" s="8" t="str">
        <x:v>Wolf Creek Pond</x:v>
      </x:c>
      <x:c r="B3296" s="8" t="str">
        <x:v>6626</x:v>
      </x:c>
      <x:c r="C3296" s="17" t="n">
        <x:v>2023</x:v>
      </x:c>
      <x:c r="D3296" s="18" t="n">
        <x:v>45068</x:v>
      </x:c>
      <x:c r="E3296" s="8" t="str">
        <x:v>RAINBOW TROUT</x:v>
      </x:c>
      <x:c r="F3296" s="13" t="n">
        <x:v>377</x:v>
      </x:c>
      <x:c r="G3296" s="9" t="n">
        <x:v>21.4</x:v>
      </x:c>
      <x:c r="H3296" s="9" t="n">
        <x:v>106.1</x:v>
      </x:c>
      <x:c r="I3296" s="8" t="str">
        <x:f>B3296&amp;" / "&amp;C3296&amp;" / "&amp;E3296</x:f>
        <x:v>6626 / 2023 / RAINBOW TROUT</x:v>
      </x:c>
    </x:row>
    <x:row r="3297" ht="23" customHeight="1">
      <x:c r="A3297" s="8" t="str">
        <x:v>Wolf Creek Pond</x:v>
      </x:c>
      <x:c r="B3297" s="8" t="str">
        <x:v>6626</x:v>
      </x:c>
      <x:c r="C3297" s="17" t="n">
        <x:v>2022</x:v>
      </x:c>
      <x:c r="D3297" s="18" t="n">
        <x:v>44704</x:v>
      </x:c>
      <x:c r="E3297" s="8" t="str">
        <x:v>RAINBOW TROUT</x:v>
      </x:c>
      <x:c r="F3297" s="13" t="n">
        <x:v>750</x:v>
      </x:c>
      <x:c r="G3297" s="9" t="n">
        <x:v>21.9</x:v>
      </x:c>
      <x:c r="H3297" s="9" t="n">
        <x:v>115</x:v>
      </x:c>
      <x:c r="I3297" s="8" t="str">
        <x:f>B3297&amp;" / "&amp;C3297&amp;" / "&amp;E3297</x:f>
        <x:v>6626 / 2022 / RAINBOW TROUT</x:v>
      </x:c>
    </x:row>
    <x:row r="3298" ht="23" customHeight="1">
      <x:c r="A3298" s="8" t="str">
        <x:v>Wolf Creek Pond</x:v>
      </x:c>
      <x:c r="B3298" s="8" t="str">
        <x:v>6626</x:v>
      </x:c>
      <x:c r="C3298" s="17" t="n">
        <x:v>2021</x:v>
      </x:c>
      <x:c r="D3298" s="18" t="n">
        <x:v>44353</x:v>
      </x:c>
      <x:c r="E3298" s="8" t="str">
        <x:v>RAINBOW TROUT</x:v>
      </x:c>
      <x:c r="F3298" s="13" t="n">
        <x:v>750</x:v>
      </x:c>
      <x:c r="G3298" s="9" t="n">
        <x:v>21.1</x:v>
      </x:c>
      <x:c r="H3298" s="9" t="n">
        <x:v>104.3</x:v>
      </x:c>
      <x:c r="I3298" s="8" t="str">
        <x:f>B3298&amp;" / "&amp;C3298&amp;" / "&amp;E3298</x:f>
        <x:v>6626 / 2021 / RAINBOW TROUT</x:v>
      </x:c>
    </x:row>
    <x:row r="3299" ht="23" customHeight="1">
      <x:c r="A3299" s="8" t="str">
        <x:v>Yellowhead Lake</x:v>
      </x:c>
      <x:c r="B3299" s="8" t="str">
        <x:v>6601</x:v>
      </x:c>
      <x:c r="C3299" s="17" t="n">
        <x:v>2026</x:v>
      </x:c>
      <x:c r="D3299" s="18" t="n">
        <x:v>46177</x:v>
      </x:c>
      <x:c r="E3299" s="8" t="str">
        <x:v>BROOK TROUT</x:v>
      </x:c>
      <x:c r="F3299" s="13" t="n">
        <x:v>4000</x:v>
      </x:c>
      <x:c r="G3299" s="9" t="n">
        <x:v>19.5</x:v>
      </x:c>
      <x:c r="H3299" s="9" t="n">
        <x:v>80.6</x:v>
      </x:c>
      <x:c r="I3299" s="8" t="str">
        <x:f>B3299&amp;" / "&amp;C3299&amp;" / "&amp;E3299</x:f>
        <x:v>6601 / 2026 / BROOK TROUT</x:v>
      </x:c>
    </x:row>
    <x:row r="3300" ht="23" customHeight="1">
      <x:c r="A3300" s="8" t="str">
        <x:v>Yellowhead Lake</x:v>
      </x:c>
      <x:c r="B3300" s="8" t="str">
        <x:v>6601</x:v>
      </x:c>
      <x:c r="C3300" s="17" t="n">
        <x:v>2025</x:v>
      </x:c>
      <x:c r="D3300" s="18" t="n">
        <x:v>45811</x:v>
      </x:c>
      <x:c r="E3300" s="8" t="str">
        <x:v>BROOK TROUT</x:v>
      </x:c>
      <x:c r="F3300" s="13" t="n">
        <x:v>4000</x:v>
      </x:c>
      <x:c r="G3300" s="9" t="n">
        <x:v>20.3</x:v>
      </x:c>
      <x:c r="H3300" s="9" t="n">
        <x:v>90.2</x:v>
      </x:c>
      <x:c r="I3300" s="8" t="str">
        <x:f>B3300&amp;" / "&amp;C3300&amp;" / "&amp;E3300</x:f>
        <x:v>6601 / 2025 / BROOK TROUT</x:v>
      </x:c>
    </x:row>
    <x:row r="3301" ht="23" customHeight="1">
      <x:c r="A3301" s="8" t="str">
        <x:v>Yellowhead Lake</x:v>
      </x:c>
      <x:c r="B3301" s="8" t="str">
        <x:v>6601</x:v>
      </x:c>
      <x:c r="C3301" s="17" t="n">
        <x:v>2024</x:v>
      </x:c>
      <x:c r="D3301" s="18" t="n">
        <x:v>45446</x:v>
      </x:c>
      <x:c r="E3301" s="8" t="str">
        <x:v>BROOK TROUT</x:v>
      </x:c>
      <x:c r="F3301" s="13" t="n">
        <x:v>2000</x:v>
      </x:c>
      <x:c r="G3301" s="9" t="n">
        <x:v>19.9</x:v>
      </x:c>
      <x:c r="H3301" s="9" t="n">
        <x:v>85.6</x:v>
      </x:c>
      <x:c r="I3301" s="8" t="str">
        <x:f>B3301&amp;" / "&amp;C3301&amp;" / "&amp;E3301</x:f>
        <x:v>6601 / 2024 / BROOK TROUT</x:v>
      </x:c>
    </x:row>
    <x:row r="3302" ht="23" customHeight="1">
      <x:c r="A3302" s="8" t="str">
        <x:v>Yellowhead Lake</x:v>
      </x:c>
      <x:c r="B3302" s="8" t="str">
        <x:v>6601</x:v>
      </x:c>
      <x:c r="C3302" s="17" t="n">
        <x:v>2023</x:v>
      </x:c>
      <x:c r="D3302" s="18" t="n">
        <x:v>45088</x:v>
      </x:c>
      <x:c r="E3302" s="8" t="str">
        <x:v>BROOK TROUT</x:v>
      </x:c>
      <x:c r="F3302" s="13" t="n">
        <x:v>4000</x:v>
      </x:c>
      <x:c r="G3302" s="9" t="n">
        <x:v>20</x:v>
      </x:c>
      <x:c r="H3302" s="9" t="n">
        <x:v>90.1</x:v>
      </x:c>
      <x:c r="I3302" s="8" t="str">
        <x:f>B3302&amp;" / "&amp;C3302&amp;" / "&amp;E3302</x:f>
        <x:v>6601 / 2023 / BROOK TROUT</x:v>
      </x:c>
    </x:row>
    <x:row r="3303" ht="23" customHeight="1">
      <x:c r="A3303" s="8" t="str">
        <x:v>Yellowhead Lake</x:v>
      </x:c>
      <x:c r="B3303" s="8" t="str">
        <x:v>6601</x:v>
      </x:c>
      <x:c r="C3303" s="17" t="n">
        <x:v>2022</x:v>
      </x:c>
      <x:c r="D3303" s="18" t="n">
        <x:v>44720</x:v>
      </x:c>
      <x:c r="E3303" s="8" t="str">
        <x:v>BROOK TROUT</x:v>
      </x:c>
      <x:c r="F3303" s="13" t="n">
        <x:v>4000</x:v>
      </x:c>
      <x:c r="G3303" s="9" t="n">
        <x:v>19.3</x:v>
      </x:c>
      <x:c r="H3303" s="9" t="n">
        <x:v>79.3</x:v>
      </x:c>
      <x:c r="I3303" s="8" t="str">
        <x:f>B3303&amp;" / "&amp;C3303&amp;" / "&amp;E3303</x:f>
        <x:v>6601 / 2022 / BROOK TROUT</x:v>
      </x:c>
    </x:row>
    <x:row r="3304" ht="23" customHeight="1">
      <x:c r="A3304" s="8" t="str">
        <x:v>Yellowhead Lake</x:v>
      </x:c>
      <x:c r="B3304" s="8" t="str">
        <x:v>6601</x:v>
      </x:c>
      <x:c r="C3304" s="17" t="n">
        <x:v>2021</x:v>
      </x:c>
      <x:c r="D3304" s="18" t="n">
        <x:v>44355</x:v>
      </x:c>
      <x:c r="E3304" s="8" t="str">
        <x:v>BROOK TROUT</x:v>
      </x:c>
      <x:c r="F3304" s="13" t="n">
        <x:v>4000</x:v>
      </x:c>
      <x:c r="G3304" s="9" t="n">
        <x:v>20.4</x:v>
      </x:c>
      <x:c r="H3304" s="9" t="n">
        <x:v>94.6</x:v>
      </x:c>
      <x:c r="I3304" s="8" t="str">
        <x:f>B3304&amp;" / "&amp;C3304&amp;" / "&amp;E3304</x:f>
        <x:v>6601 / 2021 / BROOK TROUT</x:v>
      </x:c>
    </x:row>
    <x:row r="3305" ht="23" customHeight="1">
      <x:c r="A3305" s="8" t="str">
        <x:v>Zama Community Pond</x:v>
      </x:c>
      <x:c r="B3305" s="8" t="str">
        <x:v>6598</x:v>
      </x:c>
      <x:c r="C3305" s="17" t="n">
        <x:v>2025</x:v>
      </x:c>
      <x:c r="D3305" s="18" t="n">
        <x:v>45789</x:v>
      </x:c>
      <x:c r="E3305" s="8" t="str">
        <x:v>RAINBOW TROUT</x:v>
      </x:c>
      <x:c r="F3305" s="13" t="n">
        <x:v>500</x:v>
      </x:c>
      <x:c r="G3305" s="9" t="n">
        <x:v>23.6</x:v>
      </x:c>
      <x:c r="H3305" s="9" t="n">
        <x:v>144.6</x:v>
      </x:c>
      <x:c r="I3305" s="8" t="str">
        <x:f>B3305&amp;" / "&amp;C3305&amp;" / "&amp;E3305</x:f>
        <x:v>6598 / 2025 / RAINBOW TROUT</x:v>
      </x:c>
    </x:row>
    <x:row r="3306" ht="23" customHeight="1">
      <x:c r="A3306" s="8" t="str">
        <x:v>Zama Community Pond</x:v>
      </x:c>
      <x:c r="B3306" s="8" t="str">
        <x:v>6598</x:v>
      </x:c>
      <x:c r="C3306" s="17" t="n">
        <x:v>2023</x:v>
      </x:c>
      <x:c r="D3306" s="18" t="n">
        <x:v>45069</x:v>
      </x:c>
      <x:c r="E3306" s="8" t="str">
        <x:v>RAINBOW TROUT</x:v>
      </x:c>
      <x:c r="F3306" s="13" t="n">
        <x:v>251</x:v>
      </x:c>
      <x:c r="G3306" s="9" t="n">
        <x:v>20.4</x:v>
      </x:c>
      <x:c r="H3306" s="9" t="n">
        <x:v>92</x:v>
      </x:c>
      <x:c r="I3306" s="8" t="str">
        <x:f>B3306&amp;" / "&amp;C3306&amp;" / "&amp;E3306</x:f>
        <x:v>6598 / 2023 / RAINBOW TROUT</x:v>
      </x:c>
    </x:row>
    <x:row r="3307" ht="23" customHeight="1">
      <x:c r="A3307" s="8" t="str">
        <x:v>Zama Community Pond</x:v>
      </x:c>
      <x:c r="B3307" s="8" t="str">
        <x:v>6598</x:v>
      </x:c>
      <x:c r="C3307" s="17" t="n">
        <x:v>2021</x:v>
      </x:c>
      <x:c r="D3307" s="18" t="n">
        <x:v>44342</x:v>
      </x:c>
      <x:c r="E3307" s="8" t="str">
        <x:v>RAINBOW TROUT</x:v>
      </x:c>
      <x:c r="F3307" s="13" t="n">
        <x:v>500</x:v>
      </x:c>
      <x:c r="G3307" s="9" t="n">
        <x:v>19.9</x:v>
      </x:c>
      <x:c r="H3307" s="9" t="n">
        <x:v>86.6</x:v>
      </x:c>
      <x:c r="I3307" s="8" t="str">
        <x:f>B3307&amp;" / "&amp;C3307&amp;" / "&amp;E3307</x:f>
        <x:v>6598 / 2021 / RAINBOW TROUT</x:v>
      </x:c>
    </x:row>
  </x:sheetData>
  <x:pageMargins left="0.7" right="0.7" top="0.75" bottom="0.75" header="0.3" footer="0.3"/>
  <x:tableParts count="1">
    <x:tablePart xmlns:r="http://schemas.openxmlformats.org/officeDocument/2006/relationships" r:id="Rbeae107b7f31467a"/>
  </x:tableParts>
</x:worksheet>
</file>

<file path=xl/worksheets/sheet4.xml><?xml version="1.0" encoding="utf-8"?>
<x:worksheet xmlns:x="http://schemas.openxmlformats.org/spreadsheetml/2006/main">
  <x:sheetPr>
    <x:tabColor rgb="FF7595AA"/>
  </x:sheetPr>
  <x:sheetViews>
    <x:sheetView showGridLines="0" workbookViewId="0">
      <x:pane ySplit="5" topLeftCell="A6" activePane="bottomLeft" state="frozen"/>
    </x:sheetView>
  </x:sheetViews>
  <x:sheetFormatPr defaultRowHeight="15"/>
  <x:cols>
    <x:col min="1" max="1" width="35" hidden="0" customWidth="1"/>
    <x:col min="2" max="2" width="12" hidden="0" customWidth="1"/>
    <x:col min="3" max="3" width="65" hidden="0" customWidth="1"/>
    <x:col min="4" max="4" width="105" hidden="0" customWidth="1"/>
  </x:cols>
  <x:sheetData>
    <x:row r="1">
      <x:c r="A1" s="1"/>
      <x:c r="B1" s="1"/>
      <x:c r="C1" s="1"/>
      <x:c r="D1" s="1"/>
    </x:row>
    <x:row r="2">
      <x:c r="A2" s="2" t="str">
        <x:v>Waterbody photo gallery links</x:v>
      </x:c>
      <x:c r="B2" s="1"/>
      <x:c r="C2" s="1"/>
      <x:c r="D2" s="1"/>
    </x:row>
    <x:row r="3">
      <x:c r="A3" s="1" t="str">
        <x:v>669 photos for 188 waterbodies | Click the photo URL to view the image. No embedded thumbnails.</x:v>
      </x:c>
      <x:c r="B3" s="1"/>
      <x:c r="C3" s="1"/>
      <x:c r="D3" s="1"/>
    </x:row>
    <x:row r="4">
      <x:c r="A4" s="1"/>
      <x:c r="B4" s="1"/>
      <x:c r="C4" s="1"/>
      <x:c r="D4" s="1"/>
    </x:row>
    <x:row r="5" ht="32" customHeight="1">
      <x:c r="A5" s="7" t="str">
        <x:v>Waterbody name</x:v>
      </x:c>
      <x:c r="B5" s="7" t="str">
        <x:v>Lake ID</x:v>
      </x:c>
      <x:c r="C5" s="7" t="str">
        <x:v>Photo caption</x:v>
      </x:c>
      <x:c r="D5" s="7" t="str">
        <x:v>Original photo URL</x:v>
      </x:c>
    </x:row>
    <x:row r="6" ht="48" customHeight="1">
      <x:c r="A6" s="8" t="str">
        <x:v>Acadia Valley Reservoir</x:v>
      </x:c>
      <x:c r="B6" s="8" t="str">
        <x:v>6900</x:v>
      </x:c>
      <x:c r="C6" s="11" t="str">
        <x:v>Acadia Valley Day Use and Warning signs</x:v>
      </x:c>
      <x:c r="D6" s="15" t="str">
        <x:f>IFERROR(HYPERLINK("https://mywildalberta.ca/fishing/fish-stocking/fsm-images/Acadia%20Valley%20Reservoir/Acadia%20Valley%20Day%20Use%20and%20Warning%20signs.jpg","https://mywildalberta.ca/fishing/fish-stocking/fsm-images/Acadia%20Valley%20Reservoir/Acadia%20Valley%20Day%20Use%20and%20Warning%20signs.jpg"),"https://mywildalberta.ca/fishing/fish-stocking/fsm-images/Acadia%20Valley%20Reservoir/Acadia%20Valley%20Day%20Use%20and%20Warning%20signs.jpg")</x:f>
        <x:v>https://mywildalberta.ca/fishing/fish-stocking/fsm-images/Acadia%20Valley%20Reservoir/Acadia%20Valley%20Day%20Use%20and%20Warning%20signs.jpg</x:v>
      </x:c>
    </x:row>
    <x:row r="7" ht="48" customHeight="1">
      <x:c r="A7" s="8" t="str">
        <x:v>Acadia Valley Reservoir</x:v>
      </x:c>
      <x:c r="B7" s="8" t="str">
        <x:v>6900</x:v>
      </x:c>
      <x:c r="C7" s="11" t="str">
        <x:v>Acadia Valley Dock and Lake View</x:v>
      </x:c>
      <x:c r="D7" s="15" t="str">
        <x:f>IFERROR(HYPERLINK("https://mywildalberta.ca/fishing/fish-stocking/fsm-images/Acadia%20Valley%20Reservoir/Acadia%20Valley%20Dock%20and%20Lake%20View.jpg","https://mywildalberta.ca/fishing/fish-stocking/fsm-images/Acadia%20Valley%20Reservoir/Acadia%20Valley%20Dock%20and%20Lake%20View.jpg"),"https://mywildalberta.ca/fishing/fish-stocking/fsm-images/Acadia%20Valley%20Reservoir/Acadia%20Valley%20Dock%20and%20Lake%20View.jpg")</x:f>
        <x:v>https://mywildalberta.ca/fishing/fish-stocking/fsm-images/Acadia%20Valley%20Reservoir/Acadia%20Valley%20Dock%20and%20Lake%20View.jpg</x:v>
      </x:c>
    </x:row>
    <x:row r="8" ht="48" customHeight="1">
      <x:c r="A8" s="8" t="str">
        <x:v>Acadia Valley Reservoir</x:v>
      </x:c>
      <x:c r="B8" s="8" t="str">
        <x:v>6900</x:v>
      </x:c>
      <x:c r="C8" s="11" t="str">
        <x:v>Acadia Valley Resverior Bend</x:v>
      </x:c>
      <x:c r="D8" s="15" t="str">
        <x:f>IFERROR(HYPERLINK("https://mywildalberta.ca/fishing/fish-stocking/fsm-images/Acadia%20Valley%20Reservoir/Acadia%20Valley%20Resverior%20Bend.JPG","https://mywildalberta.ca/fishing/fish-stocking/fsm-images/Acadia%20Valley%20Reservoir/Acadia%20Valley%20Resverior%20Bend.JPG"),"https://mywildalberta.ca/fishing/fish-stocking/fsm-images/Acadia%20Valley%20Reservoir/Acadia%20Valley%20Resverior%20Bend.JPG")</x:f>
        <x:v>https://mywildalberta.ca/fishing/fish-stocking/fsm-images/Acadia%20Valley%20Reservoir/Acadia%20Valley%20Resverior%20Bend.JPG</x:v>
      </x:c>
    </x:row>
    <x:row r="9" ht="48" customHeight="1">
      <x:c r="A9" s="8" t="str">
        <x:v>Acadia Valley Reservoir</x:v>
      </x:c>
      <x:c r="B9" s="8" t="str">
        <x:v>6900</x:v>
      </x:c>
      <x:c r="C9" s="11" t="str">
        <x:v>Acadia Valley trout pond Feb 2026</x:v>
      </x:c>
      <x:c r="D9" s="15" t="str">
        <x:f>IFERROR(HYPERLINK("https://mywildalberta.ca/fishing/fish-stocking/fsm-images/Acadia%20Valley%20Reservoir/Acadia%20Valley%20trout%20pond%20Feb%202026.jpg","https://mywildalberta.ca/fishing/fish-stocking/fsm-images/Acadia%20Valley%20Reservoir/Acadia%20Valley%20trout%20pond%20Feb%202026.jpg"),"https://mywildalberta.ca/fishing/fish-stocking/fsm-images/Acadia%20Valley%20Reservoir/Acadia%20Valley%20trout%20pond%20Feb%202026.jpg")</x:f>
        <x:v>https://mywildalberta.ca/fishing/fish-stocking/fsm-images/Acadia%20Valley%20Reservoir/Acadia%20Valley%20trout%20pond%20Feb%202026.jpg</x:v>
      </x:c>
    </x:row>
    <x:row r="10" ht="48" customHeight="1">
      <x:c r="A10" s="8" t="str">
        <x:v>Acadia Valley Reservoir</x:v>
      </x:c>
      <x:c r="B10" s="8" t="str">
        <x:v>6900</x:v>
      </x:c>
      <x:c r="C10" s="11" t="str">
        <x:v>Acadia Velley Boat Launch and Dock</x:v>
      </x:c>
      <x:c r="D10" s="15" t="str">
        <x:f>IFERROR(HYPERLINK("https://mywildalberta.ca/fishing/fish-stocking/fsm-images/Acadia%20Valley%20Reservoir/Acadia%20Velley%20Boat%20Launch%20and%20Dock.JPG","https://mywildalberta.ca/fishing/fish-stocking/fsm-images/Acadia%20Valley%20Reservoir/Acadia%20Velley%20Boat%20Launch%20and%20Dock.JPG"),"https://mywildalberta.ca/fishing/fish-stocking/fsm-images/Acadia%20Valley%20Reservoir/Acadia%20Velley%20Boat%20Launch%20and%20Dock.JPG")</x:f>
        <x:v>https://mywildalberta.ca/fishing/fish-stocking/fsm-images/Acadia%20Valley%20Reservoir/Acadia%20Velley%20Boat%20Launch%20and%20Dock.JPG</x:v>
      </x:c>
    </x:row>
    <x:row r="11" ht="48" customHeight="1">
      <x:c r="A11" s="8" t="str">
        <x:v>Alexander Hamilton Pond</x:v>
      </x:c>
      <x:c r="B11" s="8" t="str">
        <x:v>19760</x:v>
      </x:c>
      <x:c r="C11" s="11" t="str">
        <x:v>bench and Park Information</x:v>
      </x:c>
      <x:c r="D11" s="15" t="str">
        <x:f>IFERROR(HYPERLINK("https://mywildalberta.ca/fishing/fish-stocking/fsm-images/Alexander%20Hamilton%20Pond/bench%20and%20Park%20Information.jpg","https://mywildalberta.ca/fishing/fish-stocking/fsm-images/Alexander%20Hamilton%20Pond/bench%20and%20Park%20Information.jpg"),"https://mywildalberta.ca/fishing/fish-stocking/fsm-images/Alexander%20Hamilton%20Pond/bench%20and%20Park%20Information.jpg")</x:f>
        <x:v>https://mywildalberta.ca/fishing/fish-stocking/fsm-images/Alexander%20Hamilton%20Pond/bench%20and%20Park%20Information.jpg</x:v>
      </x:c>
    </x:row>
    <x:row r="12" ht="48" customHeight="1">
      <x:c r="A12" s="8" t="str">
        <x:v>Alexander Hamilton Pond</x:v>
      </x:c>
      <x:c r="B12" s="8" t="str">
        <x:v>19760</x:v>
      </x:c>
      <x:c r="C12" s="11" t="str">
        <x:v>Both Dock Systems</x:v>
      </x:c>
      <x:c r="D12" s="15" t="str">
        <x:f>IFERROR(HYPERLINK("https://mywildalberta.ca/fishing/fish-stocking/fsm-images/Alexander%20Hamilton%20Pond/Both%20Dock%20Systems.jpg","https://mywildalberta.ca/fishing/fish-stocking/fsm-images/Alexander%20Hamilton%20Pond/Both%20Dock%20Systems.jpg"),"https://mywildalberta.ca/fishing/fish-stocking/fsm-images/Alexander%20Hamilton%20Pond/Both%20Dock%20Systems.jpg")</x:f>
        <x:v>https://mywildalberta.ca/fishing/fish-stocking/fsm-images/Alexander%20Hamilton%20Pond/Both%20Dock%20Systems.jpg</x:v>
      </x:c>
    </x:row>
    <x:row r="13" ht="48" customHeight="1">
      <x:c r="A13" s="8" t="str">
        <x:v>Alexander Hamilton Pond</x:v>
      </x:c>
      <x:c r="B13" s="8" t="str">
        <x:v>19760</x:v>
      </x:c>
      <x:c r="C13" s="11" t="str">
        <x:v>Day use Area</x:v>
      </x:c>
      <x:c r="D13" s="15" t="str">
        <x:f>IFERROR(HYPERLINK("https://mywildalberta.ca/fishing/fish-stocking/fsm-images/Alexander%20Hamilton%20Pond/Day%20use%20Area.jpg","https://mywildalberta.ca/fishing/fish-stocking/fsm-images/Alexander%20Hamilton%20Pond/Day%20use%20Area.jpg"),"https://mywildalberta.ca/fishing/fish-stocking/fsm-images/Alexander%20Hamilton%20Pond/Day%20use%20Area.jpg")</x:f>
        <x:v>https://mywildalberta.ca/fishing/fish-stocking/fsm-images/Alexander%20Hamilton%20Pond/Day%20use%20Area.jpg</x:v>
      </x:c>
    </x:row>
    <x:row r="14" ht="48" customHeight="1">
      <x:c r="A14" s="8" t="str">
        <x:v>Alexander Hamilton Pond</x:v>
      </x:c>
      <x:c r="B14" s="8" t="str">
        <x:v>19760</x:v>
      </x:c>
      <x:c r="C14" s="11" t="str">
        <x:v>Dock System</x:v>
      </x:c>
      <x:c r="D14" s="15" t="str">
        <x:f>IFERROR(HYPERLINK("https://mywildalberta.ca/fishing/fish-stocking/fsm-images/Alexander%20Hamilton%20Pond/Dock%20System.jpg","https://mywildalberta.ca/fishing/fish-stocking/fsm-images/Alexander%20Hamilton%20Pond/Dock%20System.jpg"),"https://mywildalberta.ca/fishing/fish-stocking/fsm-images/Alexander%20Hamilton%20Pond/Dock%20System.jpg")</x:f>
        <x:v>https://mywildalberta.ca/fishing/fish-stocking/fsm-images/Alexander%20Hamilton%20Pond/Dock%20System.jpg</x:v>
      </x:c>
    </x:row>
    <x:row r="15" ht="48" customHeight="1">
      <x:c r="A15" s="8" t="str">
        <x:v>Alexander Hamilton Pond</x:v>
      </x:c>
      <x:c r="B15" s="8" t="str">
        <x:v>19760</x:v>
      </x:c>
      <x:c r="C15" s="11" t="str">
        <x:v>Garbage Recepticals</x:v>
      </x:c>
      <x:c r="D15" s="15" t="str">
        <x:f>IFERROR(HYPERLINK("https://mywildalberta.ca/fishing/fish-stocking/fsm-images/Alexander%20Hamilton%20Pond/Garbage%20Recepticals.jpg","https://mywildalberta.ca/fishing/fish-stocking/fsm-images/Alexander%20Hamilton%20Pond/Garbage%20Recepticals.jpg"),"https://mywildalberta.ca/fishing/fish-stocking/fsm-images/Alexander%20Hamilton%20Pond/Garbage%20Recepticals.jpg")</x:f>
        <x:v>https://mywildalberta.ca/fishing/fish-stocking/fsm-images/Alexander%20Hamilton%20Pond/Garbage%20Recepticals.jpg</x:v>
      </x:c>
    </x:row>
    <x:row r="16" ht="48" customHeight="1">
      <x:c r="A16" s="8" t="str">
        <x:v>Alexander Hamilton Pond</x:v>
      </x:c>
      <x:c r="B16" s="8" t="str">
        <x:v>19760</x:v>
      </x:c>
      <x:c r="C16" s="11" t="str">
        <x:v>Garden</x:v>
      </x:c>
      <x:c r="D16" s="15" t="str">
        <x:f>IFERROR(HYPERLINK("https://mywildalberta.ca/fishing/fish-stocking/fsm-images/Alexander%20Hamilton%20Pond/Garden.jpg","https://mywildalberta.ca/fishing/fish-stocking/fsm-images/Alexander%20Hamilton%20Pond/Garden.jpg"),"https://mywildalberta.ca/fishing/fish-stocking/fsm-images/Alexander%20Hamilton%20Pond/Garden.jpg")</x:f>
        <x:v>https://mywildalberta.ca/fishing/fish-stocking/fsm-images/Alexander%20Hamilton%20Pond/Garden.jpg</x:v>
      </x:c>
    </x:row>
    <x:row r="17" ht="48" customHeight="1">
      <x:c r="A17" s="8" t="str">
        <x:v>Alexander Hamilton Pond</x:v>
      </x:c>
      <x:c r="B17" s="8" t="str">
        <x:v>19760</x:v>
      </x:c>
      <x:c r="C17" s="11" t="str">
        <x:v>Gazebo and walkways</x:v>
      </x:c>
      <x:c r="D17" s="15" t="str">
        <x:f>IFERROR(HYPERLINK("https://mywildalberta.ca/fishing/fish-stocking/fsm-images/Alexander%20Hamilton%20Pond/Gazebo%20and%20walkways.jpg","https://mywildalberta.ca/fishing/fish-stocking/fsm-images/Alexander%20Hamilton%20Pond/Gazebo%20and%20walkways.jpg"),"https://mywildalberta.ca/fishing/fish-stocking/fsm-images/Alexander%20Hamilton%20Pond/Gazebo%20and%20walkways.jpg")</x:f>
        <x:v>https://mywildalberta.ca/fishing/fish-stocking/fsm-images/Alexander%20Hamilton%20Pond/Gazebo%20and%20walkways.jpg</x:v>
      </x:c>
    </x:row>
    <x:row r="18" ht="48" customHeight="1">
      <x:c r="A18" s="8" t="str">
        <x:v>Alexander Hamilton Pond</x:v>
      </x:c>
      <x:c r="B18" s="8" t="str">
        <x:v>19760</x:v>
      </x:c>
      <x:c r="C18" s="11" t="str">
        <x:v>Lac La Biche (2)</x:v>
      </x:c>
      <x:c r="D18" s="15" t="str">
        <x:f>IFERROR(HYPERLINK("https://mywildalberta.ca/fishing/fish-stocking/fsm-images/Alexander%20Hamilton%20Pond/Lac%20La%20Biche%20(2).jpg","https://mywildalberta.ca/fishing/fish-stocking/fsm-images/Alexander%20Hamilton%20Pond/Lac%20La%20Biche%20(2).jpg"),"https://mywildalberta.ca/fishing/fish-stocking/fsm-images/Alexander%20Hamilton%20Pond/Lac%20La%20Biche%20(2).jpg")</x:f>
        <x:v>https://mywildalberta.ca/fishing/fish-stocking/fsm-images/Alexander%20Hamilton%20Pond/Lac%20La%20Biche%20(2).jpg</x:v>
      </x:c>
    </x:row>
    <x:row r="19" ht="48" customHeight="1">
      <x:c r="A19" s="8" t="str">
        <x:v>Alexander Hamilton Pond</x:v>
      </x:c>
      <x:c r="B19" s="8" t="str">
        <x:v>19760</x:v>
      </x:c>
      <x:c r="C19" s="11" t="str">
        <x:v>Lac La Biche (3)</x:v>
      </x:c>
      <x:c r="D19" s="15" t="str">
        <x:f>IFERROR(HYPERLINK("https://mywildalberta.ca/fishing/fish-stocking/fsm-images/Alexander%20Hamilton%20Pond/Lac%20La%20Biche%20(3).jpg","https://mywildalberta.ca/fishing/fish-stocking/fsm-images/Alexander%20Hamilton%20Pond/Lac%20La%20Biche%20(3).jpg"),"https://mywildalberta.ca/fishing/fish-stocking/fsm-images/Alexander%20Hamilton%20Pond/Lac%20La%20Biche%20(3).jpg")</x:f>
        <x:v>https://mywildalberta.ca/fishing/fish-stocking/fsm-images/Alexander%20Hamilton%20Pond/Lac%20La%20Biche%20(3).jpg</x:v>
      </x:c>
    </x:row>
    <x:row r="20" ht="48" customHeight="1">
      <x:c r="A20" s="8" t="str">
        <x:v>Alexander Hamilton Pond</x:v>
      </x:c>
      <x:c r="B20" s="8" t="str">
        <x:v>19760</x:v>
      </x:c>
      <x:c r="C20" s="11" t="str">
        <x:v>Lake Info sign</x:v>
      </x:c>
      <x:c r="D20" s="15" t="str">
        <x:f>IFERROR(HYPERLINK("https://mywildalberta.ca/fishing/fish-stocking/fsm-images/Alexander%20Hamilton%20Pond/Lake%20Info%20sign.jpg","https://mywildalberta.ca/fishing/fish-stocking/fsm-images/Alexander%20Hamilton%20Pond/Lake%20Info%20sign.jpg"),"https://mywildalberta.ca/fishing/fish-stocking/fsm-images/Alexander%20Hamilton%20Pond/Lake%20Info%20sign.jpg")</x:f>
        <x:v>https://mywildalberta.ca/fishing/fish-stocking/fsm-images/Alexander%20Hamilton%20Pond/Lake%20Info%20sign.jpg</x:v>
      </x:c>
    </x:row>
    <x:row r="21" ht="48" customHeight="1">
      <x:c r="A21" s="8" t="str">
        <x:v>Alexander Hamilton Pond</x:v>
      </x:c>
      <x:c r="B21" s="8" t="str">
        <x:v>19760</x:v>
      </x:c>
      <x:c r="C21" s="11" t="str">
        <x:v>New Bathroom Facilites (2)</x:v>
      </x:c>
      <x:c r="D21" s="15" t="str">
        <x:f>IFERROR(HYPERLINK("https://mywildalberta.ca/fishing/fish-stocking/fsm-images/Alexander%20Hamilton%20Pond/New%20Bathroom%20Facilites%20(2).jpg","https://mywildalberta.ca/fishing/fish-stocking/fsm-images/Alexander%20Hamilton%20Pond/New%20Bathroom%20Facilites%20(2).jpg"),"https://mywildalberta.ca/fishing/fish-stocking/fsm-images/Alexander%20Hamilton%20Pond/New%20Bathroom%20Facilites%20(2).jpg")</x:f>
        <x:v>https://mywildalberta.ca/fishing/fish-stocking/fsm-images/Alexander%20Hamilton%20Pond/New%20Bathroom%20Facilites%20(2).jpg</x:v>
      </x:c>
    </x:row>
    <x:row r="22" ht="48" customHeight="1">
      <x:c r="A22" s="8" t="str">
        <x:v>Alexander Hamilton Pond</x:v>
      </x:c>
      <x:c r="B22" s="8" t="str">
        <x:v>19760</x:v>
      </x:c>
      <x:c r="C22" s="11" t="str">
        <x:v>Parl Rules</x:v>
      </x:c>
      <x:c r="D22" s="15" t="str">
        <x:f>IFERROR(HYPERLINK("https://mywildalberta.ca/fishing/fish-stocking/fsm-images/Alexander%20Hamilton%20Pond/Parl%20Rules.jpg","https://mywildalberta.ca/fishing/fish-stocking/fsm-images/Alexander%20Hamilton%20Pond/Parl%20Rules.jpg"),"https://mywildalberta.ca/fishing/fish-stocking/fsm-images/Alexander%20Hamilton%20Pond/Parl%20Rules.jpg")</x:f>
        <x:v>https://mywildalberta.ca/fishing/fish-stocking/fsm-images/Alexander%20Hamilton%20Pond/Parl%20Rules.jpg</x:v>
      </x:c>
    </x:row>
    <x:row r="23" ht="48" customHeight="1">
      <x:c r="A23" s="8" t="str">
        <x:v>Alexander Hamilton Pond</x:v>
      </x:c>
      <x:c r="B23" s="8" t="str">
        <x:v>19760</x:v>
      </x:c>
      <x:c r="C23" s="11" t="str">
        <x:v>Pathways</x:v>
      </x:c>
      <x:c r="D23" s="15" t="str">
        <x:f>IFERROR(HYPERLINK("https://mywildalberta.ca/fishing/fish-stocking/fsm-images/Alexander%20Hamilton%20Pond/Pathways.jpg","https://mywildalberta.ca/fishing/fish-stocking/fsm-images/Alexander%20Hamilton%20Pond/Pathways.jpg"),"https://mywildalberta.ca/fishing/fish-stocking/fsm-images/Alexander%20Hamilton%20Pond/Pathways.jpg")</x:f>
        <x:v>https://mywildalberta.ca/fishing/fish-stocking/fsm-images/Alexander%20Hamilton%20Pond/Pathways.jpg</x:v>
      </x:c>
    </x:row>
    <x:row r="24" ht="48" customHeight="1">
      <x:c r="A24" s="8" t="str">
        <x:v>Alexander Hamilton Pond</x:v>
      </x:c>
      <x:c r="B24" s="8" t="str">
        <x:v>19760</x:v>
      </x:c>
      <x:c r="C24" s="11" t="str">
        <x:v>Pond Island</x:v>
      </x:c>
      <x:c r="D24" s="15" t="str">
        <x:f>IFERROR(HYPERLINK("https://mywildalberta.ca/fishing/fish-stocking/fsm-images/Alexander%20Hamilton%20Pond/Pond%20Island.jpg","https://mywildalberta.ca/fishing/fish-stocking/fsm-images/Alexander%20Hamilton%20Pond/Pond%20Island.jpg"),"https://mywildalberta.ca/fishing/fish-stocking/fsm-images/Alexander%20Hamilton%20Pond/Pond%20Island.jpg")</x:f>
        <x:v>https://mywildalberta.ca/fishing/fish-stocking/fsm-images/Alexander%20Hamilton%20Pond/Pond%20Island.jpg</x:v>
      </x:c>
    </x:row>
    <x:row r="25" ht="48" customHeight="1">
      <x:c r="A25" s="8" t="str">
        <x:v>Alexander Hamilton Pond</x:v>
      </x:c>
      <x:c r="B25" s="8" t="str">
        <x:v>19760</x:v>
      </x:c>
      <x:c r="C25" s="11" t="str">
        <x:v>Surrounding Area</x:v>
      </x:c>
      <x:c r="D25" s="15" t="str">
        <x:f>IFERROR(HYPERLINK("https://mywildalberta.ca/fishing/fish-stocking/fsm-images/Alexander%20Hamilton%20Pond/Surrounding%20Area.jpg","https://mywildalberta.ca/fishing/fish-stocking/fsm-images/Alexander%20Hamilton%20Pond/Surrounding%20Area.jpg"),"https://mywildalberta.ca/fishing/fish-stocking/fsm-images/Alexander%20Hamilton%20Pond/Surrounding%20Area.jpg")</x:f>
        <x:v>https://mywildalberta.ca/fishing/fish-stocking/fsm-images/Alexander%20Hamilton%20Pond/Surrounding%20Area.jpg</x:v>
      </x:c>
    </x:row>
    <x:row r="26" ht="48" customHeight="1">
      <x:c r="A26" s="8" t="str">
        <x:v>Alexander Hamilton Pond</x:v>
      </x:c>
      <x:c r="B26" s="8" t="str">
        <x:v>19760</x:v>
      </x:c>
      <x:c r="C26" s="11" t="str">
        <x:v>View of Lake and Island</x:v>
      </x:c>
      <x:c r="D26" s="15" t="str">
        <x:f>IFERROR(HYPERLINK("https://mywildalberta.ca/fishing/fish-stocking/fsm-images/Alexander%20Hamilton%20Pond/View%20of%20Lake%20and%20Island.jpg","https://mywildalberta.ca/fishing/fish-stocking/fsm-images/Alexander%20Hamilton%20Pond/View%20of%20Lake%20and%20Island.jpg"),"https://mywildalberta.ca/fishing/fish-stocking/fsm-images/Alexander%20Hamilton%20Pond/View%20of%20Lake%20and%20Island.jpg")</x:f>
        <x:v>https://mywildalberta.ca/fishing/fish-stocking/fsm-images/Alexander%20Hamilton%20Pond/View%20of%20Lake%20and%20Island.jpg</x:v>
      </x:c>
    </x:row>
    <x:row r="27" ht="48" customHeight="1">
      <x:c r="A27" s="8" t="str">
        <x:v>Alford Lake</x:v>
      </x:c>
      <x:c r="B27" s="8" t="str">
        <x:v>3899</x:v>
      </x:c>
      <x:c r="C27" s="11" t="str">
        <x:v>Alford Lake senic</x:v>
      </x:c>
      <x:c r="D27" s="15" t="str">
        <x:f>IFERROR(HYPERLINK("https://mywildalberta.ca/fishing/fish-stocking/fsm-images/Alford%20Lake/Alford%20Lake%20senic.JPG","https://mywildalberta.ca/fishing/fish-stocking/fsm-images/Alford%20Lake/Alford%20Lake%20senic.JPG"),"https://mywildalberta.ca/fishing/fish-stocking/fsm-images/Alford%20Lake/Alford%20Lake%20senic.JPG")</x:f>
        <x:v>https://mywildalberta.ca/fishing/fish-stocking/fsm-images/Alford%20Lake/Alford%20Lake%20senic.JPG</x:v>
      </x:c>
    </x:row>
    <x:row r="28" ht="48" customHeight="1">
      <x:c r="A28" s="8" t="str">
        <x:v>Alford Lake</x:v>
      </x:c>
      <x:c r="B28" s="8" t="str">
        <x:v>3899</x:v>
      </x:c>
      <x:c r="C28" s="11" t="str">
        <x:v>Alford Lake</x:v>
      </x:c>
      <x:c r="D28" s="15" t="str">
        <x:f>IFERROR(HYPERLINK("https://mywildalberta.ca/fishing/fish-stocking/fsm-images/Alford%20Lake/Alford%20Lake.JPG","https://mywildalberta.ca/fishing/fish-stocking/fsm-images/Alford%20Lake/Alford%20Lake.JPG"),"https://mywildalberta.ca/fishing/fish-stocking/fsm-images/Alford%20Lake/Alford%20Lake.JPG")</x:f>
        <x:v>https://mywildalberta.ca/fishing/fish-stocking/fsm-images/Alford%20Lake/Alford%20Lake.JPG</x:v>
      </x:c>
    </x:row>
    <x:row r="29" ht="48" customHeight="1">
      <x:c r="A29" s="8" t="str">
        <x:v>Allison Lake</x:v>
      </x:c>
      <x:c r="B29" s="8" t="str">
        <x:v>6902</x:v>
      </x:c>
      <x:c r="C29" s="11" t="str">
        <x:v>64248031917 D7017A34 C2BE 453C 9843 8989DD5CDCAD</x:v>
      </x:c>
      <x:c r="D29" s="15" t="str">
        <x:f>IFERROR(HYPERLINK("https://mywildalberta.ca/fishing/fish-stocking/fsm-images/Allison%20Lake/64248031917__D7017A34-C2BE-453C-9843-8989DD5CDCAD.jpeg","https://mywildalberta.ca/fishing/fish-stocking/fsm-images/Allison%20Lake/64248031917__D7017A34-C2BE-453C-9843-8989DD5CDCAD.jpeg"),"https://mywildalberta.ca/fishing/fish-stocking/fsm-images/Allison%20Lake/64248031917__D7017A34-C2BE-453C-9843-8989DD5CDCAD.jpeg")</x:f>
        <x:v>https://mywildalberta.ca/fishing/fish-stocking/fsm-images/Allison%20Lake/64248031917__D7017A34-C2BE-453C-9843-8989DD5CDCAD.jpeg</x:v>
      </x:c>
    </x:row>
    <x:row r="30" ht="48" customHeight="1">
      <x:c r="A30" s="8" t="str">
        <x:v>Allison Lake</x:v>
      </x:c>
      <x:c r="B30" s="8" t="str">
        <x:v>6902</x:v>
      </x:c>
      <x:c r="C30" s="11" t="str">
        <x:v>chinook</x:v>
      </x:c>
      <x:c r="D30" s="15" t="str">
        <x:f>IFERROR(HYPERLINK("https://mywildalberta.ca/fishing/fish-stocking/fsm-images/Allison%20Lake/chinook.png","https://mywildalberta.ca/fishing/fish-stocking/fsm-images/Allison%20Lake/chinook.png"),"https://mywildalberta.ca/fishing/fish-stocking/fsm-images/Allison%20Lake/chinook.png")</x:f>
        <x:v>https://mywildalberta.ca/fishing/fish-stocking/fsm-images/Allison%20Lake/chinook.png</x:v>
      </x:c>
    </x:row>
    <x:row r="31" ht="48" customHeight="1">
      <x:c r="A31" s="8" t="str">
        <x:v>Allison Lake</x:v>
      </x:c>
      <x:c r="B31" s="8" t="str">
        <x:v>6902</x:v>
      </x:c>
      <x:c r="C31" s="11" t="str">
        <x:v>IMG 3978</x:v>
      </x:c>
      <x:c r="D31" s="15" t="str">
        <x:f>IFERROR(HYPERLINK("https://mywildalberta.ca/fishing/fish-stocking/fsm-images/Allison%20Lake/IMG_3978.JPG","https://mywildalberta.ca/fishing/fish-stocking/fsm-images/Allison%20Lake/IMG_3978.JPG"),"https://mywildalberta.ca/fishing/fish-stocking/fsm-images/Allison%20Lake/IMG_3978.JPG")</x:f>
        <x:v>https://mywildalberta.ca/fishing/fish-stocking/fsm-images/Allison%20Lake/IMG_3978.JPG</x:v>
      </x:c>
    </x:row>
    <x:row r="32" ht="48" customHeight="1">
      <x:c r="A32" s="8" t="str">
        <x:v>Ardmore Community Pond</x:v>
      </x:c>
      <x:c r="B32" s="8" t="str">
        <x:v>21353</x:v>
      </x:c>
      <x:c r="C32" s="11" t="str">
        <x:v>Ardmore Pond</x:v>
      </x:c>
      <x:c r="D32" s="15" t="str">
        <x:f>IFERROR(HYPERLINK("https://mywildalberta.ca/fishing/fish-stocking/fsm-images/Ardmore%20Community%20Pond/Ardmore%20Pond.jpg","https://mywildalberta.ca/fishing/fish-stocking/fsm-images/Ardmore%20Community%20Pond/Ardmore%20Pond.jpg"),"https://mywildalberta.ca/fishing/fish-stocking/fsm-images/Ardmore%20Community%20Pond/Ardmore%20Pond.jpg")</x:f>
        <x:v>https://mywildalberta.ca/fishing/fish-stocking/fsm-images/Ardmore%20Community%20Pond/Ardmore%20Pond.jpg</x:v>
      </x:c>
    </x:row>
    <x:row r="33" ht="48" customHeight="1">
      <x:c r="A33" s="8" t="str">
        <x:v>Ashland Reservoir</x:v>
      </x:c>
      <x:c r="B33" s="8" t="str">
        <x:v>6903</x:v>
      </x:c>
      <x:c r="C33" s="11" t="str">
        <x:v>Ashland Overview</x:v>
      </x:c>
      <x:c r="D33" s="15" t="str">
        <x:f>IFERROR(HYPERLINK("https://mywildalberta.ca/fishing/fish-stocking/fsm-images/Ashland%20Reservoir/Ashland%20Overview.jpg","https://mywildalberta.ca/fishing/fish-stocking/fsm-images/Ashland%20Reservoir/Ashland%20Overview.jpg"),"https://mywildalberta.ca/fishing/fish-stocking/fsm-images/Ashland%20Reservoir/Ashland%20Overview.jpg")</x:f>
        <x:v>https://mywildalberta.ca/fishing/fish-stocking/fsm-images/Ashland%20Reservoir/Ashland%20Overview.jpg</x:v>
      </x:c>
    </x:row>
    <x:row r="34" ht="48" customHeight="1">
      <x:c r="A34" s="8" t="str">
        <x:v>Ashland Reservoir</x:v>
      </x:c>
      <x:c r="B34" s="8" t="str">
        <x:v>6903</x:v>
      </x:c>
      <x:c r="C34" s="11" t="str">
        <x:v>Ashland Reservoir Lake and Dock View</x:v>
      </x:c>
      <x:c r="D34" s="15" t="str">
        <x:f>IFERROR(HYPERLINK("https://mywildalberta.ca/fishing/fish-stocking/fsm-images/Ashland%20Reservoir/Ashland%20Reservoir%20Lake%20and%20Dock%20View.jpg","https://mywildalberta.ca/fishing/fish-stocking/fsm-images/Ashland%20Reservoir/Ashland%20Reservoir%20Lake%20and%20Dock%20View.jpg"),"https://mywildalberta.ca/fishing/fish-stocking/fsm-images/Ashland%20Reservoir/Ashland%20Reservoir%20Lake%20and%20Dock%20View.jpg")</x:f>
        <x:v>https://mywildalberta.ca/fishing/fish-stocking/fsm-images/Ashland%20Reservoir/Ashland%20Reservoir%20Lake%20and%20Dock%20View.jpg</x:v>
      </x:c>
    </x:row>
    <x:row r="35" ht="48" customHeight="1">
      <x:c r="A35" s="8" t="str">
        <x:v>Ashland Reservoir</x:v>
      </x:c>
      <x:c r="B35" s="8" t="str">
        <x:v>6903</x:v>
      </x:c>
      <x:c r="C35" s="11" t="str">
        <x:v>Ashland Reservoir Picnic Spot</x:v>
      </x:c>
      <x:c r="D35" s="15" t="str">
        <x:f>IFERROR(HYPERLINK("https://mywildalberta.ca/fishing/fish-stocking/fsm-images/Ashland%20Reservoir/Ashland%20Reservoir%20Picnic%20Spot.jpg","https://mywildalberta.ca/fishing/fish-stocking/fsm-images/Ashland%20Reservoir/Ashland%20Reservoir%20Picnic%20Spot.jpg"),"https://mywildalberta.ca/fishing/fish-stocking/fsm-images/Ashland%20Reservoir/Ashland%20Reservoir%20Picnic%20Spot.jpg")</x:f>
        <x:v>https://mywildalberta.ca/fishing/fish-stocking/fsm-images/Ashland%20Reservoir/Ashland%20Reservoir%20Picnic%20Spot.jpg</x:v>
      </x:c>
    </x:row>
    <x:row r="36" ht="48" customHeight="1">
      <x:c r="A36" s="8" t="str">
        <x:v>Aster Lake</x:v>
      </x:c>
      <x:c r="B36" s="8" t="str">
        <x:v>3948</x:v>
      </x:c>
      <x:c r="C36" s="11" t="str">
        <x:v>Aster Lake (1)</x:v>
      </x:c>
      <x:c r="D36" s="15" t="str">
        <x:f>IFERROR(HYPERLINK("https://mywildalberta.ca/fishing/fish-stocking/fsm-images/Aster%20Lake/Aster%20Lake%20(1).jpg","https://mywildalberta.ca/fishing/fish-stocking/fsm-images/Aster%20Lake/Aster%20Lake%20(1).jpg"),"https://mywildalberta.ca/fishing/fish-stocking/fsm-images/Aster%20Lake/Aster%20Lake%20(1).jpg")</x:f>
        <x:v>https://mywildalberta.ca/fishing/fish-stocking/fsm-images/Aster%20Lake/Aster%20Lake%20(1).jpg</x:v>
      </x:c>
    </x:row>
    <x:row r="37" ht="48" customHeight="1">
      <x:c r="A37" s="8" t="str">
        <x:v>Aster Lake</x:v>
      </x:c>
      <x:c r="B37" s="8" t="str">
        <x:v>3948</x:v>
      </x:c>
      <x:c r="C37" s="11" t="str">
        <x:v>Aster Lake (2)</x:v>
      </x:c>
      <x:c r="D37" s="15" t="str">
        <x:f>IFERROR(HYPERLINK("https://mywildalberta.ca/fishing/fish-stocking/fsm-images/Aster%20Lake/Aster%20Lake%20(2).jpg","https://mywildalberta.ca/fishing/fish-stocking/fsm-images/Aster%20Lake/Aster%20Lake%20(2).jpg"),"https://mywildalberta.ca/fishing/fish-stocking/fsm-images/Aster%20Lake/Aster%20Lake%20(2).jpg")</x:f>
        <x:v>https://mywildalberta.ca/fishing/fish-stocking/fsm-images/Aster%20Lake/Aster%20Lake%20(2).jpg</x:v>
      </x:c>
    </x:row>
    <x:row r="38" ht="48" customHeight="1">
      <x:c r="A38" s="8" t="str">
        <x:v>Atlantic Richfield Reservoir</x:v>
      </x:c>
      <x:c r="B38" s="8" t="str">
        <x:v>6904</x:v>
      </x:c>
      <x:c r="C38" s="11" t="str">
        <x:v>Atlantic Richfield Reservior View</x:v>
      </x:c>
      <x:c r="D38" s="15" t="str">
        <x:f>IFERROR(HYPERLINK("https://mywildalberta.ca/fishing/fish-stocking/fsm-images/Atlantic%20Richfield%20Reservoir/Atlantic%20Richfield%20Reservior%20View.jpg","https://mywildalberta.ca/fishing/fish-stocking/fsm-images/Atlantic%20Richfield%20Reservoir/Atlantic%20Richfield%20Reservior%20View.jpg"),"https://mywildalberta.ca/fishing/fish-stocking/fsm-images/Atlantic%20Richfield%20Reservoir/Atlantic%20Richfield%20Reservior%20View.jpg")</x:f>
        <x:v>https://mywildalberta.ca/fishing/fish-stocking/fsm-images/Atlantic%20Richfield%20Reservoir/Atlantic%20Richfield%20Reservior%20View.jpg</x:v>
      </x:c>
    </x:row>
    <x:row r="39" ht="48" customHeight="1">
      <x:c r="A39" s="8" t="str">
        <x:v>Bathing Lake</x:v>
      </x:c>
      <x:c r="B39" s="8" t="str">
        <x:v>6892</x:v>
      </x:c>
      <x:c r="C39" s="11" t="str">
        <x:v>Bathing Lake</x:v>
      </x:c>
      <x:c r="D39" s="15" t="str">
        <x:f>IFERROR(HYPERLINK("https://mywildalberta.ca/fishing/fish-stocking/fsm-images/Bathing%20Lake/Bathing%20Lake.jpg","https://mywildalberta.ca/fishing/fish-stocking/fsm-images/Bathing%20Lake/Bathing%20Lake.jpg"),"https://mywildalberta.ca/fishing/fish-stocking/fsm-images/Bathing%20Lake/Bathing%20Lake.jpg")</x:f>
        <x:v>https://mywildalberta.ca/fishing/fish-stocking/fsm-images/Bathing%20Lake/Bathing%20Lake.jpg</x:v>
      </x:c>
    </x:row>
    <x:row r="40" ht="48" customHeight="1">
      <x:c r="A40" s="8" t="str">
        <x:v>Beauvais Lake</x:v>
      </x:c>
      <x:c r="B40" s="8" t="str">
        <x:v>4011</x:v>
      </x:c>
      <x:c r="C40" s="11" t="str">
        <x:v>Beauvais Lake</x:v>
      </x:c>
      <x:c r="D40" s="15" t="str">
        <x:f>IFERROR(HYPERLINK("https://mywildalberta.ca/fishing/fish-stocking/fsm-images/Beauvais%20Lake/Beauvais%20Lake.JPG","https://mywildalberta.ca/fishing/fish-stocking/fsm-images/Beauvais%20Lake/Beauvais%20Lake.JPG"),"https://mywildalberta.ca/fishing/fish-stocking/fsm-images/Beauvais%20Lake/Beauvais%20Lake.JPG")</x:f>
        <x:v>https://mywildalberta.ca/fishing/fish-stocking/fsm-images/Beauvais%20Lake/Beauvais%20Lake.JPG</x:v>
      </x:c>
    </x:row>
    <x:row r="41" ht="48" customHeight="1">
      <x:c r="A41" s="8" t="str">
        <x:v>Beaver Lake</x:v>
      </x:c>
      <x:c r="B41" s="8" t="str">
        <x:v>4014</x:v>
      </x:c>
      <x:c r="C41" s="11" t="str">
        <x:v>Beaver Lake Senic</x:v>
      </x:c>
      <x:c r="D41" s="15" t="str">
        <x:f>IFERROR(HYPERLINK("https://mywildalberta.ca/fishing/fish-stocking/fsm-images/Beaver%20Lake/Beaver%20Lake%20Senic.JPG","https://mywildalberta.ca/fishing/fish-stocking/fsm-images/Beaver%20Lake/Beaver%20Lake%20Senic.JPG"),"https://mywildalberta.ca/fishing/fish-stocking/fsm-images/Beaver%20Lake/Beaver%20Lake%20Senic.JPG")</x:f>
        <x:v>https://mywildalberta.ca/fishing/fish-stocking/fsm-images/Beaver%20Lake/Beaver%20Lake%20Senic.JPG</x:v>
      </x:c>
    </x:row>
    <x:row r="42" ht="48" customHeight="1">
      <x:c r="A42" s="8" t="str">
        <x:v>Beaver Lake</x:v>
      </x:c>
      <x:c r="B42" s="8" t="str">
        <x:v>4014</x:v>
      </x:c>
      <x:c r="C42" s="11" t="str">
        <x:v>Little Beaver Dam clear water</x:v>
      </x:c>
      <x:c r="D42" s="15" t="str">
        <x:f>IFERROR(HYPERLINK("https://mywildalberta.ca/fishing/fish-stocking/fsm-images/Beaver%20Lake/Little%20Beaver%20Dam%20clear%20water.jpg","https://mywildalberta.ca/fishing/fish-stocking/fsm-images/Beaver%20Lake/Little%20Beaver%20Dam%20clear%20water.jpg"),"https://mywildalberta.ca/fishing/fish-stocking/fsm-images/Beaver%20Lake/Little%20Beaver%20Dam%20clear%20water.jpg")</x:f>
        <x:v>https://mywildalberta.ca/fishing/fish-stocking/fsm-images/Beaver%20Lake/Little%20Beaver%20Dam%20clear%20water.jpg</x:v>
      </x:c>
    </x:row>
    <x:row r="43" ht="48" customHeight="1">
      <x:c r="A43" s="8" t="str">
        <x:v>Beaver Mines Lake</x:v>
      </x:c>
      <x:c r="B43" s="8" t="str">
        <x:v>4018</x:v>
      </x:c>
      <x:c r="C43" s="11" t="str">
        <x:v>BeaverMines Lake (1)</x:v>
      </x:c>
      <x:c r="D43" s="15" t="str">
        <x:f>IFERROR(HYPERLINK("https://mywildalberta.ca/fishing/fish-stocking/fsm-images/Beaver%20Mines%20Lake/BeaverMines%20Lake%20(1).jpg","https://mywildalberta.ca/fishing/fish-stocking/fsm-images/Beaver%20Mines%20Lake/BeaverMines%20Lake%20(1).jpg"),"https://mywildalberta.ca/fishing/fish-stocking/fsm-images/Beaver%20Mines%20Lake/BeaverMines%20Lake%20(1).jpg")</x:f>
        <x:v>https://mywildalberta.ca/fishing/fish-stocking/fsm-images/Beaver%20Mines%20Lake/BeaverMines%20Lake%20(1).jpg</x:v>
      </x:c>
    </x:row>
    <x:row r="44" ht="48" customHeight="1">
      <x:c r="A44" s="8" t="str">
        <x:v>Birch Lake</x:v>
      </x:c>
      <x:c r="B44" s="8" t="str">
        <x:v>4061</x:v>
      </x:c>
      <x:c r="C44" s="11" t="str">
        <x:v>Birch Lake</x:v>
      </x:c>
      <x:c r="D44" s="15" t="str">
        <x:f>IFERROR(HYPERLINK("https://mywildalberta.ca/fishing/fish-stocking/fsm-images/Birch%20Lake/Birch%20Lake.JPG","https://mywildalberta.ca/fishing/fish-stocking/fsm-images/Birch%20Lake/Birch%20Lake.JPG"),"https://mywildalberta.ca/fishing/fish-stocking/fsm-images/Birch%20Lake/Birch%20Lake.JPG")</x:f>
        <x:v>https://mywildalberta.ca/fishing/fish-stocking/fsm-images/Birch%20Lake/Birch%20Lake.JPG</x:v>
      </x:c>
    </x:row>
    <x:row r="45" ht="48" customHeight="1">
      <x:c r="A45" s="8" t="str">
        <x:v>Birdwood Lake</x:v>
      </x:c>
      <x:c r="B45" s="8" t="str">
        <x:v>4318</x:v>
      </x:c>
      <x:c r="C45" s="11" t="str">
        <x:v>Commonwealth Lake</x:v>
      </x:c>
      <x:c r="D45" s="15" t="str">
        <x:f>IFERROR(HYPERLINK("https://mywildalberta.ca/fishing/fish-stocking/fsm-images/Birdwood%20Lake/Commonwealth%20Lake.jpg","https://mywildalberta.ca/fishing/fish-stocking/fsm-images/Birdwood%20Lake/Commonwealth%20Lake.jpg"),"https://mywildalberta.ca/fishing/fish-stocking/fsm-images/Birdwood%20Lake/Commonwealth%20Lake.jpg")</x:f>
        <x:v>https://mywildalberta.ca/fishing/fish-stocking/fsm-images/Birdwood%20Lake/Commonwealth%20Lake.jpg</x:v>
      </x:c>
    </x:row>
    <x:row r="46" ht="48" customHeight="1">
      <x:c r="A46" s="8" t="str">
        <x:v>Black Nugget Mine Pit</x:v>
      </x:c>
      <x:c r="B46" s="8" t="str">
        <x:v>6923</x:v>
      </x:c>
      <x:c r="C46" s="11" t="str">
        <x:v>Black Nugget Culvert</x:v>
      </x:c>
      <x:c r="D46" s="15" t="str">
        <x:f>IFERROR(HYPERLINK("https://mywildalberta.ca/fishing/fish-stocking/fsm-images/Black%20Nugget%20Mine%20Pit/Black%20Nugget%20Culvert.jpg","https://mywildalberta.ca/fishing/fish-stocking/fsm-images/Black%20Nugget%20Mine%20Pit/Black%20Nugget%20Culvert.jpg"),"https://mywildalberta.ca/fishing/fish-stocking/fsm-images/Black%20Nugget%20Mine%20Pit/Black%20Nugget%20Culvert.jpg")</x:f>
        <x:v>https://mywildalberta.ca/fishing/fish-stocking/fsm-images/Black%20Nugget%20Mine%20Pit/Black%20Nugget%20Culvert.jpg</x:v>
      </x:c>
    </x:row>
    <x:row r="47" ht="48" customHeight="1">
      <x:c r="A47" s="8" t="str">
        <x:v>Black Nugget Mine Pit</x:v>
      </x:c>
      <x:c r="B47" s="8" t="str">
        <x:v>6923</x:v>
      </x:c>
      <x:c r="C47" s="11" t="str">
        <x:v>Black Nugget Senic</x:v>
      </x:c>
      <x:c r="D47" s="15" t="str">
        <x:f>IFERROR(HYPERLINK("https://mywildalberta.ca/fishing/fish-stocking/fsm-images/Black%20Nugget%20Mine%20Pit/Black%20Nugget%20Senic.jpg","https://mywildalberta.ca/fishing/fish-stocking/fsm-images/Black%20Nugget%20Mine%20Pit/Black%20Nugget%20Senic.jpg"),"https://mywildalberta.ca/fishing/fish-stocking/fsm-images/Black%20Nugget%20Mine%20Pit/Black%20Nugget%20Senic.jpg")</x:f>
        <x:v>https://mywildalberta.ca/fishing/fish-stocking/fsm-images/Black%20Nugget%20Mine%20Pit/Black%20Nugget%20Senic.jpg</x:v>
      </x:c>
    </x:row>
    <x:row r="48" ht="48" customHeight="1">
      <x:c r="A48" s="8" t="str">
        <x:v>Black Nugget Mine Pit</x:v>
      </x:c>
      <x:c r="B48" s="8" t="str">
        <x:v>6923</x:v>
      </x:c>
      <x:c r="C48" s="11" t="str">
        <x:v>Black Nugget</x:v>
      </x:c>
      <x:c r="D48" s="15" t="str">
        <x:f>IFERROR(HYPERLINK("https://mywildalberta.ca/fishing/fish-stocking/fsm-images/Black%20Nugget%20Mine%20Pit/Black%20Nugget.JPG","https://mywildalberta.ca/fishing/fish-stocking/fsm-images/Black%20Nugget%20Mine%20Pit/Black%20Nugget.JPG"),"https://mywildalberta.ca/fishing/fish-stocking/fsm-images/Black%20Nugget%20Mine%20Pit/Black%20Nugget.JPG")</x:f>
        <x:v>https://mywildalberta.ca/fishing/fish-stocking/fsm-images/Black%20Nugget%20Mine%20Pit/Black%20Nugget.JPG</x:v>
      </x:c>
    </x:row>
    <x:row r="49" ht="48" customHeight="1">
      <x:c r="A49" s="8" t="str">
        <x:v>Blood Indian Creek Reservoir</x:v>
      </x:c>
      <x:c r="B49" s="8" t="str">
        <x:v>3494</x:v>
      </x:c>
      <x:c r="C49" s="11" t="str">
        <x:v>BIR winter ice</x:v>
      </x:c>
      <x:c r="D49" s="15" t="str">
        <x:f>IFERROR(HYPERLINK("https://mywildalberta.ca/fishing/fish-stocking/fsm-images/Blood%20Indian%20Creek%20Reservoir/BIR%20winter%20ice.jpg","https://mywildalberta.ca/fishing/fish-stocking/fsm-images/Blood%20Indian%20Creek%20Reservoir/BIR%20winter%20ice.jpg"),"https://mywildalberta.ca/fishing/fish-stocking/fsm-images/Blood%20Indian%20Creek%20Reservoir/BIR%20winter%20ice.jpg")</x:f>
        <x:v>https://mywildalberta.ca/fishing/fish-stocking/fsm-images/Blood%20Indian%20Creek%20Reservoir/BIR%20winter%20ice.jpg</x:v>
      </x:c>
    </x:row>
    <x:row r="50" ht="48" customHeight="1">
      <x:c r="A50" s="8" t="str">
        <x:v>Blood Indian Creek Reservoir</x:v>
      </x:c>
      <x:c r="B50" s="8" t="str">
        <x:v>3494</x:v>
      </x:c>
      <x:c r="C50" s="11" t="str">
        <x:v>Blood Indian  Reservoir Carp</x:v>
      </x:c>
      <x:c r="D50" s="15" t="str">
        <x:f>IFERROR(HYPERLINK("https://mywildalberta.ca/fishing/fish-stocking/fsm-images/Blood%20Indian%20Creek%20Reservoir/Blood%20Indian%20%20Reservoir%20Carp.JPG","https://mywildalberta.ca/fishing/fish-stocking/fsm-images/Blood%20Indian%20Creek%20Reservoir/Blood%20Indian%20%20Reservoir%20Carp.JPG"),"https://mywildalberta.ca/fishing/fish-stocking/fsm-images/Blood%20Indian%20Creek%20Reservoir/Blood%20Indian%20%20Reservoir%20Carp.JPG")</x:f>
        <x:v>https://mywildalberta.ca/fishing/fish-stocking/fsm-images/Blood%20Indian%20Creek%20Reservoir/Blood%20Indian%20%20Reservoir%20Carp.JPG</x:v>
      </x:c>
    </x:row>
    <x:row r="51" ht="48" customHeight="1">
      <x:c r="A51" s="8" t="str">
        <x:v>Blood Indian Creek Reservoir</x:v>
      </x:c>
      <x:c r="B51" s="8" t="str">
        <x:v>3494</x:v>
      </x:c>
      <x:c r="C51" s="11" t="str">
        <x:v>Blood Indian Reservoir boat on shore</x:v>
      </x:c>
      <x:c r="D51" s="15" t="str">
        <x:f>IFERROR(HYPERLINK("https://mywildalberta.ca/fishing/fish-stocking/fsm-images/Blood%20Indian%20Creek%20Reservoir/Blood%20Indian%20Reservoir%20boat%20on%20shore.JPG","https://mywildalberta.ca/fishing/fish-stocking/fsm-images/Blood%20Indian%20Creek%20Reservoir/Blood%20Indian%20Reservoir%20boat%20on%20shore.JPG"),"https://mywildalberta.ca/fishing/fish-stocking/fsm-images/Blood%20Indian%20Creek%20Reservoir/Blood%20Indian%20Reservoir%20boat%20on%20shore.JPG")</x:f>
        <x:v>https://mywildalberta.ca/fishing/fish-stocking/fsm-images/Blood%20Indian%20Creek%20Reservoir/Blood%20Indian%20Reservoir%20boat%20on%20shore.JPG</x:v>
      </x:c>
    </x:row>
    <x:row r="52" ht="48" customHeight="1">
      <x:c r="A52" s="8" t="str">
        <x:v>Blood Indian Creek Reservoir</x:v>
      </x:c>
      <x:c r="B52" s="8" t="str">
        <x:v>3494</x:v>
      </x:c>
      <x:c r="C52" s="11" t="str">
        <x:v>Blood Indian Reservoir camp ground</x:v>
      </x:c>
      <x:c r="D52" s="15" t="str">
        <x:f>IFERROR(HYPERLINK("https://mywildalberta.ca/fishing/fish-stocking/fsm-images/Blood%20Indian%20Creek%20Reservoir/Blood%20Indian%20Reservoir%20camp%20ground.jpg","https://mywildalberta.ca/fishing/fish-stocking/fsm-images/Blood%20Indian%20Creek%20Reservoir/Blood%20Indian%20Reservoir%20camp%20ground.jpg"),"https://mywildalberta.ca/fishing/fish-stocking/fsm-images/Blood%20Indian%20Creek%20Reservoir/Blood%20Indian%20Reservoir%20camp%20ground.jpg")</x:f>
        <x:v>https://mywildalberta.ca/fishing/fish-stocking/fsm-images/Blood%20Indian%20Creek%20Reservoir/Blood%20Indian%20Reservoir%20camp%20ground.jpg</x:v>
      </x:c>
    </x:row>
    <x:row r="53" ht="48" customHeight="1">
      <x:c r="A53" s="8" t="str">
        <x:v>Blood Indian Creek Reservoir</x:v>
      </x:c>
      <x:c r="B53" s="8" t="str">
        <x:v>3494</x:v>
      </x:c>
      <x:c r="C53" s="11" t="str">
        <x:v>Blood Indian Reservoir east shore from main camp</x:v>
      </x:c>
      <x:c r="D53" s="15" t="str">
        <x:f>IFERROR(HYPERLINK("https://mywildalberta.ca/fishing/fish-stocking/fsm-images/Blood%20Indian%20Creek%20Reservoir/Blood%20Indian%20Reservoir%20east%20shore%20from%20main%20camp.jpg","https://mywildalberta.ca/fishing/fish-stocking/fsm-images/Blood%20Indian%20Creek%20Reservoir/Blood%20Indian%20Reservoir%20east%20shore%20from%20main%20camp.jpg"),"https://mywildalberta.ca/fishing/fish-stocking/fsm-images/Blood%20Indian%20Creek%20Reservoir/Blood%20Indian%20Reservoir%20east%20shore%20from%20main%20camp.jpg")</x:f>
        <x:v>https://mywildalberta.ca/fishing/fish-stocking/fsm-images/Blood%20Indian%20Creek%20Reservoir/Blood%20Indian%20Reservoir%20east%20shore%20from%20main%20camp.jpg</x:v>
      </x:c>
    </x:row>
    <x:row r="54" ht="48" customHeight="1">
      <x:c r="A54" s="8" t="str">
        <x:v>Blood Indian Creek Reservoir</x:v>
      </x:c>
      <x:c r="B54" s="8" t="str">
        <x:v>3494</x:v>
      </x:c>
      <x:c r="C54" s="11" t="str">
        <x:v>Blood Indian Reservoir looking onto the water from campsite</x:v>
      </x:c>
      <x:c r="D54" s="15" t="str">
        <x:f>IFERROR(HYPERLINK("https://mywildalberta.ca/fishing/fish-stocking/fsm-images/Blood%20Indian%20Creek%20Reservoir/Blood%20Indian%20Reservoir%20looking%20onto%20the%20water%20from%20campsite.JPG","https://mywildalberta.ca/fishing/fish-stocking/fsm-images/Blood%20Indian%20Creek%20Reservoir/Blood%20Indian%20Reservoir%20looking%20onto%20the%20water%20from%20campsite.JPG"),"https://mywildalberta.ca/fishing/fish-stocking/fsm-images/Blood%20Indian%20Creek%20Reservoir/Blood%20Indian%20Reservoir%20looking%20onto%20the%20water%20from%20campsite.JPG")</x:f>
        <x:v>https://mywildalberta.ca/fishing/fish-stocking/fsm-images/Blood%20Indian%20Creek%20Reservoir/Blood%20Indian%20Reservoir%20looking%20onto%20the%20water%20from%20campsite.JPG</x:v>
      </x:c>
    </x:row>
    <x:row r="55" ht="48" customHeight="1">
      <x:c r="A55" s="8" t="str">
        <x:v>Blood Indian Creek Reservoir</x:v>
      </x:c>
      <x:c r="B55" s="8" t="str">
        <x:v>3494</x:v>
      </x:c>
      <x:c r="C55" s="11" t="str">
        <x:v>Blood Indian Reservoir looking over water</x:v>
      </x:c>
      <x:c r="D55" s="15" t="str">
        <x:f>IFERROR(HYPERLINK("https://mywildalberta.ca/fishing/fish-stocking/fsm-images/Blood%20Indian%20Creek%20Reservoir/Blood%20Indian%20Reservoir%20looking%20over%20water.JPG","https://mywildalberta.ca/fishing/fish-stocking/fsm-images/Blood%20Indian%20Creek%20Reservoir/Blood%20Indian%20Reservoir%20looking%20over%20water.JPG"),"https://mywildalberta.ca/fishing/fish-stocking/fsm-images/Blood%20Indian%20Creek%20Reservoir/Blood%20Indian%20Reservoir%20looking%20over%20water.JPG")</x:f>
        <x:v>https://mywildalberta.ca/fishing/fish-stocking/fsm-images/Blood%20Indian%20Creek%20Reservoir/Blood%20Indian%20Reservoir%20looking%20over%20water.JPG</x:v>
      </x:c>
    </x:row>
    <x:row r="56" ht="48" customHeight="1">
      <x:c r="A56" s="8" t="str">
        <x:v>Blood Indian Creek Reservoir</x:v>
      </x:c>
      <x:c r="B56" s="8" t="str">
        <x:v>3494</x:v>
      </x:c>
      <x:c r="C56" s="11" t="str">
        <x:v>Blood Indian Reservoir roadway and water</x:v>
      </x:c>
      <x:c r="D56" s="15" t="str">
        <x:f>IFERROR(HYPERLINK("https://mywildalberta.ca/fishing/fish-stocking/fsm-images/Blood%20Indian%20Creek%20Reservoir/Blood%20Indian%20Reservoir%20roadway%20and%20water.JPG","https://mywildalberta.ca/fishing/fish-stocking/fsm-images/Blood%20Indian%20Creek%20Reservoir/Blood%20Indian%20Reservoir%20roadway%20and%20water.JPG"),"https://mywildalberta.ca/fishing/fish-stocking/fsm-images/Blood%20Indian%20Creek%20Reservoir/Blood%20Indian%20Reservoir%20roadway%20and%20water.JPG")</x:f>
        <x:v>https://mywildalberta.ca/fishing/fish-stocking/fsm-images/Blood%20Indian%20Creek%20Reservoir/Blood%20Indian%20Reservoir%20roadway%20and%20water.JPG</x:v>
      </x:c>
    </x:row>
    <x:row r="57" ht="48" customHeight="1">
      <x:c r="A57" s="8" t="str">
        <x:v>Blood Indian Creek Reservoir</x:v>
      </x:c>
      <x:c r="B57" s="8" t="str">
        <x:v>3494</x:v>
      </x:c>
      <x:c r="C57" s="11" t="str">
        <x:v>Blood Indian reservoir south west of entrance and shop</x:v>
      </x:c>
      <x:c r="D57" s="15" t="str">
        <x:f>IFERROR(HYPERLINK("https://mywildalberta.ca/fishing/fish-stocking/fsm-images/Blood%20Indian%20Creek%20Reservoir/Blood%20Indian%20reservoir%20south%20west%20of%20entrance%20and%20shop.JPG","https://mywildalberta.ca/fishing/fish-stocking/fsm-images/Blood%20Indian%20Creek%20Reservoir/Blood%20Indian%20reservoir%20south%20west%20of%20entrance%20and%20shop.JPG"),"https://mywildalberta.ca/fishing/fish-stocking/fsm-images/Blood%20Indian%20Creek%20Reservoir/Blood%20Indian%20reservoir%20south%20west%20of%20entrance%20and%20shop.JPG")</x:f>
        <x:v>https://mywildalberta.ca/fishing/fish-stocking/fsm-images/Blood%20Indian%20Creek%20Reservoir/Blood%20Indian%20reservoir%20south%20west%20of%20entrance%20and%20shop.JPG</x:v>
      </x:c>
    </x:row>
    <x:row r="58" ht="48" customHeight="1">
      <x:c r="A58" s="8" t="str">
        <x:v>Blood Indian Creek Reservoir</x:v>
      </x:c>
      <x:c r="B58" s="8" t="str">
        <x:v>3494</x:v>
      </x:c>
      <x:c r="C58" s="11" t="str">
        <x:v>Blood Indian Reservoir Windy Point</x:v>
      </x:c>
      <x:c r="D58" s="15" t="str">
        <x:f>IFERROR(HYPERLINK("https://mywildalberta.ca/fishing/fish-stocking/fsm-images/Blood%20Indian%20Creek%20Reservoir/Blood%20Indian%20Reservoir%20Windy%20Point.jpg","https://mywildalberta.ca/fishing/fish-stocking/fsm-images/Blood%20Indian%20Creek%20Reservoir/Blood%20Indian%20Reservoir%20Windy%20Point.jpg"),"https://mywildalberta.ca/fishing/fish-stocking/fsm-images/Blood%20Indian%20Creek%20Reservoir/Blood%20Indian%20Reservoir%20Windy%20Point.jpg")</x:f>
        <x:v>https://mywildalberta.ca/fishing/fish-stocking/fsm-images/Blood%20Indian%20Creek%20Reservoir/Blood%20Indian%20Reservoir%20Windy%20Point.jpg</x:v>
      </x:c>
    </x:row>
    <x:row r="59" ht="48" customHeight="1">
      <x:c r="A59" s="8" t="str">
        <x:v>Blood Indian Creek Reservoir</x:v>
      </x:c>
      <x:c r="B59" s="8" t="str">
        <x:v>3494</x:v>
      </x:c>
      <x:c r="C59" s="11" t="str">
        <x:v>Blood Indian Reservoir</x:v>
      </x:c>
      <x:c r="D59" s="15" t="str">
        <x:f>IFERROR(HYPERLINK("https://mywildalberta.ca/fishing/fish-stocking/fsm-images/Blood%20Indian%20Creek%20Reservoir/Blood%20Indian%20Reservoir.jpg","https://mywildalberta.ca/fishing/fish-stocking/fsm-images/Blood%20Indian%20Creek%20Reservoir/Blood%20Indian%20Reservoir.jpg"),"https://mywildalberta.ca/fishing/fish-stocking/fsm-images/Blood%20Indian%20Creek%20Reservoir/Blood%20Indian%20Reservoir.jpg")</x:f>
        <x:v>https://mywildalberta.ca/fishing/fish-stocking/fsm-images/Blood%20Indian%20Creek%20Reservoir/Blood%20Indian%20Reservoir.jpg</x:v>
      </x:c>
    </x:row>
    <x:row r="60" ht="48" customHeight="1">
      <x:c r="A60" s="8" t="str">
        <x:v>Blood Indian Creek Reservoir</x:v>
      </x:c>
      <x:c r="B60" s="8" t="str">
        <x:v>3494</x:v>
      </x:c>
      <x:c r="C60" s="11" t="str">
        <x:v>Creek inflow near culvert reservoir side</x:v>
      </x:c>
      <x:c r="D60" s="15" t="str">
        <x:f>IFERROR(HYPERLINK("https://mywildalberta.ca/fishing/fish-stocking/fsm-images/Blood%20Indian%20Creek%20Reservoir/Creek%20inflow%20near%20culvert%20reservoir%20side.jpg","https://mywildalberta.ca/fishing/fish-stocking/fsm-images/Blood%20Indian%20Creek%20Reservoir/Creek%20inflow%20near%20culvert%20reservoir%20side.jpg"),"https://mywildalberta.ca/fishing/fish-stocking/fsm-images/Blood%20Indian%20Creek%20Reservoir/Creek%20inflow%20near%20culvert%20reservoir%20side.jpg")</x:f>
        <x:v>https://mywildalberta.ca/fishing/fish-stocking/fsm-images/Blood%20Indian%20Creek%20Reservoir/Creek%20inflow%20near%20culvert%20reservoir%20side.jpg</x:v>
      </x:c>
    </x:row>
    <x:row r="61" ht="48" customHeight="1">
      <x:c r="A61" s="8" t="str">
        <x:v>Blood Indian Creek Reservoir</x:v>
      </x:c>
      <x:c r="B61" s="8" t="str">
        <x:v>3494</x:v>
      </x:c>
      <x:c r="C61" s="11" t="str">
        <x:v>FSO crew working on boat</x:v>
      </x:c>
      <x:c r="D61" s="15" t="str">
        <x:f>IFERROR(HYPERLINK("https://mywildalberta.ca/fishing/fish-stocking/fsm-images/Blood%20Indian%20Creek%20Reservoir/FSO%20crew%20working%20on%20boat.jpg","https://mywildalberta.ca/fishing/fish-stocking/fsm-images/Blood%20Indian%20Creek%20Reservoir/FSO%20crew%20working%20on%20boat.jpg"),"https://mywildalberta.ca/fishing/fish-stocking/fsm-images/Blood%20Indian%20Creek%20Reservoir/FSO%20crew%20working%20on%20boat.jpg")</x:f>
        <x:v>https://mywildalberta.ca/fishing/fish-stocking/fsm-images/Blood%20Indian%20Creek%20Reservoir/FSO%20crew%20working%20on%20boat.jpg</x:v>
      </x:c>
    </x:row>
    <x:row r="62" ht="48" customHeight="1">
      <x:c r="A62" s="8" t="str">
        <x:v>Blueridge Pit</x:v>
      </x:c>
      <x:c r="B62" s="8" t="str">
        <x:v>26033</x:v>
      </x:c>
      <x:c r="C62" s="11" t="str">
        <x:v>Across Lake View</x:v>
      </x:c>
      <x:c r="D62" s="15" t="str">
        <x:f>IFERROR(HYPERLINK("https://mywildalberta.ca/fishing/fish-stocking/fsm-images/Blueridge%20Pit/Across%20Lake%20View.jpg","https://mywildalberta.ca/fishing/fish-stocking/fsm-images/Blueridge%20Pit/Across%20Lake%20View.jpg"),"https://mywildalberta.ca/fishing/fish-stocking/fsm-images/Blueridge%20Pit/Across%20Lake%20View.jpg")</x:f>
        <x:v>https://mywildalberta.ca/fishing/fish-stocking/fsm-images/Blueridge%20Pit/Across%20Lake%20View.jpg</x:v>
      </x:c>
    </x:row>
    <x:row r="63" ht="48" customHeight="1">
      <x:c r="A63" s="8" t="str">
        <x:v>Blueridge Pit</x:v>
      </x:c>
      <x:c r="B63" s="8" t="str">
        <x:v>26033</x:v>
      </x:c>
      <x:c r="C63" s="11" t="str">
        <x:v>Across Pond View</x:v>
      </x:c>
      <x:c r="D63" s="15" t="str">
        <x:f>IFERROR(HYPERLINK("https://mywildalberta.ca/fishing/fish-stocking/fsm-images/Blueridge%20Pit/Across%20Pond%20View.jpg","https://mywildalberta.ca/fishing/fish-stocking/fsm-images/Blueridge%20Pit/Across%20Pond%20View.jpg"),"https://mywildalberta.ca/fishing/fish-stocking/fsm-images/Blueridge%20Pit/Across%20Pond%20View.jpg")</x:f>
        <x:v>https://mywildalberta.ca/fishing/fish-stocking/fsm-images/Blueridge%20Pit/Across%20Pond%20View.jpg</x:v>
      </x:c>
    </x:row>
    <x:row r="64" ht="48" customHeight="1">
      <x:c r="A64" s="8" t="str">
        <x:v>Blueridge Pit</x:v>
      </x:c>
      <x:c r="B64" s="8" t="str">
        <x:v>26033</x:v>
      </x:c>
      <x:c r="C64" s="11" t="str">
        <x:v>Bathroom Facilities</x:v>
      </x:c>
      <x:c r="D64" s="15" t="str">
        <x:f>IFERROR(HYPERLINK("https://mywildalberta.ca/fishing/fish-stocking/fsm-images/Blueridge%20Pit/Bathroom%20Facilities.jpg","https://mywildalberta.ca/fishing/fish-stocking/fsm-images/Blueridge%20Pit/Bathroom%20Facilities.jpg"),"https://mywildalberta.ca/fishing/fish-stocking/fsm-images/Blueridge%20Pit/Bathroom%20Facilities.jpg")</x:f>
        <x:v>https://mywildalberta.ca/fishing/fish-stocking/fsm-images/Blueridge%20Pit/Bathroom%20Facilities.jpg</x:v>
      </x:c>
    </x:row>
    <x:row r="65" ht="48" customHeight="1">
      <x:c r="A65" s="8" t="str">
        <x:v>Blueridge Pit</x:v>
      </x:c>
      <x:c r="B65" s="8" t="str">
        <x:v>26033</x:v>
      </x:c>
      <x:c r="C65" s="11" t="str">
        <x:v>Dock View</x:v>
      </x:c>
      <x:c r="D65" s="15" t="str">
        <x:f>IFERROR(HYPERLINK("https://mywildalberta.ca/fishing/fish-stocking/fsm-images/Blueridge%20Pit/Dock%20View.jpg","https://mywildalberta.ca/fishing/fish-stocking/fsm-images/Blueridge%20Pit/Dock%20View.jpg"),"https://mywildalberta.ca/fishing/fish-stocking/fsm-images/Blueridge%20Pit/Dock%20View.jpg")</x:f>
        <x:v>https://mywildalberta.ca/fishing/fish-stocking/fsm-images/Blueridge%20Pit/Dock%20View.jpg</x:v>
      </x:c>
    </x:row>
    <x:row r="66" ht="48" customHeight="1">
      <x:c r="A66" s="8" t="str">
        <x:v>Blueridge Pit</x:v>
      </x:c>
      <x:c r="B66" s="8" t="str">
        <x:v>26033</x:v>
      </x:c>
      <x:c r="C66" s="11" t="str">
        <x:v>Entire Pond View</x:v>
      </x:c>
      <x:c r="D66" s="15" t="str">
        <x:f>IFERROR(HYPERLINK("https://mywildalberta.ca/fishing/fish-stocking/fsm-images/Blueridge%20Pit/Entire%20Pond%20View.jpg","https://mywildalberta.ca/fishing/fish-stocking/fsm-images/Blueridge%20Pit/Entire%20Pond%20View.jpg"),"https://mywildalberta.ca/fishing/fish-stocking/fsm-images/Blueridge%20Pit/Entire%20Pond%20View.jpg")</x:f>
        <x:v>https://mywildalberta.ca/fishing/fish-stocking/fsm-images/Blueridge%20Pit/Entire%20Pond%20View.jpg</x:v>
      </x:c>
    </x:row>
    <x:row r="67" ht="48" customHeight="1">
      <x:c r="A67" s="8" t="str">
        <x:v>Blueridge Pit</x:v>
      </x:c>
      <x:c r="B67" s="8" t="str">
        <x:v>26033</x:v>
      </x:c>
      <x:c r="C67" s="11" t="str">
        <x:v>Fish In Water (2)</x:v>
      </x:c>
      <x:c r="D67" s="15" t="str">
        <x:f>IFERROR(HYPERLINK("https://mywildalberta.ca/fishing/fish-stocking/fsm-images/Blueridge%20Pit/Fish%20In%20Water%20(2).jpg","https://mywildalberta.ca/fishing/fish-stocking/fsm-images/Blueridge%20Pit/Fish%20In%20Water%20(2).jpg"),"https://mywildalberta.ca/fishing/fish-stocking/fsm-images/Blueridge%20Pit/Fish%20In%20Water%20(2).jpg")</x:f>
        <x:v>https://mywildalberta.ca/fishing/fish-stocking/fsm-images/Blueridge%20Pit/Fish%20In%20Water%20(2).jpg</x:v>
      </x:c>
    </x:row>
    <x:row r="68" ht="48" customHeight="1">
      <x:c r="A68" s="8" t="str">
        <x:v>Blueridge Pit</x:v>
      </x:c>
      <x:c r="B68" s="8" t="str">
        <x:v>26033</x:v>
      </x:c>
      <x:c r="C68" s="11" t="str">
        <x:v>Fish In Water</x:v>
      </x:c>
      <x:c r="D68" s="15" t="str">
        <x:f>IFERROR(HYPERLINK("https://mywildalberta.ca/fishing/fish-stocking/fsm-images/Blueridge%20Pit/Fish%20In%20Water.jpg","https://mywildalberta.ca/fishing/fish-stocking/fsm-images/Blueridge%20Pit/Fish%20In%20Water.jpg"),"https://mywildalberta.ca/fishing/fish-stocking/fsm-images/Blueridge%20Pit/Fish%20In%20Water.jpg")</x:f>
        <x:v>https://mywildalberta.ca/fishing/fish-stocking/fsm-images/Blueridge%20Pit/Fish%20In%20Water.jpg</x:v>
      </x:c>
    </x:row>
    <x:row r="69" ht="48" customHeight="1">
      <x:c r="A69" s="8" t="str">
        <x:v>Blueridge Pit</x:v>
      </x:c>
      <x:c r="B69" s="8" t="str">
        <x:v>26033</x:v>
      </x:c>
      <x:c r="C69" s="11" t="str">
        <x:v>Fishing Information Sign</x:v>
      </x:c>
      <x:c r="D69" s="15" t="str">
        <x:f>IFERROR(HYPERLINK("https://mywildalberta.ca/fishing/fish-stocking/fsm-images/Blueridge%20Pit/Fishing%20Information%20Sign.jpg","https://mywildalberta.ca/fishing/fish-stocking/fsm-images/Blueridge%20Pit/Fishing%20Information%20Sign.jpg"),"https://mywildalberta.ca/fishing/fish-stocking/fsm-images/Blueridge%20Pit/Fishing%20Information%20Sign.jpg")</x:f>
        <x:v>https://mywildalberta.ca/fishing/fish-stocking/fsm-images/Blueridge%20Pit/Fishing%20Information%20Sign.jpg</x:v>
      </x:c>
    </x:row>
    <x:row r="70" ht="48" customHeight="1">
      <x:c r="A70" s="8" t="str">
        <x:v>Blueridge Pit</x:v>
      </x:c>
      <x:c r="B70" s="8" t="str">
        <x:v>26033</x:v>
      </x:c>
      <x:c r="C70" s="11" t="str">
        <x:v>Information Sign</x:v>
      </x:c>
      <x:c r="D70" s="15" t="str">
        <x:f>IFERROR(HYPERLINK("https://mywildalberta.ca/fishing/fish-stocking/fsm-images/Blueridge%20Pit/Information%20Sign.jpg","https://mywildalberta.ca/fishing/fish-stocking/fsm-images/Blueridge%20Pit/Information%20Sign.jpg"),"https://mywildalberta.ca/fishing/fish-stocking/fsm-images/Blueridge%20Pit/Information%20Sign.jpg")</x:f>
        <x:v>https://mywildalberta.ca/fishing/fish-stocking/fsm-images/Blueridge%20Pit/Information%20Sign.jpg</x:v>
      </x:c>
    </x:row>
    <x:row r="71" ht="48" customHeight="1">
      <x:c r="A71" s="8" t="str">
        <x:v>Blueridge Pit</x:v>
      </x:c>
      <x:c r="B71" s="8" t="str">
        <x:v>26033</x:v>
      </x:c>
      <x:c r="C71" s="11" t="str">
        <x:v>Long Pond View (2)</x:v>
      </x:c>
      <x:c r="D71" s="15" t="str">
        <x:f>IFERROR(HYPERLINK("https://mywildalberta.ca/fishing/fish-stocking/fsm-images/Blueridge%20Pit/Long%20Pond%20View%20(2).jpg","https://mywildalberta.ca/fishing/fish-stocking/fsm-images/Blueridge%20Pit/Long%20Pond%20View%20(2).jpg"),"https://mywildalberta.ca/fishing/fish-stocking/fsm-images/Blueridge%20Pit/Long%20Pond%20View%20(2).jpg")</x:f>
        <x:v>https://mywildalberta.ca/fishing/fish-stocking/fsm-images/Blueridge%20Pit/Long%20Pond%20View%20(2).jpg</x:v>
      </x:c>
    </x:row>
    <x:row r="72" ht="48" customHeight="1">
      <x:c r="A72" s="8" t="str">
        <x:v>Blueridge Pit</x:v>
      </x:c>
      <x:c r="B72" s="8" t="str">
        <x:v>26033</x:v>
      </x:c>
      <x:c r="C72" s="11" t="str">
        <x:v>Long Pond View</x:v>
      </x:c>
      <x:c r="D72" s="15" t="str">
        <x:f>IFERROR(HYPERLINK("https://mywildalberta.ca/fishing/fish-stocking/fsm-images/Blueridge%20Pit/Long%20Pond%20View.jpg","https://mywildalberta.ca/fishing/fish-stocking/fsm-images/Blueridge%20Pit/Long%20Pond%20View.jpg"),"https://mywildalberta.ca/fishing/fish-stocking/fsm-images/Blueridge%20Pit/Long%20Pond%20View.jpg")</x:f>
        <x:v>https://mywildalberta.ca/fishing/fish-stocking/fsm-images/Blueridge%20Pit/Long%20Pond%20View.jpg</x:v>
      </x:c>
    </x:row>
    <x:row r="73" ht="48" customHeight="1">
      <x:c r="A73" s="8" t="str">
        <x:v>Blueridge Pit</x:v>
      </x:c>
      <x:c r="B73" s="8" t="str">
        <x:v>26033</x:v>
      </x:c>
      <x:c r="C73" s="11" t="str">
        <x:v>Minnows in Water</x:v>
      </x:c>
      <x:c r="D73" s="15" t="str">
        <x:f>IFERROR(HYPERLINK("https://mywildalberta.ca/fishing/fish-stocking/fsm-images/Blueridge%20Pit/Minnows%20in%20Water.jpg","https://mywildalberta.ca/fishing/fish-stocking/fsm-images/Blueridge%20Pit/Minnows%20in%20Water.jpg"),"https://mywildalberta.ca/fishing/fish-stocking/fsm-images/Blueridge%20Pit/Minnows%20in%20Water.jpg")</x:f>
        <x:v>https://mywildalberta.ca/fishing/fish-stocking/fsm-images/Blueridge%20Pit/Minnows%20in%20Water.jpg</x:v>
      </x:c>
    </x:row>
    <x:row r="74" ht="48" customHeight="1">
      <x:c r="A74" s="8" t="str">
        <x:v>Blueridge Pit</x:v>
      </x:c>
      <x:c r="B74" s="8" t="str">
        <x:v>26033</x:v>
      </x:c>
      <x:c r="C74" s="11" t="str">
        <x:v>Pond Above View</x:v>
      </x:c>
      <x:c r="D74" s="15" t="str">
        <x:f>IFERROR(HYPERLINK("https://mywildalberta.ca/fishing/fish-stocking/fsm-images/Blueridge%20Pit/Pond%20Above%20View.jpg","https://mywildalberta.ca/fishing/fish-stocking/fsm-images/Blueridge%20Pit/Pond%20Above%20View.jpg"),"https://mywildalberta.ca/fishing/fish-stocking/fsm-images/Blueridge%20Pit/Pond%20Above%20View.jpg")</x:f>
        <x:v>https://mywildalberta.ca/fishing/fish-stocking/fsm-images/Blueridge%20Pit/Pond%20Above%20View.jpg</x:v>
      </x:c>
    </x:row>
    <x:row r="75" ht="48" customHeight="1">
      <x:c r="A75" s="8" t="str">
        <x:v>Blueridge Pit</x:v>
      </x:c>
      <x:c r="B75" s="8" t="str">
        <x:v>26033</x:v>
      </x:c>
      <x:c r="C75" s="11" t="str">
        <x:v>Pond Side View (2)</x:v>
      </x:c>
      <x:c r="D75" s="15" t="str">
        <x:f>IFERROR(HYPERLINK("https://mywildalberta.ca/fishing/fish-stocking/fsm-images/Blueridge%20Pit/Pond%20Side%20View%20(2).jpg","https://mywildalberta.ca/fishing/fish-stocking/fsm-images/Blueridge%20Pit/Pond%20Side%20View%20(2).jpg"),"https://mywildalberta.ca/fishing/fish-stocking/fsm-images/Blueridge%20Pit/Pond%20Side%20View%20(2).jpg")</x:f>
        <x:v>https://mywildalberta.ca/fishing/fish-stocking/fsm-images/Blueridge%20Pit/Pond%20Side%20View%20(2).jpg</x:v>
      </x:c>
    </x:row>
    <x:row r="76" ht="48" customHeight="1">
      <x:c r="A76" s="8" t="str">
        <x:v>Blueridge Pit</x:v>
      </x:c>
      <x:c r="B76" s="8" t="str">
        <x:v>26033</x:v>
      </x:c>
      <x:c r="C76" s="11" t="str">
        <x:v>Pond Side View (3)</x:v>
      </x:c>
      <x:c r="D76" s="15" t="str">
        <x:f>IFERROR(HYPERLINK("https://mywildalberta.ca/fishing/fish-stocking/fsm-images/Blueridge%20Pit/Pond%20Side%20View%20(3).jpg","https://mywildalberta.ca/fishing/fish-stocking/fsm-images/Blueridge%20Pit/Pond%20Side%20View%20(3).jpg"),"https://mywildalberta.ca/fishing/fish-stocking/fsm-images/Blueridge%20Pit/Pond%20Side%20View%20(3).jpg")</x:f>
        <x:v>https://mywildalberta.ca/fishing/fish-stocking/fsm-images/Blueridge%20Pit/Pond%20Side%20View%20(3).jpg</x:v>
      </x:c>
    </x:row>
    <x:row r="77" ht="48" customHeight="1">
      <x:c r="A77" s="8" t="str">
        <x:v>Blueridge Pit</x:v>
      </x:c>
      <x:c r="B77" s="8" t="str">
        <x:v>26033</x:v>
      </x:c>
      <x:c r="C77" s="11" t="str">
        <x:v>Pond Side View</x:v>
      </x:c>
      <x:c r="D77" s="15" t="str">
        <x:f>IFERROR(HYPERLINK("https://mywildalberta.ca/fishing/fish-stocking/fsm-images/Blueridge%20Pit/Pond%20Side%20View.jpg","https://mywildalberta.ca/fishing/fish-stocking/fsm-images/Blueridge%20Pit/Pond%20Side%20View.jpg"),"https://mywildalberta.ca/fishing/fish-stocking/fsm-images/Blueridge%20Pit/Pond%20Side%20View.jpg")</x:f>
        <x:v>https://mywildalberta.ca/fishing/fish-stocking/fsm-images/Blueridge%20Pit/Pond%20Side%20View.jpg</x:v>
      </x:c>
    </x:row>
    <x:row r="78" ht="48" customHeight="1">
      <x:c r="A78" s="8" t="str">
        <x:v>Blueridge Pit</x:v>
      </x:c>
      <x:c r="B78" s="8" t="str">
        <x:v>26033</x:v>
      </x:c>
      <x:c r="C78" s="11" t="str">
        <x:v>Recreation Info Sign</x:v>
      </x:c>
      <x:c r="D78" s="15" t="str">
        <x:f>IFERROR(HYPERLINK("https://mywildalberta.ca/fishing/fish-stocking/fsm-images/Blueridge%20Pit/Recreation%20Info%20Sign.jpg","https://mywildalberta.ca/fishing/fish-stocking/fsm-images/Blueridge%20Pit/Recreation%20Info%20Sign.jpg"),"https://mywildalberta.ca/fishing/fish-stocking/fsm-images/Blueridge%20Pit/Recreation%20Info%20Sign.jpg")</x:f>
        <x:v>https://mywildalberta.ca/fishing/fish-stocking/fsm-images/Blueridge%20Pit/Recreation%20Info%20Sign.jpg</x:v>
      </x:c>
    </x:row>
    <x:row r="79" ht="48" customHeight="1">
      <x:c r="A79" s="8" t="str">
        <x:v>Blueridge Pit</x:v>
      </x:c>
      <x:c r="B79" s="8" t="str">
        <x:v>26033</x:v>
      </x:c>
      <x:c r="C79" s="11" t="str">
        <x:v>View of Dock</x:v>
      </x:c>
      <x:c r="D79" s="15" t="str">
        <x:f>IFERROR(HYPERLINK("https://mywildalberta.ca/fishing/fish-stocking/fsm-images/Blueridge%20Pit/View%20of%20Dock.jpg","https://mywildalberta.ca/fishing/fish-stocking/fsm-images/Blueridge%20Pit/View%20of%20Dock.jpg"),"https://mywildalberta.ca/fishing/fish-stocking/fsm-images/Blueridge%20Pit/View%20of%20Dock.jpg")</x:f>
        <x:v>https://mywildalberta.ca/fishing/fish-stocking/fsm-images/Blueridge%20Pit/View%20of%20Dock.jpg</x:v>
      </x:c>
    </x:row>
    <x:row r="80" ht="48" customHeight="1">
      <x:c r="A80" s="8" t="str">
        <x:v>Blueridge Pit</x:v>
      </x:c>
      <x:c r="B80" s="8" t="str">
        <x:v>26033</x:v>
      </x:c>
      <x:c r="C80" s="11" t="str">
        <x:v>White Ridge MX Park Info</x:v>
      </x:c>
      <x:c r="D80" s="15" t="str">
        <x:f>IFERROR(HYPERLINK("https://mywildalberta.ca/fishing/fish-stocking/fsm-images/Blueridge%20Pit/White%20Ridge%20MX%20Park%20Info.jpg","https://mywildalberta.ca/fishing/fish-stocking/fsm-images/Blueridge%20Pit/White%20Ridge%20MX%20Park%20Info.jpg"),"https://mywildalberta.ca/fishing/fish-stocking/fsm-images/Blueridge%20Pit/White%20Ridge%20MX%20Park%20Info.jpg")</x:f>
        <x:v>https://mywildalberta.ca/fishing/fish-stocking/fsm-images/Blueridge%20Pit/White%20Ridge%20MX%20Park%20Info.jpg</x:v>
      </x:c>
    </x:row>
    <x:row r="81" ht="48" customHeight="1">
      <x:c r="A81" s="8" t="str">
        <x:v>Boulder Lake</x:v>
      </x:c>
      <x:c r="B81" s="8" t="str">
        <x:v>417506</x:v>
      </x:c>
      <x:c r="C81" s="11" t="str">
        <x:v>Boulder Lake looking east with shore line</x:v>
      </x:c>
      <x:c r="D81" s="15" t="str">
        <x:f>IFERROR(HYPERLINK("https://mywildalberta.ca/fishing/fish-stocking/fsm-images/Boulder%20Lake/Boulder%20Lake%20looking%20east%20with%20shore%20line.jpg","https://mywildalberta.ca/fishing/fish-stocking/fsm-images/Boulder%20Lake/Boulder%20Lake%20looking%20east%20with%20shore%20line.jpg"),"https://mywildalberta.ca/fishing/fish-stocking/fsm-images/Boulder%20Lake/Boulder%20Lake%20looking%20east%20with%20shore%20line.jpg")</x:f>
        <x:v>https://mywildalberta.ca/fishing/fish-stocking/fsm-images/Boulder%20Lake/Boulder%20Lake%20looking%20east%20with%20shore%20line.jpg</x:v>
      </x:c>
    </x:row>
    <x:row r="82" ht="48" customHeight="1">
      <x:c r="A82" s="8" t="str">
        <x:v>Boulder Lake</x:v>
      </x:c>
      <x:c r="B82" s="8" t="str">
        <x:v>417506</x:v>
      </x:c>
      <x:c r="C82" s="11" t="str">
        <x:v>Boulder Lake looking east</x:v>
      </x:c>
      <x:c r="D82" s="15" t="str">
        <x:f>IFERROR(HYPERLINK("https://mywildalberta.ca/fishing/fish-stocking/fsm-images/Boulder%20Lake/Boulder%20Lake%20looking%20east.jpg","https://mywildalberta.ca/fishing/fish-stocking/fsm-images/Boulder%20Lake/Boulder%20Lake%20looking%20east.jpg"),"https://mywildalberta.ca/fishing/fish-stocking/fsm-images/Boulder%20Lake/Boulder%20Lake%20looking%20east.jpg")</x:f>
        <x:v>https://mywildalberta.ca/fishing/fish-stocking/fsm-images/Boulder%20Lake/Boulder%20Lake%20looking%20east.jpg</x:v>
      </x:c>
    </x:row>
    <x:row r="83" ht="48" customHeight="1">
      <x:c r="A83" s="8" t="str">
        <x:v>Boulder Lake</x:v>
      </x:c>
      <x:c r="B83" s="8" t="str">
        <x:v>417506</x:v>
      </x:c>
      <x:c r="C83" s="11" t="str">
        <x:v>Boulder Lake looking west on draw</x:v>
      </x:c>
      <x:c r="D83" s="15" t="str">
        <x:f>IFERROR(HYPERLINK("https://mywildalberta.ca/fishing/fish-stocking/fsm-images/Boulder%20Lake/Boulder%20Lake%20looking%20west%20on%20draw.jpg","https://mywildalberta.ca/fishing/fish-stocking/fsm-images/Boulder%20Lake/Boulder%20Lake%20looking%20west%20on%20draw.jpg"),"https://mywildalberta.ca/fishing/fish-stocking/fsm-images/Boulder%20Lake/Boulder%20Lake%20looking%20west%20on%20draw.jpg")</x:f>
        <x:v>https://mywildalberta.ca/fishing/fish-stocking/fsm-images/Boulder%20Lake/Boulder%20Lake%20looking%20west%20on%20draw.jpg</x:v>
      </x:c>
    </x:row>
    <x:row r="84" ht="48" customHeight="1">
      <x:c r="A84" s="8" t="str">
        <x:v>Boulder Lake</x:v>
      </x:c>
      <x:c r="B84" s="8" t="str">
        <x:v>417506</x:v>
      </x:c>
      <x:c r="C84" s="11" t="str">
        <x:v>Boulder Lake west shoreline</x:v>
      </x:c>
      <x:c r="D84" s="15" t="str">
        <x:f>IFERROR(HYPERLINK("https://mywildalberta.ca/fishing/fish-stocking/fsm-images/Boulder%20Lake/Boulder%20Lake%20west%20shoreline.jpg","https://mywildalberta.ca/fishing/fish-stocking/fsm-images/Boulder%20Lake/Boulder%20Lake%20west%20shoreline.jpg"),"https://mywildalberta.ca/fishing/fish-stocking/fsm-images/Boulder%20Lake/Boulder%20Lake%20west%20shoreline.jpg")</x:f>
        <x:v>https://mywildalberta.ca/fishing/fish-stocking/fsm-images/Boulder%20Lake/Boulder%20Lake%20west%20shoreline.jpg</x:v>
      </x:c>
    </x:row>
    <x:row r="85" ht="48" customHeight="1">
      <x:c r="A85" s="8" t="str">
        <x:v>Bow City East Ponds</x:v>
      </x:c>
      <x:c r="B85" s="8" t="str">
        <x:v>6882</x:v>
      </x:c>
      <x:c r="C85" s="11" t="str">
        <x:v>Bow City East (1)</x:v>
      </x:c>
      <x:c r="D85" s="15" t="str">
        <x:f>IFERROR(HYPERLINK("https://mywildalberta.ca/fishing/fish-stocking/fsm-images/Bow%20City%20East%20Ponds/Bow%20City%20East%20(1).jpg","https://mywildalberta.ca/fishing/fish-stocking/fsm-images/Bow%20City%20East%20Ponds/Bow%20City%20East%20(1).jpg"),"https://mywildalberta.ca/fishing/fish-stocking/fsm-images/Bow%20City%20East%20Ponds/Bow%20City%20East%20(1).jpg")</x:f>
        <x:v>https://mywildalberta.ca/fishing/fish-stocking/fsm-images/Bow%20City%20East%20Ponds/Bow%20City%20East%20(1).jpg</x:v>
      </x:c>
    </x:row>
    <x:row r="86" ht="48" customHeight="1">
      <x:c r="A86" s="8" t="str">
        <x:v>Bow City East Ponds</x:v>
      </x:c>
      <x:c r="B86" s="8" t="str">
        <x:v>6882</x:v>
      </x:c>
      <x:c r="C86" s="11" t="str">
        <x:v>Bow City East Pond Looking down the colulee</x:v>
      </x:c>
      <x:c r="D86" s="15" t="str">
        <x:f>IFERROR(HYPERLINK("https://mywildalberta.ca/fishing/fish-stocking/fsm-images/Bow%20City%20East%20Ponds/Bow%20City%20East%20Pond%20Looking%20down%20the%20colulee.jpg","https://mywildalberta.ca/fishing/fish-stocking/fsm-images/Bow%20City%20East%20Ponds/Bow%20City%20East%20Pond%20Looking%20down%20the%20colulee.jpg"),"https://mywildalberta.ca/fishing/fish-stocking/fsm-images/Bow%20City%20East%20Ponds/Bow%20City%20East%20Pond%20Looking%20down%20the%20colulee.jpg")</x:f>
        <x:v>https://mywildalberta.ca/fishing/fish-stocking/fsm-images/Bow%20City%20East%20Ponds/Bow%20City%20East%20Pond%20Looking%20down%20the%20colulee.jpg</x:v>
      </x:c>
    </x:row>
    <x:row r="87" ht="48" customHeight="1">
      <x:c r="A87" s="8" t="str">
        <x:v>Bow City East Ponds</x:v>
      </x:c>
      <x:c r="B87" s="8" t="str">
        <x:v>6882</x:v>
      </x:c>
      <x:c r="C87" s="11" t="str">
        <x:v>Bow City East Pond</x:v>
      </x:c>
      <x:c r="D87" s="15" t="str">
        <x:f>IFERROR(HYPERLINK("https://mywildalberta.ca/fishing/fish-stocking/fsm-images/Bow%20City%20East%20Ponds/Bow%20City%20East%20Pond.jpg","https://mywildalberta.ca/fishing/fish-stocking/fsm-images/Bow%20City%20East%20Ponds/Bow%20City%20East%20Pond.jpg"),"https://mywildalberta.ca/fishing/fish-stocking/fsm-images/Bow%20City%20East%20Ponds/Bow%20City%20East%20Pond.jpg")</x:f>
        <x:v>https://mywildalberta.ca/fishing/fish-stocking/fsm-images/Bow%20City%20East%20Ponds/Bow%20City%20East%20Pond.jpg</x:v>
      </x:c>
    </x:row>
    <x:row r="88" ht="48" customHeight="1">
      <x:c r="A88" s="8" t="str">
        <x:v>Boyle Pond</x:v>
      </x:c>
      <x:c r="B88" s="8" t="str">
        <x:v>6884</x:v>
      </x:c>
      <x:c r="C88" s="11" t="str">
        <x:v>Boyle Pond Side View</x:v>
      </x:c>
      <x:c r="D88" s="15" t="str">
        <x:f>IFERROR(HYPERLINK("https://mywildalberta.ca/fishing/fish-stocking/fsm-images/Boyle%20Pond/Boyle%20Pond%20Side%20View.jpg","https://mywildalberta.ca/fishing/fish-stocking/fsm-images/Boyle%20Pond/Boyle%20Pond%20Side%20View.jpg"),"https://mywildalberta.ca/fishing/fish-stocking/fsm-images/Boyle%20Pond/Boyle%20Pond%20Side%20View.jpg")</x:f>
        <x:v>https://mywildalberta.ca/fishing/fish-stocking/fsm-images/Boyle%20Pond/Boyle%20Pond%20Side%20View.jpg</x:v>
      </x:c>
    </x:row>
    <x:row r="89" ht="48" customHeight="1">
      <x:c r="A89" s="8" t="str">
        <x:v>Boyle Pond</x:v>
      </x:c>
      <x:c r="B89" s="8" t="str">
        <x:v>6884</x:v>
      </x:c>
      <x:c r="C89" s="11" t="str">
        <x:v>Day USe</x:v>
      </x:c>
      <x:c r="D89" s="15" t="str">
        <x:f>IFERROR(HYPERLINK("https://mywildalberta.ca/fishing/fish-stocking/fsm-images/Boyle%20Pond/Day%20USe.jpg","https://mywildalberta.ca/fishing/fish-stocking/fsm-images/Boyle%20Pond/Day%20USe.jpg"),"https://mywildalberta.ca/fishing/fish-stocking/fsm-images/Boyle%20Pond/Day%20USe.jpg")</x:f>
        <x:v>https://mywildalberta.ca/fishing/fish-stocking/fsm-images/Boyle%20Pond/Day%20USe.jpg</x:v>
      </x:c>
    </x:row>
    <x:row r="90" ht="48" customHeight="1">
      <x:c r="A90" s="8" t="str">
        <x:v>Boyle Pond</x:v>
      </x:c>
      <x:c r="B90" s="8" t="str">
        <x:v>6884</x:v>
      </x:c>
      <x:c r="C90" s="11" t="str">
        <x:v>Fire Pits</x:v>
      </x:c>
      <x:c r="D90" s="15" t="str">
        <x:f>IFERROR(HYPERLINK("https://mywildalberta.ca/fishing/fish-stocking/fsm-images/Boyle%20Pond/Fire%20Pits.jpg","https://mywildalberta.ca/fishing/fish-stocking/fsm-images/Boyle%20Pond/Fire%20Pits.jpg"),"https://mywildalberta.ca/fishing/fish-stocking/fsm-images/Boyle%20Pond/Fire%20Pits.jpg")</x:f>
        <x:v>https://mywildalberta.ca/fishing/fish-stocking/fsm-images/Boyle%20Pond/Fire%20Pits.jpg</x:v>
      </x:c>
    </x:row>
    <x:row r="91" ht="48" customHeight="1">
      <x:c r="A91" s="8" t="str">
        <x:v>Boyle Pond</x:v>
      </x:c>
      <x:c r="B91" s="8" t="str">
        <x:v>6884</x:v>
      </x:c>
      <x:c r="C91" s="11" t="str">
        <x:v>Open Water View</x:v>
      </x:c>
      <x:c r="D91" s="15" t="str">
        <x:f>IFERROR(HYPERLINK("https://mywildalberta.ca/fishing/fish-stocking/fsm-images/Boyle%20Pond/Open%20Water%20View.jpg","https://mywildalberta.ca/fishing/fish-stocking/fsm-images/Boyle%20Pond/Open%20Water%20View.jpg"),"https://mywildalberta.ca/fishing/fish-stocking/fsm-images/Boyle%20Pond/Open%20Water%20View.jpg")</x:f>
        <x:v>https://mywildalberta.ca/fishing/fish-stocking/fsm-images/Boyle%20Pond/Open%20Water%20View.jpg</x:v>
      </x:c>
    </x:row>
    <x:row r="92" ht="48" customHeight="1">
      <x:c r="A92" s="8" t="str">
        <x:v>Boyle Pond</x:v>
      </x:c>
      <x:c r="B92" s="8" t="str">
        <x:v>6884</x:v>
      </x:c>
      <x:c r="C92" s="11" t="str">
        <x:v>Shelter upclose</x:v>
      </x:c>
      <x:c r="D92" s="15" t="str">
        <x:f>IFERROR(HYPERLINK("https://mywildalberta.ca/fishing/fish-stocking/fsm-images/Boyle%20Pond/Shelter%20upclose.jpg","https://mywildalberta.ca/fishing/fish-stocking/fsm-images/Boyle%20Pond/Shelter%20upclose.jpg"),"https://mywildalberta.ca/fishing/fish-stocking/fsm-images/Boyle%20Pond/Shelter%20upclose.jpg")</x:f>
        <x:v>https://mywildalberta.ca/fishing/fish-stocking/fsm-images/Boyle%20Pond/Shelter%20upclose.jpg</x:v>
      </x:c>
    </x:row>
    <x:row r="93" ht="48" customHeight="1">
      <x:c r="A93" s="8" t="str">
        <x:v>Boyle Pond</x:v>
      </x:c>
      <x:c r="B93" s="8" t="str">
        <x:v>6884</x:v>
      </x:c>
      <x:c r="C93" s="11" t="str">
        <x:v>View from Platform</x:v>
      </x:c>
      <x:c r="D93" s="15" t="str">
        <x:f>IFERROR(HYPERLINK("https://mywildalberta.ca/fishing/fish-stocking/fsm-images/Boyle%20Pond/View%20from%20Platform.jpg","https://mywildalberta.ca/fishing/fish-stocking/fsm-images/Boyle%20Pond/View%20from%20Platform.jpg"),"https://mywildalberta.ca/fishing/fish-stocking/fsm-images/Boyle%20Pond/View%20from%20Platform.jpg")</x:f>
        <x:v>https://mywildalberta.ca/fishing/fish-stocking/fsm-images/Boyle%20Pond/View%20from%20Platform.jpg</x:v>
      </x:c>
    </x:row>
    <x:row r="94" ht="48" customHeight="1">
      <x:c r="A94" s="8" t="str">
        <x:v>Boyle Pond</x:v>
      </x:c>
      <x:c r="B94" s="8" t="str">
        <x:v>6884</x:v>
      </x:c>
      <x:c r="C94" s="11" t="str">
        <x:v>Viewing Platform</x:v>
      </x:c>
      <x:c r="D94" s="15" t="str">
        <x:f>IFERROR(HYPERLINK("https://mywildalberta.ca/fishing/fish-stocking/fsm-images/Boyle%20Pond/Viewing%20Platform.jpg","https://mywildalberta.ca/fishing/fish-stocking/fsm-images/Boyle%20Pond/Viewing%20Platform.jpg"),"https://mywildalberta.ca/fishing/fish-stocking/fsm-images/Boyle%20Pond/Viewing%20Platform.jpg")</x:f>
        <x:v>https://mywildalberta.ca/fishing/fish-stocking/fsm-images/Boyle%20Pond/Viewing%20Platform.jpg</x:v>
      </x:c>
    </x:row>
    <x:row r="95" ht="48" customHeight="1">
      <x:c r="A95" s="8" t="str">
        <x:v>Brooks Aqueduct Pond</x:v>
      </x:c>
      <x:c r="B95" s="8" t="str">
        <x:v>6873</x:v>
      </x:c>
      <x:c r="C95" s="11" t="str">
        <x:v>Brooks Aqueduct looking north from boat launch</x:v>
      </x:c>
      <x:c r="D95" s="15" t="str">
        <x:f>IFERROR(HYPERLINK("https://mywildalberta.ca/fishing/fish-stocking/fsm-images/Brooks%20Aqueduct%20Pond/Brooks%20Aqueduct%20looking%20north%20from%20boat%20launch.jpg","https://mywildalberta.ca/fishing/fish-stocking/fsm-images/Brooks%20Aqueduct%20Pond/Brooks%20Aqueduct%20looking%20north%20from%20boat%20launch.jpg"),"https://mywildalberta.ca/fishing/fish-stocking/fsm-images/Brooks%20Aqueduct%20Pond/Brooks%20Aqueduct%20looking%20north%20from%20boat%20launch.jpg")</x:f>
        <x:v>https://mywildalberta.ca/fishing/fish-stocking/fsm-images/Brooks%20Aqueduct%20Pond/Brooks%20Aqueduct%20looking%20north%20from%20boat%20launch.jpg</x:v>
      </x:c>
    </x:row>
    <x:row r="96" ht="48" customHeight="1">
      <x:c r="A96" s="8" t="str">
        <x:v>Burmis Lake</x:v>
      </x:c>
      <x:c r="B96" s="8" t="str">
        <x:v>6879</x:v>
      </x:c>
      <x:c r="C96" s="11" t="str">
        <x:v>Burmis Pond over looking the water on a cloudy day</x:v>
      </x:c>
      <x:c r="D96" s="15" t="str">
        <x:f>IFERROR(HYPERLINK("https://mywildalberta.ca/fishing/fish-stocking/fsm-images/Burmis%20Lake/Burmis%20Pond%20over%20looking%20the%20water%20on%20a%20cloudy%20day.JPG","https://mywildalberta.ca/fishing/fish-stocking/fsm-images/Burmis%20Lake/Burmis%20Pond%20over%20looking%20the%20water%20on%20a%20cloudy%20day.JPG"),"https://mywildalberta.ca/fishing/fish-stocking/fsm-images/Burmis%20Lake/Burmis%20Pond%20over%20looking%20the%20water%20on%20a%20cloudy%20day.JPG")</x:f>
        <x:v>https://mywildalberta.ca/fishing/fish-stocking/fsm-images/Burmis%20Lake/Burmis%20Pond%20over%20looking%20the%20water%20on%20a%20cloudy%20day.JPG</x:v>
      </x:c>
    </x:row>
    <x:row r="97" ht="48" customHeight="1">
      <x:c r="A97" s="8" t="str">
        <x:v>Burn's Reservoir</x:v>
      </x:c>
      <x:c r="B97" s="8" t="str">
        <x:v>6880</x:v>
      </x:c>
      <x:c r="C97" s="11" t="str">
        <x:v>Burns Reservoir benches and day use shack</x:v>
      </x:c>
      <x:c r="D97" s="15" t="str">
        <x:f>IFERROR(HYPERLINK("https://mywildalberta.ca/fishing/fish-stocking/fsm-images/Burn's%20Reservoir/Burns%20Reservoir%20benches%20and%20day%20use%20shack.JPG","https://mywildalberta.ca/fishing/fish-stocking/fsm-images/Burn's%20Reservoir/Burns%20Reservoir%20benches%20and%20day%20use%20shack.JPG"),"https://mywildalberta.ca/fishing/fish-stocking/fsm-images/Burn's%20Reservoir/Burns%20Reservoir%20benches%20and%20day%20use%20shack.JPG")</x:f>
        <x:v>https://mywildalberta.ca/fishing/fish-stocking/fsm-images/Burn's%20Reservoir/Burns%20Reservoir%20benches%20and%20day%20use%20shack.JPG</x:v>
      </x:c>
    </x:row>
    <x:row r="98" ht="48" customHeight="1">
      <x:c r="A98" s="8" t="str">
        <x:v>Burn's Reservoir</x:v>
      </x:c>
      <x:c r="B98" s="8" t="str">
        <x:v>6880</x:v>
      </x:c>
      <x:c r="C98" s="11" t="str">
        <x:v>Burns Reservoir dock on the water</x:v>
      </x:c>
      <x:c r="D98" s="15" t="str">
        <x:f>IFERROR(HYPERLINK("https://mywildalberta.ca/fishing/fish-stocking/fsm-images/Burn's%20Reservoir/Burns%20Reservoir%20dock%20on%20the%20water.JPG","https://mywildalberta.ca/fishing/fish-stocking/fsm-images/Burn's%20Reservoir/Burns%20Reservoir%20dock%20on%20the%20water.JPG"),"https://mywildalberta.ca/fishing/fish-stocking/fsm-images/Burn's%20Reservoir/Burns%20Reservoir%20dock%20on%20the%20water.JPG")</x:f>
        <x:v>https://mywildalberta.ca/fishing/fish-stocking/fsm-images/Burn's%20Reservoir/Burns%20Reservoir%20dock%20on%20the%20water.JPG</x:v>
      </x:c>
    </x:row>
    <x:row r="99" ht="48" customHeight="1">
      <x:c r="A99" s="8" t="str">
        <x:v>Burn's Reservoir</x:v>
      </x:c>
      <x:c r="B99" s="8" t="str">
        <x:v>6880</x:v>
      </x:c>
      <x:c r="C99" s="11" t="str">
        <x:v>Burns Reservoir fishing sign</x:v>
      </x:c>
      <x:c r="D99" s="15" t="str">
        <x:f>IFERROR(HYPERLINK("https://mywildalberta.ca/fishing/fish-stocking/fsm-images/Burn's%20Reservoir/Burns%20Reservoir%20fishing%20sign.JPG","https://mywildalberta.ca/fishing/fish-stocking/fsm-images/Burn's%20Reservoir/Burns%20Reservoir%20fishing%20sign.JPG"),"https://mywildalberta.ca/fishing/fish-stocking/fsm-images/Burn's%20Reservoir/Burns%20Reservoir%20fishing%20sign.JPG")</x:f>
        <x:v>https://mywildalberta.ca/fishing/fish-stocking/fsm-images/Burn's%20Reservoir/Burns%20Reservoir%20fishing%20sign.JPG</x:v>
      </x:c>
    </x:row>
    <x:row r="100" ht="48" customHeight="1">
      <x:c r="A100" s="8" t="str">
        <x:v>Burn's Reservoir</x:v>
      </x:c>
      <x:c r="B100" s="8" t="str">
        <x:v>6880</x:v>
      </x:c>
      <x:c r="C100" s="11" t="str">
        <x:v>Burns Reservoir rememberance plaque</x:v>
      </x:c>
      <x:c r="D100" s="15" t="str">
        <x:f>IFERROR(HYPERLINK("https://mywildalberta.ca/fishing/fish-stocking/fsm-images/Burn's%20Reservoir/Burns%20Reservoir%20rememberance%20plaque.JPG","https://mywildalberta.ca/fishing/fish-stocking/fsm-images/Burn's%20Reservoir/Burns%20Reservoir%20rememberance%20plaque.JPG"),"https://mywildalberta.ca/fishing/fish-stocking/fsm-images/Burn's%20Reservoir/Burns%20Reservoir%20rememberance%20plaque.JPG")</x:f>
        <x:v>https://mywildalberta.ca/fishing/fish-stocking/fsm-images/Burn's%20Reservoir/Burns%20Reservoir%20rememberance%20plaque.JPG</x:v>
      </x:c>
    </x:row>
    <x:row r="101" ht="48" customHeight="1">
      <x:c r="A101" s="8" t="str">
        <x:v>Burn's Reservoir</x:v>
      </x:c>
      <x:c r="B101" s="8" t="str">
        <x:v>6880</x:v>
      </x:c>
      <x:c r="C101" s="11" t="str">
        <x:v>Burns Reservoir view from a bench</x:v>
      </x:c>
      <x:c r="D101" s="15" t="str">
        <x:f>IFERROR(HYPERLINK("https://mywildalberta.ca/fishing/fish-stocking/fsm-images/Burn's%20Reservoir/Burns%20Reservoir%20view%20from%20a%20bench.JPG","https://mywildalberta.ca/fishing/fish-stocking/fsm-images/Burn's%20Reservoir/Burns%20Reservoir%20view%20from%20a%20bench.JPG"),"https://mywildalberta.ca/fishing/fish-stocking/fsm-images/Burn's%20Reservoir/Burns%20Reservoir%20view%20from%20a%20bench.JPG")</x:f>
        <x:v>https://mywildalberta.ca/fishing/fish-stocking/fsm-images/Burn's%20Reservoir/Burns%20Reservoir%20view%20from%20a%20bench.JPG</x:v>
      </x:c>
    </x:row>
    <x:row r="102" ht="48" customHeight="1">
      <x:c r="A102" s="8" t="str">
        <x:v>Burn's Reservoir</x:v>
      </x:c>
      <x:c r="B102" s="8" t="str">
        <x:v>6880</x:v>
      </x:c>
      <x:c r="C102" s="11" t="str">
        <x:v>Burns Reservoir view from fence</x:v>
      </x:c>
      <x:c r="D102" s="15" t="str">
        <x:f>IFERROR(HYPERLINK("https://mywildalberta.ca/fishing/fish-stocking/fsm-images/Burn's%20Reservoir/Burns%20Reservoir%20view%20from%20fence.JPG","https://mywildalberta.ca/fishing/fish-stocking/fsm-images/Burn's%20Reservoir/Burns%20Reservoir%20view%20from%20fence.JPG"),"https://mywildalberta.ca/fishing/fish-stocking/fsm-images/Burn's%20Reservoir/Burns%20Reservoir%20view%20from%20fence.JPG")</x:f>
        <x:v>https://mywildalberta.ca/fishing/fish-stocking/fsm-images/Burn's%20Reservoir/Burns%20Reservoir%20view%20from%20fence.JPG</x:v>
      </x:c>
    </x:row>
    <x:row r="103" ht="48" customHeight="1">
      <x:c r="A103" s="8" t="str">
        <x:v>Burns Lake</x:v>
      </x:c>
      <x:c r="B103" s="8" t="str">
        <x:v>4159</x:v>
      </x:c>
      <x:c r="C103" s="11" t="str">
        <x:v>Burns Lake (1)</x:v>
      </x:c>
      <x:c r="D103" s="15" t="str">
        <x:f>IFERROR(HYPERLINK("https://mywildalberta.ca/fishing/fish-stocking/fsm-images/Burns%20Lake/Burns%20Lake%20(1).jpg","https://mywildalberta.ca/fishing/fish-stocking/fsm-images/Burns%20Lake/Burns%20Lake%20(1).jpg"),"https://mywildalberta.ca/fishing/fish-stocking/fsm-images/Burns%20Lake/Burns%20Lake%20(1).jpg")</x:f>
        <x:v>https://mywildalberta.ca/fishing/fish-stocking/fsm-images/Burns%20Lake/Burns%20Lake%20(1).jpg</x:v>
      </x:c>
    </x:row>
    <x:row r="104" ht="48" customHeight="1">
      <x:c r="A104" s="8" t="str">
        <x:v>Burns Lake</x:v>
      </x:c>
      <x:c r="B104" s="8" t="str">
        <x:v>4159</x:v>
      </x:c>
      <x:c r="C104" s="11" t="str">
        <x:v>Burns Lake (2)</x:v>
      </x:c>
      <x:c r="D104" s="15" t="str">
        <x:f>IFERROR(HYPERLINK("https://mywildalberta.ca/fishing/fish-stocking/fsm-images/Burns%20Lake/Burns%20Lake%20(2).jpg","https://mywildalberta.ca/fishing/fish-stocking/fsm-images/Burns%20Lake/Burns%20Lake%20(2).jpg"),"https://mywildalberta.ca/fishing/fish-stocking/fsm-images/Burns%20Lake/Burns%20Lake%20(2).jpg")</x:f>
        <x:v>https://mywildalberta.ca/fishing/fish-stocking/fsm-images/Burns%20Lake/Burns%20Lake%20(2).jpg</x:v>
      </x:c>
    </x:row>
    <x:row r="105" ht="48" customHeight="1">
      <x:c r="A105" s="8" t="str">
        <x:v>Butcher's Lake</x:v>
      </x:c>
      <x:c r="B105" s="8" t="str">
        <x:v>4171</x:v>
      </x:c>
      <x:c r="C105" s="11" t="str">
        <x:v>Butcher Lake fishermen on boats</x:v>
      </x:c>
      <x:c r="D105" s="15" t="str">
        <x:f>IFERROR(HYPERLINK("https://mywildalberta.ca/fishing/fish-stocking/fsm-images/Butcher's%20Lake/Butcher%20Lake%20fishermen%20on%20boats.jpg","https://mywildalberta.ca/fishing/fish-stocking/fsm-images/Butcher's%20Lake/Butcher%20Lake%20fishermen%20on%20boats.jpg"),"https://mywildalberta.ca/fishing/fish-stocking/fsm-images/Butcher's%20Lake/Butcher%20Lake%20fishermen%20on%20boats.jpg")</x:f>
        <x:v>https://mywildalberta.ca/fishing/fish-stocking/fsm-images/Butcher's%20Lake/Butcher%20Lake%20fishermen%20on%20boats.jpg</x:v>
      </x:c>
    </x:row>
    <x:row r="106" ht="48" customHeight="1">
      <x:c r="A106" s="8" t="str">
        <x:v>Butcher's Lake</x:v>
      </x:c>
      <x:c r="B106" s="8" t="str">
        <x:v>4171</x:v>
      </x:c>
      <x:c r="C106" s="11" t="str">
        <x:v>Butcher Lake information sign</x:v>
      </x:c>
      <x:c r="D106" s="15" t="str">
        <x:f>IFERROR(HYPERLINK("https://mywildalberta.ca/fishing/fish-stocking/fsm-images/Butcher's%20Lake/Butcher%20Lake%20information%20sign.JPG","https://mywildalberta.ca/fishing/fish-stocking/fsm-images/Butcher's%20Lake/Butcher%20Lake%20information%20sign.JPG"),"https://mywildalberta.ca/fishing/fish-stocking/fsm-images/Butcher's%20Lake/Butcher%20Lake%20information%20sign.JPG")</x:f>
        <x:v>https://mywildalberta.ca/fishing/fish-stocking/fsm-images/Butcher's%20Lake/Butcher%20Lake%20information%20sign.JPG</x:v>
      </x:c>
    </x:row>
    <x:row r="107" ht="48" customHeight="1">
      <x:c r="A107" s="8" t="str">
        <x:v>Butcher's Lake</x:v>
      </x:c>
      <x:c r="B107" s="8" t="str">
        <x:v>4171</x:v>
      </x:c>
      <x:c r="C107" s="11" t="str">
        <x:v>Butcher lake looking south ober lake</x:v>
      </x:c>
      <x:c r="D107" s="15" t="str">
        <x:f>IFERROR(HYPERLINK("https://mywildalberta.ca/fishing/fish-stocking/fsm-images/Butcher's%20Lake/Butcher%20lake%20looking%20south%20ober%20lake.jpg","https://mywildalberta.ca/fishing/fish-stocking/fsm-images/Butcher's%20Lake/Butcher%20lake%20looking%20south%20ober%20lake.jpg"),"https://mywildalberta.ca/fishing/fish-stocking/fsm-images/Butcher's%20Lake/Butcher%20lake%20looking%20south%20ober%20lake.jpg")</x:f>
        <x:v>https://mywildalberta.ca/fishing/fish-stocking/fsm-images/Butcher's%20Lake/Butcher%20lake%20looking%20south%20ober%20lake.jpg</x:v>
      </x:c>
    </x:row>
    <x:row r="108" ht="48" customHeight="1">
      <x:c r="A108" s="8" t="str">
        <x:v>Butcher's Lake</x:v>
      </x:c>
      <x:c r="B108" s="8" t="str">
        <x:v>4171</x:v>
      </x:c>
      <x:c r="C108" s="11" t="str">
        <x:v>Butcher Lake senice view with stocking truck</x:v>
      </x:c>
      <x:c r="D108" s="15" t="str">
        <x:f>IFERROR(HYPERLINK("https://mywildalberta.ca/fishing/fish-stocking/fsm-images/Butcher's%20Lake/Butcher%20Lake%20senice%20view%20with%20stocking%20truck.JPG","https://mywildalberta.ca/fishing/fish-stocking/fsm-images/Butcher's%20Lake/Butcher%20Lake%20senice%20view%20with%20stocking%20truck.JPG"),"https://mywildalberta.ca/fishing/fish-stocking/fsm-images/Butcher's%20Lake/Butcher%20Lake%20senice%20view%20with%20stocking%20truck.JPG")</x:f>
        <x:v>https://mywildalberta.ca/fishing/fish-stocking/fsm-images/Butcher's%20Lake/Butcher%20Lake%20senice%20view%20with%20stocking%20truck.JPG</x:v>
      </x:c>
    </x:row>
    <x:row r="109" ht="48" customHeight="1">
      <x:c r="A109" s="8" t="str">
        <x:v>Butcher's Lake</x:v>
      </x:c>
      <x:c r="B109" s="8" t="str">
        <x:v>4171</x:v>
      </x:c>
      <x:c r="C109" s="11" t="str">
        <x:v>Butcher lake with mountian backdrop</x:v>
      </x:c>
      <x:c r="D109" s="15" t="str">
        <x:f>IFERROR(HYPERLINK("https://mywildalberta.ca/fishing/fish-stocking/fsm-images/Butcher's%20Lake/Butcher%20lake%20with%20mountian%20backdrop.jpg","https://mywildalberta.ca/fishing/fish-stocking/fsm-images/Butcher's%20Lake/Butcher%20lake%20with%20mountian%20backdrop.jpg"),"https://mywildalberta.ca/fishing/fish-stocking/fsm-images/Butcher's%20Lake/Butcher%20lake%20with%20mountian%20backdrop.jpg")</x:f>
        <x:v>https://mywildalberta.ca/fishing/fish-stocking/fsm-images/Butcher's%20Lake/Butcher%20lake%20with%20mountian%20backdrop.jpg</x:v>
      </x:c>
    </x:row>
    <x:row r="110" ht="48" customHeight="1">
      <x:c r="A110" s="8" t="str">
        <x:v>Capt Ayre</x:v>
      </x:c>
      <x:c r="B110" s="8" t="str">
        <x:v>4208</x:v>
      </x:c>
      <x:c r="C110" s="11" t="str">
        <x:v>Captain Eyre overview</x:v>
      </x:c>
      <x:c r="D110" s="15" t="str">
        <x:f>IFERROR(HYPERLINK("https://mywildalberta.ca/fishing/fish-stocking/fsm-images/Capt%20Ayre/Captain%20Eyre%20overview.jpg","https://mywildalberta.ca/fishing/fish-stocking/fsm-images/Capt%20Ayre/Captain%20Eyre%20overview.jpg"),"https://mywildalberta.ca/fishing/fish-stocking/fsm-images/Capt%20Ayre/Captain%20Eyre%20overview.jpg")</x:f>
        <x:v>https://mywildalberta.ca/fishing/fish-stocking/fsm-images/Capt%20Ayre/Captain%20Eyre%20overview.jpg</x:v>
      </x:c>
    </x:row>
    <x:row r="111" ht="48" customHeight="1">
      <x:c r="A111" s="8" t="str">
        <x:v>Cardiff Park Pond</x:v>
      </x:c>
      <x:c r="B111" s="8" t="str">
        <x:v>6868</x:v>
      </x:c>
      <x:c r="C111" s="11" t="str">
        <x:v>Cardiff Park Pond</x:v>
      </x:c>
      <x:c r="D111" s="15" t="str">
        <x:f>IFERROR(HYPERLINK("https://mywildalberta.ca/fishing/fish-stocking/fsm-images/Cardiff%20Park%20Pond/Cardiff%20Park%20Pond.jpg","https://mywildalberta.ca/fishing/fish-stocking/fsm-images/Cardiff%20Park%20Pond/Cardiff%20Park%20Pond.jpg"),"https://mywildalberta.ca/fishing/fish-stocking/fsm-images/Cardiff%20Park%20Pond/Cardiff%20Park%20Pond.jpg")</x:f>
        <x:v>https://mywildalberta.ca/fishing/fish-stocking/fsm-images/Cardiff%20Park%20Pond/Cardiff%20Park%20Pond.jpg</x:v>
      </x:c>
    </x:row>
    <x:row r="112" ht="48" customHeight="1">
      <x:c r="A112" s="8" t="str">
        <x:v>Cardiff Park Pond</x:v>
      </x:c>
      <x:c r="B112" s="8" t="str">
        <x:v>6868</x:v>
      </x:c>
      <x:c r="C112" s="11" t="str">
        <x:v>Pond Access</x:v>
      </x:c>
      <x:c r="D112" s="15" t="str">
        <x:f>IFERROR(HYPERLINK("https://mywildalberta.ca/fishing/fish-stocking/fsm-images/Cardiff%20Park%20Pond/Pond%20Access.jpg","https://mywildalberta.ca/fishing/fish-stocking/fsm-images/Cardiff%20Park%20Pond/Pond%20Access.jpg"),"https://mywildalberta.ca/fishing/fish-stocking/fsm-images/Cardiff%20Park%20Pond/Pond%20Access.jpg")</x:f>
        <x:v>https://mywildalberta.ca/fishing/fish-stocking/fsm-images/Cardiff%20Park%20Pond/Pond%20Access.jpg</x:v>
      </x:c>
    </x:row>
    <x:row r="113" ht="48" customHeight="1">
      <x:c r="A113" s="8" t="str">
        <x:v>Cardiff Park Pond</x:v>
      </x:c>
      <x:c r="B113" s="8" t="str">
        <x:v>6868</x:v>
      </x:c>
      <x:c r="C113" s="11" t="str">
        <x:v>Pond Entire View</x:v>
      </x:c>
      <x:c r="D113" s="15" t="str">
        <x:f>IFERROR(HYPERLINK("https://mywildalberta.ca/fishing/fish-stocking/fsm-images/Cardiff%20Park%20Pond/Pond%20Entire%20View.jpg","https://mywildalberta.ca/fishing/fish-stocking/fsm-images/Cardiff%20Park%20Pond/Pond%20Entire%20View.jpg"),"https://mywildalberta.ca/fishing/fish-stocking/fsm-images/Cardiff%20Park%20Pond/Pond%20Entire%20View.jpg")</x:f>
        <x:v>https://mywildalberta.ca/fishing/fish-stocking/fsm-images/Cardiff%20Park%20Pond/Pond%20Entire%20View.jpg</x:v>
      </x:c>
    </x:row>
    <x:row r="114" ht="48" customHeight="1">
      <x:c r="A114" s="8" t="str">
        <x:v>Cardiff Park Pond</x:v>
      </x:c>
      <x:c r="B114" s="8" t="str">
        <x:v>6868</x:v>
      </x:c>
      <x:c r="C114" s="11" t="str">
        <x:v>Pond View from Shore (2)</x:v>
      </x:c>
      <x:c r="D114" s="15" t="str">
        <x:f>IFERROR(HYPERLINK("https://mywildalberta.ca/fishing/fish-stocking/fsm-images/Cardiff%20Park%20Pond/Pond%20View%20from%20Shore%20(2).jpg","https://mywildalberta.ca/fishing/fish-stocking/fsm-images/Cardiff%20Park%20Pond/Pond%20View%20from%20Shore%20(2).jpg"),"https://mywildalberta.ca/fishing/fish-stocking/fsm-images/Cardiff%20Park%20Pond/Pond%20View%20from%20Shore%20(2).jpg")</x:f>
        <x:v>https://mywildalberta.ca/fishing/fish-stocking/fsm-images/Cardiff%20Park%20Pond/Pond%20View%20from%20Shore%20(2).jpg</x:v>
      </x:c>
    </x:row>
    <x:row r="115" ht="48" customHeight="1">
      <x:c r="A115" s="8" t="str">
        <x:v>Cardiff Park Pond</x:v>
      </x:c>
      <x:c r="B115" s="8" t="str">
        <x:v>6868</x:v>
      </x:c>
      <x:c r="C115" s="11" t="str">
        <x:v>Pond View From Shore</x:v>
      </x:c>
      <x:c r="D115" s="15" t="str">
        <x:f>IFERROR(HYPERLINK("https://mywildalberta.ca/fishing/fish-stocking/fsm-images/Cardiff%20Park%20Pond/Pond%20View%20From%20Shore.jpg","https://mywildalberta.ca/fishing/fish-stocking/fsm-images/Cardiff%20Park%20Pond/Pond%20View%20From%20Shore.jpg"),"https://mywildalberta.ca/fishing/fish-stocking/fsm-images/Cardiff%20Park%20Pond/Pond%20View%20From%20Shore.jpg")</x:f>
        <x:v>https://mywildalberta.ca/fishing/fish-stocking/fsm-images/Cardiff%20Park%20Pond/Pond%20View%20From%20Shore.jpg</x:v>
      </x:c>
    </x:row>
    <x:row r="116" ht="48" customHeight="1">
      <x:c r="A116" s="8" t="str">
        <x:v>Carson Lake</x:v>
      </x:c>
      <x:c r="B116" s="8" t="str">
        <x:v>5286</x:v>
      </x:c>
      <x:c r="C116" s="11" t="str">
        <x:v>Mcleod (Carson) doc and fishing peir</x:v>
      </x:c>
      <x:c r="D116" s="15" t="str">
        <x:f>IFERROR(HYPERLINK("https://mywildalberta.ca/fishing/fish-stocking/fsm-images/Carson%20Lake/Mcleod%20(Carson)%20doc%20and%20fishing%20peir.JPG","https://mywildalberta.ca/fishing/fish-stocking/fsm-images/Carson%20Lake/Mcleod%20(Carson)%20doc%20and%20fishing%20peir.JPG"),"https://mywildalberta.ca/fishing/fish-stocking/fsm-images/Carson%20Lake/Mcleod%20(Carson)%20doc%20and%20fishing%20peir.JPG")</x:f>
        <x:v>https://mywildalberta.ca/fishing/fish-stocking/fsm-images/Carson%20Lake/Mcleod%20(Carson)%20doc%20and%20fishing%20peir.JPG</x:v>
      </x:c>
    </x:row>
    <x:row r="117" ht="48" customHeight="1">
      <x:c r="A117" s="8" t="str">
        <x:v>Carson Lake</x:v>
      </x:c>
      <x:c r="B117" s="8" t="str">
        <x:v>5286</x:v>
      </x:c>
      <x:c r="C117" s="11" t="str">
        <x:v>Mcleod (Carson) Lake beach area</x:v>
      </x:c>
      <x:c r="D117" s="15" t="str">
        <x:f>IFERROR(HYPERLINK("https://mywildalberta.ca/fishing/fish-stocking/fsm-images/Carson%20Lake/Mcleod%20(Carson)%20Lake%20beach%20area.JPG","https://mywildalberta.ca/fishing/fish-stocking/fsm-images/Carson%20Lake/Mcleod%20(Carson)%20Lake%20beach%20area.JPG"),"https://mywildalberta.ca/fishing/fish-stocking/fsm-images/Carson%20Lake/Mcleod%20(Carson)%20Lake%20beach%20area.JPG")</x:f>
        <x:v>https://mywildalberta.ca/fishing/fish-stocking/fsm-images/Carson%20Lake/Mcleod%20(Carson)%20Lake%20beach%20area.JPG</x:v>
      </x:c>
    </x:row>
    <x:row r="118" ht="48" customHeight="1">
      <x:c r="A118" s="8" t="str">
        <x:v>Carson Lake</x:v>
      </x:c>
      <x:c r="B118" s="8" t="str">
        <x:v>5286</x:v>
      </x:c>
      <x:c r="C118" s="11" t="str">
        <x:v>Mcleod (Carson) Lake duck relaxing by the water</x:v>
      </x:c>
      <x:c r="D118" s="15" t="str">
        <x:f>IFERROR(HYPERLINK("https://mywildalberta.ca/fishing/fish-stocking/fsm-images/Carson%20Lake/Mcleod%20(Carson)%20Lake%20duck%20relaxing%20by%20the%20water.JPG","https://mywildalberta.ca/fishing/fish-stocking/fsm-images/Carson%20Lake/Mcleod%20(Carson)%20Lake%20duck%20relaxing%20by%20the%20water.JPG"),"https://mywildalberta.ca/fishing/fish-stocking/fsm-images/Carson%20Lake/Mcleod%20(Carson)%20Lake%20duck%20relaxing%20by%20the%20water.JPG")</x:f>
        <x:v>https://mywildalberta.ca/fishing/fish-stocking/fsm-images/Carson%20Lake/Mcleod%20(Carson)%20Lake%20duck%20relaxing%20by%20the%20water.JPG</x:v>
      </x:c>
    </x:row>
    <x:row r="119" ht="48" customHeight="1">
      <x:c r="A119" s="8" t="str">
        <x:v>Carson Lake</x:v>
      </x:c>
      <x:c r="B119" s="8" t="str">
        <x:v>5286</x:v>
      </x:c>
      <x:c r="C119" s="11" t="str">
        <x:v>Mcleod (Carson) lifejacket loaner station</x:v>
      </x:c>
      <x:c r="D119" s="15" t="str">
        <x:f>IFERROR(HYPERLINK("https://mywildalberta.ca/fishing/fish-stocking/fsm-images/Carson%20Lake/Mcleod%20(Carson)%20lifejacket%20loaner%20station.JPG","https://mywildalberta.ca/fishing/fish-stocking/fsm-images/Carson%20Lake/Mcleod%20(Carson)%20lifejacket%20loaner%20station.JPG"),"https://mywildalberta.ca/fishing/fish-stocking/fsm-images/Carson%20Lake/Mcleod%20(Carson)%20lifejacket%20loaner%20station.JPG")</x:f>
        <x:v>https://mywildalberta.ca/fishing/fish-stocking/fsm-images/Carson%20Lake/Mcleod%20(Carson)%20lifejacket%20loaner%20station.JPG</x:v>
      </x:c>
    </x:row>
    <x:row r="120" ht="48" customHeight="1">
      <x:c r="A120" s="8" t="str">
        <x:v>Castaway Trout Pond</x:v>
      </x:c>
      <x:c r="B120" s="8" t="str">
        <x:v>20258</x:v>
      </x:c>
      <x:c r="C120" s="11" t="str">
        <x:v>Cast Away Pond  shore view</x:v>
      </x:c>
      <x:c r="D120" s="15" t="str">
        <x:f>IFERROR(HYPERLINK("https://mywildalberta.ca/fishing/fish-stocking/fsm-images/Castaway%20Trout%20Pond/Cast%20Away%20Pond%20%20shore%20view.jpg","https://mywildalberta.ca/fishing/fish-stocking/fsm-images/Castaway%20Trout%20Pond/Cast%20Away%20Pond%20%20shore%20view.jpg"),"https://mywildalberta.ca/fishing/fish-stocking/fsm-images/Castaway%20Trout%20Pond/Cast%20Away%20Pond%20%20shore%20view.jpg")</x:f>
        <x:v>https://mywildalberta.ca/fishing/fish-stocking/fsm-images/Castaway%20Trout%20Pond/Cast%20Away%20Pond%20%20shore%20view.jpg</x:v>
      </x:c>
    </x:row>
    <x:row r="121" ht="48" customHeight="1">
      <x:c r="A121" s="8" t="str">
        <x:v>Castaway Trout Pond</x:v>
      </x:c>
      <x:c r="B121" s="8" t="str">
        <x:v>20258</x:v>
      </x:c>
      <x:c r="C121" s="11" t="str">
        <x:v>Castaway Pond picnic area and windmill aerator</x:v>
      </x:c>
      <x:c r="D121" s="15" t="str">
        <x:f>IFERROR(HYPERLINK("https://mywildalberta.ca/fishing/fish-stocking/fsm-images/Castaway%20Trout%20Pond/Castaway%20Pond%20picnic%20area%20and%20windmill%20aerator.jpg","https://mywildalberta.ca/fishing/fish-stocking/fsm-images/Castaway%20Trout%20Pond/Castaway%20Pond%20picnic%20area%20and%20windmill%20aerator.jpg"),"https://mywildalberta.ca/fishing/fish-stocking/fsm-images/Castaway%20Trout%20Pond/Castaway%20Pond%20picnic%20area%20and%20windmill%20aerator.jpg")</x:f>
        <x:v>https://mywildalberta.ca/fishing/fish-stocking/fsm-images/Castaway%20Trout%20Pond/Castaway%20Pond%20picnic%20area%20and%20windmill%20aerator.jpg</x:v>
      </x:c>
    </x:row>
    <x:row r="122" ht="48" customHeight="1">
      <x:c r="A122" s="8" t="str">
        <x:v>Cavan Lake</x:v>
      </x:c>
      <x:c r="B122" s="8" t="str">
        <x:v>4231</x:v>
      </x:c>
      <x:c r="C122" s="11" t="str">
        <x:v>Cavan Lake Low water level</x:v>
      </x:c>
      <x:c r="D122" s="15" t="str">
        <x:f>IFERROR(HYPERLINK("https://mywildalberta.ca/fishing/fish-stocking/fsm-images/Cavan%20Lake/Cavan%20Lake%20Low%20water%20level.jpg","https://mywildalberta.ca/fishing/fish-stocking/fsm-images/Cavan%20Lake/Cavan%20Lake%20Low%20water%20level.jpg"),"https://mywildalberta.ca/fishing/fish-stocking/fsm-images/Cavan%20Lake/Cavan%20Lake%20Low%20water%20level.jpg")</x:f>
        <x:v>https://mywildalberta.ca/fishing/fish-stocking/fsm-images/Cavan%20Lake/Cavan%20Lake%20Low%20water%20level.jpg</x:v>
      </x:c>
    </x:row>
    <x:row r="123" ht="48" customHeight="1">
      <x:c r="A123" s="8" t="str">
        <x:v>Cavan Lake</x:v>
      </x:c>
      <x:c r="B123" s="8" t="str">
        <x:v>4231</x:v>
      </x:c>
      <x:c r="C123" s="11" t="str">
        <x:v>Cavan Lake road down to lake</x:v>
      </x:c>
      <x:c r="D123" s="15" t="str">
        <x:f>IFERROR(HYPERLINK("https://mywildalberta.ca/fishing/fish-stocking/fsm-images/Cavan%20Lake/Cavan%20Lake%20road%20down%20to%20lake.jpg","https://mywildalberta.ca/fishing/fish-stocking/fsm-images/Cavan%20Lake/Cavan%20Lake%20road%20down%20to%20lake.jpg"),"https://mywildalberta.ca/fishing/fish-stocking/fsm-images/Cavan%20Lake/Cavan%20Lake%20road%20down%20to%20lake.jpg")</x:f>
        <x:v>https://mywildalberta.ca/fishing/fish-stocking/fsm-images/Cavan%20Lake/Cavan%20Lake%20road%20down%20to%20lake.jpg</x:v>
      </x:c>
    </x:row>
    <x:row r="124" ht="48" customHeight="1">
      <x:c r="A124" s="8" t="str">
        <x:v>Cavan Lake</x:v>
      </x:c>
      <x:c r="B124" s="8" t="str">
        <x:v>4231</x:v>
      </x:c>
      <x:c r="C124" s="11" t="str">
        <x:v>Cavan Lake view from road</x:v>
      </x:c>
      <x:c r="D124" s="15" t="str">
        <x:f>IFERROR(HYPERLINK("https://mywildalberta.ca/fishing/fish-stocking/fsm-images/Cavan%20Lake/Cavan%20Lake%20view%20from%20road.jpg","https://mywildalberta.ca/fishing/fish-stocking/fsm-images/Cavan%20Lake/Cavan%20Lake%20view%20from%20road.jpg"),"https://mywildalberta.ca/fishing/fish-stocking/fsm-images/Cavan%20Lake/Cavan%20Lake%20view%20from%20road.jpg")</x:f>
        <x:v>https://mywildalberta.ca/fishing/fish-stocking/fsm-images/Cavan%20Lake/Cavan%20Lake%20view%20from%20road.jpg</x:v>
      </x:c>
    </x:row>
    <x:row r="125" ht="48" customHeight="1">
      <x:c r="A125" s="8" t="str">
        <x:v>Cecil Thompson Pond</x:v>
      </x:c>
      <x:c r="B125" s="8" t="str">
        <x:v>6778</x:v>
      </x:c>
      <x:c r="C125" s="11" t="str">
        <x:v>Cecil Thompson 4</x:v>
      </x:c>
      <x:c r="D125" s="15" t="str">
        <x:f>IFERROR(HYPERLINK("https://mywildalberta.ca/fishing/fish-stocking/fsm-images/Cecil%20Thompson%20Pond/Cecil%20Thompson%204.jpg","https://mywildalberta.ca/fishing/fish-stocking/fsm-images/Cecil%20Thompson%20Pond/Cecil%20Thompson%204.jpg"),"https://mywildalberta.ca/fishing/fish-stocking/fsm-images/Cecil%20Thompson%20Pond/Cecil%20Thompson%204.jpg")</x:f>
        <x:v>https://mywildalberta.ca/fishing/fish-stocking/fsm-images/Cecil%20Thompson%20Pond/Cecil%20Thompson%204.jpg</x:v>
      </x:c>
    </x:row>
    <x:row r="126" ht="48" customHeight="1">
      <x:c r="A126" s="8" t="str">
        <x:v>Cecil Thompson Pond</x:v>
      </x:c>
      <x:c r="B126" s="8" t="str">
        <x:v>6778</x:v>
      </x:c>
      <x:c r="C126" s="11" t="str">
        <x:v>Cecil Thompson pond view</x:v>
      </x:c>
      <x:c r="D126" s="15" t="str">
        <x:f>IFERROR(HYPERLINK("https://mywildalberta.ca/fishing/fish-stocking/fsm-images/Cecil%20Thompson%20Pond/Cecil%20Thompson%20pond%20view.jpg","https://mywildalberta.ca/fishing/fish-stocking/fsm-images/Cecil%20Thompson%20Pond/Cecil%20Thompson%20pond%20view.jpg"),"https://mywildalberta.ca/fishing/fish-stocking/fsm-images/Cecil%20Thompson%20Pond/Cecil%20Thompson%20pond%20view.jpg")</x:f>
        <x:v>https://mywildalberta.ca/fishing/fish-stocking/fsm-images/Cecil%20Thompson%20Pond/Cecil%20Thompson%20pond%20view.jpg</x:v>
      </x:c>
    </x:row>
    <x:row r="127" ht="48" customHeight="1">
      <x:c r="A127" s="8" t="str">
        <x:v>Cecil Thompson Pond</x:v>
      </x:c>
      <x:c r="B127" s="8" t="str">
        <x:v>6778</x:v>
      </x:c>
      <x:c r="C127" s="11" t="str">
        <x:v>Cecil Thompson view of the parking lot and day area</x:v>
      </x:c>
      <x:c r="D127" s="15" t="str">
        <x:f>IFERROR(HYPERLINK("https://mywildalberta.ca/fishing/fish-stocking/fsm-images/Cecil%20Thompson%20Pond/Cecil%20Thompson%20view%20of%20the%20parking%20lot%20and%20day%20area.jpg","https://mywildalberta.ca/fishing/fish-stocking/fsm-images/Cecil%20Thompson%20Pond/Cecil%20Thompson%20view%20of%20the%20parking%20lot%20and%20day%20area.jpg"),"https://mywildalberta.ca/fishing/fish-stocking/fsm-images/Cecil%20Thompson%20Pond/Cecil%20Thompson%20view%20of%20the%20parking%20lot%20and%20day%20area.jpg")</x:f>
        <x:v>https://mywildalberta.ca/fishing/fish-stocking/fsm-images/Cecil%20Thompson%20Pond/Cecil%20Thompson%20view%20of%20the%20parking%20lot%20and%20day%20area.jpg</x:v>
      </x:c>
    </x:row>
    <x:row r="128" ht="48" customHeight="1">
      <x:c r="A128" s="8" t="str">
        <x:v>Chain Lakes Reservoir</x:v>
      </x:c>
      <x:c r="B128" s="8" t="str">
        <x:v>3499</x:v>
      </x:c>
      <x:c r="C128" s="11" t="str">
        <x:v>Chain Lakes Reservoir overview of parking area</x:v>
      </x:c>
      <x:c r="D128" s="15" t="str">
        <x:f>IFERROR(HYPERLINK("https://mywildalberta.ca/fishing/fish-stocking/fsm-images/Chain%20Lakes%20Reservoir/Chain%20Lakes%20Reservoir%20overview%20of%20parking%20area.jpg","https://mywildalberta.ca/fishing/fish-stocking/fsm-images/Chain%20Lakes%20Reservoir/Chain%20Lakes%20Reservoir%20overview%20of%20parking%20area.jpg"),"https://mywildalberta.ca/fishing/fish-stocking/fsm-images/Chain%20Lakes%20Reservoir/Chain%20Lakes%20Reservoir%20overview%20of%20parking%20area.jpg")</x:f>
        <x:v>https://mywildalberta.ca/fishing/fish-stocking/fsm-images/Chain%20Lakes%20Reservoir/Chain%20Lakes%20Reservoir%20overview%20of%20parking%20area.jpg</x:v>
      </x:c>
    </x:row>
    <x:row r="129" ht="48" customHeight="1">
      <x:c r="A129" s="8" t="str">
        <x:v>Chain Lakes Reservoir</x:v>
      </x:c>
      <x:c r="B129" s="8" t="str">
        <x:v>3499</x:v>
      </x:c>
      <x:c r="C129" s="11" t="str">
        <x:v>Chainlakesres summer shoreline</x:v>
      </x:c>
      <x:c r="D129" s="15" t="str">
        <x:f>IFERROR(HYPERLINK("https://mywildalberta.ca/fishing/fish-stocking/fsm-images/Chain%20Lakes%20Reservoir/Chainlakesres%20summer%20shoreline.jpg","https://mywildalberta.ca/fishing/fish-stocking/fsm-images/Chain%20Lakes%20Reservoir/Chainlakesres%20summer%20shoreline.jpg"),"https://mywildalberta.ca/fishing/fish-stocking/fsm-images/Chain%20Lakes%20Reservoir/Chainlakesres%20summer%20shoreline.jpg")</x:f>
        <x:v>https://mywildalberta.ca/fishing/fish-stocking/fsm-images/Chain%20Lakes%20Reservoir/Chainlakesres%20summer%20shoreline.jpg</x:v>
      </x:c>
    </x:row>
    <x:row r="130" ht="48" customHeight="1">
      <x:c r="A130" s="8" t="str">
        <x:v>Chain Lakes Reservoir</x:v>
      </x:c>
      <x:c r="B130" s="8" t="str">
        <x:v>3499</x:v>
      </x:c>
      <x:c r="C130" s="11" t="str">
        <x:v>IMG 0269</x:v>
      </x:c>
      <x:c r="D130" s="15" t="str">
        <x:f>IFERROR(HYPERLINK("https://mywildalberta.ca/fishing/fish-stocking/fsm-images/Chain%20Lakes%20Reservoir/IMG_0269.jpeg","https://mywildalberta.ca/fishing/fish-stocking/fsm-images/Chain%20Lakes%20Reservoir/IMG_0269.jpeg"),"https://mywildalberta.ca/fishing/fish-stocking/fsm-images/Chain%20Lakes%20Reservoir/IMG_0269.jpeg")</x:f>
        <x:v>https://mywildalberta.ca/fishing/fish-stocking/fsm-images/Chain%20Lakes%20Reservoir/IMG_0269.jpeg</x:v>
      </x:c>
    </x:row>
    <x:row r="131" ht="48" customHeight="1">
      <x:c r="A131" s="8" t="str">
        <x:v>Chain Lakes Reservoir</x:v>
      </x:c>
      <x:c r="B131" s="8" t="str">
        <x:v>3499</x:v>
      </x:c>
      <x:c r="C131" s="11" t="str">
        <x:v>IMG 0270</x:v>
      </x:c>
      <x:c r="D131" s="15" t="str">
        <x:f>IFERROR(HYPERLINK("https://mywildalberta.ca/fishing/fish-stocking/fsm-images/Chain%20Lakes%20Reservoir/IMG_0270.jpeg","https://mywildalberta.ca/fishing/fish-stocking/fsm-images/Chain%20Lakes%20Reservoir/IMG_0270.jpeg"),"https://mywildalberta.ca/fishing/fish-stocking/fsm-images/Chain%20Lakes%20Reservoir/IMG_0270.jpeg")</x:f>
        <x:v>https://mywildalberta.ca/fishing/fish-stocking/fsm-images/Chain%20Lakes%20Reservoir/IMG_0270.jpeg</x:v>
      </x:c>
    </x:row>
    <x:row r="132" ht="48" customHeight="1">
      <x:c r="A132" s="8" t="str">
        <x:v>Chatwin Lake</x:v>
      </x:c>
      <x:c r="B132" s="8" t="str">
        <x:v>4252</x:v>
      </x:c>
      <x:c r="C132" s="11" t="str">
        <x:v>Boat Launch and Lake</x:v>
      </x:c>
      <x:c r="D132" s="15" t="str">
        <x:f>IFERROR(HYPERLINK("https://mywildalberta.ca/fishing/fish-stocking/fsm-images/Chatwin%20Lake/Boat%20Launch%20and%20Lake.jpg","https://mywildalberta.ca/fishing/fish-stocking/fsm-images/Chatwin%20Lake/Boat%20Launch%20and%20Lake.jpg"),"https://mywildalberta.ca/fishing/fish-stocking/fsm-images/Chatwin%20Lake/Boat%20Launch%20and%20Lake.jpg")</x:f>
        <x:v>https://mywildalberta.ca/fishing/fish-stocking/fsm-images/Chatwin%20Lake/Boat%20Launch%20and%20Lake.jpg</x:v>
      </x:c>
    </x:row>
    <x:row r="133" ht="48" customHeight="1">
      <x:c r="A133" s="8" t="str">
        <x:v>Chatwin Lake</x:v>
      </x:c>
      <x:c r="B133" s="8" t="str">
        <x:v>4252</x:v>
      </x:c>
      <x:c r="C133" s="11" t="str">
        <x:v>Chatwin Dominique</x:v>
      </x:c>
      <x:c r="D133" s="15" t="str">
        <x:f>IFERROR(HYPERLINK("https://mywildalberta.ca/fishing/fish-stocking/fsm-images/Chatwin%20Lake/Chatwin%20Dominique.jpg","https://mywildalberta.ca/fishing/fish-stocking/fsm-images/Chatwin%20Lake/Chatwin%20Dominique.jpg"),"https://mywildalberta.ca/fishing/fish-stocking/fsm-images/Chatwin%20Lake/Chatwin%20Dominique.jpg")</x:f>
        <x:v>https://mywildalberta.ca/fishing/fish-stocking/fsm-images/Chatwin%20Lake/Chatwin%20Dominique.jpg</x:v>
      </x:c>
    </x:row>
    <x:row r="134" ht="48" customHeight="1">
      <x:c r="A134" s="8" t="str">
        <x:v>Chatwin Lake</x:v>
      </x:c>
      <x:c r="B134" s="8" t="str">
        <x:v>4252</x:v>
      </x:c>
      <x:c r="C134" s="11" t="str">
        <x:v>Chatwin Shannon</x:v>
      </x:c>
      <x:c r="D134" s="15" t="str">
        <x:f>IFERROR(HYPERLINK("https://mywildalberta.ca/fishing/fish-stocking/fsm-images/Chatwin%20Lake/Chatwin%20Shannon.jpg","https://mywildalberta.ca/fishing/fish-stocking/fsm-images/Chatwin%20Lake/Chatwin%20Shannon.jpg"),"https://mywildalberta.ca/fishing/fish-stocking/fsm-images/Chatwin%20Lake/Chatwin%20Shannon.jpg")</x:f>
        <x:v>https://mywildalberta.ca/fishing/fish-stocking/fsm-images/Chatwin%20Lake/Chatwin%20Shannon.jpg</x:v>
      </x:c>
    </x:row>
    <x:row r="135" ht="48" customHeight="1">
      <x:c r="A135" s="8" t="str">
        <x:v>Chatwin Lake</x:v>
      </x:c>
      <x:c r="B135" s="8" t="str">
        <x:v>4252</x:v>
      </x:c>
      <x:c r="C135" s="11" t="str">
        <x:v>Chatwin View of golf course</x:v>
      </x:c>
      <x:c r="D135" s="15" t="str">
        <x:f>IFERROR(HYPERLINK("https://mywildalberta.ca/fishing/fish-stocking/fsm-images/Chatwin%20Lake/Chatwin%20View%20of%20golf%20course.jpg","https://mywildalberta.ca/fishing/fish-stocking/fsm-images/Chatwin%20Lake/Chatwin%20View%20of%20golf%20course.jpg"),"https://mywildalberta.ca/fishing/fish-stocking/fsm-images/Chatwin%20Lake/Chatwin%20View%20of%20golf%20course.jpg")</x:f>
        <x:v>https://mywildalberta.ca/fishing/fish-stocking/fsm-images/Chatwin%20Lake/Chatwin%20View%20of%20golf%20course.jpg</x:v>
      </x:c>
    </x:row>
    <x:row r="136" ht="48" customHeight="1">
      <x:c r="A136" s="8" t="str">
        <x:v>Chatwin Lake</x:v>
      </x:c>
      <x:c r="B136" s="8" t="str">
        <x:v>4252</x:v>
      </x:c>
      <x:c r="C136" s="11" t="str">
        <x:v>Panoramic View</x:v>
      </x:c>
      <x:c r="D136" s="15" t="str">
        <x:f>IFERROR(HYPERLINK("https://mywildalberta.ca/fishing/fish-stocking/fsm-images/Chatwin%20Lake/Panoramic%20View.jpg","https://mywildalberta.ca/fishing/fish-stocking/fsm-images/Chatwin%20Lake/Panoramic%20View.jpg"),"https://mywildalberta.ca/fishing/fish-stocking/fsm-images/Chatwin%20Lake/Panoramic%20View.jpg")</x:f>
        <x:v>https://mywildalberta.ca/fishing/fish-stocking/fsm-images/Chatwin%20Lake/Panoramic%20View.jpg</x:v>
      </x:c>
    </x:row>
    <x:row r="137" ht="48" customHeight="1">
      <x:c r="A137" s="8" t="str">
        <x:v>Coleman Fish and Game Pond</x:v>
      </x:c>
      <x:c r="B137" s="8" t="str">
        <x:v>6858</x:v>
      </x:c>
      <x:c r="C137" s="11" t="str">
        <x:v>Coleman Fish&amp;Game Pond from parking area looking onto lake</x:v>
      </x:c>
      <x:c r="D137" s="15" t="str">
        <x:f>IFERROR(HYPERLINK("https://mywildalberta.ca/fishing/fish-stocking/fsm-images/Coleman%20Fish%20and%20Game%20Pond/Coleman%20Fish%26Game%20Pond%20from%20parking%20area%20looking%20onto%20lake.jpg","https://mywildalberta.ca/fishing/fish-stocking/fsm-images/Coleman%20Fish%20and%20Game%20Pond/Coleman%20Fish%26Game%20Pond%20from%20parking%20area%20looking%20onto%20lake.jpg"),"https://mywildalberta.ca/fishing/fish-stocking/fsm-images/Coleman%20Fish%20and%20Game%20Pond/Coleman%20Fish%26Game%20Pond%20from%20parking%20area%20looking%20onto%20lake.jpg")</x:f>
        <x:v>https://mywildalberta.ca/fishing/fish-stocking/fsm-images/Coleman%20Fish%20and%20Game%20Pond/Coleman%20Fish%26Game%20Pond%20from%20parking%20area%20looking%20onto%20lake.jpg</x:v>
      </x:c>
    </x:row>
    <x:row r="138" ht="48" customHeight="1">
      <x:c r="A138" s="8" t="str">
        <x:v>Coleman Fish and Game Pond</x:v>
      </x:c>
      <x:c r="B138" s="8" t="str">
        <x:v>6858</x:v>
      </x:c>
      <x:c r="C138" s="11" t="str">
        <x:v>Coleman Fish&amp;Game Pond lake view</x:v>
      </x:c>
      <x:c r="D138" s="15" t="str">
        <x:f>IFERROR(HYPERLINK("https://mywildalberta.ca/fishing/fish-stocking/fsm-images/Coleman%20Fish%20and%20Game%20Pond/Coleman%20Fish%26Game%20Pond%20lake%20view.jpg","https://mywildalberta.ca/fishing/fish-stocking/fsm-images/Coleman%20Fish%20and%20Game%20Pond/Coleman%20Fish%26Game%20Pond%20lake%20view.jpg"),"https://mywildalberta.ca/fishing/fish-stocking/fsm-images/Coleman%20Fish%20and%20Game%20Pond/Coleman%20Fish%26Game%20Pond%20lake%20view.jpg")</x:f>
        <x:v>https://mywildalberta.ca/fishing/fish-stocking/fsm-images/Coleman%20Fish%20and%20Game%20Pond/Coleman%20Fish%26Game%20Pond%20lake%20view.jpg</x:v>
      </x:c>
    </x:row>
    <x:row r="139" ht="48" customHeight="1">
      <x:c r="A139" s="8" t="str">
        <x:v>Coronation Reservoir</x:v>
      </x:c>
      <x:c r="B139" s="8" t="str">
        <x:v>6845</x:v>
      </x:c>
      <x:c r="C139" s="11" t="str">
        <x:v>Coronation Reservoir</x:v>
      </x:c>
      <x:c r="D139" s="15" t="str">
        <x:f>IFERROR(HYPERLINK("https://mywildalberta.ca/fishing/fish-stocking/fsm-images/Coronation%20Reservoir/Coronation%20Reservoir.JPG","https://mywildalberta.ca/fishing/fish-stocking/fsm-images/Coronation%20Reservoir/Coronation%20Reservoir.JPG"),"https://mywildalberta.ca/fishing/fish-stocking/fsm-images/Coronation%20Reservoir/Coronation%20Reservoir.JPG")</x:f>
        <x:v>https://mywildalberta.ca/fishing/fish-stocking/fsm-images/Coronation%20Reservoir/Coronation%20Reservoir.JPG</x:v>
      </x:c>
    </x:row>
    <x:row r="140" ht="48" customHeight="1">
      <x:c r="A140" s="8" t="str">
        <x:v>Cottage</x:v>
      </x:c>
      <x:c r="B140" s="8" t="str">
        <x:v>5874</x:v>
      </x:c>
      <x:c r="C140" s="11" t="str">
        <x:v>Bathroom Facility</x:v>
      </x:c>
      <x:c r="D140" s="15" t="str">
        <x:f>IFERROR(HYPERLINK("https://mywildalberta.ca/fishing/fish-stocking/fsm-images/Cottage/Bathroom%20Facility.jpg","https://mywildalberta.ca/fishing/fish-stocking/fsm-images/Cottage/Bathroom%20Facility.jpg"),"https://mywildalberta.ca/fishing/fish-stocking/fsm-images/Cottage/Bathroom%20Facility.jpg")</x:f>
        <x:v>https://mywildalberta.ca/fishing/fish-stocking/fsm-images/Cottage/Bathroom%20Facility.jpg</x:v>
      </x:c>
    </x:row>
    <x:row r="141" ht="48" customHeight="1">
      <x:c r="A141" s="8" t="str">
        <x:v>Cottage</x:v>
      </x:c>
      <x:c r="B141" s="8" t="str">
        <x:v>5874</x:v>
      </x:c>
      <x:c r="C141" s="11" t="str">
        <x:v>Boat Access</x:v>
      </x:c>
      <x:c r="D141" s="15" t="str">
        <x:f>IFERROR(HYPERLINK("https://mywildalberta.ca/fishing/fish-stocking/fsm-images/Cottage/Boat%20Access.jpg","https://mywildalberta.ca/fishing/fish-stocking/fsm-images/Cottage/Boat%20Access.jpg"),"https://mywildalberta.ca/fishing/fish-stocking/fsm-images/Cottage/Boat%20Access.jpg")</x:f>
        <x:v>https://mywildalberta.ca/fishing/fish-stocking/fsm-images/Cottage/Boat%20Access.jpg</x:v>
      </x:c>
    </x:row>
    <x:row r="142" ht="48" customHeight="1">
      <x:c r="A142" s="8" t="str">
        <x:v>Cottage</x:v>
      </x:c>
      <x:c r="B142" s="8" t="str">
        <x:v>5874</x:v>
      </x:c>
      <x:c r="C142" s="11" t="str">
        <x:v>Dock and Boat Mooring</x:v>
      </x:c>
      <x:c r="D142" s="15" t="str">
        <x:f>IFERROR(HYPERLINK("https://mywildalberta.ca/fishing/fish-stocking/fsm-images/Cottage/Dock%20and%20Boat%20Mooring.jpg","https://mywildalberta.ca/fishing/fish-stocking/fsm-images/Cottage/Dock%20and%20Boat%20Mooring.jpg"),"https://mywildalberta.ca/fishing/fish-stocking/fsm-images/Cottage/Dock%20and%20Boat%20Mooring.jpg")</x:f>
        <x:v>https://mywildalberta.ca/fishing/fish-stocking/fsm-images/Cottage/Dock%20and%20Boat%20Mooring.jpg</x:v>
      </x:c>
    </x:row>
    <x:row r="143" ht="48" customHeight="1">
      <x:c r="A143" s="8" t="str">
        <x:v>Cottage</x:v>
      </x:c>
      <x:c r="B143" s="8" t="str">
        <x:v>5874</x:v>
      </x:c>
      <x:c r="C143" s="11" t="str">
        <x:v>Lake View From Shore</x:v>
      </x:c>
      <x:c r="D143" s="15" t="str">
        <x:f>IFERROR(HYPERLINK("https://mywildalberta.ca/fishing/fish-stocking/fsm-images/Cottage/Lake%20View%20From%20Shore.jpg","https://mywildalberta.ca/fishing/fish-stocking/fsm-images/Cottage/Lake%20View%20From%20Shore.jpg"),"https://mywildalberta.ca/fishing/fish-stocking/fsm-images/Cottage/Lake%20View%20From%20Shore.jpg")</x:f>
        <x:v>https://mywildalberta.ca/fishing/fish-stocking/fsm-images/Cottage/Lake%20View%20From%20Shore.jpg</x:v>
      </x:c>
    </x:row>
    <x:row r="144" ht="48" customHeight="1">
      <x:c r="A144" s="8" t="str">
        <x:v>Cottage</x:v>
      </x:c>
      <x:c r="B144" s="8" t="str">
        <x:v>5874</x:v>
      </x:c>
      <x:c r="C144" s="11" t="str">
        <x:v>Spring Lake (2)</x:v>
      </x:c>
      <x:c r="D144" s="15" t="str">
        <x:f>IFERROR(HYPERLINK("https://mywildalberta.ca/fishing/fish-stocking/fsm-images/Cottage/Spring%20Lake%20(2).JPG","https://mywildalberta.ca/fishing/fish-stocking/fsm-images/Cottage/Spring%20Lake%20(2).JPG"),"https://mywildalberta.ca/fishing/fish-stocking/fsm-images/Cottage/Spring%20Lake%20(2).JPG")</x:f>
        <x:v>https://mywildalberta.ca/fishing/fish-stocking/fsm-images/Cottage/Spring%20Lake%20(2).JPG</x:v>
      </x:c>
    </x:row>
    <x:row r="145" ht="48" customHeight="1">
      <x:c r="A145" s="8" t="str">
        <x:v>Cottage</x:v>
      </x:c>
      <x:c r="B145" s="8" t="str">
        <x:v>5874</x:v>
      </x:c>
      <x:c r="C145" s="11" t="str">
        <x:v>Spring Lake canoes on shore</x:v>
      </x:c>
      <x:c r="D145" s="15" t="str">
        <x:f>IFERROR(HYPERLINK("https://mywildalberta.ca/fishing/fish-stocking/fsm-images/Cottage/Spring%20Lake%20canoes%20on%20shore.JPG","https://mywildalberta.ca/fishing/fish-stocking/fsm-images/Cottage/Spring%20Lake%20canoes%20on%20shore.JPG"),"https://mywildalberta.ca/fishing/fish-stocking/fsm-images/Cottage/Spring%20Lake%20canoes%20on%20shore.JPG")</x:f>
        <x:v>https://mywildalberta.ca/fishing/fish-stocking/fsm-images/Cottage/Spring%20Lake%20canoes%20on%20shore.JPG</x:v>
      </x:c>
    </x:row>
    <x:row r="146" ht="48" customHeight="1">
      <x:c r="A146" s="8" t="str">
        <x:v>County Sportplex Pond</x:v>
      </x:c>
      <x:c r="B146" s="8" t="str">
        <x:v>417477</x:v>
      </x:c>
      <x:c r="C146" s="11" t="str">
        <x:v>Baseball Diamonds</x:v>
      </x:c>
      <x:c r="D146" s="15" t="str">
        <x:f>IFERROR(HYPERLINK("https://mywildalberta.ca/fishing/fish-stocking/fsm-images/County%20Sportplex%20Pond/Baseball%20Diamonds.jpg","https://mywildalberta.ca/fishing/fish-stocking/fsm-images/County%20Sportplex%20Pond/Baseball%20Diamonds.jpg"),"https://mywildalberta.ca/fishing/fish-stocking/fsm-images/County%20Sportplex%20Pond/Baseball%20Diamonds.jpg")</x:f>
        <x:v>https://mywildalberta.ca/fishing/fish-stocking/fsm-images/County%20Sportplex%20Pond/Baseball%20Diamonds.jpg</x:v>
      </x:c>
    </x:row>
    <x:row r="147" ht="48" customHeight="1">
      <x:c r="A147" s="8" t="str">
        <x:v>County Sportplex Pond</x:v>
      </x:c>
      <x:c r="B147" s="8" t="str">
        <x:v>417477</x:v>
      </x:c>
      <x:c r="C147" s="11" t="str">
        <x:v>Dock</x:v>
      </x:c>
      <x:c r="D147" s="15" t="str">
        <x:f>IFERROR(HYPERLINK("https://mywildalberta.ca/fishing/fish-stocking/fsm-images/County%20Sportplex%20Pond/Dock.jpg","https://mywildalberta.ca/fishing/fish-stocking/fsm-images/County%20Sportplex%20Pond/Dock.jpg"),"https://mywildalberta.ca/fishing/fish-stocking/fsm-images/County%20Sportplex%20Pond/Dock.jpg")</x:f>
        <x:v>https://mywildalberta.ca/fishing/fish-stocking/fsm-images/County%20Sportplex%20Pond/Dock.jpg</x:v>
      </x:c>
    </x:row>
    <x:row r="148" ht="48" customHeight="1">
      <x:c r="A148" s="8" t="str">
        <x:v>County Sportplex Pond</x:v>
      </x:c>
      <x:c r="B148" s="8" t="str">
        <x:v>417477</x:v>
      </x:c>
      <x:c r="C148" s="11" t="str">
        <x:v>Entire Pond</x:v>
      </x:c>
      <x:c r="D148" s="15" t="str">
        <x:f>IFERROR(HYPERLINK("https://mywildalberta.ca/fishing/fish-stocking/fsm-images/County%20Sportplex%20Pond/Entire%20Pond.jpg","https://mywildalberta.ca/fishing/fish-stocking/fsm-images/County%20Sportplex%20Pond/Entire%20Pond.jpg"),"https://mywildalberta.ca/fishing/fish-stocking/fsm-images/County%20Sportplex%20Pond/Entire%20Pond.jpg")</x:f>
        <x:v>https://mywildalberta.ca/fishing/fish-stocking/fsm-images/County%20Sportplex%20Pond/Entire%20Pond.jpg</x:v>
      </x:c>
    </x:row>
    <x:row r="149" ht="48" customHeight="1">
      <x:c r="A149" s="8" t="str">
        <x:v>County Sportplex Pond</x:v>
      </x:c>
      <x:c r="B149" s="8" t="str">
        <x:v>417477</x:v>
      </x:c>
      <x:c r="C149" s="11" t="str">
        <x:v>Soccer Field (2)</x:v>
      </x:c>
      <x:c r="D149" s="15" t="str">
        <x:f>IFERROR(HYPERLINK("https://mywildalberta.ca/fishing/fish-stocking/fsm-images/County%20Sportplex%20Pond/Soccer%20Field%20(2).jpg","https://mywildalberta.ca/fishing/fish-stocking/fsm-images/County%20Sportplex%20Pond/Soccer%20Field%20(2).jpg"),"https://mywildalberta.ca/fishing/fish-stocking/fsm-images/County%20Sportplex%20Pond/Soccer%20Field%20(2).jpg")</x:f>
        <x:v>https://mywildalberta.ca/fishing/fish-stocking/fsm-images/County%20Sportplex%20Pond/Soccer%20Field%20(2).jpg</x:v>
      </x:c>
    </x:row>
    <x:row r="150" ht="48" customHeight="1">
      <x:c r="A150" s="8" t="str">
        <x:v>County Sportplex Pond</x:v>
      </x:c>
      <x:c r="B150" s="8" t="str">
        <x:v>417477</x:v>
      </x:c>
      <x:c r="C150" s="11" t="str">
        <x:v>Sportplex Building</x:v>
      </x:c>
      <x:c r="D150" s="15" t="str">
        <x:f>IFERROR(HYPERLINK("https://mywildalberta.ca/fishing/fish-stocking/fsm-images/County%20Sportplex%20Pond/Sportplex%20Building.jpg","https://mywildalberta.ca/fishing/fish-stocking/fsm-images/County%20Sportplex%20Pond/Sportplex%20Building.jpg"),"https://mywildalberta.ca/fishing/fish-stocking/fsm-images/County%20Sportplex%20Pond/Sportplex%20Building.jpg")</x:f>
        <x:v>https://mywildalberta.ca/fishing/fish-stocking/fsm-images/County%20Sportplex%20Pond/Sportplex%20Building.jpg</x:v>
      </x:c>
    </x:row>
    <x:row r="151" ht="48" customHeight="1">
      <x:c r="A151" s="8" t="str">
        <x:v>Cow Lake</x:v>
      </x:c>
      <x:c r="B151" s="8" t="str">
        <x:v>4340</x:v>
      </x:c>
      <x:c r="C151" s="11" t="str">
        <x:v>Beach Area</x:v>
      </x:c>
      <x:c r="D151" s="15" t="str">
        <x:f>IFERROR(HYPERLINK("https://mywildalberta.ca/fishing/fish-stocking/fsm-images/Cow%20Lake/Beach%20Area.jpg","https://mywildalberta.ca/fishing/fish-stocking/fsm-images/Cow%20Lake/Beach%20Area.jpg"),"https://mywildalberta.ca/fishing/fish-stocking/fsm-images/Cow%20Lake/Beach%20Area.jpg")</x:f>
        <x:v>https://mywildalberta.ca/fishing/fish-stocking/fsm-images/Cow%20Lake/Beach%20Area.jpg</x:v>
      </x:c>
    </x:row>
    <x:row r="152" ht="48" customHeight="1">
      <x:c r="A152" s="8" t="str">
        <x:v>Cow Lake</x:v>
      </x:c>
      <x:c r="B152" s="8" t="str">
        <x:v>4340</x:v>
      </x:c>
      <x:c r="C152" s="11" t="str">
        <x:v>Beach Recreation</x:v>
      </x:c>
      <x:c r="D152" s="15" t="str">
        <x:f>IFERROR(HYPERLINK("https://mywildalberta.ca/fishing/fish-stocking/fsm-images/Cow%20Lake/Beach%20Recreation.jpg","https://mywildalberta.ca/fishing/fish-stocking/fsm-images/Cow%20Lake/Beach%20Recreation.jpg"),"https://mywildalberta.ca/fishing/fish-stocking/fsm-images/Cow%20Lake/Beach%20Recreation.jpg")</x:f>
        <x:v>https://mywildalberta.ca/fishing/fish-stocking/fsm-images/Cow%20Lake/Beach%20Recreation.jpg</x:v>
      </x:c>
    </x:row>
    <x:row r="153" ht="48" customHeight="1">
      <x:c r="A153" s="8" t="str">
        <x:v>Cow Lake</x:v>
      </x:c>
      <x:c r="B153" s="8" t="str">
        <x:v>4340</x:v>
      </x:c>
      <x:c r="C153" s="11" t="str">
        <x:v>Boat Docking</x:v>
      </x:c>
      <x:c r="D153" s="15" t="str">
        <x:f>IFERROR(HYPERLINK("https://mywildalberta.ca/fishing/fish-stocking/fsm-images/Cow%20Lake/Boat%20Docking.jpg","https://mywildalberta.ca/fishing/fish-stocking/fsm-images/Cow%20Lake/Boat%20Docking.jpg"),"https://mywildalberta.ca/fishing/fish-stocking/fsm-images/Cow%20Lake/Boat%20Docking.jpg")</x:f>
        <x:v>https://mywildalberta.ca/fishing/fish-stocking/fsm-images/Cow%20Lake/Boat%20Docking.jpg</x:v>
      </x:c>
    </x:row>
    <x:row r="154" ht="48" customHeight="1">
      <x:c r="A154" s="8" t="str">
        <x:v>Cow Lake</x:v>
      </x:c>
      <x:c r="B154" s="8" t="str">
        <x:v>4340</x:v>
      </x:c>
      <x:c r="C154" s="11" t="str">
        <x:v>Camping Site</x:v>
      </x:c>
      <x:c r="D154" s="15" t="str">
        <x:f>IFERROR(HYPERLINK("https://mywildalberta.ca/fishing/fish-stocking/fsm-images/Cow%20Lake/Camping%20Site.jpg","https://mywildalberta.ca/fishing/fish-stocking/fsm-images/Cow%20Lake/Camping%20Site.jpg"),"https://mywildalberta.ca/fishing/fish-stocking/fsm-images/Cow%20Lake/Camping%20Site.jpg")</x:f>
        <x:v>https://mywildalberta.ca/fishing/fish-stocking/fsm-images/Cow%20Lake/Camping%20Site.jpg</x:v>
      </x:c>
    </x:row>
    <x:row r="155" ht="48" customHeight="1">
      <x:c r="A155" s="8" t="str">
        <x:v>Cow Lake</x:v>
      </x:c>
      <x:c r="B155" s="8" t="str">
        <x:v>4340</x:v>
      </x:c>
      <x:c r="C155" s="11" t="str">
        <x:v>Cook Shelter</x:v>
      </x:c>
      <x:c r="D155" s="15" t="str">
        <x:f>IFERROR(HYPERLINK("https://mywildalberta.ca/fishing/fish-stocking/fsm-images/Cow%20Lake/Cook%20Shelter.jpg","https://mywildalberta.ca/fishing/fish-stocking/fsm-images/Cow%20Lake/Cook%20Shelter.jpg"),"https://mywildalberta.ca/fishing/fish-stocking/fsm-images/Cow%20Lake/Cook%20Shelter.jpg")</x:f>
        <x:v>https://mywildalberta.ca/fishing/fish-stocking/fsm-images/Cow%20Lake/Cook%20Shelter.jpg</x:v>
      </x:c>
    </x:row>
    <x:row r="156" ht="48" customHeight="1">
      <x:c r="A156" s="8" t="str">
        <x:v>Cow Lake</x:v>
      </x:c>
      <x:c r="B156" s="8" t="str">
        <x:v>4340</x:v>
      </x:c>
      <x:c r="C156" s="11" t="str">
        <x:v>Cow Lake</x:v>
      </x:c>
      <x:c r="D156" s="15" t="str">
        <x:f>IFERROR(HYPERLINK("https://mywildalberta.ca/fishing/fish-stocking/fsm-images/Cow%20Lake/Cow%20Lake.jpg","https://mywildalberta.ca/fishing/fish-stocking/fsm-images/Cow%20Lake/Cow%20Lake.jpg"),"https://mywildalberta.ca/fishing/fish-stocking/fsm-images/Cow%20Lake/Cow%20Lake.jpg")</x:f>
        <x:v>https://mywildalberta.ca/fishing/fish-stocking/fsm-images/Cow%20Lake/Cow%20Lake.jpg</x:v>
      </x:c>
    </x:row>
    <x:row r="157" ht="48" customHeight="1">
      <x:c r="A157" s="8" t="str">
        <x:v>Cow Lake</x:v>
      </x:c>
      <x:c r="B157" s="8" t="str">
        <x:v>4340</x:v>
      </x:c>
      <x:c r="C157" s="11" t="str">
        <x:v>Lake Sign</x:v>
      </x:c>
      <x:c r="D157" s="15" t="str">
        <x:f>IFERROR(HYPERLINK("https://mywildalberta.ca/fishing/fish-stocking/fsm-images/Cow%20Lake/Lake%20Sign.jpg","https://mywildalberta.ca/fishing/fish-stocking/fsm-images/Cow%20Lake/Lake%20Sign.jpg"),"https://mywildalberta.ca/fishing/fish-stocking/fsm-images/Cow%20Lake/Lake%20Sign.jpg")</x:f>
        <x:v>https://mywildalberta.ca/fishing/fish-stocking/fsm-images/Cow%20Lake/Lake%20Sign.jpg</x:v>
      </x:c>
    </x:row>
    <x:row r="158" ht="48" customHeight="1">
      <x:c r="A158" s="8" t="str">
        <x:v>Cow Lake</x:v>
      </x:c>
      <x:c r="B158" s="8" t="str">
        <x:v>4340</x:v>
      </x:c>
      <x:c r="C158" s="11" t="str">
        <x:v>Open Water VIew</x:v>
      </x:c>
      <x:c r="D158" s="15" t="str">
        <x:f>IFERROR(HYPERLINK("https://mywildalberta.ca/fishing/fish-stocking/fsm-images/Cow%20Lake/Open%20Water%20VIew.jpg","https://mywildalberta.ca/fishing/fish-stocking/fsm-images/Cow%20Lake/Open%20Water%20VIew.jpg"),"https://mywildalberta.ca/fishing/fish-stocking/fsm-images/Cow%20Lake/Open%20Water%20VIew.jpg")</x:f>
        <x:v>https://mywildalberta.ca/fishing/fish-stocking/fsm-images/Cow%20Lake/Open%20Water%20VIew.jpg</x:v>
      </x:c>
    </x:row>
    <x:row r="159" ht="48" customHeight="1">
      <x:c r="A159" s="8" t="str">
        <x:v>Cow Lake</x:v>
      </x:c>
      <x:c r="B159" s="8" t="str">
        <x:v>4340</x:v>
      </x:c>
      <x:c r="C159" s="11" t="str">
        <x:v>Picnic Bench</x:v>
      </x:c>
      <x:c r="D159" s="15" t="str">
        <x:f>IFERROR(HYPERLINK("https://mywildalberta.ca/fishing/fish-stocking/fsm-images/Cow%20Lake/Picnic%20Bench.jpg","https://mywildalberta.ca/fishing/fish-stocking/fsm-images/Cow%20Lake/Picnic%20Bench.jpg"),"https://mywildalberta.ca/fishing/fish-stocking/fsm-images/Cow%20Lake/Picnic%20Bench.jpg")</x:f>
        <x:v>https://mywildalberta.ca/fishing/fish-stocking/fsm-images/Cow%20Lake/Picnic%20Bench.jpg</x:v>
      </x:c>
    </x:row>
    <x:row r="160" ht="48" customHeight="1">
      <x:c r="A160" s="8" t="str">
        <x:v>Cow Lake</x:v>
      </x:c>
      <x:c r="B160" s="8" t="str">
        <x:v>4340</x:v>
      </x:c>
      <x:c r="C160" s="11" t="str">
        <x:v>Playground (2)</x:v>
      </x:c>
      <x:c r="D160" s="15" t="str">
        <x:f>IFERROR(HYPERLINK("https://mywildalberta.ca/fishing/fish-stocking/fsm-images/Cow%20Lake/Playground%20(2).jpg","https://mywildalberta.ca/fishing/fish-stocking/fsm-images/Cow%20Lake/Playground%20(2).jpg"),"https://mywildalberta.ca/fishing/fish-stocking/fsm-images/Cow%20Lake/Playground%20(2).jpg")</x:f>
        <x:v>https://mywildalberta.ca/fishing/fish-stocking/fsm-images/Cow%20Lake/Playground%20(2).jpg</x:v>
      </x:c>
    </x:row>
    <x:row r="161" ht="48" customHeight="1">
      <x:c r="A161" s="8" t="str">
        <x:v>Crossfield Trout Pond</x:v>
      </x:c>
      <x:c r="B161" s="8" t="str">
        <x:v>23293</x:v>
      </x:c>
      <x:c r="C161" s="11" t="str">
        <x:v>Crossfield trout pond south east pond</x:v>
      </x:c>
      <x:c r="D161" s="15" t="str">
        <x:f>IFERROR(HYPERLINK("https://mywildalberta.ca/fishing/fish-stocking/fsm-images/Crossfield%20Trout%20Pond/Crossfield%20trout%20pond%20south%20east%20pond.JPG","https://mywildalberta.ca/fishing/fish-stocking/fsm-images/Crossfield%20Trout%20Pond/Crossfield%20trout%20pond%20south%20east%20pond.JPG"),"https://mywildalberta.ca/fishing/fish-stocking/fsm-images/Crossfield%20Trout%20Pond/Crossfield%20trout%20pond%20south%20east%20pond.JPG")</x:f>
        <x:v>https://mywildalberta.ca/fishing/fish-stocking/fsm-images/Crossfield%20Trout%20Pond/Crossfield%20trout%20pond%20south%20east%20pond.JPG</x:v>
      </x:c>
    </x:row>
    <x:row r="162" ht="48" customHeight="1">
      <x:c r="A162" s="8" t="str">
        <x:v>Crowsnest Lake</x:v>
      </x:c>
      <x:c r="B162" s="8" t="str">
        <x:v>4374</x:v>
      </x:c>
      <x:c r="C162" s="11" t="str">
        <x:v>Crowsnest Lake boat launch area dock not in water</x:v>
      </x:c>
      <x:c r="D162" s="15" t="str">
        <x:f>IFERROR(HYPERLINK("https://mywildalberta.ca/fishing/fish-stocking/fsm-images/Crowsnest%20Lake/Crowsnest%20Lake%20boat%20launch%20area%20dock%20not%20in%20water.JPG","https://mywildalberta.ca/fishing/fish-stocking/fsm-images/Crowsnest%20Lake/Crowsnest%20Lake%20boat%20launch%20area%20dock%20not%20in%20water.JPG"),"https://mywildalberta.ca/fishing/fish-stocking/fsm-images/Crowsnest%20Lake/Crowsnest%20Lake%20boat%20launch%20area%20dock%20not%20in%20water.JPG")</x:f>
        <x:v>https://mywildalberta.ca/fishing/fish-stocking/fsm-images/Crowsnest%20Lake/Crowsnest%20Lake%20boat%20launch%20area%20dock%20not%20in%20water.JPG</x:v>
      </x:c>
    </x:row>
    <x:row r="163" ht="48" customHeight="1">
      <x:c r="A163" s="8" t="str">
        <x:v>Crowsnest Lake</x:v>
      </x:c>
      <x:c r="B163" s="8" t="str">
        <x:v>4374</x:v>
      </x:c>
      <x:c r="C163" s="11" t="str">
        <x:v>Crowsnest Lake boat launch area looking south</x:v>
      </x:c>
      <x:c r="D163" s="15" t="str">
        <x:f>IFERROR(HYPERLINK("https://mywildalberta.ca/fishing/fish-stocking/fsm-images/Crowsnest%20Lake/Crowsnest%20Lake%20boat%20launch%20area%20looking%20south.JPG","https://mywildalberta.ca/fishing/fish-stocking/fsm-images/Crowsnest%20Lake/Crowsnest%20Lake%20boat%20launch%20area%20looking%20south.JPG"),"https://mywildalberta.ca/fishing/fish-stocking/fsm-images/Crowsnest%20Lake/Crowsnest%20Lake%20boat%20launch%20area%20looking%20south.JPG")</x:f>
        <x:v>https://mywildalberta.ca/fishing/fish-stocking/fsm-images/Crowsnest%20Lake/Crowsnest%20Lake%20boat%20launch%20area%20looking%20south.JPG</x:v>
      </x:c>
    </x:row>
    <x:row r="164" ht="48" customHeight="1">
      <x:c r="A164" s="8" t="str">
        <x:v>Dandurand Lake</x:v>
      </x:c>
      <x:c r="B164" s="8" t="str">
        <x:v>6659</x:v>
      </x:c>
      <x:c r="C164" s="11" t="str">
        <x:v>Dandurant opposite shore view</x:v>
      </x:c>
      <x:c r="D164" s="15" t="str">
        <x:f>IFERROR(HYPERLINK("https://mywildalberta.ca/fishing/fish-stocking/fsm-images/Dandurand%20Lake/Dandurant%20opposite%20shore%20view.JPG","https://mywildalberta.ca/fishing/fish-stocking/fsm-images/Dandurand%20Lake/Dandurant%20opposite%20shore%20view.JPG"),"https://mywildalberta.ca/fishing/fish-stocking/fsm-images/Dandurand%20Lake/Dandurant%20opposite%20shore%20view.JPG")</x:f>
        <x:v>https://mywildalberta.ca/fishing/fish-stocking/fsm-images/Dandurand%20Lake/Dandurant%20opposite%20shore%20view.JPG</x:v>
      </x:c>
    </x:row>
    <x:row r="165" ht="48" customHeight="1">
      <x:c r="A165" s="8" t="str">
        <x:v>Dandurand Lake</x:v>
      </x:c>
      <x:c r="B165" s="8" t="str">
        <x:v>6659</x:v>
      </x:c>
      <x:c r="C165" s="11" t="str">
        <x:v>Dandurant shore view</x:v>
      </x:c>
      <x:c r="D165" s="15" t="str">
        <x:f>IFERROR(HYPERLINK("https://mywildalberta.ca/fishing/fish-stocking/fsm-images/Dandurand%20Lake/Dandurant%20shore%20view.JPG","https://mywildalberta.ca/fishing/fish-stocking/fsm-images/Dandurand%20Lake/Dandurant%20shore%20view.JPG"),"https://mywildalberta.ca/fishing/fish-stocking/fsm-images/Dandurand%20Lake/Dandurant%20shore%20view.JPG")</x:f>
        <x:v>https://mywildalberta.ca/fishing/fish-stocking/fsm-images/Dandurand%20Lake/Dandurant%20shore%20view.JPG</x:v>
      </x:c>
    </x:row>
    <x:row r="166" ht="48" customHeight="1">
      <x:c r="A166" s="8" t="str">
        <x:v>Dickson Trout Pond</x:v>
      </x:c>
      <x:c r="B166" s="8" t="str">
        <x:v>6844</x:v>
      </x:c>
      <x:c r="C166" s="11" t="str">
        <x:v>Dickson Dam Trout Pond lake view</x:v>
      </x:c>
      <x:c r="D166" s="15" t="str">
        <x:f>IFERROR(HYPERLINK("https://mywildalberta.ca/fishing/fish-stocking/fsm-images/Dickson%20Trout%20Pond/Dickson%20Dam%20Trout%20Pond%20lake%20view.jpg","https://mywildalberta.ca/fishing/fish-stocking/fsm-images/Dickson%20Trout%20Pond/Dickson%20Dam%20Trout%20Pond%20lake%20view.jpg"),"https://mywildalberta.ca/fishing/fish-stocking/fsm-images/Dickson%20Trout%20Pond/Dickson%20Dam%20Trout%20Pond%20lake%20view.jpg")</x:f>
        <x:v>https://mywildalberta.ca/fishing/fish-stocking/fsm-images/Dickson%20Trout%20Pond/Dickson%20Dam%20Trout%20Pond%20lake%20view.jpg</x:v>
      </x:c>
    </x:row>
    <x:row r="167" ht="48" customHeight="1">
      <x:c r="A167" s="8" t="str">
        <x:v>Dickson Trout Pond</x:v>
      </x:c>
      <x:c r="B167" s="8" t="str">
        <x:v>6844</x:v>
      </x:c>
      <x:c r="C167" s="11" t="str">
        <x:v>Dickson Dam Trout Pond lake with boat view</x:v>
      </x:c>
      <x:c r="D167" s="15" t="str">
        <x:f>IFERROR(HYPERLINK("https://mywildalberta.ca/fishing/fish-stocking/fsm-images/Dickson%20Trout%20Pond/Dickson%20Dam%20Trout%20Pond%20lake%20with%20boat%20view.jpg","https://mywildalberta.ca/fishing/fish-stocking/fsm-images/Dickson%20Trout%20Pond/Dickson%20Dam%20Trout%20Pond%20lake%20with%20boat%20view.jpg"),"https://mywildalberta.ca/fishing/fish-stocking/fsm-images/Dickson%20Trout%20Pond/Dickson%20Dam%20Trout%20Pond%20lake%20with%20boat%20view.jpg")</x:f>
        <x:v>https://mywildalberta.ca/fishing/fish-stocking/fsm-images/Dickson%20Trout%20Pond/Dickson%20Dam%20Trout%20Pond%20lake%20with%20boat%20view.jpg</x:v>
      </x:c>
    </x:row>
    <x:row r="168" ht="48" customHeight="1">
      <x:c r="A168" s="8" t="str">
        <x:v>Dillberry Lake</x:v>
      </x:c>
      <x:c r="B168" s="8" t="str">
        <x:v>4446</x:v>
      </x:c>
      <x:c r="C168" s="11" t="str">
        <x:v>Dillberry Lake boat launch</x:v>
      </x:c>
      <x:c r="D168" s="15" t="str">
        <x:f>IFERROR(HYPERLINK("https://mywildalberta.ca/fishing/fish-stocking/fsm-images/Dillberry%20Lake/Dillberry%20Lake%20boat%20launch.JPG","https://mywildalberta.ca/fishing/fish-stocking/fsm-images/Dillberry%20Lake/Dillberry%20Lake%20boat%20launch.JPG"),"https://mywildalberta.ca/fishing/fish-stocking/fsm-images/Dillberry%20Lake/Dillberry%20Lake%20boat%20launch.JPG")</x:f>
        <x:v>https://mywildalberta.ca/fishing/fish-stocking/fsm-images/Dillberry%20Lake/Dillberry%20Lake%20boat%20launch.JPG</x:v>
      </x:c>
    </x:row>
    <x:row r="169" ht="48" customHeight="1">
      <x:c r="A169" s="8" t="str">
        <x:v>Diplomat Mine Pond</x:v>
      </x:c>
      <x:c r="B169" s="8" t="str">
        <x:v>6833</x:v>
      </x:c>
      <x:c r="C169" s="11" t="str">
        <x:v>Diplomat Mine Site (7)</x:v>
      </x:c>
      <x:c r="D169" s="15" t="str">
        <x:f>IFERROR(HYPERLINK("https://mywildalberta.ca/fishing/fish-stocking/fsm-images/Diplomat%20Mine%20Pond/Diplomat%20Mine%20Site%20(7).JPG","https://mywildalberta.ca/fishing/fish-stocking/fsm-images/Diplomat%20Mine%20Pond/Diplomat%20Mine%20Site%20(7).JPG"),"https://mywildalberta.ca/fishing/fish-stocking/fsm-images/Diplomat%20Mine%20Pond/Diplomat%20Mine%20Site%20(7).JPG")</x:f>
        <x:v>https://mywildalberta.ca/fishing/fish-stocking/fsm-images/Diplomat%20Mine%20Pond/Diplomat%20Mine%20Site%20(7).JPG</x:v>
      </x:c>
    </x:row>
    <x:row r="170" ht="48" customHeight="1">
      <x:c r="A170" s="8" t="str">
        <x:v>Diplomat Mine Pond</x:v>
      </x:c>
      <x:c r="B170" s="8" t="str">
        <x:v>6833</x:v>
      </x:c>
      <x:c r="C170" s="11" t="str">
        <x:v>Diplomat Mine site info</x:v>
      </x:c>
      <x:c r="D170" s="15" t="str">
        <x:f>IFERROR(HYPERLINK("https://mywildalberta.ca/fishing/fish-stocking/fsm-images/Diplomat%20Mine%20Pond/Diplomat%20Mine%20site%20info.JPG","https://mywildalberta.ca/fishing/fish-stocking/fsm-images/Diplomat%20Mine%20Pond/Diplomat%20Mine%20site%20info.JPG"),"https://mywildalberta.ca/fishing/fish-stocking/fsm-images/Diplomat%20Mine%20Pond/Diplomat%20Mine%20site%20info.JPG")</x:f>
        <x:v>https://mywildalberta.ca/fishing/fish-stocking/fsm-images/Diplomat%20Mine%20Pond/Diplomat%20Mine%20site%20info.JPG</x:v>
      </x:c>
    </x:row>
    <x:row r="171" ht="48" customHeight="1">
      <x:c r="A171" s="8" t="str">
        <x:v>Diplomat Mine Pond</x:v>
      </x:c>
      <x:c r="B171" s="8" t="str">
        <x:v>6833</x:v>
      </x:c>
      <x:c r="C171" s="11" t="str">
        <x:v>Spring 2019</x:v>
      </x:c>
      <x:c r="D171" s="15" t="str">
        <x:f>IFERROR(HYPERLINK("https://mywildalberta.ca/fishing/fish-stocking/fsm-images/Diplomat%20Mine%20Pond/Spring%202019.jpg","https://mywildalberta.ca/fishing/fish-stocking/fsm-images/Diplomat%20Mine%20Pond/Spring%202019.jpg"),"https://mywildalberta.ca/fishing/fish-stocking/fsm-images/Diplomat%20Mine%20Pond/Spring%202019.jpg")</x:f>
        <x:v>https://mywildalberta.ca/fishing/fish-stocking/fsm-images/Diplomat%20Mine%20Pond/Spring%202019.jpg</x:v>
      </x:c>
    </x:row>
    <x:row r="172" ht="48" customHeight="1">
      <x:c r="A172" s="8" t="str">
        <x:v>Dolberg Lake</x:v>
      </x:c>
      <x:c r="B172" s="8" t="str">
        <x:v>4458</x:v>
      </x:c>
      <x:c r="C172" s="11" t="str">
        <x:v>Boat Dock</x:v>
      </x:c>
      <x:c r="D172" s="15" t="str">
        <x:f>IFERROR(HYPERLINK("https://mywildalberta.ca/fishing/fish-stocking/fsm-images/Dolberg%20Lake/Boat%20Dock.jpg","https://mywildalberta.ca/fishing/fish-stocking/fsm-images/Dolberg%20Lake/Boat%20Dock.jpg"),"https://mywildalberta.ca/fishing/fish-stocking/fsm-images/Dolberg%20Lake/Boat%20Dock.jpg")</x:f>
        <x:v>https://mywildalberta.ca/fishing/fish-stocking/fsm-images/Dolberg%20Lake/Boat%20Dock.jpg</x:v>
      </x:c>
    </x:row>
    <x:row r="173" ht="48" customHeight="1">
      <x:c r="A173" s="8" t="str">
        <x:v>Dolberg Lake</x:v>
      </x:c>
      <x:c r="B173" s="8" t="str">
        <x:v>4458</x:v>
      </x:c>
      <x:c r="C173" s="11" t="str">
        <x:v>Boat Launch (3)</x:v>
      </x:c>
      <x:c r="D173" s="15" t="str">
        <x:f>IFERROR(HYPERLINK("https://mywildalberta.ca/fishing/fish-stocking/fsm-images/Dolberg%20Lake/Boat%20Launch%20(3).jpg","https://mywildalberta.ca/fishing/fish-stocking/fsm-images/Dolberg%20Lake/Boat%20Launch%20(3).jpg"),"https://mywildalberta.ca/fishing/fish-stocking/fsm-images/Dolberg%20Lake/Boat%20Launch%20(3).jpg")</x:f>
        <x:v>https://mywildalberta.ca/fishing/fish-stocking/fsm-images/Dolberg%20Lake/Boat%20Launch%20(3).jpg</x:v>
      </x:c>
    </x:row>
    <x:row r="174" ht="48" customHeight="1">
      <x:c r="A174" s="8" t="str">
        <x:v>Dolberg Lake</x:v>
      </x:c>
      <x:c r="B174" s="8" t="str">
        <x:v>4458</x:v>
      </x:c>
      <x:c r="C174" s="11" t="str">
        <x:v>Dolberg (3)</x:v>
      </x:c>
      <x:c r="D174" s="15" t="str">
        <x:f>IFERROR(HYPERLINK("https://mywildalberta.ca/fishing/fish-stocking/fsm-images/Dolberg%20Lake/Dolberg%20(3).JPG","https://mywildalberta.ca/fishing/fish-stocking/fsm-images/Dolberg%20Lake/Dolberg%20(3).JPG"),"https://mywildalberta.ca/fishing/fish-stocking/fsm-images/Dolberg%20Lake/Dolberg%20(3).JPG")</x:f>
        <x:v>https://mywildalberta.ca/fishing/fish-stocking/fsm-images/Dolberg%20Lake/Dolberg%20(3).JPG</x:v>
      </x:c>
    </x:row>
    <x:row r="175" ht="48" customHeight="1">
      <x:c r="A175" s="8" t="str">
        <x:v>Dolberg Lake</x:v>
      </x:c>
      <x:c r="B175" s="8" t="str">
        <x:v>4458</x:v>
      </x:c>
      <x:c r="C175" s="11" t="str">
        <x:v>Dolberg Dock</x:v>
      </x:c>
      <x:c r="D175" s="15" t="str">
        <x:f>IFERROR(HYPERLINK("https://mywildalberta.ca/fishing/fish-stocking/fsm-images/Dolberg%20Lake/Dolberg%20Dock.jpg","https://mywildalberta.ca/fishing/fish-stocking/fsm-images/Dolberg%20Lake/Dolberg%20Dock.jpg"),"https://mywildalberta.ca/fishing/fish-stocking/fsm-images/Dolberg%20Lake/Dolberg%20Dock.jpg")</x:f>
        <x:v>https://mywildalberta.ca/fishing/fish-stocking/fsm-images/Dolberg%20Lake/Dolberg%20Dock.jpg</x:v>
      </x:c>
    </x:row>
    <x:row r="176" ht="48" customHeight="1">
      <x:c r="A176" s="8" t="str">
        <x:v>Dolberg Lake</x:v>
      </x:c>
      <x:c r="B176" s="8" t="str">
        <x:v>4458</x:v>
      </x:c>
      <x:c r="C176" s="11" t="str">
        <x:v>Far Bank View</x:v>
      </x:c>
      <x:c r="D176" s="15" t="str">
        <x:f>IFERROR(HYPERLINK("https://mywildalberta.ca/fishing/fish-stocking/fsm-images/Dolberg%20Lake/Far%20Bank%20View.jpg","https://mywildalberta.ca/fishing/fish-stocking/fsm-images/Dolberg%20Lake/Far%20Bank%20View.jpg"),"https://mywildalberta.ca/fishing/fish-stocking/fsm-images/Dolberg%20Lake/Far%20Bank%20View.jpg")</x:f>
        <x:v>https://mywildalberta.ca/fishing/fish-stocking/fsm-images/Dolberg%20Lake/Far%20Bank%20View.jpg</x:v>
      </x:c>
    </x:row>
    <x:row r="177" ht="48" customHeight="1">
      <x:c r="A177" s="8" t="str">
        <x:v>Dolberg Lake</x:v>
      </x:c>
      <x:c r="B177" s="8" t="str">
        <x:v>4458</x:v>
      </x:c>
      <x:c r="C177" s="11" t="str">
        <x:v>Open Water View</x:v>
      </x:c>
      <x:c r="D177" s="15" t="str">
        <x:f>IFERROR(HYPERLINK("https://mywildalberta.ca/fishing/fish-stocking/fsm-images/Dolberg%20Lake/Open%20Water%20View.jpg","https://mywildalberta.ca/fishing/fish-stocking/fsm-images/Dolberg%20Lake/Open%20Water%20View.jpg"),"https://mywildalberta.ca/fishing/fish-stocking/fsm-images/Dolberg%20Lake/Open%20Water%20View.jpg")</x:f>
        <x:v>https://mywildalberta.ca/fishing/fish-stocking/fsm-images/Dolberg%20Lake/Open%20Water%20View.jpg</x:v>
      </x:c>
    </x:row>
    <x:row r="178" ht="48" customHeight="1">
      <x:c r="A178" s="8" t="str">
        <x:v>Dolberg Lake</x:v>
      </x:c>
      <x:c r="B178" s="8" t="str">
        <x:v>4458</x:v>
      </x:c>
      <x:c r="C178" s="11" t="str">
        <x:v>Reed Bank</x:v>
      </x:c>
      <x:c r="D178" s="15" t="str">
        <x:f>IFERROR(HYPERLINK("https://mywildalberta.ca/fishing/fish-stocking/fsm-images/Dolberg%20Lake/Reed%20Bank.jpg","https://mywildalberta.ca/fishing/fish-stocking/fsm-images/Dolberg%20Lake/Reed%20Bank.jpg"),"https://mywildalberta.ca/fishing/fish-stocking/fsm-images/Dolberg%20Lake/Reed%20Bank.jpg")</x:f>
        <x:v>https://mywildalberta.ca/fishing/fish-stocking/fsm-images/Dolberg%20Lake/Reed%20Bank.jpg</x:v>
      </x:c>
    </x:row>
    <x:row r="179" ht="48" customHeight="1">
      <x:c r="A179" s="8" t="str">
        <x:v>Dormer Lake</x:v>
      </x:c>
      <x:c r="B179" s="8" t="str">
        <x:v>6836</x:v>
      </x:c>
      <x:c r="C179" s="11" t="str">
        <x:v>Dormer Lake 2025</x:v>
      </x:c>
      <x:c r="D179" s="15" t="str">
        <x:f>IFERROR(HYPERLINK("https://mywildalberta.ca/fishing/fish-stocking/fsm-images/Dormer%20Lake/Dormer%20Lake%202025.heic","https://mywildalberta.ca/fishing/fish-stocking/fsm-images/Dormer%20Lake/Dormer%20Lake%202025.heic"),"https://mywildalberta.ca/fishing/fish-stocking/fsm-images/Dormer%20Lake/Dormer%20Lake%202025.heic")</x:f>
        <x:v>https://mywildalberta.ca/fishing/fish-stocking/fsm-images/Dormer%20Lake/Dormer%20Lake%202025.heic</x:v>
      </x:c>
    </x:row>
    <x:row r="180" ht="48" customHeight="1">
      <x:c r="A180" s="8" t="str">
        <x:v>Dormer Lake</x:v>
      </x:c>
      <x:c r="B180" s="8" t="str">
        <x:v>6836</x:v>
      </x:c>
      <x:c r="C180" s="11" t="str">
        <x:v>Dormer Lake BNTR 2025</x:v>
      </x:c>
      <x:c r="D180" s="15" t="str">
        <x:f>IFERROR(HYPERLINK("https://mywildalberta.ca/fishing/fish-stocking/fsm-images/Dormer%20Lake/Dormer%20Lake%20BNTR%202025.heic","https://mywildalberta.ca/fishing/fish-stocking/fsm-images/Dormer%20Lake/Dormer%20Lake%20BNTR%202025.heic"),"https://mywildalberta.ca/fishing/fish-stocking/fsm-images/Dormer%20Lake/Dormer%20Lake%20BNTR%202025.heic")</x:f>
        <x:v>https://mywildalberta.ca/fishing/fish-stocking/fsm-images/Dormer%20Lake/Dormer%20Lake%20BNTR%202025.heic</x:v>
      </x:c>
    </x:row>
    <x:row r="181" ht="48" customHeight="1">
      <x:c r="A181" s="8" t="str">
        <x:v>Eagle Lake</x:v>
      </x:c>
      <x:c r="B181" s="8" t="str">
        <x:v>4495</x:v>
      </x:c>
      <x:c r="C181" s="11" t="str">
        <x:v>Eagle (1)</x:v>
      </x:c>
      <x:c r="D181" s="15" t="str">
        <x:f>IFERROR(HYPERLINK("https://mywildalberta.ca/fishing/fish-stocking/fsm-images/Eagle%20Lake/Eagle%20(1).JPG","https://mywildalberta.ca/fishing/fish-stocking/fsm-images/Eagle%20Lake/Eagle%20(1).JPG"),"https://mywildalberta.ca/fishing/fish-stocking/fsm-images/Eagle%20Lake/Eagle%20(1).JPG")</x:f>
        <x:v>https://mywildalberta.ca/fishing/fish-stocking/fsm-images/Eagle%20Lake/Eagle%20(1).JPG</x:v>
      </x:c>
    </x:row>
    <x:row r="182" ht="48" customHeight="1">
      <x:c r="A182" s="8" t="str">
        <x:v>Eagle Lake</x:v>
      </x:c>
      <x:c r="B182" s="8" t="str">
        <x:v>4495</x:v>
      </x:c>
      <x:c r="C182" s="11" t="str">
        <x:v>IMG 8019</x:v>
      </x:c>
      <x:c r="D182" s="15" t="str">
        <x:f>IFERROR(HYPERLINK("https://mywildalberta.ca/fishing/fish-stocking/fsm-images/Eagle%20Lake/IMG_8019.HEIC","https://mywildalberta.ca/fishing/fish-stocking/fsm-images/Eagle%20Lake/IMG_8019.HEIC"),"https://mywildalberta.ca/fishing/fish-stocking/fsm-images/Eagle%20Lake/IMG_8019.HEIC")</x:f>
        <x:v>https://mywildalberta.ca/fishing/fish-stocking/fsm-images/Eagle%20Lake/IMG_8019.HEIC</x:v>
      </x:c>
    </x:row>
    <x:row r="183" ht="48" customHeight="1">
      <x:c r="A183" s="8" t="str">
        <x:v>Eagle Lake</x:v>
      </x:c>
      <x:c r="B183" s="8" t="str">
        <x:v>4495</x:v>
      </x:c>
      <x:c r="C183" s="11" t="str">
        <x:v>IMG 8021</x:v>
      </x:c>
      <x:c r="D183" s="15" t="str">
        <x:f>IFERROR(HYPERLINK("https://mywildalberta.ca/fishing/fish-stocking/fsm-images/Eagle%20Lake/IMG_8021.HEIC","https://mywildalberta.ca/fishing/fish-stocking/fsm-images/Eagle%20Lake/IMG_8021.HEIC"),"https://mywildalberta.ca/fishing/fish-stocking/fsm-images/Eagle%20Lake/IMG_8021.HEIC")</x:f>
        <x:v>https://mywildalberta.ca/fishing/fish-stocking/fsm-images/Eagle%20Lake/IMG_8021.HEIC</x:v>
      </x:c>
    </x:row>
    <x:row r="184" ht="48" customHeight="1">
      <x:c r="A184" s="8" t="str">
        <x:v>Eagle Lake</x:v>
      </x:c>
      <x:c r="B184" s="8" t="str">
        <x:v>4495</x:v>
      </x:c>
      <x:c r="C184" s="11" t="str">
        <x:v>IMG 8022</x:v>
      </x:c>
      <x:c r="D184" s="15" t="str">
        <x:f>IFERROR(HYPERLINK("https://mywildalberta.ca/fishing/fish-stocking/fsm-images/Eagle%20Lake/IMG_8022.HEIC","https://mywildalberta.ca/fishing/fish-stocking/fsm-images/Eagle%20Lake/IMG_8022.HEIC"),"https://mywildalberta.ca/fishing/fish-stocking/fsm-images/Eagle%20Lake/IMG_8022.HEIC")</x:f>
        <x:v>https://mywildalberta.ca/fishing/fish-stocking/fsm-images/Eagle%20Lake/IMG_8022.HEIC</x:v>
      </x:c>
    </x:row>
    <x:row r="185" ht="48" customHeight="1">
      <x:c r="A185" s="8" t="str">
        <x:v>Eagle Lake</x:v>
      </x:c>
      <x:c r="B185" s="8" t="str">
        <x:v>4495</x:v>
      </x:c>
      <x:c r="C185" s="11" t="str">
        <x:v>IMG 8025</x:v>
      </x:c>
      <x:c r="D185" s="15" t="str">
        <x:f>IFERROR(HYPERLINK("https://mywildalberta.ca/fishing/fish-stocking/fsm-images/Eagle%20Lake/IMG_8025.HEIC","https://mywildalberta.ca/fishing/fish-stocking/fsm-images/Eagle%20Lake/IMG_8025.HEIC"),"https://mywildalberta.ca/fishing/fish-stocking/fsm-images/Eagle%20Lake/IMG_8025.HEIC")</x:f>
        <x:v>https://mywildalberta.ca/fishing/fish-stocking/fsm-images/Eagle%20Lake/IMG_8025.HEIC</x:v>
      </x:c>
    </x:row>
    <x:row r="186" ht="48" customHeight="1">
      <x:c r="A186" s="8" t="str">
        <x:v>Eagle Lake</x:v>
      </x:c>
      <x:c r="B186" s="8" t="str">
        <x:v>4495</x:v>
      </x:c>
      <x:c r="C186" s="11" t="str">
        <x:v>IMG 8026</x:v>
      </x:c>
      <x:c r="D186" s="15" t="str">
        <x:f>IFERROR(HYPERLINK("https://mywildalberta.ca/fishing/fish-stocking/fsm-images/Eagle%20Lake/IMG_8026.HEIC","https://mywildalberta.ca/fishing/fish-stocking/fsm-images/Eagle%20Lake/IMG_8026.HEIC"),"https://mywildalberta.ca/fishing/fish-stocking/fsm-images/Eagle%20Lake/IMG_8026.HEIC")</x:f>
        <x:v>https://mywildalberta.ca/fishing/fish-stocking/fsm-images/Eagle%20Lake/IMG_8026.HEIC</x:v>
      </x:c>
    </x:row>
    <x:row r="187" ht="48" customHeight="1">
      <x:c r="A187" s="8" t="str">
        <x:v>East Dollar Lake</x:v>
      </x:c>
      <x:c r="B187" s="8" t="str">
        <x:v>4460</x:v>
      </x:c>
      <x:c r="C187" s="11" t="str">
        <x:v>East Dollar</x:v>
      </x:c>
      <x:c r="D187" s="15" t="str">
        <x:f>IFERROR(HYPERLINK("https://mywildalberta.ca/fishing/fish-stocking/fsm-images/East%20Dollar%20Lake/East%20Dollar.jpg","https://mywildalberta.ca/fishing/fish-stocking/fsm-images/East%20Dollar%20Lake/East%20Dollar.jpg"),"https://mywildalberta.ca/fishing/fish-stocking/fsm-images/East%20Dollar%20Lake/East%20Dollar.jpg")</x:f>
        <x:v>https://mywildalberta.ca/fishing/fish-stocking/fsm-images/East%20Dollar%20Lake/East%20Dollar.jpg</x:v>
      </x:c>
    </x:row>
    <x:row r="188" ht="48" customHeight="1">
      <x:c r="A188" s="8" t="str">
        <x:v>East Dollar Lake</x:v>
      </x:c>
      <x:c r="B188" s="8" t="str">
        <x:v>4460</x:v>
      </x:c>
      <x:c r="C188" s="11" t="str">
        <x:v>Eastdollar fishing on the lake</x:v>
      </x:c>
      <x:c r="D188" s="15" t="str">
        <x:f>IFERROR(HYPERLINK("https://mywildalberta.ca/fishing/fish-stocking/fsm-images/East%20Dollar%20Lake/Eastdollar%20fishing%20on%20the%20lake.jpg","https://mywildalberta.ca/fishing/fish-stocking/fsm-images/East%20Dollar%20Lake/Eastdollar%20fishing%20on%20the%20lake.jpg"),"https://mywildalberta.ca/fishing/fish-stocking/fsm-images/East%20Dollar%20Lake/Eastdollar%20fishing%20on%20the%20lake.jpg")</x:f>
        <x:v>https://mywildalberta.ca/fishing/fish-stocking/fsm-images/East%20Dollar%20Lake/Eastdollar%20fishing%20on%20the%20lake.jpg</x:v>
      </x:c>
    </x:row>
    <x:row r="189" ht="48" customHeight="1">
      <x:c r="A189" s="8" t="str">
        <x:v>East Dollar Lake</x:v>
      </x:c>
      <x:c r="B189" s="8" t="str">
        <x:v>4460</x:v>
      </x:c>
      <x:c r="C189" s="11" t="str">
        <x:v>EastDollar lake view</x:v>
      </x:c>
      <x:c r="D189" s="15" t="str">
        <x:f>IFERROR(HYPERLINK("https://mywildalberta.ca/fishing/fish-stocking/fsm-images/East%20Dollar%20Lake/EastDollar%20lake%20view.JPG","https://mywildalberta.ca/fishing/fish-stocking/fsm-images/East%20Dollar%20Lake/EastDollar%20lake%20view.JPG"),"https://mywildalberta.ca/fishing/fish-stocking/fsm-images/East%20Dollar%20Lake/EastDollar%20lake%20view.JPG")</x:f>
        <x:v>https://mywildalberta.ca/fishing/fish-stocking/fsm-images/East%20Dollar%20Lake/EastDollar%20lake%20view.JPG</x:v>
      </x:c>
    </x:row>
    <x:row r="190" ht="48" customHeight="1">
      <x:c r="A190" s="8" t="str">
        <x:v>East Pit Lake</x:v>
      </x:c>
      <x:c r="B190" s="8" t="str">
        <x:v>6840</x:v>
      </x:c>
      <x:c r="C190" s="11" t="str">
        <x:v>East Pit (4)</x:v>
      </x:c>
      <x:c r="D190" s="15" t="str">
        <x:f>IFERROR(HYPERLINK("https://mywildalberta.ca/fishing/fish-stocking/fsm-images/East%20Pit%20Lake/East%20Pit%20(4).jpg","https://mywildalberta.ca/fishing/fish-stocking/fsm-images/East%20Pit%20Lake/East%20Pit%20(4).jpg"),"https://mywildalberta.ca/fishing/fish-stocking/fsm-images/East%20Pit%20Lake/East%20Pit%20(4).jpg")</x:f>
        <x:v>https://mywildalberta.ca/fishing/fish-stocking/fsm-images/East%20Pit%20Lake/East%20Pit%20(4).jpg</x:v>
      </x:c>
    </x:row>
    <x:row r="191" ht="48" customHeight="1">
      <x:c r="A191" s="8" t="str">
        <x:v>East Pit Lake</x:v>
      </x:c>
      <x:c r="B191" s="8" t="str">
        <x:v>6840</x:v>
      </x:c>
      <x:c r="C191" s="11" t="str">
        <x:v>East Pit lake narrow view</x:v>
      </x:c>
      <x:c r="D191" s="15" t="str">
        <x:f>IFERROR(HYPERLINK("https://mywildalberta.ca/fishing/fish-stocking/fsm-images/East%20Pit%20Lake/East%20Pit%20lake%20narrow%20view.JPG","https://mywildalberta.ca/fishing/fish-stocking/fsm-images/East%20Pit%20Lake/East%20Pit%20lake%20narrow%20view.JPG"),"https://mywildalberta.ca/fishing/fish-stocking/fsm-images/East%20Pit%20Lake/East%20Pit%20lake%20narrow%20view.JPG")</x:f>
        <x:v>https://mywildalberta.ca/fishing/fish-stocking/fsm-images/East%20Pit%20Lake/East%20Pit%20lake%20narrow%20view.JPG</x:v>
      </x:c>
    </x:row>
    <x:row r="192" ht="48" customHeight="1">
      <x:c r="A192" s="8" t="str">
        <x:v>East Pit Lake</x:v>
      </x:c>
      <x:c r="B192" s="8" t="str">
        <x:v>6840</x:v>
      </x:c>
      <x:c r="C192" s="11" t="str">
        <x:v>East Pit mine scoop</x:v>
      </x:c>
      <x:c r="D192" s="15" t="str">
        <x:f>IFERROR(HYPERLINK("https://mywildalberta.ca/fishing/fish-stocking/fsm-images/East%20Pit%20Lake/East%20Pit%20mine%20scoop.JPG","https://mywildalberta.ca/fishing/fish-stocking/fsm-images/East%20Pit%20Lake/East%20Pit%20mine%20scoop.JPG"),"https://mywildalberta.ca/fishing/fish-stocking/fsm-images/East%20Pit%20Lake/East%20Pit%20mine%20scoop.JPG")</x:f>
        <x:v>https://mywildalberta.ca/fishing/fish-stocking/fsm-images/East%20Pit%20Lake/East%20Pit%20mine%20scoop.JPG</x:v>
      </x:c>
    </x:row>
    <x:row r="193" ht="48" customHeight="1">
      <x:c r="A193" s="8" t="str">
        <x:v>East Pit Lake</x:v>
      </x:c>
      <x:c r="B193" s="8" t="str">
        <x:v>6840</x:v>
      </x:c>
      <x:c r="C193" s="11" t="str">
        <x:v>East Pit wide view</x:v>
      </x:c>
      <x:c r="D193" s="15" t="str">
        <x:f>IFERROR(HYPERLINK("https://mywildalberta.ca/fishing/fish-stocking/fsm-images/East%20Pit%20Lake/East%20Pit%20wide%20view.jpg","https://mywildalberta.ca/fishing/fish-stocking/fsm-images/East%20Pit%20Lake/East%20Pit%20wide%20view.jpg"),"https://mywildalberta.ca/fishing/fish-stocking/fsm-images/East%20Pit%20Lake/East%20Pit%20wide%20view.jpg")</x:f>
        <x:v>https://mywildalberta.ca/fishing/fish-stocking/fsm-images/East%20Pit%20Lake/East%20Pit%20wide%20view.jpg</x:v>
      </x:c>
    </x:row>
    <x:row r="194" ht="48" customHeight="1">
      <x:c r="A194" s="8" t="str">
        <x:v>East Twin Lake</x:v>
      </x:c>
      <x:c r="B194" s="8" t="str">
        <x:v>6044</x:v>
      </x:c>
      <x:c r="C194" s="11" t="str">
        <x:v>East Twin Lake boat dock</x:v>
      </x:c>
      <x:c r="D194" s="15" t="str">
        <x:f>IFERROR(HYPERLINK("https://mywildalberta.ca/fishing/fish-stocking/fsm-images/East%20Twin%20Lake/East%20Twin%20Lake%20boat%20dock.jpg","https://mywildalberta.ca/fishing/fish-stocking/fsm-images/East%20Twin%20Lake/East%20Twin%20Lake%20boat%20dock.jpg"),"https://mywildalberta.ca/fishing/fish-stocking/fsm-images/East%20Twin%20Lake/East%20Twin%20Lake%20boat%20dock.jpg")</x:f>
        <x:v>https://mywildalberta.ca/fishing/fish-stocking/fsm-images/East%20Twin%20Lake/East%20Twin%20Lake%20boat%20dock.jpg</x:v>
      </x:c>
    </x:row>
    <x:row r="195" ht="48" customHeight="1">
      <x:c r="A195" s="8" t="str">
        <x:v>East Twin Lake</x:v>
      </x:c>
      <x:c r="B195" s="8" t="str">
        <x:v>6044</x:v>
      </x:c>
      <x:c r="C195" s="11" t="str">
        <x:v>East Twin Lake view from shore</x:v>
      </x:c>
      <x:c r="D195" s="15" t="str">
        <x:f>IFERROR(HYPERLINK("https://mywildalberta.ca/fishing/fish-stocking/fsm-images/East%20Twin%20Lake/East%20Twin%20Lake%20view%20from%20shore.jpg","https://mywildalberta.ca/fishing/fish-stocking/fsm-images/East%20Twin%20Lake/East%20Twin%20Lake%20view%20from%20shore.jpg"),"https://mywildalberta.ca/fishing/fish-stocking/fsm-images/East%20Twin%20Lake/East%20Twin%20Lake%20view%20from%20shore.jpg")</x:f>
        <x:v>https://mywildalberta.ca/fishing/fish-stocking/fsm-images/East%20Twin%20Lake/East%20Twin%20Lake%20view%20from%20shore.jpg</x:v>
      </x:c>
    </x:row>
    <x:row r="196" ht="48" customHeight="1">
      <x:c r="A196" s="8" t="str">
        <x:v>Edith Lake</x:v>
      </x:c>
      <x:c r="B196" s="8" t="str">
        <x:v>4505</x:v>
      </x:c>
      <x:c r="C196" s="11" t="str">
        <x:v>Edith Lake boat on shore</x:v>
      </x:c>
      <x:c r="D196" s="15" t="str">
        <x:f>IFERROR(HYPERLINK("https://mywildalberta.ca/fishing/fish-stocking/fsm-images/Edith%20Lake/Edith%20Lake%20boat%20on%20shore.jpg","https://mywildalberta.ca/fishing/fish-stocking/fsm-images/Edith%20Lake/Edith%20Lake%20boat%20on%20shore.jpg"),"https://mywildalberta.ca/fishing/fish-stocking/fsm-images/Edith%20Lake/Edith%20Lake%20boat%20on%20shore.jpg")</x:f>
        <x:v>https://mywildalberta.ca/fishing/fish-stocking/fsm-images/Edith%20Lake/Edith%20Lake%20boat%20on%20shore.jpg</x:v>
      </x:c>
    </x:row>
    <x:row r="197" ht="48" customHeight="1">
      <x:c r="A197" s="8" t="str">
        <x:v>Edith Lake</x:v>
      </x:c>
      <x:c r="B197" s="8" t="str">
        <x:v>4505</x:v>
      </x:c>
      <x:c r="C197" s="11" t="str">
        <x:v>Edith Lake cloudy day overview</x:v>
      </x:c>
      <x:c r="D197" s="15" t="str">
        <x:f>IFERROR(HYPERLINK("https://mywildalberta.ca/fishing/fish-stocking/fsm-images/Edith%20Lake/Edith%20Lake%20cloudy%20day%20overview.jpg","https://mywildalberta.ca/fishing/fish-stocking/fsm-images/Edith%20Lake/Edith%20Lake%20cloudy%20day%20overview.jpg"),"https://mywildalberta.ca/fishing/fish-stocking/fsm-images/Edith%20Lake/Edith%20Lake%20cloudy%20day%20overview.jpg")</x:f>
        <x:v>https://mywildalberta.ca/fishing/fish-stocking/fsm-images/Edith%20Lake/Edith%20Lake%20cloudy%20day%20overview.jpg</x:v>
      </x:c>
    </x:row>
    <x:row r="198" ht="48" customHeight="1">
      <x:c r="A198" s="8" t="str">
        <x:v>Edith Lake</x:v>
      </x:c>
      <x:c r="B198" s="8" t="str">
        <x:v>4505</x:v>
      </x:c>
      <x:c r="C198" s="11" t="str">
        <x:v>Edith lake on a cloudy day</x:v>
      </x:c>
      <x:c r="D198" s="15" t="str">
        <x:f>IFERROR(HYPERLINK("https://mywildalberta.ca/fishing/fish-stocking/fsm-images/Edith%20Lake/Edith%20lake%20on%20a%20cloudy%20day.jpg","https://mywildalberta.ca/fishing/fish-stocking/fsm-images/Edith%20Lake/Edith%20lake%20on%20a%20cloudy%20day.jpg"),"https://mywildalberta.ca/fishing/fish-stocking/fsm-images/Edith%20Lake/Edith%20lake%20on%20a%20cloudy%20day.jpg")</x:f>
        <x:v>https://mywildalberta.ca/fishing/fish-stocking/fsm-images/Edith%20Lake/Edith%20lake%20on%20a%20cloudy%20day.jpg</x:v>
      </x:c>
    </x:row>
    <x:row r="199" ht="48" customHeight="1">
      <x:c r="A199" s="8" t="str">
        <x:v>Edith Lake</x:v>
      </x:c>
      <x:c r="B199" s="8" t="str">
        <x:v>4505</x:v>
      </x:c>
      <x:c r="C199" s="11" t="str">
        <x:v>Edith lake signage</x:v>
      </x:c>
      <x:c r="D199" s="15" t="str">
        <x:f>IFERROR(HYPERLINK("https://mywildalberta.ca/fishing/fish-stocking/fsm-images/Edith%20Lake/Edith%20lake%20signage.jpg","https://mywildalberta.ca/fishing/fish-stocking/fsm-images/Edith%20Lake/Edith%20lake%20signage.jpg"),"https://mywildalberta.ca/fishing/fish-stocking/fsm-images/Edith%20Lake/Edith%20lake%20signage.jpg")</x:f>
        <x:v>https://mywildalberta.ca/fishing/fish-stocking/fsm-images/Edith%20Lake/Edith%20lake%20signage.jpg</x:v>
      </x:c>
    </x:row>
    <x:row r="200" ht="48" customHeight="1">
      <x:c r="A200" s="8" t="str">
        <x:v>Edith Lake</x:v>
      </x:c>
      <x:c r="B200" s="8" t="str">
        <x:v>4505</x:v>
      </x:c>
      <x:c r="C200" s="11" t="str">
        <x:v>Edith Lake sunny day looking over water</x:v>
      </x:c>
      <x:c r="D200" s="15" t="str">
        <x:f>IFERROR(HYPERLINK("https://mywildalberta.ca/fishing/fish-stocking/fsm-images/Edith%20Lake/Edith%20Lake%20sunny%20day%20looking%20over%20water.jpg","https://mywildalberta.ca/fishing/fish-stocking/fsm-images/Edith%20Lake/Edith%20Lake%20sunny%20day%20looking%20over%20water.jpg"),"https://mywildalberta.ca/fishing/fish-stocking/fsm-images/Edith%20Lake/Edith%20Lake%20sunny%20day%20looking%20over%20water.jpg")</x:f>
        <x:v>https://mywildalberta.ca/fishing/fish-stocking/fsm-images/Edith%20Lake/Edith%20Lake%20sunny%20day%20looking%20over%20water.jpg</x:v>
      </x:c>
    </x:row>
    <x:row r="201" ht="48" customHeight="1">
      <x:c r="A201" s="8" t="str">
        <x:v>Elk Creek Pond</x:v>
      </x:c>
      <x:c r="B201" s="8" t="str">
        <x:v>6820</x:v>
      </x:c>
      <x:c r="C201" s="11" t="str">
        <x:v>Elk Creek Pond</x:v>
      </x:c>
      <x:c r="D201" s="15" t="str">
        <x:f>IFERROR(HYPERLINK("https://mywildalberta.ca/fishing/fish-stocking/fsm-images/Elk%20Creek%20Pond/Elk%20Creek%20Pond.JPG","https://mywildalberta.ca/fishing/fish-stocking/fsm-images/Elk%20Creek%20Pond/Elk%20Creek%20Pond.JPG"),"https://mywildalberta.ca/fishing/fish-stocking/fsm-images/Elk%20Creek%20Pond/Elk%20Creek%20Pond.JPG")</x:f>
        <x:v>https://mywildalberta.ca/fishing/fish-stocking/fsm-images/Elk%20Creek%20Pond/Elk%20Creek%20Pond.JPG</x:v>
      </x:c>
    </x:row>
    <x:row r="202" ht="48" customHeight="1">
      <x:c r="A202" s="8" t="str">
        <x:v>Emerald Lake</x:v>
      </x:c>
      <x:c r="B202" s="8" t="str">
        <x:v>4532</x:v>
      </x:c>
      <x:c r="C202" s="11" t="str">
        <x:v>Across Lake View</x:v>
      </x:c>
      <x:c r="D202" s="15" t="str">
        <x:f>IFERROR(HYPERLINK("https://mywildalberta.ca/fishing/fish-stocking/fsm-images/Emerald%20Lake/Across%20Lake%20View.jpg","https://mywildalberta.ca/fishing/fish-stocking/fsm-images/Emerald%20Lake/Across%20Lake%20View.jpg"),"https://mywildalberta.ca/fishing/fish-stocking/fsm-images/Emerald%20Lake/Across%20Lake%20View.jpg")</x:f>
        <x:v>https://mywildalberta.ca/fishing/fish-stocking/fsm-images/Emerald%20Lake/Across%20Lake%20View.jpg</x:v>
      </x:c>
    </x:row>
    <x:row r="203" ht="48" customHeight="1">
      <x:c r="A203" s="8" t="str">
        <x:v>Emerald Lake</x:v>
      </x:c>
      <x:c r="B203" s="8" t="str">
        <x:v>4532</x:v>
      </x:c>
      <x:c r="C203" s="11" t="str">
        <x:v>Dock Access</x:v>
      </x:c>
      <x:c r="D203" s="15" t="str">
        <x:f>IFERROR(HYPERLINK("https://mywildalberta.ca/fishing/fish-stocking/fsm-images/Emerald%20Lake/Dock%20Access.jpg","https://mywildalberta.ca/fishing/fish-stocking/fsm-images/Emerald%20Lake/Dock%20Access.jpg"),"https://mywildalberta.ca/fishing/fish-stocking/fsm-images/Emerald%20Lake/Dock%20Access.jpg")</x:f>
        <x:v>https://mywildalberta.ca/fishing/fish-stocking/fsm-images/Emerald%20Lake/Dock%20Access.jpg</x:v>
      </x:c>
    </x:row>
    <x:row r="204" ht="48" customHeight="1">
      <x:c r="A204" s="8" t="str">
        <x:v>Emerald Lake</x:v>
      </x:c>
      <x:c r="B204" s="8" t="str">
        <x:v>4532</x:v>
      </x:c>
      <x:c r="C204" s="11" t="str">
        <x:v>Forest Trail</x:v>
      </x:c>
      <x:c r="D204" s="15" t="str">
        <x:f>IFERROR(HYPERLINK("https://mywildalberta.ca/fishing/fish-stocking/fsm-images/Emerald%20Lake/Forest%20Trail.jpg","https://mywildalberta.ca/fishing/fish-stocking/fsm-images/Emerald%20Lake/Forest%20Trail.jpg"),"https://mywildalberta.ca/fishing/fish-stocking/fsm-images/Emerald%20Lake/Forest%20Trail.jpg")</x:f>
        <x:v>https://mywildalberta.ca/fishing/fish-stocking/fsm-images/Emerald%20Lake/Forest%20Trail.jpg</x:v>
      </x:c>
    </x:row>
    <x:row r="205" ht="48" customHeight="1">
      <x:c r="A205" s="8" t="str">
        <x:v>Emerald Lake</x:v>
      </x:c>
      <x:c r="B205" s="8" t="str">
        <x:v>4532</x:v>
      </x:c>
      <x:c r="C205" s="11" t="str">
        <x:v>Lake Access</x:v>
      </x:c>
      <x:c r="D205" s="15" t="str">
        <x:f>IFERROR(HYPERLINK("https://mywildalberta.ca/fishing/fish-stocking/fsm-images/Emerald%20Lake/Lake%20Access.jpg","https://mywildalberta.ca/fishing/fish-stocking/fsm-images/Emerald%20Lake/Lake%20Access.jpg"),"https://mywildalberta.ca/fishing/fish-stocking/fsm-images/Emerald%20Lake/Lake%20Access.jpg")</x:f>
        <x:v>https://mywildalberta.ca/fishing/fish-stocking/fsm-images/Emerald%20Lake/Lake%20Access.jpg</x:v>
      </x:c>
    </x:row>
    <x:row r="206" ht="48" customHeight="1">
      <x:c r="A206" s="8" t="str">
        <x:v>Emerald Lake</x:v>
      </x:c>
      <x:c r="B206" s="8" t="str">
        <x:v>4532</x:v>
      </x:c>
      <x:c r="C206" s="11" t="str">
        <x:v>Picnic Table</x:v>
      </x:c>
      <x:c r="D206" s="15" t="str">
        <x:f>IFERROR(HYPERLINK("https://mywildalberta.ca/fishing/fish-stocking/fsm-images/Emerald%20Lake/Picnic%20Table.jpg","https://mywildalberta.ca/fishing/fish-stocking/fsm-images/Emerald%20Lake/Picnic%20Table.jpg"),"https://mywildalberta.ca/fishing/fish-stocking/fsm-images/Emerald%20Lake/Picnic%20Table.jpg")</x:f>
        <x:v>https://mywildalberta.ca/fishing/fish-stocking/fsm-images/Emerald%20Lake/Picnic%20Table.jpg</x:v>
      </x:c>
    </x:row>
    <x:row r="207" ht="48" customHeight="1">
      <x:c r="A207" s="8" t="str">
        <x:v>Emerald Lake</x:v>
      </x:c>
      <x:c r="B207" s="8" t="str">
        <x:v>4532</x:v>
      </x:c>
      <x:c r="C207" s="11" t="str">
        <x:v>Trail Boulder</x:v>
      </x:c>
      <x:c r="D207" s="15" t="str">
        <x:f>IFERROR(HYPERLINK("https://mywildalberta.ca/fishing/fish-stocking/fsm-images/Emerald%20Lake/Trail%20Boulder.jpg","https://mywildalberta.ca/fishing/fish-stocking/fsm-images/Emerald%20Lake/Trail%20Boulder.jpg"),"https://mywildalberta.ca/fishing/fish-stocking/fsm-images/Emerald%20Lake/Trail%20Boulder.jpg")</x:f>
        <x:v>https://mywildalberta.ca/fishing/fish-stocking/fsm-images/Emerald%20Lake/Trail%20Boulder.jpg</x:v>
      </x:c>
    </x:row>
    <x:row r="208" ht="48" customHeight="1">
      <x:c r="A208" s="8" t="str">
        <x:v>Emerson Lake</x:v>
      </x:c>
      <x:c r="B208" s="8" t="str">
        <x:v>6822</x:v>
      </x:c>
      <x:c r="C208" s="11" t="str">
        <x:v>Emerson Pond shore line</x:v>
      </x:c>
      <x:c r="D208" s="15" t="str">
        <x:f>IFERROR(HYPERLINK("https://mywildalberta.ca/fishing/fish-stocking/fsm-images/Emerson%20Lake/Emerson%20Pond%20shore%20line.JPG","https://mywildalberta.ca/fishing/fish-stocking/fsm-images/Emerson%20Lake/Emerson%20Pond%20shore%20line.JPG"),"https://mywildalberta.ca/fishing/fish-stocking/fsm-images/Emerson%20Lake/Emerson%20Pond%20shore%20line.JPG")</x:f>
        <x:v>https://mywildalberta.ca/fishing/fish-stocking/fsm-images/Emerson%20Lake/Emerson%20Pond%20shore%20line.JPG</x:v>
      </x:c>
    </x:row>
    <x:row r="209" ht="48" customHeight="1">
      <x:c r="A209" s="8" t="str">
        <x:v>Emerson Lake</x:v>
      </x:c>
      <x:c r="B209" s="8" t="str">
        <x:v>6822</x:v>
      </x:c>
      <x:c r="C209" s="11" t="str">
        <x:v>Emerson Pond walking path around lake</x:v>
      </x:c>
      <x:c r="D209" s="15" t="str">
        <x:f>IFERROR(HYPERLINK("https://mywildalberta.ca/fishing/fish-stocking/fsm-images/Emerson%20Lake/Emerson%20Pond%20walking%20path%20around%20lake.JPG","https://mywildalberta.ca/fishing/fish-stocking/fsm-images/Emerson%20Lake/Emerson%20Pond%20walking%20path%20around%20lake.JPG"),"https://mywildalberta.ca/fishing/fish-stocking/fsm-images/Emerson%20Lake/Emerson%20Pond%20walking%20path%20around%20lake.JPG")</x:f>
        <x:v>https://mywildalberta.ca/fishing/fish-stocking/fsm-images/Emerson%20Lake/Emerson%20Pond%20walking%20path%20around%20lake.JPG</x:v>
      </x:c>
    </x:row>
    <x:row r="210" ht="48" customHeight="1">
      <x:c r="A210" s="8" t="str">
        <x:v>Emerson Lakes</x:v>
      </x:c>
      <x:c r="B210" s="8" t="str">
        <x:v>4535</x:v>
      </x:c>
      <x:c r="C210" s="11" t="str">
        <x:v>Emerson Lake on a sunny day</x:v>
      </x:c>
      <x:c r="D210" s="15" t="str">
        <x:f>IFERROR(HYPERLINK("https://mywildalberta.ca/fishing/fish-stocking/fsm-images/Emerson%20Lakes/Emerson%20Lake%20on%20a%20sunny%20day.JPG","https://mywildalberta.ca/fishing/fish-stocking/fsm-images/Emerson%20Lakes/Emerson%20Lake%20on%20a%20sunny%20day.JPG"),"https://mywildalberta.ca/fishing/fish-stocking/fsm-images/Emerson%20Lakes/Emerson%20Lake%20on%20a%20sunny%20day.JPG")</x:f>
        <x:v>https://mywildalberta.ca/fishing/fish-stocking/fsm-images/Emerson%20Lakes/Emerson%20Lake%20on%20a%20sunny%20day.JPG</x:v>
      </x:c>
    </x:row>
    <x:row r="211" ht="48" customHeight="1">
      <x:c r="A211" s="8" t="str">
        <x:v>Emerson Lakes</x:v>
      </x:c>
      <x:c r="B211" s="8" t="str">
        <x:v>4535</x:v>
      </x:c>
      <x:c r="C211" s="11" t="str">
        <x:v>Emerson Pond (1)</x:v>
      </x:c>
      <x:c r="D211" s="15" t="str">
        <x:f>IFERROR(HYPERLINK("https://mywildalberta.ca/fishing/fish-stocking/fsm-images/Emerson%20Lakes/Emerson%20Pond%20(1).jpg","https://mywildalberta.ca/fishing/fish-stocking/fsm-images/Emerson%20Lakes/Emerson%20Pond%20(1).jpg"),"https://mywildalberta.ca/fishing/fish-stocking/fsm-images/Emerson%20Lakes/Emerson%20Pond%20(1).jpg")</x:f>
        <x:v>https://mywildalberta.ca/fishing/fish-stocking/fsm-images/Emerson%20Lakes/Emerson%20Pond%20(1).jpg</x:v>
      </x:c>
    </x:row>
    <x:row r="212" ht="48" customHeight="1">
      <x:c r="A212" s="8" t="str">
        <x:v>Emerson Lakes</x:v>
      </x:c>
      <x:c r="B212" s="8" t="str">
        <x:v>4535</x:v>
      </x:c>
      <x:c r="C212" s="11" t="str">
        <x:v>Emerson Pond (2)</x:v>
      </x:c>
      <x:c r="D212" s="15" t="str">
        <x:f>IFERROR(HYPERLINK("https://mywildalberta.ca/fishing/fish-stocking/fsm-images/Emerson%20Lakes/Emerson%20Pond%20(2).jpg","https://mywildalberta.ca/fishing/fish-stocking/fsm-images/Emerson%20Lakes/Emerson%20Pond%20(2).jpg"),"https://mywildalberta.ca/fishing/fish-stocking/fsm-images/Emerson%20Lakes/Emerson%20Pond%20(2).jpg")</x:f>
        <x:v>https://mywildalberta.ca/fishing/fish-stocking/fsm-images/Emerson%20Lakes/Emerson%20Pond%20(2).jpg</x:v>
      </x:c>
    </x:row>
    <x:row r="213" ht="48" customHeight="1">
      <x:c r="A213" s="8" t="str">
        <x:v>Emerson Lakes</x:v>
      </x:c>
      <x:c r="B213" s="8" t="str">
        <x:v>4535</x:v>
      </x:c>
      <x:c r="C213" s="11" t="str">
        <x:v>Emmerson Lake shady view from shore</x:v>
      </x:c>
      <x:c r="D213" s="15" t="str">
        <x:f>IFERROR(HYPERLINK("https://mywildalberta.ca/fishing/fish-stocking/fsm-images/Emerson%20Lakes/Emmerson%20Lake%20shady%20view%20from%20shore.JPG","https://mywildalberta.ca/fishing/fish-stocking/fsm-images/Emerson%20Lakes/Emmerson%20Lake%20shady%20view%20from%20shore.JPG"),"https://mywildalberta.ca/fishing/fish-stocking/fsm-images/Emerson%20Lakes/Emmerson%20Lake%20shady%20view%20from%20shore.JPG")</x:f>
        <x:v>https://mywildalberta.ca/fishing/fish-stocking/fsm-images/Emerson%20Lakes/Emmerson%20Lake%20shady%20view%20from%20shore.JPG</x:v>
      </x:c>
    </x:row>
    <x:row r="214" ht="48" customHeight="1">
      <x:c r="A214" s="8" t="str">
        <x:v>Enchant Pond</x:v>
      </x:c>
      <x:c r="B214" s="8" t="str">
        <x:v>6823</x:v>
      </x:c>
      <x:c r="C214" s="11" t="str">
        <x:v>Enchant (2)</x:v>
      </x:c>
      <x:c r="D214" s="15" t="str">
        <x:f>IFERROR(HYPERLINK("https://mywildalberta.ca/fishing/fish-stocking/fsm-images/Enchant%20Pond/Enchant%20(2).jpg","https://mywildalberta.ca/fishing/fish-stocking/fsm-images/Enchant%20Pond/Enchant%20(2).jpg"),"https://mywildalberta.ca/fishing/fish-stocking/fsm-images/Enchant%20Pond/Enchant%20(2).jpg")</x:f>
        <x:v>https://mywildalberta.ca/fishing/fish-stocking/fsm-images/Enchant%20Pond/Enchant%20(2).jpg</x:v>
      </x:c>
    </x:row>
    <x:row r="215" ht="48" customHeight="1">
      <x:c r="A215" s="8" t="str">
        <x:v>Engstrom Lake</x:v>
      </x:c>
      <x:c r="B215" s="8" t="str">
        <x:v>4539</x:v>
      </x:c>
      <x:c r="C215" s="11" t="str">
        <x:v>Engstrom (1)</x:v>
      </x:c>
      <x:c r="D215" s="15" t="str">
        <x:f>IFERROR(HYPERLINK("https://mywildalberta.ca/fishing/fish-stocking/fsm-images/Engstrom%20Lake/Engstrom%20(1).jpg","https://mywildalberta.ca/fishing/fish-stocking/fsm-images/Engstrom%20Lake/Engstrom%20(1).jpg"),"https://mywildalberta.ca/fishing/fish-stocking/fsm-images/Engstrom%20Lake/Engstrom%20(1).jpg")</x:f>
        <x:v>https://mywildalberta.ca/fishing/fish-stocking/fsm-images/Engstrom%20Lake/Engstrom%20(1).jpg</x:v>
      </x:c>
    </x:row>
    <x:row r="216" ht="48" customHeight="1">
      <x:c r="A216" s="8" t="str">
        <x:v>Engstrom Lake</x:v>
      </x:c>
      <x:c r="B216" s="8" t="str">
        <x:v>4539</x:v>
      </x:c>
      <x:c r="C216" s="11" t="str">
        <x:v>Engstrom (2)</x:v>
      </x:c>
      <x:c r="D216" s="15" t="str">
        <x:f>IFERROR(HYPERLINK("https://mywildalberta.ca/fishing/fish-stocking/fsm-images/Engstrom%20Lake/Engstrom%20(2).jpg","https://mywildalberta.ca/fishing/fish-stocking/fsm-images/Engstrom%20Lake/Engstrom%20(2).jpg"),"https://mywildalberta.ca/fishing/fish-stocking/fsm-images/Engstrom%20Lake/Engstrom%20(2).jpg")</x:f>
        <x:v>https://mywildalberta.ca/fishing/fish-stocking/fsm-images/Engstrom%20Lake/Engstrom%20(2).jpg</x:v>
      </x:c>
    </x:row>
    <x:row r="217" ht="48" customHeight="1">
      <x:c r="A217" s="8" t="str">
        <x:v>Engstrom Lake</x:v>
      </x:c>
      <x:c r="B217" s="8" t="str">
        <x:v>4539</x:v>
      </x:c>
      <x:c r="C217" s="11" t="str">
        <x:v>Engstrom Lake</x:v>
      </x:c>
      <x:c r="D217" s="15" t="str">
        <x:f>IFERROR(HYPERLINK("https://mywildalberta.ca/fishing/fish-stocking/fsm-images/Engstrom%20Lake/Engstrom%20Lake.jpg","https://mywildalberta.ca/fishing/fish-stocking/fsm-images/Engstrom%20Lake/Engstrom%20Lake.jpg"),"https://mywildalberta.ca/fishing/fish-stocking/fsm-images/Engstrom%20Lake/Engstrom%20Lake.jpg")</x:f>
        <x:v>https://mywildalberta.ca/fishing/fish-stocking/fsm-images/Engstrom%20Lake/Engstrom%20Lake.jpg</x:v>
      </x:c>
    </x:row>
    <x:row r="218" ht="48" customHeight="1">
      <x:c r="A218" s="8" t="str">
        <x:v>Fairview College Pond</x:v>
      </x:c>
      <x:c r="B218" s="8" t="str">
        <x:v>6825</x:v>
      </x:c>
      <x:c r="C218" s="11" t="str">
        <x:v>Fairview College another view across the pond</x:v>
      </x:c>
      <x:c r="D218" s="15" t="str">
        <x:f>IFERROR(HYPERLINK("https://mywildalberta.ca/fishing/fish-stocking/fsm-images/Fairview%20College%20Pond/Fairview%20College%20another%20view%20across%20the%20pond.jpg","https://mywildalberta.ca/fishing/fish-stocking/fsm-images/Fairview%20College%20Pond/Fairview%20College%20another%20view%20across%20the%20pond.jpg"),"https://mywildalberta.ca/fishing/fish-stocking/fsm-images/Fairview%20College%20Pond/Fairview%20College%20another%20view%20across%20the%20pond.jpg")</x:f>
        <x:v>https://mywildalberta.ca/fishing/fish-stocking/fsm-images/Fairview%20College%20Pond/Fairview%20College%20another%20view%20across%20the%20pond.jpg</x:v>
      </x:c>
    </x:row>
    <x:row r="219" ht="48" customHeight="1">
      <x:c r="A219" s="8" t="str">
        <x:v>Fairview College Pond</x:v>
      </x:c>
      <x:c r="B219" s="8" t="str">
        <x:v>6825</x:v>
      </x:c>
      <x:c r="C219" s="11" t="str">
        <x:v>Fairview College looking at industrial area</x:v>
      </x:c>
      <x:c r="D219" s="15" t="str">
        <x:f>IFERROR(HYPERLINK("https://mywildalberta.ca/fishing/fish-stocking/fsm-images/Fairview%20College%20Pond/Fairview%20College%20looking%20at%20industrial%20area.jpg","https://mywildalberta.ca/fishing/fish-stocking/fsm-images/Fairview%20College%20Pond/Fairview%20College%20looking%20at%20industrial%20area.jpg"),"https://mywildalberta.ca/fishing/fish-stocking/fsm-images/Fairview%20College%20Pond/Fairview%20College%20looking%20at%20industrial%20area.jpg")</x:f>
        <x:v>https://mywildalberta.ca/fishing/fish-stocking/fsm-images/Fairview%20College%20Pond/Fairview%20College%20looking%20at%20industrial%20area.jpg</x:v>
      </x:c>
    </x:row>
    <x:row r="220" ht="48" customHeight="1">
      <x:c r="A220" s="8" t="str">
        <x:v>Fairview College Pond</x:v>
      </x:c>
      <x:c r="B220" s="8" t="str">
        <x:v>6825</x:v>
      </x:c>
      <x:c r="C220" s="11" t="str">
        <x:v>Fairview College Pond facing golf course</x:v>
      </x:c>
      <x:c r="D220" s="15" t="str">
        <x:f>IFERROR(HYPERLINK("https://mywildalberta.ca/fishing/fish-stocking/fsm-images/Fairview%20College%20Pond/Fairview%20College%20Pond%20facing%20golf%20course.jpg","https://mywildalberta.ca/fishing/fish-stocking/fsm-images/Fairview%20College%20Pond/Fairview%20College%20Pond%20facing%20golf%20course.jpg"),"https://mywildalberta.ca/fishing/fish-stocking/fsm-images/Fairview%20College%20Pond/Fairview%20College%20Pond%20facing%20golf%20course.jpg")</x:f>
        <x:v>https://mywildalberta.ca/fishing/fish-stocking/fsm-images/Fairview%20College%20Pond/Fairview%20College%20Pond%20facing%20golf%20course.jpg</x:v>
      </x:c>
    </x:row>
    <x:row r="221" ht="48" customHeight="1">
      <x:c r="A221" s="8" t="str">
        <x:v>Fairview College Pond</x:v>
      </x:c>
      <x:c r="B221" s="8" t="str">
        <x:v>6825</x:v>
      </x:c>
      <x:c r="C221" s="11" t="str">
        <x:v>Fairview College shore fishing</x:v>
      </x:c>
      <x:c r="D221" s="15" t="str">
        <x:f>IFERROR(HYPERLINK("https://mywildalberta.ca/fishing/fish-stocking/fsm-images/Fairview%20College%20Pond/Fairview%20College%20shore%20fishing.jpg","https://mywildalberta.ca/fishing/fish-stocking/fsm-images/Fairview%20College%20Pond/Fairview%20College%20shore%20fishing.jpg"),"https://mywildalberta.ca/fishing/fish-stocking/fsm-images/Fairview%20College%20Pond/Fairview%20College%20shore%20fishing.jpg")</x:f>
        <x:v>https://mywildalberta.ca/fishing/fish-stocking/fsm-images/Fairview%20College%20Pond/Fairview%20College%20shore%20fishing.jpg</x:v>
      </x:c>
    </x:row>
    <x:row r="222" ht="48" customHeight="1">
      <x:c r="A222" s="8" t="str">
        <x:v>Fiesta Lake</x:v>
      </x:c>
      <x:c r="B222" s="8" t="str">
        <x:v>24364</x:v>
      </x:c>
      <x:c r="C222" s="11" t="str">
        <x:v>Fiesta Lake (1)</x:v>
      </x:c>
      <x:c r="D222" s="15" t="str">
        <x:f>IFERROR(HYPERLINK("https://mywildalberta.ca/fishing/fish-stocking/fsm-images/Fiesta%20Lake/Fiesta%20Lake%20(1).JPG","https://mywildalberta.ca/fishing/fish-stocking/fsm-images/Fiesta%20Lake/Fiesta%20Lake%20(1).JPG"),"https://mywildalberta.ca/fishing/fish-stocking/fsm-images/Fiesta%20Lake/Fiesta%20Lake%20(1).JPG")</x:f>
        <x:v>https://mywildalberta.ca/fishing/fish-stocking/fsm-images/Fiesta%20Lake/Fiesta%20Lake%20(1).JPG</x:v>
      </x:c>
    </x:row>
    <x:row r="223" ht="48" customHeight="1">
      <x:c r="A223" s="8" t="str">
        <x:v>Figure Eight Lake</x:v>
      </x:c>
      <x:c r="B223" s="8" t="str">
        <x:v>6827</x:v>
      </x:c>
      <x:c r="C223" s="11" t="str">
        <x:v>Figure Eight (1)</x:v>
      </x:c>
      <x:c r="D223" s="15" t="str">
        <x:f>IFERROR(HYPERLINK("https://mywildalberta.ca/fishing/fish-stocking/fsm-images/Figure%20Eight%20Lake/Figure%20Eight%20(1).jpg","https://mywildalberta.ca/fishing/fish-stocking/fsm-images/Figure%20Eight%20Lake/Figure%20Eight%20(1).jpg"),"https://mywildalberta.ca/fishing/fish-stocking/fsm-images/Figure%20Eight%20Lake/Figure%20Eight%20(1).jpg")</x:f>
        <x:v>https://mywildalberta.ca/fishing/fish-stocking/fsm-images/Figure%20Eight%20Lake/Figure%20Eight%20(1).jpg</x:v>
      </x:c>
    </x:row>
    <x:row r="224" ht="48" customHeight="1">
      <x:c r="A224" s="8" t="str">
        <x:v>Figure Eight Lake</x:v>
      </x:c>
      <x:c r="B224" s="8" t="str">
        <x:v>6827</x:v>
      </x:c>
      <x:c r="C224" s="11" t="str">
        <x:v>Figure Eight (2)</x:v>
      </x:c>
      <x:c r="D224" s="15" t="str">
        <x:f>IFERROR(HYPERLINK("https://mywildalberta.ca/fishing/fish-stocking/fsm-images/Figure%20Eight%20Lake/Figure%20Eight%20(2).jpg","https://mywildalberta.ca/fishing/fish-stocking/fsm-images/Figure%20Eight%20Lake/Figure%20Eight%20(2).jpg"),"https://mywildalberta.ca/fishing/fish-stocking/fsm-images/Figure%20Eight%20Lake/Figure%20Eight%20(2).jpg")</x:f>
        <x:v>https://mywildalberta.ca/fishing/fish-stocking/fsm-images/Figure%20Eight%20Lake/Figure%20Eight%20(2).jpg</x:v>
      </x:c>
    </x:row>
    <x:row r="225" ht="48" customHeight="1">
      <x:c r="A225" s="8" t="str">
        <x:v>Figure Eight Lake</x:v>
      </x:c>
      <x:c r="B225" s="8" t="str">
        <x:v>6827</x:v>
      </x:c>
      <x:c r="C225" s="11" t="str">
        <x:v>Figure Eight (3)</x:v>
      </x:c>
      <x:c r="D225" s="15" t="str">
        <x:f>IFERROR(HYPERLINK("https://mywildalberta.ca/fishing/fish-stocking/fsm-images/Figure%20Eight%20Lake/Figure%20Eight%20(3).jpg","https://mywildalberta.ca/fishing/fish-stocking/fsm-images/Figure%20Eight%20Lake/Figure%20Eight%20(3).jpg"),"https://mywildalberta.ca/fishing/fish-stocking/fsm-images/Figure%20Eight%20Lake/Figure%20Eight%20(3).jpg")</x:f>
        <x:v>https://mywildalberta.ca/fishing/fish-stocking/fsm-images/Figure%20Eight%20Lake/Figure%20Eight%20(3).jpg</x:v>
      </x:c>
    </x:row>
    <x:row r="226" ht="48" customHeight="1">
      <x:c r="A226" s="8" t="str">
        <x:v>Figure Eight Lake</x:v>
      </x:c>
      <x:c r="B226" s="8" t="str">
        <x:v>6827</x:v>
      </x:c>
      <x:c r="C226" s="11" t="str">
        <x:v>Figure Eight (4)</x:v>
      </x:c>
      <x:c r="D226" s="15" t="str">
        <x:f>IFERROR(HYPERLINK("https://mywildalberta.ca/fishing/fish-stocking/fsm-images/Figure%20Eight%20Lake/Figure%20Eight%20(4).jpg","https://mywildalberta.ca/fishing/fish-stocking/fsm-images/Figure%20Eight%20Lake/Figure%20Eight%20(4).jpg"),"https://mywildalberta.ca/fishing/fish-stocking/fsm-images/Figure%20Eight%20Lake/Figure%20Eight%20(4).jpg")</x:f>
        <x:v>https://mywildalberta.ca/fishing/fish-stocking/fsm-images/Figure%20Eight%20Lake/Figure%20Eight%20(4).jpg</x:v>
      </x:c>
    </x:row>
    <x:row r="227" ht="48" customHeight="1">
      <x:c r="A227" s="8" t="str">
        <x:v>Fish Lake</x:v>
      </x:c>
      <x:c r="B227" s="8" t="str">
        <x:v>5804</x:v>
      </x:c>
      <x:c r="C227" s="11" t="str">
        <x:v>bathroom Facilites (2)</x:v>
      </x:c>
      <x:c r="D227" s="15" t="str">
        <x:f>IFERROR(HYPERLINK("https://mywildalberta.ca/fishing/fish-stocking/fsm-images/Fish%20Lake/bathroom%20Facilites%20(2).jpg","https://mywildalberta.ca/fishing/fish-stocking/fsm-images/Fish%20Lake/bathroom%20Facilites%20(2).jpg"),"https://mywildalberta.ca/fishing/fish-stocking/fsm-images/Fish%20Lake/bathroom%20Facilites%20(2).jpg")</x:f>
        <x:v>https://mywildalberta.ca/fishing/fish-stocking/fsm-images/Fish%20Lake/bathroom%20Facilites%20(2).jpg</x:v>
      </x:c>
    </x:row>
    <x:row r="228" ht="48" customHeight="1">
      <x:c r="A228" s="8" t="str">
        <x:v>Fish Lake</x:v>
      </x:c>
      <x:c r="B228" s="8" t="str">
        <x:v>5804</x:v>
      </x:c>
      <x:c r="C228" s="11" t="str">
        <x:v>Bathroom Facilities</x:v>
      </x:c>
      <x:c r="D228" s="15" t="str">
        <x:f>IFERROR(HYPERLINK("https://mywildalberta.ca/fishing/fish-stocking/fsm-images/Fish%20Lake/Bathroom%20Facilities.jpg","https://mywildalberta.ca/fishing/fish-stocking/fsm-images/Fish%20Lake/Bathroom%20Facilities.jpg"),"https://mywildalberta.ca/fishing/fish-stocking/fsm-images/Fish%20Lake/Bathroom%20Facilities.jpg")</x:f>
        <x:v>https://mywildalberta.ca/fishing/fish-stocking/fsm-images/Fish%20Lake/Bathroom%20Facilities.jpg</x:v>
      </x:c>
    </x:row>
    <x:row r="229" ht="48" customHeight="1">
      <x:c r="A229" s="8" t="str">
        <x:v>Fish Lake</x:v>
      </x:c>
      <x:c r="B229" s="8" t="str">
        <x:v>5804</x:v>
      </x:c>
      <x:c r="C229" s="11" t="str">
        <x:v>Boat Dock</x:v>
      </x:c>
      <x:c r="D229" s="15" t="str">
        <x:f>IFERROR(HYPERLINK("https://mywildalberta.ca/fishing/fish-stocking/fsm-images/Fish%20Lake/Boat%20Dock.jpg","https://mywildalberta.ca/fishing/fish-stocking/fsm-images/Fish%20Lake/Boat%20Dock.jpg"),"https://mywildalberta.ca/fishing/fish-stocking/fsm-images/Fish%20Lake/Boat%20Dock.jpg")</x:f>
        <x:v>https://mywildalberta.ca/fishing/fish-stocking/fsm-images/Fish%20Lake/Boat%20Dock.jpg</x:v>
      </x:c>
    </x:row>
    <x:row r="230" ht="48" customHeight="1">
      <x:c r="A230" s="8" t="str">
        <x:v>Fish Lake</x:v>
      </x:c>
      <x:c r="B230" s="8" t="str">
        <x:v>5804</x:v>
      </x:c>
      <x:c r="C230" s="11" t="str">
        <x:v>Camping and recreation</x:v>
      </x:c>
      <x:c r="D230" s="15" t="str">
        <x:f>IFERROR(HYPERLINK("https://mywildalberta.ca/fishing/fish-stocking/fsm-images/Fish%20Lake/Camping%20and%20recreation.jpg","https://mywildalberta.ca/fishing/fish-stocking/fsm-images/Fish%20Lake/Camping%20and%20recreation.jpg"),"https://mywildalberta.ca/fishing/fish-stocking/fsm-images/Fish%20Lake/Camping%20and%20recreation.jpg")</x:f>
        <x:v>https://mywildalberta.ca/fishing/fish-stocking/fsm-images/Fish%20Lake/Camping%20and%20recreation.jpg</x:v>
      </x:c>
    </x:row>
    <x:row r="231" ht="48" customHeight="1">
      <x:c r="A231" s="8" t="str">
        <x:v>Fish Lake</x:v>
      </x:c>
      <x:c r="B231" s="8" t="str">
        <x:v>5804</x:v>
      </x:c>
      <x:c r="C231" s="11" t="str">
        <x:v>Cook Shack</x:v>
      </x:c>
      <x:c r="D231" s="15" t="str">
        <x:f>IFERROR(HYPERLINK("https://mywildalberta.ca/fishing/fish-stocking/fsm-images/Fish%20Lake/Cook%20Shack.jpg","https://mywildalberta.ca/fishing/fish-stocking/fsm-images/Fish%20Lake/Cook%20Shack.jpg"),"https://mywildalberta.ca/fishing/fish-stocking/fsm-images/Fish%20Lake/Cook%20Shack.jpg")</x:f>
        <x:v>https://mywildalberta.ca/fishing/fish-stocking/fsm-images/Fish%20Lake/Cook%20Shack.jpg</x:v>
      </x:c>
    </x:row>
    <x:row r="232" ht="48" customHeight="1">
      <x:c r="A232" s="8" t="str">
        <x:v>Fish Lake</x:v>
      </x:c>
      <x:c r="B232" s="8" t="str">
        <x:v>5804</x:v>
      </x:c>
      <x:c r="C232" s="11" t="str">
        <x:v>Dock Access</x:v>
      </x:c>
      <x:c r="D232" s="15" t="str">
        <x:f>IFERROR(HYPERLINK("https://mywildalberta.ca/fishing/fish-stocking/fsm-images/Fish%20Lake/Dock%20Access.jpg","https://mywildalberta.ca/fishing/fish-stocking/fsm-images/Fish%20Lake/Dock%20Access.jpg"),"https://mywildalberta.ca/fishing/fish-stocking/fsm-images/Fish%20Lake/Dock%20Access.jpg")</x:f>
        <x:v>https://mywildalberta.ca/fishing/fish-stocking/fsm-images/Fish%20Lake/Dock%20Access.jpg</x:v>
      </x:c>
    </x:row>
    <x:row r="233" ht="48" customHeight="1">
      <x:c r="A233" s="8" t="str">
        <x:v>Fish Lake</x:v>
      </x:c>
      <x:c r="B233" s="8" t="str">
        <x:v>5804</x:v>
      </x:c>
      <x:c r="C233" s="11" t="str">
        <x:v>Dock</x:v>
      </x:c>
      <x:c r="D233" s="15" t="str">
        <x:f>IFERROR(HYPERLINK("https://mywildalberta.ca/fishing/fish-stocking/fsm-images/Fish%20Lake/Dock.jpg","https://mywildalberta.ca/fishing/fish-stocking/fsm-images/Fish%20Lake/Dock.jpg"),"https://mywildalberta.ca/fishing/fish-stocking/fsm-images/Fish%20Lake/Dock.jpg")</x:f>
        <x:v>https://mywildalberta.ca/fishing/fish-stocking/fsm-images/Fish%20Lake/Dock.jpg</x:v>
      </x:c>
    </x:row>
    <x:row r="234" ht="48" customHeight="1">
      <x:c r="A234" s="8" t="str">
        <x:v>Fish Lake</x:v>
      </x:c>
      <x:c r="B234" s="8" t="str">
        <x:v>5804</x:v>
      </x:c>
      <x:c r="C234" s="11" t="str">
        <x:v>Fish Cleaning Station</x:v>
      </x:c>
      <x:c r="D234" s="15" t="str">
        <x:f>IFERROR(HYPERLINK("https://mywildalberta.ca/fishing/fish-stocking/fsm-images/Fish%20Lake/Fish%20Cleaning%20Station.jpg","https://mywildalberta.ca/fishing/fish-stocking/fsm-images/Fish%20Lake/Fish%20Cleaning%20Station.jpg"),"https://mywildalberta.ca/fishing/fish-stocking/fsm-images/Fish%20Lake/Fish%20Cleaning%20Station.jpg")</x:f>
        <x:v>https://mywildalberta.ca/fishing/fish-stocking/fsm-images/Fish%20Lake/Fish%20Cleaning%20Station.jpg</x:v>
      </x:c>
    </x:row>
    <x:row r="235" ht="48" customHeight="1">
      <x:c r="A235" s="8" t="str">
        <x:v>Fish Lake</x:v>
      </x:c>
      <x:c r="B235" s="8" t="str">
        <x:v>5804</x:v>
      </x:c>
      <x:c r="C235" s="11" t="str">
        <x:v>garbage and Water Pump</x:v>
      </x:c>
      <x:c r="D235" s="15" t="str">
        <x:f>IFERROR(HYPERLINK("https://mywildalberta.ca/fishing/fish-stocking/fsm-images/Fish%20Lake/garbage%20and%20Water%20Pump.jpg","https://mywildalberta.ca/fishing/fish-stocking/fsm-images/Fish%20Lake/garbage%20and%20Water%20Pump.jpg"),"https://mywildalberta.ca/fishing/fish-stocking/fsm-images/Fish%20Lake/garbage%20and%20Water%20Pump.jpg")</x:f>
        <x:v>https://mywildalberta.ca/fishing/fish-stocking/fsm-images/Fish%20Lake/garbage%20and%20Water%20Pump.jpg</x:v>
      </x:c>
    </x:row>
    <x:row r="236" ht="48" customHeight="1">
      <x:c r="A236" s="8" t="str">
        <x:v>Fish Lake</x:v>
      </x:c>
      <x:c r="B236" s="8" t="str">
        <x:v>5804</x:v>
      </x:c>
      <x:c r="C236" s="11" t="str">
        <x:v>Garbage Site</x:v>
      </x:c>
      <x:c r="D236" s="15" t="str">
        <x:f>IFERROR(HYPERLINK("https://mywildalberta.ca/fishing/fish-stocking/fsm-images/Fish%20Lake/Garbage%20Site.jpg","https://mywildalberta.ca/fishing/fish-stocking/fsm-images/Fish%20Lake/Garbage%20Site.jpg"),"https://mywildalberta.ca/fishing/fish-stocking/fsm-images/Fish%20Lake/Garbage%20Site.jpg")</x:f>
        <x:v>https://mywildalberta.ca/fishing/fish-stocking/fsm-images/Fish%20Lake/Garbage%20Site.jpg</x:v>
      </x:c>
    </x:row>
    <x:row r="237" ht="48" customHeight="1">
      <x:c r="A237" s="8" t="str">
        <x:v>Fish Lake</x:v>
      </x:c>
      <x:c r="B237" s="8" t="str">
        <x:v>5804</x:v>
      </x:c>
      <x:c r="C237" s="11" t="str">
        <x:v>Information Center</x:v>
      </x:c>
      <x:c r="D237" s="15" t="str">
        <x:f>IFERROR(HYPERLINK("https://mywildalberta.ca/fishing/fish-stocking/fsm-images/Fish%20Lake/Information%20Center.jpg","https://mywildalberta.ca/fishing/fish-stocking/fsm-images/Fish%20Lake/Information%20Center.jpg"),"https://mywildalberta.ca/fishing/fish-stocking/fsm-images/Fish%20Lake/Information%20Center.jpg")</x:f>
        <x:v>https://mywildalberta.ca/fishing/fish-stocking/fsm-images/Fish%20Lake/Information%20Center.jpg</x:v>
      </x:c>
    </x:row>
    <x:row r="238" ht="48" customHeight="1">
      <x:c r="A238" s="8" t="str">
        <x:v>Fish Lake</x:v>
      </x:c>
      <x:c r="B238" s="8" t="str">
        <x:v>5804</x:v>
      </x:c>
      <x:c r="C238" s="11" t="str">
        <x:v>Lake Configuration</x:v>
      </x:c>
      <x:c r="D238" s="15" t="str">
        <x:f>IFERROR(HYPERLINK("https://mywildalberta.ca/fishing/fish-stocking/fsm-images/Fish%20Lake/Lake%20Configuration.jpg","https://mywildalberta.ca/fishing/fish-stocking/fsm-images/Fish%20Lake/Lake%20Configuration.jpg"),"https://mywildalberta.ca/fishing/fish-stocking/fsm-images/Fish%20Lake/Lake%20Configuration.jpg")</x:f>
        <x:v>https://mywildalberta.ca/fishing/fish-stocking/fsm-images/Fish%20Lake/Lake%20Configuration.jpg</x:v>
      </x:c>
    </x:row>
    <x:row r="239" ht="48" customHeight="1">
      <x:c r="A239" s="8" t="str">
        <x:v>Fish Lake</x:v>
      </x:c>
      <x:c r="B239" s="8" t="str">
        <x:v>5804</x:v>
      </x:c>
      <x:c r="C239" s="11" t="str">
        <x:v>Open Water View</x:v>
      </x:c>
      <x:c r="D239" s="15" t="str">
        <x:f>IFERROR(HYPERLINK("https://mywildalberta.ca/fishing/fish-stocking/fsm-images/Fish%20Lake/Open%20Water%20View.jpg","https://mywildalberta.ca/fishing/fish-stocking/fsm-images/Fish%20Lake/Open%20Water%20View.jpg"),"https://mywildalberta.ca/fishing/fish-stocking/fsm-images/Fish%20Lake/Open%20Water%20View.jpg")</x:f>
        <x:v>https://mywildalberta.ca/fishing/fish-stocking/fsm-images/Fish%20Lake/Open%20Water%20View.jpg</x:v>
      </x:c>
    </x:row>
    <x:row r="240" ht="48" customHeight="1">
      <x:c r="A240" s="8" t="str">
        <x:v>Fish Lake</x:v>
      </x:c>
      <x:c r="B240" s="8" t="str">
        <x:v>5804</x:v>
      </x:c>
      <x:c r="C240" s="11" t="str">
        <x:v>registration booth</x:v>
      </x:c>
      <x:c r="D240" s="15" t="str">
        <x:f>IFERROR(HYPERLINK("https://mywildalberta.ca/fishing/fish-stocking/fsm-images/Fish%20Lake/registration%20booth.jpg","https://mywildalberta.ca/fishing/fish-stocking/fsm-images/Fish%20Lake/registration%20booth.jpg"),"https://mywildalberta.ca/fishing/fish-stocking/fsm-images/Fish%20Lake/registration%20booth.jpg")</x:f>
        <x:v>https://mywildalberta.ca/fishing/fish-stocking/fsm-images/Fish%20Lake/registration%20booth.jpg</x:v>
      </x:c>
    </x:row>
    <x:row r="241" ht="48" customHeight="1">
      <x:c r="A241" s="8" t="str">
        <x:v>Fish Lake</x:v>
      </x:c>
      <x:c r="B241" s="8" t="str">
        <x:v>5804</x:v>
      </x:c>
      <x:c r="C241" s="11" t="str">
        <x:v>Shunda (1)</x:v>
      </x:c>
      <x:c r="D241" s="15" t="str">
        <x:f>IFERROR(HYPERLINK("https://mywildalberta.ca/fishing/fish-stocking/fsm-images/Fish%20Lake/Shunda%20(1).JPG","https://mywildalberta.ca/fishing/fish-stocking/fsm-images/Fish%20Lake/Shunda%20(1).JPG"),"https://mywildalberta.ca/fishing/fish-stocking/fsm-images/Fish%20Lake/Shunda%20(1).JPG")</x:f>
        <x:v>https://mywildalberta.ca/fishing/fish-stocking/fsm-images/Fish%20Lake/Shunda%20(1).JPG</x:v>
      </x:c>
    </x:row>
    <x:row r="242" ht="48" customHeight="1">
      <x:c r="A242" s="8" t="str">
        <x:v>Fish Lake</x:v>
      </x:c>
      <x:c r="B242" s="8" t="str">
        <x:v>5804</x:v>
      </x:c>
      <x:c r="C242" s="11" t="str">
        <x:v>Trail Bridge</x:v>
      </x:c>
      <x:c r="D242" s="15" t="str">
        <x:f>IFERROR(HYPERLINK("https://mywildalberta.ca/fishing/fish-stocking/fsm-images/Fish%20Lake/Trail%20Bridge.jpg","https://mywildalberta.ca/fishing/fish-stocking/fsm-images/Fish%20Lake/Trail%20Bridge.jpg"),"https://mywildalberta.ca/fishing/fish-stocking/fsm-images/Fish%20Lake/Trail%20Bridge.jpg")</x:f>
        <x:v>https://mywildalberta.ca/fishing/fish-stocking/fsm-images/Fish%20Lake/Trail%20Bridge.jpg</x:v>
      </x:c>
    </x:row>
    <x:row r="243" ht="48" customHeight="1">
      <x:c r="A243" s="8" t="str">
        <x:v>Fish Lake</x:v>
      </x:c>
      <x:c r="B243" s="8" t="str">
        <x:v>5804</x:v>
      </x:c>
      <x:c r="C243" s="11" t="str">
        <x:v>Trail To Shore</x:v>
      </x:c>
      <x:c r="D243" s="15" t="str">
        <x:f>IFERROR(HYPERLINK("https://mywildalberta.ca/fishing/fish-stocking/fsm-images/Fish%20Lake/Trail%20To%20Shore.jpg","https://mywildalberta.ca/fishing/fish-stocking/fsm-images/Fish%20Lake/Trail%20To%20Shore.jpg"),"https://mywildalberta.ca/fishing/fish-stocking/fsm-images/Fish%20Lake/Trail%20To%20Shore.jpg")</x:f>
        <x:v>https://mywildalberta.ca/fishing/fish-stocking/fsm-images/Fish%20Lake/Trail%20To%20Shore.jpg</x:v>
      </x:c>
    </x:row>
    <x:row r="244" ht="48" customHeight="1">
      <x:c r="A244" s="8" t="str">
        <x:v>Fish Lake</x:v>
      </x:c>
      <x:c r="B244" s="8" t="str">
        <x:v>5804</x:v>
      </x:c>
      <x:c r="C244" s="11" t="str">
        <x:v>View across lake</x:v>
      </x:c>
      <x:c r="D244" s="15" t="str">
        <x:f>IFERROR(HYPERLINK("https://mywildalberta.ca/fishing/fish-stocking/fsm-images/Fish%20Lake/View%20across%20lake.jpg","https://mywildalberta.ca/fishing/fish-stocking/fsm-images/Fish%20Lake/View%20across%20lake.jpg"),"https://mywildalberta.ca/fishing/fish-stocking/fsm-images/Fish%20Lake/View%20across%20lake.jpg")</x:f>
        <x:v>https://mywildalberta.ca/fishing/fish-stocking/fsm-images/Fish%20Lake/View%20across%20lake.jpg</x:v>
      </x:c>
    </x:row>
    <x:row r="245" ht="48" customHeight="1">
      <x:c r="A245" s="8" t="str">
        <x:v>Fish Lake</x:v>
      </x:c>
      <x:c r="B245" s="8" t="str">
        <x:v>5804</x:v>
      </x:c>
      <x:c r="C245" s="11" t="str">
        <x:v>View from Dock (2)</x:v>
      </x:c>
      <x:c r="D245" s="15" t="str">
        <x:f>IFERROR(HYPERLINK("https://mywildalberta.ca/fishing/fish-stocking/fsm-images/Fish%20Lake/View%20from%20Dock%20(2).jpg","https://mywildalberta.ca/fishing/fish-stocking/fsm-images/Fish%20Lake/View%20from%20Dock%20(2).jpg"),"https://mywildalberta.ca/fishing/fish-stocking/fsm-images/Fish%20Lake/View%20from%20Dock%20(2).jpg")</x:f>
        <x:v>https://mywildalberta.ca/fishing/fish-stocking/fsm-images/Fish%20Lake/View%20from%20Dock%20(2).jpg</x:v>
      </x:c>
    </x:row>
    <x:row r="246" ht="48" customHeight="1">
      <x:c r="A246" s="8" t="str">
        <x:v>Fish Lake</x:v>
      </x:c>
      <x:c r="B246" s="8" t="str">
        <x:v>5804</x:v>
      </x:c>
      <x:c r="C246" s="11" t="str">
        <x:v>View from Dock</x:v>
      </x:c>
      <x:c r="D246" s="15" t="str">
        <x:f>IFERROR(HYPERLINK("https://mywildalberta.ca/fishing/fish-stocking/fsm-images/Fish%20Lake/View%20from%20Dock.jpg","https://mywildalberta.ca/fishing/fish-stocking/fsm-images/Fish%20Lake/View%20from%20Dock.jpg"),"https://mywildalberta.ca/fishing/fish-stocking/fsm-images/Fish%20Lake/View%20from%20Dock.jpg")</x:f>
        <x:v>https://mywildalberta.ca/fishing/fish-stocking/fsm-images/Fish%20Lake/View%20from%20Dock.jpg</x:v>
      </x:c>
    </x:row>
    <x:row r="247" ht="48" customHeight="1">
      <x:c r="A247" s="8" t="str">
        <x:v>Fish Lake</x:v>
      </x:c>
      <x:c r="B247" s="8" t="str">
        <x:v>5804</x:v>
      </x:c>
      <x:c r="C247" s="11" t="str">
        <x:v>View from Shore (2)</x:v>
      </x:c>
      <x:c r="D247" s="15" t="str">
        <x:f>IFERROR(HYPERLINK("https://mywildalberta.ca/fishing/fish-stocking/fsm-images/Fish%20Lake/View%20from%20Shore%20(2).jpg","https://mywildalberta.ca/fishing/fish-stocking/fsm-images/Fish%20Lake/View%20from%20Shore%20(2).jpg"),"https://mywildalberta.ca/fishing/fish-stocking/fsm-images/Fish%20Lake/View%20from%20Shore%20(2).jpg")</x:f>
        <x:v>https://mywildalberta.ca/fishing/fish-stocking/fsm-images/Fish%20Lake/View%20from%20Shore%20(2).jpg</x:v>
      </x:c>
    </x:row>
    <x:row r="248" ht="48" customHeight="1">
      <x:c r="A248" s="8" t="str">
        <x:v>Fish Lake</x:v>
      </x:c>
      <x:c r="B248" s="8" t="str">
        <x:v>5804</x:v>
      </x:c>
      <x:c r="C248" s="11" t="str">
        <x:v>View from Shore (3)</x:v>
      </x:c>
      <x:c r="D248" s="15" t="str">
        <x:f>IFERROR(HYPERLINK("https://mywildalberta.ca/fishing/fish-stocking/fsm-images/Fish%20Lake/View%20from%20Shore%20(3).jpg","https://mywildalberta.ca/fishing/fish-stocking/fsm-images/Fish%20Lake/View%20from%20Shore%20(3).jpg"),"https://mywildalberta.ca/fishing/fish-stocking/fsm-images/Fish%20Lake/View%20from%20Shore%20(3).jpg")</x:f>
        <x:v>https://mywildalberta.ca/fishing/fish-stocking/fsm-images/Fish%20Lake/View%20from%20Shore%20(3).jpg</x:v>
      </x:c>
    </x:row>
    <x:row r="249" ht="48" customHeight="1">
      <x:c r="A249" s="8" t="str">
        <x:v>Fish Lake</x:v>
      </x:c>
      <x:c r="B249" s="8" t="str">
        <x:v>5804</x:v>
      </x:c>
      <x:c r="C249" s="11" t="str">
        <x:v>View from Shore (4)</x:v>
      </x:c>
      <x:c r="D249" s="15" t="str">
        <x:f>IFERROR(HYPERLINK("https://mywildalberta.ca/fishing/fish-stocking/fsm-images/Fish%20Lake/View%20from%20Shore%20(4).jpg","https://mywildalberta.ca/fishing/fish-stocking/fsm-images/Fish%20Lake/View%20from%20Shore%20(4).jpg"),"https://mywildalberta.ca/fishing/fish-stocking/fsm-images/Fish%20Lake/View%20from%20Shore%20(4).jpg")</x:f>
        <x:v>https://mywildalberta.ca/fishing/fish-stocking/fsm-images/Fish%20Lake/View%20from%20Shore%20(4).jpg</x:v>
      </x:c>
    </x:row>
    <x:row r="250" ht="48" customHeight="1">
      <x:c r="A250" s="8" t="str">
        <x:v>Fish Lake</x:v>
      </x:c>
      <x:c r="B250" s="8" t="str">
        <x:v>5804</x:v>
      </x:c>
      <x:c r="C250" s="11" t="str">
        <x:v>View from Shore (5)</x:v>
      </x:c>
      <x:c r="D250" s="15" t="str">
        <x:f>IFERROR(HYPERLINK("https://mywildalberta.ca/fishing/fish-stocking/fsm-images/Fish%20Lake/View%20from%20Shore%20(5).jpg","https://mywildalberta.ca/fishing/fish-stocking/fsm-images/Fish%20Lake/View%20from%20Shore%20(5).jpg"),"https://mywildalberta.ca/fishing/fish-stocking/fsm-images/Fish%20Lake/View%20from%20Shore%20(5).jpg")</x:f>
        <x:v>https://mywildalberta.ca/fishing/fish-stocking/fsm-images/Fish%20Lake/View%20from%20Shore%20(5).jpg</x:v>
      </x:c>
    </x:row>
    <x:row r="251" ht="48" customHeight="1">
      <x:c r="A251" s="8" t="str">
        <x:v>Fish Lake</x:v>
      </x:c>
      <x:c r="B251" s="8" t="str">
        <x:v>5804</x:v>
      </x:c>
      <x:c r="C251" s="11" t="str">
        <x:v>View from Shore</x:v>
      </x:c>
      <x:c r="D251" s="15" t="str">
        <x:f>IFERROR(HYPERLINK("https://mywildalberta.ca/fishing/fish-stocking/fsm-images/Fish%20Lake/View%20from%20Shore.jpg","https://mywildalberta.ca/fishing/fish-stocking/fsm-images/Fish%20Lake/View%20from%20Shore.jpg"),"https://mywildalberta.ca/fishing/fish-stocking/fsm-images/Fish%20Lake/View%20from%20Shore.jpg")</x:f>
        <x:v>https://mywildalberta.ca/fishing/fish-stocking/fsm-images/Fish%20Lake/View%20from%20Shore.jpg</x:v>
      </x:c>
    </x:row>
    <x:row r="252" ht="48" customHeight="1">
      <x:c r="A252" s="8" t="str">
        <x:v>Fish Lake</x:v>
      </x:c>
      <x:c r="B252" s="8" t="str">
        <x:v>5804</x:v>
      </x:c>
      <x:c r="C252" s="11" t="str">
        <x:v>Washroom Facilities</x:v>
      </x:c>
      <x:c r="D252" s="15" t="str">
        <x:f>IFERROR(HYPERLINK("https://mywildalberta.ca/fishing/fish-stocking/fsm-images/Fish%20Lake/Washroom%20Facilities.jpg","https://mywildalberta.ca/fishing/fish-stocking/fsm-images/Fish%20Lake/Washroom%20Facilities.jpg"),"https://mywildalberta.ca/fishing/fish-stocking/fsm-images/Fish%20Lake/Washroom%20Facilities.jpg")</x:f>
        <x:v>https://mywildalberta.ca/fishing/fish-stocking/fsm-images/Fish%20Lake/Washroom%20Facilities.jpg</x:v>
      </x:c>
    </x:row>
    <x:row r="253" ht="48" customHeight="1">
      <x:c r="A253" s="8" t="str">
        <x:v>Fish Lake</x:v>
      </x:c>
      <x:c r="B253" s="8" t="str">
        <x:v>5804</x:v>
      </x:c>
      <x:c r="C253" s="11" t="str">
        <x:v>Washroom</x:v>
      </x:c>
      <x:c r="D253" s="15" t="str">
        <x:f>IFERROR(HYPERLINK("https://mywildalberta.ca/fishing/fish-stocking/fsm-images/Fish%20Lake/Washroom.jpg","https://mywildalberta.ca/fishing/fish-stocking/fsm-images/Fish%20Lake/Washroom.jpg"),"https://mywildalberta.ca/fishing/fish-stocking/fsm-images/Fish%20Lake/Washroom.jpg")</x:f>
        <x:v>https://mywildalberta.ca/fishing/fish-stocking/fsm-images/Fish%20Lake/Washroom.jpg</x:v>
      </x:c>
    </x:row>
    <x:row r="254" ht="48" customHeight="1">
      <x:c r="A254" s="8" t="str">
        <x:v>Fish Lake</x:v>
      </x:c>
      <x:c r="B254" s="8" t="str">
        <x:v>5804</x:v>
      </x:c>
      <x:c r="C254" s="11" t="str">
        <x:v>Wide View of Lake</x:v>
      </x:c>
      <x:c r="D254" s="15" t="str">
        <x:f>IFERROR(HYPERLINK("https://mywildalberta.ca/fishing/fish-stocking/fsm-images/Fish%20Lake/Wide%20View%20of%20Lake.jpg","https://mywildalberta.ca/fishing/fish-stocking/fsm-images/Fish%20Lake/Wide%20View%20of%20Lake.jpg"),"https://mywildalberta.ca/fishing/fish-stocking/fsm-images/Fish%20Lake/Wide%20View%20of%20Lake.jpg")</x:f>
        <x:v>https://mywildalberta.ca/fishing/fish-stocking/fsm-images/Fish%20Lake/Wide%20View%20of%20Lake.jpg</x:v>
      </x:c>
    </x:row>
    <x:row r="255" ht="48" customHeight="1">
      <x:c r="A255" s="8" t="str">
        <x:v>Fish Lake</x:v>
      </x:c>
      <x:c r="B255" s="8" t="str">
        <x:v>5804</x:v>
      </x:c>
      <x:c r="C255" s="11" t="str">
        <x:v>Wide View</x:v>
      </x:c>
      <x:c r="D255" s="15" t="str">
        <x:f>IFERROR(HYPERLINK("https://mywildalberta.ca/fishing/fish-stocking/fsm-images/Fish%20Lake/Wide%20View.jpg","https://mywildalberta.ca/fishing/fish-stocking/fsm-images/Fish%20Lake/Wide%20View.jpg"),"https://mywildalberta.ca/fishing/fish-stocking/fsm-images/Fish%20Lake/Wide%20View.jpg")</x:f>
        <x:v>https://mywildalberta.ca/fishing/fish-stocking/fsm-images/Fish%20Lake/Wide%20View.jpg</x:v>
      </x:c>
    </x:row>
    <x:row r="256" ht="48" customHeight="1">
      <x:c r="A256" s="8" t="str">
        <x:v>Fish Lake</x:v>
      </x:c>
      <x:c r="B256" s="8" t="str">
        <x:v>5804</x:v>
      </x:c>
      <x:c r="C256" s="11" t="str">
        <x:v>Wood Storage</x:v>
      </x:c>
      <x:c r="D256" s="15" t="str">
        <x:f>IFERROR(HYPERLINK("https://mywildalberta.ca/fishing/fish-stocking/fsm-images/Fish%20Lake/Wood%20Storage.jpg","https://mywildalberta.ca/fishing/fish-stocking/fsm-images/Fish%20Lake/Wood%20Storage.jpg"),"https://mywildalberta.ca/fishing/fish-stocking/fsm-images/Fish%20Lake/Wood%20Storage.jpg")</x:f>
        <x:v>https://mywildalberta.ca/fishing/fish-stocking/fsm-images/Fish%20Lake/Wood%20Storage.jpg</x:v>
      </x:c>
    </x:row>
    <x:row r="257" ht="48" customHeight="1">
      <x:c r="A257" s="8" t="str">
        <x:v>Footner Pond</x:v>
      </x:c>
      <x:c r="B257" s="8" t="str">
        <x:v>6830</x:v>
      </x:c>
      <x:c r="C257" s="11" t="str">
        <x:v>footner pond with picnic tables</x:v>
      </x:c>
      <x:c r="D257" s="15" t="str">
        <x:f>IFERROR(HYPERLINK("https://mywildalberta.ca/fishing/fish-stocking/fsm-images/Footner%20Pond/footner%20pond%20with%20picnic%20tables.jpg","https://mywildalberta.ca/fishing/fish-stocking/fsm-images/Footner%20Pond/footner%20pond%20with%20picnic%20tables.jpg"),"https://mywildalberta.ca/fishing/fish-stocking/fsm-images/Footner%20Pond/footner%20pond%20with%20picnic%20tables.jpg")</x:f>
        <x:v>https://mywildalberta.ca/fishing/fish-stocking/fsm-images/Footner%20Pond/footner%20pond%20with%20picnic%20tables.jpg</x:v>
      </x:c>
    </x:row>
    <x:row r="258" ht="48" customHeight="1">
      <x:c r="A258" s="8" t="str">
        <x:v>Footner Pond</x:v>
      </x:c>
      <x:c r="B258" s="8" t="str">
        <x:v>6830</x:v>
      </x:c>
      <x:c r="C258" s="11" t="str">
        <x:v>footner pond with trees in the back ground</x:v>
      </x:c>
      <x:c r="D258" s="15" t="str">
        <x:f>IFERROR(HYPERLINK("https://mywildalberta.ca/fishing/fish-stocking/fsm-images/Footner%20Pond/footner%20pond%20with%20trees%20in%20the%20back%20ground.jpg","https://mywildalberta.ca/fishing/fish-stocking/fsm-images/Footner%20Pond/footner%20pond%20with%20trees%20in%20the%20back%20ground.jpg"),"https://mywildalberta.ca/fishing/fish-stocking/fsm-images/Footner%20Pond/footner%20pond%20with%20trees%20in%20the%20back%20ground.jpg")</x:f>
        <x:v>https://mywildalberta.ca/fishing/fish-stocking/fsm-images/Footner%20Pond/footner%20pond%20with%20trees%20in%20the%20back%20ground.jpg</x:v>
      </x:c>
    </x:row>
    <x:row r="259" ht="48" customHeight="1">
      <x:c r="A259" s="8" t="str">
        <x:v>Footner Pond</x:v>
      </x:c>
      <x:c r="B259" s="8" t="str">
        <x:v>6830</x:v>
      </x:c>
      <x:c r="C259" s="11" t="str">
        <x:v>Footner Pond</x:v>
      </x:c>
      <x:c r="D259" s="15" t="str">
        <x:f>IFERROR(HYPERLINK("https://mywildalberta.ca/fishing/fish-stocking/fsm-images/Footner%20Pond/Footner%20Pond.jpg","https://mywildalberta.ca/fishing/fish-stocking/fsm-images/Footner%20Pond/Footner%20Pond.jpg"),"https://mywildalberta.ca/fishing/fish-stocking/fsm-images/Footner%20Pond/Footner%20Pond.jpg")</x:f>
        <x:v>https://mywildalberta.ca/fishing/fish-stocking/fsm-images/Footner%20Pond/Footner%20Pond.jpg</x:v>
      </x:c>
    </x:row>
    <x:row r="260" ht="48" customHeight="1">
      <x:c r="A260" s="8" t="str">
        <x:v>Foremost Reservoir</x:v>
      </x:c>
      <x:c r="B260" s="8" t="str">
        <x:v>6831</x:v>
      </x:c>
      <x:c r="C260" s="11" t="str">
        <x:v>Foremost Reservoir (3)</x:v>
      </x:c>
      <x:c r="D260" s="15" t="str">
        <x:f>IFERROR(HYPERLINK("https://mywildalberta.ca/fishing/fish-stocking/fsm-images/Foremost%20Reservoir/Foremost%20Reservoir%20(3).JPG","https://mywildalberta.ca/fishing/fish-stocking/fsm-images/Foremost%20Reservoir/Foremost%20Reservoir%20(3).JPG"),"https://mywildalberta.ca/fishing/fish-stocking/fsm-images/Foremost%20Reservoir/Foremost%20Reservoir%20(3).JPG")</x:f>
        <x:v>https://mywildalberta.ca/fishing/fish-stocking/fsm-images/Foremost%20Reservoir/Foremost%20Reservoir%20(3).JPG</x:v>
      </x:c>
    </x:row>
    <x:row r="261" ht="48" customHeight="1">
      <x:c r="A261" s="8" t="str">
        <x:v>Fortress Lake</x:v>
      </x:c>
      <x:c r="B261" s="8" t="str">
        <x:v>4614</x:v>
      </x:c>
      <x:c r="C261" s="11" t="str">
        <x:v>Fortress Lake (1)</x:v>
      </x:c>
      <x:c r="D261" s="15" t="str">
        <x:f>IFERROR(HYPERLINK("https://mywildalberta.ca/fishing/fish-stocking/fsm-images/Fortress%20Lake/Fortress%20Lake%20(1).JPG","https://mywildalberta.ca/fishing/fish-stocking/fsm-images/Fortress%20Lake/Fortress%20Lake%20(1).JPG"),"https://mywildalberta.ca/fishing/fish-stocking/fsm-images/Fortress%20Lake/Fortress%20Lake%20(1).JPG")</x:f>
        <x:v>https://mywildalberta.ca/fishing/fish-stocking/fsm-images/Fortress%20Lake/Fortress%20Lake%20(1).JPG</x:v>
      </x:c>
    </x:row>
    <x:row r="262" ht="48" customHeight="1">
      <x:c r="A262" s="8" t="str">
        <x:v>Fortress Lake</x:v>
      </x:c>
      <x:c r="B262" s="8" t="str">
        <x:v>4614</x:v>
      </x:c>
      <x:c r="C262" s="11" t="str">
        <x:v>Fortress Lake (2)</x:v>
      </x:c>
      <x:c r="D262" s="15" t="str">
        <x:f>IFERROR(HYPERLINK("https://mywildalberta.ca/fishing/fish-stocking/fsm-images/Fortress%20Lake/Fortress%20Lake%20(2).JPG","https://mywildalberta.ca/fishing/fish-stocking/fsm-images/Fortress%20Lake/Fortress%20Lake%20(2).JPG"),"https://mywildalberta.ca/fishing/fish-stocking/fsm-images/Fortress%20Lake/Fortress%20Lake%20(2).JPG")</x:f>
        <x:v>https://mywildalberta.ca/fishing/fish-stocking/fsm-images/Fortress%20Lake/Fortress%20Lake%20(2).JPG</x:v>
      </x:c>
    </x:row>
    <x:row r="263" ht="48" customHeight="1">
      <x:c r="A263" s="8" t="str">
        <x:v>Fox Creek Trout Pond</x:v>
      </x:c>
      <x:c r="B263" s="8" t="str">
        <x:v>6815</x:v>
      </x:c>
      <x:c r="C263" s="11" t="str">
        <x:v>Fox Creek Pond (1)</x:v>
      </x:c>
      <x:c r="D263" s="15" t="str">
        <x:f>IFERROR(HYPERLINK("https://mywildalberta.ca/fishing/fish-stocking/fsm-images/Fox%20Creek%20Trout%20Pond/Fox%20Creek%20Pond%20(1).JPG","https://mywildalberta.ca/fishing/fish-stocking/fsm-images/Fox%20Creek%20Trout%20Pond/Fox%20Creek%20Pond%20(1).JPG"),"https://mywildalberta.ca/fishing/fish-stocking/fsm-images/Fox%20Creek%20Trout%20Pond/Fox%20Creek%20Pond%20(1).JPG")</x:f>
        <x:v>https://mywildalberta.ca/fishing/fish-stocking/fsm-images/Fox%20Creek%20Trout%20Pond/Fox%20Creek%20Pond%20(1).JPG</x:v>
      </x:c>
    </x:row>
    <x:row r="264" ht="48" customHeight="1">
      <x:c r="A264" s="8" t="str">
        <x:v>Fox Creek Trout Pond</x:v>
      </x:c>
      <x:c r="B264" s="8" t="str">
        <x:v>6815</x:v>
      </x:c>
      <x:c r="C264" s="11" t="str">
        <x:v>Fox Creek Pond after fire</x:v>
      </x:c>
      <x:c r="D264" s="15" t="str">
        <x:f>IFERROR(HYPERLINK("https://mywildalberta.ca/fishing/fish-stocking/fsm-images/Fox%20Creek%20Trout%20Pond/Fox%20Creek%20Pond%20after%20fire.jpg","https://mywildalberta.ca/fishing/fish-stocking/fsm-images/Fox%20Creek%20Trout%20Pond/Fox%20Creek%20Pond%20after%20fire.jpg"),"https://mywildalberta.ca/fishing/fish-stocking/fsm-images/Fox%20Creek%20Trout%20Pond/Fox%20Creek%20Pond%20after%20fire.jpg")</x:f>
        <x:v>https://mywildalberta.ca/fishing/fish-stocking/fsm-images/Fox%20Creek%20Trout%20Pond/Fox%20Creek%20Pond%20after%20fire.jpg</x:v>
      </x:c>
    </x:row>
    <x:row r="265" ht="48" customHeight="1">
      <x:c r="A265" s="8" t="str">
        <x:v>Genesee Trout Pond</x:v>
      </x:c>
      <x:c r="B265" s="8" t="str">
        <x:v>23292</x:v>
      </x:c>
      <x:c r="C265" s="11" t="str">
        <x:v>Genesee Pond (1)</x:v>
      </x:c>
      <x:c r="D265" s="15" t="str">
        <x:f>IFERROR(HYPERLINK("https://mywildalberta.ca/fishing/fish-stocking/fsm-images/Genesee%20Trout%20Pond/Genesee%20Pond%20(1).jpg","https://mywildalberta.ca/fishing/fish-stocking/fsm-images/Genesee%20Trout%20Pond/Genesee%20Pond%20(1).jpg"),"https://mywildalberta.ca/fishing/fish-stocking/fsm-images/Genesee%20Trout%20Pond/Genesee%20Pond%20(1).jpg")</x:f>
        <x:v>https://mywildalberta.ca/fishing/fish-stocking/fsm-images/Genesee%20Trout%20Pond/Genesee%20Pond%20(1).jpg</x:v>
      </x:c>
    </x:row>
    <x:row r="266" ht="48" customHeight="1">
      <x:c r="A266" s="8" t="str">
        <x:v>Goldeye Lake</x:v>
      </x:c>
      <x:c r="B266" s="8" t="str">
        <x:v>4697</x:v>
      </x:c>
      <x:c r="C266" s="11" t="str">
        <x:v>Goldeye Lake dock in the water</x:v>
      </x:c>
      <x:c r="D266" s="15" t="str">
        <x:f>IFERROR(HYPERLINK("https://mywildalberta.ca/fishing/fish-stocking/fsm-images/Goldeye%20Lake/Goldeye%20Lake%20dock%20in%20the%20water.jpg","https://mywildalberta.ca/fishing/fish-stocking/fsm-images/Goldeye%20Lake/Goldeye%20Lake%20dock%20in%20the%20water.jpg"),"https://mywildalberta.ca/fishing/fish-stocking/fsm-images/Goldeye%20Lake/Goldeye%20Lake%20dock%20in%20the%20water.jpg")</x:f>
        <x:v>https://mywildalberta.ca/fishing/fish-stocking/fsm-images/Goldeye%20Lake/Goldeye%20Lake%20dock%20in%20the%20water.jpg</x:v>
      </x:c>
    </x:row>
    <x:row r="267" ht="48" customHeight="1">
      <x:c r="A267" s="8" t="str">
        <x:v>Goldeye Lake</x:v>
      </x:c>
      <x:c r="B267" s="8" t="str">
        <x:v>4697</x:v>
      </x:c>
      <x:c r="C267" s="11" t="str">
        <x:v>Goldeye Lake view from dock</x:v>
      </x:c>
      <x:c r="D267" s="15" t="str">
        <x:f>IFERROR(HYPERLINK("https://mywildalberta.ca/fishing/fish-stocking/fsm-images/Goldeye%20Lake/Goldeye%20Lake%20view%20from%20dock.jpg","https://mywildalberta.ca/fishing/fish-stocking/fsm-images/Goldeye%20Lake/Goldeye%20Lake%20view%20from%20dock.jpg"),"https://mywildalberta.ca/fishing/fish-stocking/fsm-images/Goldeye%20Lake/Goldeye%20Lake%20view%20from%20dock.jpg")</x:f>
        <x:v>https://mywildalberta.ca/fishing/fish-stocking/fsm-images/Goldeye%20Lake/Goldeye%20Lake%20view%20from%20dock.jpg</x:v>
      </x:c>
    </x:row>
    <x:row r="268" ht="48" customHeight="1">
      <x:c r="A268" s="8" t="str">
        <x:v>Grande Cache Lake</x:v>
      </x:c>
      <x:c r="B268" s="8" t="str">
        <x:v>4725</x:v>
      </x:c>
      <x:c r="C268" s="11" t="str">
        <x:v>Grand Cache Lake  boat launch and fishing dock</x:v>
      </x:c>
      <x:c r="D268" s="15" t="str">
        <x:f>IFERROR(HYPERLINK("https://mywildalberta.ca/fishing/fish-stocking/fsm-images/Grande%20Cache%20Lake/Grand%20Cache%20Lake%20%20boat%20launch%20and%20fishing%20dock.jpg","https://mywildalberta.ca/fishing/fish-stocking/fsm-images/Grande%20Cache%20Lake/Grand%20Cache%20Lake%20%20boat%20launch%20and%20fishing%20dock.jpg"),"https://mywildalberta.ca/fishing/fish-stocking/fsm-images/Grande%20Cache%20Lake/Grand%20Cache%20Lake%20%20boat%20launch%20and%20fishing%20dock.jpg")</x:f>
        <x:v>https://mywildalberta.ca/fishing/fish-stocking/fsm-images/Grande%20Cache%20Lake/Grand%20Cache%20Lake%20%20boat%20launch%20and%20fishing%20dock.jpg</x:v>
      </x:c>
    </x:row>
    <x:row r="269" ht="48" customHeight="1">
      <x:c r="A269" s="8" t="str">
        <x:v>Grande Cache Lake</x:v>
      </x:c>
      <x:c r="B269" s="8" t="str">
        <x:v>4725</x:v>
      </x:c>
      <x:c r="C269" s="11" t="str">
        <x:v>Grand Cache Lake  cloudy lake picture</x:v>
      </x:c>
      <x:c r="D269" s="15" t="str">
        <x:f>IFERROR(HYPERLINK("https://mywildalberta.ca/fishing/fish-stocking/fsm-images/Grande%20Cache%20Lake/Grand%20Cache%20Lake%20%20cloudy%20lake%20picture.jpg","https://mywildalberta.ca/fishing/fish-stocking/fsm-images/Grande%20Cache%20Lake/Grand%20Cache%20Lake%20%20cloudy%20lake%20picture.jpg"),"https://mywildalberta.ca/fishing/fish-stocking/fsm-images/Grande%20Cache%20Lake/Grand%20Cache%20Lake%20%20cloudy%20lake%20picture.jpg")</x:f>
        <x:v>https://mywildalberta.ca/fishing/fish-stocking/fsm-images/Grande%20Cache%20Lake/Grand%20Cache%20Lake%20%20cloudy%20lake%20picture.jpg</x:v>
      </x:c>
    </x:row>
    <x:row r="270" ht="48" customHeight="1">
      <x:c r="A270" s="8" t="str">
        <x:v>Grande Cache Lake</x:v>
      </x:c>
      <x:c r="B270" s="8" t="str">
        <x:v>4725</x:v>
      </x:c>
      <x:c r="C270" s="11" t="str">
        <x:v>Grand Cache Lake  lake view from shore</x:v>
      </x:c>
      <x:c r="D270" s="15" t="str">
        <x:f>IFERROR(HYPERLINK("https://mywildalberta.ca/fishing/fish-stocking/fsm-images/Grande%20Cache%20Lake/Grand%20Cache%20Lake%20%20lake%20view%20from%20shore.jpg","https://mywildalberta.ca/fishing/fish-stocking/fsm-images/Grande%20Cache%20Lake/Grand%20Cache%20Lake%20%20lake%20view%20from%20shore.jpg"),"https://mywildalberta.ca/fishing/fish-stocking/fsm-images/Grande%20Cache%20Lake/Grand%20Cache%20Lake%20%20lake%20view%20from%20shore.jpg")</x:f>
        <x:v>https://mywildalberta.ca/fishing/fish-stocking/fsm-images/Grande%20Cache%20Lake/Grand%20Cache%20Lake%20%20lake%20view%20from%20shore.jpg</x:v>
      </x:c>
    </x:row>
    <x:row r="271" ht="48" customHeight="1">
      <x:c r="A271" s="8" t="str">
        <x:v>Grotto Mountain Pond</x:v>
      </x:c>
      <x:c r="B271" s="8" t="str">
        <x:v>3476</x:v>
      </x:c>
      <x:c r="C271" s="11" t="str">
        <x:v>Grotto Pond highway view</x:v>
      </x:c>
      <x:c r="D271" s="15" t="str">
        <x:f>IFERROR(HYPERLINK("https://mywildalberta.ca/fishing/fish-stocking/fsm-images/Grotto%20Mountain%20Pond/Grotto%20Pond%20highway%20view.JPG","https://mywildalberta.ca/fishing/fish-stocking/fsm-images/Grotto%20Mountain%20Pond/Grotto%20Pond%20highway%20view.JPG"),"https://mywildalberta.ca/fishing/fish-stocking/fsm-images/Grotto%20Mountain%20Pond/Grotto%20Pond%20highway%20view.JPG")</x:f>
        <x:v>https://mywildalberta.ca/fishing/fish-stocking/fsm-images/Grotto%20Mountain%20Pond/Grotto%20Pond%20highway%20view.JPG</x:v>
      </x:c>
    </x:row>
    <x:row r="272" ht="48" customHeight="1">
      <x:c r="A272" s="8" t="str">
        <x:v>Grotto Mountain Pond</x:v>
      </x:c>
      <x:c r="B272" s="8" t="str">
        <x:v>3476</x:v>
      </x:c>
      <x:c r="C272" s="11" t="str">
        <x:v>Grotto Pond moutian view</x:v>
      </x:c>
      <x:c r="D272" s="15" t="str">
        <x:f>IFERROR(HYPERLINK("https://mywildalberta.ca/fishing/fish-stocking/fsm-images/Grotto%20Mountain%20Pond/Grotto%20Pond%20moutian%20view.jpg","https://mywildalberta.ca/fishing/fish-stocking/fsm-images/Grotto%20Mountain%20Pond/Grotto%20Pond%20moutian%20view.jpg"),"https://mywildalberta.ca/fishing/fish-stocking/fsm-images/Grotto%20Mountain%20Pond/Grotto%20Pond%20moutian%20view.jpg")</x:f>
        <x:v>https://mywildalberta.ca/fishing/fish-stocking/fsm-images/Grotto%20Mountain%20Pond/Grotto%20Pond%20moutian%20view.jpg</x:v>
      </x:c>
    </x:row>
    <x:row r="273" ht="48" customHeight="1">
      <x:c r="A273" s="8" t="str">
        <x:v>Grotto Mountain Pond</x:v>
      </x:c>
      <x:c r="B273" s="8" t="str">
        <x:v>3476</x:v>
      </x:c>
      <x:c r="C273" s="11" t="str">
        <x:v>Grotto Pond tree side view</x:v>
      </x:c>
      <x:c r="D273" s="15" t="str">
        <x:f>IFERROR(HYPERLINK("https://mywildalberta.ca/fishing/fish-stocking/fsm-images/Grotto%20Mountain%20Pond/Grotto%20Pond%20tree%20side%20view.JPG","https://mywildalberta.ca/fishing/fish-stocking/fsm-images/Grotto%20Mountain%20Pond/Grotto%20Pond%20tree%20side%20view.JPG"),"https://mywildalberta.ca/fishing/fish-stocking/fsm-images/Grotto%20Mountain%20Pond/Grotto%20Pond%20tree%20side%20view.JPG")</x:f>
        <x:v>https://mywildalberta.ca/fishing/fish-stocking/fsm-images/Grotto%20Mountain%20Pond/Grotto%20Pond%20tree%20side%20view.JPG</x:v>
      </x:c>
    </x:row>
    <x:row r="274" ht="48" customHeight="1">
      <x:c r="A274" s="8" t="str">
        <x:v>Harleck Pond</x:v>
      </x:c>
      <x:c r="B274" s="8" t="str">
        <x:v>6808</x:v>
      </x:c>
      <x:c r="C274" s="11" t="str">
        <x:v>Harleck Pond view from highway</x:v>
      </x:c>
      <x:c r="D274" s="15" t="str">
        <x:f>IFERROR(HYPERLINK("https://mywildalberta.ca/fishing/fish-stocking/fsm-images/Harleck%20Pond/Harleck%20Pond%20view%20from%20highway.JPG","https://mywildalberta.ca/fishing/fish-stocking/fsm-images/Harleck%20Pond/Harleck%20Pond%20view%20from%20highway.JPG"),"https://mywildalberta.ca/fishing/fish-stocking/fsm-images/Harleck%20Pond/Harleck%20Pond%20view%20from%20highway.JPG")</x:f>
        <x:v>https://mywildalberta.ca/fishing/fish-stocking/fsm-images/Harleck%20Pond/Harleck%20Pond%20view%20from%20highway.JPG</x:v>
      </x:c>
    </x:row>
    <x:row r="275" ht="48" customHeight="1">
      <x:c r="A275" s="8" t="str">
        <x:v>Hasse Lake</x:v>
      </x:c>
      <x:c r="B275" s="8" t="str">
        <x:v>4794</x:v>
      </x:c>
      <x:c r="C275" s="11" t="str">
        <x:v>Hasse Lake sunny day view</x:v>
      </x:c>
      <x:c r="D275" s="15" t="str">
        <x:f>IFERROR(HYPERLINK("https://mywildalberta.ca/fishing/fish-stocking/fsm-images/Hasse%20Lake/Hasse%20Lake%20sunny%20day%20view.jpg","https://mywildalberta.ca/fishing/fish-stocking/fsm-images/Hasse%20Lake/Hasse%20Lake%20sunny%20day%20view.jpg"),"https://mywildalberta.ca/fishing/fish-stocking/fsm-images/Hasse%20Lake/Hasse%20Lake%20sunny%20day%20view.jpg")</x:f>
        <x:v>https://mywildalberta.ca/fishing/fish-stocking/fsm-images/Hasse%20Lake/Hasse%20Lake%20sunny%20day%20view.jpg</x:v>
      </x:c>
    </x:row>
    <x:row r="276" ht="48" customHeight="1">
      <x:c r="A276" s="8" t="str">
        <x:v>Hermitage Park Pond</x:v>
      </x:c>
      <x:c r="B276" s="8" t="str">
        <x:v>6791</x:v>
      </x:c>
      <x:c r="C276" s="11" t="str">
        <x:v>Hermitage Pond boat lauch and more of water</x:v>
      </x:c>
      <x:c r="D276" s="15" t="str">
        <x:f>IFERROR(HYPERLINK("https://mywildalberta.ca/fishing/fish-stocking/fsm-images/Hermitage%20Park%20Pond/Hermitage%20Pond%20boat%20lauch%20and%20more%20of%20water.jpg","https://mywildalberta.ca/fishing/fish-stocking/fsm-images/Hermitage%20Park%20Pond/Hermitage%20Pond%20boat%20lauch%20and%20more%20of%20water.jpg"),"https://mywildalberta.ca/fishing/fish-stocking/fsm-images/Hermitage%20Park%20Pond/Hermitage%20Pond%20boat%20lauch%20and%20more%20of%20water.jpg")</x:f>
        <x:v>https://mywildalberta.ca/fishing/fish-stocking/fsm-images/Hermitage%20Park%20Pond/Hermitage%20Pond%20boat%20lauch%20and%20more%20of%20water.jpg</x:v>
      </x:c>
    </x:row>
    <x:row r="277" ht="48" customHeight="1">
      <x:c r="A277" s="8" t="str">
        <x:v>Hermitage Park Pond</x:v>
      </x:c>
      <x:c r="B277" s="8" t="str">
        <x:v>6791</x:v>
      </x:c>
      <x:c r="C277" s="11" t="str">
        <x:v>Hermitage Pond boat launch and dock</x:v>
      </x:c>
      <x:c r="D277" s="15" t="str">
        <x:f>IFERROR(HYPERLINK("https://mywildalberta.ca/fishing/fish-stocking/fsm-images/Hermitage%20Park%20Pond/Hermitage%20Pond%20boat%20launch%20and%20dock.jpg","https://mywildalberta.ca/fishing/fish-stocking/fsm-images/Hermitage%20Park%20Pond/Hermitage%20Pond%20boat%20launch%20and%20dock.jpg"),"https://mywildalberta.ca/fishing/fish-stocking/fsm-images/Hermitage%20Park%20Pond/Hermitage%20Pond%20boat%20launch%20and%20dock.jpg")</x:f>
        <x:v>https://mywildalberta.ca/fishing/fish-stocking/fsm-images/Hermitage%20Park%20Pond/Hermitage%20Pond%20boat%20launch%20and%20dock.jpg</x:v>
      </x:c>
    </x:row>
    <x:row r="278" ht="48" customHeight="1">
      <x:c r="A278" s="8" t="str">
        <x:v>High Level Town Pond</x:v>
      </x:c>
      <x:c r="B278" s="8" t="str">
        <x:v>26431</x:v>
      </x:c>
      <x:c r="C278" s="11" t="str">
        <x:v>High Level Community Pond baseball park</x:v>
      </x:c>
      <x:c r="D278" s="15" t="str">
        <x:f>IFERROR(HYPERLINK("https://mywildalberta.ca/fishing/fish-stocking/fsm-images/High%20Level%20Town%20Pond/High%20Level%20Community%20Pond%20baseball%20park.jpg","https://mywildalberta.ca/fishing/fish-stocking/fsm-images/High%20Level%20Town%20Pond/High%20Level%20Community%20Pond%20baseball%20park.jpg"),"https://mywildalberta.ca/fishing/fish-stocking/fsm-images/High%20Level%20Town%20Pond/High%20Level%20Community%20Pond%20baseball%20park.jpg")</x:f>
        <x:v>https://mywildalberta.ca/fishing/fish-stocking/fsm-images/High%20Level%20Town%20Pond/High%20Level%20Community%20Pond%20baseball%20park.jpg</x:v>
      </x:c>
    </x:row>
    <x:row r="279" ht="48" customHeight="1">
      <x:c r="A279" s="8" t="str">
        <x:v>High Level Town Pond</x:v>
      </x:c>
      <x:c r="B279" s="8" t="str">
        <x:v>26431</x:v>
      </x:c>
      <x:c r="C279" s="11" t="str">
        <x:v>High Level Community Pond flooded</x:v>
      </x:c>
      <x:c r="D279" s="15" t="str">
        <x:f>IFERROR(HYPERLINK("https://mywildalberta.ca/fishing/fish-stocking/fsm-images/High%20Level%20Town%20Pond/High%20Level%20Community%20Pond%20flooded.jpg","https://mywildalberta.ca/fishing/fish-stocking/fsm-images/High%20Level%20Town%20Pond/High%20Level%20Community%20Pond%20flooded.jpg"),"https://mywildalberta.ca/fishing/fish-stocking/fsm-images/High%20Level%20Town%20Pond/High%20Level%20Community%20Pond%20flooded.jpg")</x:f>
        <x:v>https://mywildalberta.ca/fishing/fish-stocking/fsm-images/High%20Level%20Town%20Pond/High%20Level%20Community%20Pond%20flooded.jpg</x:v>
      </x:c>
    </x:row>
    <x:row r="280" ht="48" customHeight="1">
      <x:c r="A280" s="8" t="str">
        <x:v>High Level Town Pond</x:v>
      </x:c>
      <x:c r="B280" s="8" t="str">
        <x:v>26431</x:v>
      </x:c>
      <x:c r="C280" s="11" t="str">
        <x:v>High Level Community Pond lined against trees</x:v>
      </x:c>
      <x:c r="D280" s="15" t="str">
        <x:f>IFERROR(HYPERLINK("https://mywildalberta.ca/fishing/fish-stocking/fsm-images/High%20Level%20Town%20Pond/High%20Level%20Community%20Pond%20lined%20against%20trees.jpg","https://mywildalberta.ca/fishing/fish-stocking/fsm-images/High%20Level%20Town%20Pond/High%20Level%20Community%20Pond%20lined%20against%20trees.jpg"),"https://mywildalberta.ca/fishing/fish-stocking/fsm-images/High%20Level%20Town%20Pond/High%20Level%20Community%20Pond%20lined%20against%20trees.jpg")</x:f>
        <x:v>https://mywildalberta.ca/fishing/fish-stocking/fsm-images/High%20Level%20Town%20Pond/High%20Level%20Community%20Pond%20lined%20against%20trees.jpg</x:v>
      </x:c>
    </x:row>
    <x:row r="281" ht="48" customHeight="1">
      <x:c r="A281" s="8" t="str">
        <x:v>Highway 40 Pond</x:v>
      </x:c>
      <x:c r="B281" s="8" t="str">
        <x:v>6794</x:v>
      </x:c>
      <x:c r="C281" s="11" t="str">
        <x:v>Highway 40 (3)</x:v>
      </x:c>
      <x:c r="D281" s="15" t="str">
        <x:f>IFERROR(HYPERLINK("https://mywildalberta.ca/fishing/fish-stocking/fsm-images/Highway%2040%20Pond/Highway%2040%20(3).jpg","https://mywildalberta.ca/fishing/fish-stocking/fsm-images/Highway%2040%20Pond/Highway%2040%20(3).jpg"),"https://mywildalberta.ca/fishing/fish-stocking/fsm-images/Highway%2040%20Pond/Highway%2040%20(3).jpg")</x:f>
        <x:v>https://mywildalberta.ca/fishing/fish-stocking/fsm-images/Highway%2040%20Pond/Highway%2040%20(3).jpg</x:v>
      </x:c>
    </x:row>
    <x:row r="282" ht="48" customHeight="1">
      <x:c r="A282" s="8" t="str">
        <x:v>Highway 40 Pond</x:v>
      </x:c>
      <x:c r="B282" s="8" t="str">
        <x:v>6794</x:v>
      </x:c>
      <x:c r="C282" s="11" t="str">
        <x:v>Highway 40 Pond view from shoreline</x:v>
      </x:c>
      <x:c r="D282" s="15" t="str">
        <x:f>IFERROR(HYPERLINK("https://mywildalberta.ca/fishing/fish-stocking/fsm-images/Highway%2040%20Pond/Highway%2040%20Pond%20view%20from%20shoreline.jpg","https://mywildalberta.ca/fishing/fish-stocking/fsm-images/Highway%2040%20Pond/Highway%2040%20Pond%20view%20from%20shoreline.jpg"),"https://mywildalberta.ca/fishing/fish-stocking/fsm-images/Highway%2040%20Pond/Highway%2040%20Pond%20view%20from%20shoreline.jpg")</x:f>
        <x:v>https://mywildalberta.ca/fishing/fish-stocking/fsm-images/Highway%2040%20Pond/Highway%2040%20Pond%20view%20from%20shoreline.jpg</x:v>
      </x:c>
    </x:row>
    <x:row r="283" ht="48" customHeight="1">
      <x:c r="A283" s="8" t="str">
        <x:v>Highway 40 Pond</x:v>
      </x:c>
      <x:c r="B283" s="8" t="str">
        <x:v>6794</x:v>
      </x:c>
      <x:c r="C283" s="11" t="str">
        <x:v>Highway 40 Pond view from the shore</x:v>
      </x:c>
      <x:c r="D283" s="15" t="str">
        <x:f>IFERROR(HYPERLINK("https://mywildalberta.ca/fishing/fish-stocking/fsm-images/Highway%2040%20Pond/Highway%2040%20Pond%20view%20from%20the%20shore.jpg","https://mywildalberta.ca/fishing/fish-stocking/fsm-images/Highway%2040%20Pond/Highway%2040%20Pond%20view%20from%20the%20shore.jpg"),"https://mywildalberta.ca/fishing/fish-stocking/fsm-images/Highway%2040%20Pond/Highway%2040%20Pond%20view%20from%20the%20shore.jpg")</x:f>
        <x:v>https://mywildalberta.ca/fishing/fish-stocking/fsm-images/Highway%2040%20Pond/Highway%2040%20Pond%20view%20from%20the%20shore.jpg</x:v>
      </x:c>
    </x:row>
    <x:row r="284" ht="48" customHeight="1">
      <x:c r="A284" s="8" t="str">
        <x:v>Highway 40 Pond</x:v>
      </x:c>
      <x:c r="B284" s="8" t="str">
        <x:v>6794</x:v>
      </x:c>
      <x:c r="C284" s="11" t="str">
        <x:v>Hwy 40 Pond picture from shoreline</x:v>
      </x:c>
      <x:c r="D284" s="15" t="str">
        <x:f>IFERROR(HYPERLINK("https://mywildalberta.ca/fishing/fish-stocking/fsm-images/Highway%2040%20Pond/Hwy%2040%20Pond%20picture%20from%20shoreline.jpg","https://mywildalberta.ca/fishing/fish-stocking/fsm-images/Highway%2040%20Pond/Hwy%2040%20Pond%20picture%20from%20shoreline.jpg"),"https://mywildalberta.ca/fishing/fish-stocking/fsm-images/Highway%2040%20Pond/Hwy%2040%20Pond%20picture%20from%20shoreline.jpg")</x:f>
        <x:v>https://mywildalberta.ca/fishing/fish-stocking/fsm-images/Highway%2040%20Pond/Hwy%2040%20Pond%20picture%20from%20shoreline.jpg</x:v>
      </x:c>
    </x:row>
    <x:row r="285" ht="48" customHeight="1">
      <x:c r="A285" s="8" t="str">
        <x:v>Highway 63 Pond</x:v>
      </x:c>
      <x:c r="B285" s="8" t="str">
        <x:v>6668</x:v>
      </x:c>
      <x:c r="C285" s="11" t="str">
        <x:v>Hwy 63 Pond muddy parking lot in spring</x:v>
      </x:c>
      <x:c r="D285" s="15" t="str">
        <x:f>IFERROR(HYPERLINK("https://mywildalberta.ca/fishing/fish-stocking/fsm-images/Highway%2063%20Pond/Hwy%2063%20Pond%20muddy%20parking%20lot%20in%20spring.jpg","https://mywildalberta.ca/fishing/fish-stocking/fsm-images/Highway%2063%20Pond/Hwy%2063%20Pond%20muddy%20parking%20lot%20in%20spring.jpg"),"https://mywildalberta.ca/fishing/fish-stocking/fsm-images/Highway%2063%20Pond/Hwy%2063%20Pond%20muddy%20parking%20lot%20in%20spring.jpg")</x:f>
        <x:v>https://mywildalberta.ca/fishing/fish-stocking/fsm-images/Highway%2063%20Pond/Hwy%2063%20Pond%20muddy%20parking%20lot%20in%20spring.jpg</x:v>
      </x:c>
    </x:row>
    <x:row r="286" ht="48" customHeight="1">
      <x:c r="A286" s="8" t="str">
        <x:v>Highway 63 Pond</x:v>
      </x:c>
      <x:c r="B286" s="8" t="str">
        <x:v>6668</x:v>
      </x:c>
      <x:c r="C286" s="11" t="str">
        <x:v>Hwy 63 Pond overview</x:v>
      </x:c>
      <x:c r="D286" s="15" t="str">
        <x:f>IFERROR(HYPERLINK("https://mywildalberta.ca/fishing/fish-stocking/fsm-images/Highway%2063%20Pond/Hwy%2063%20Pond%20overview.jpg","https://mywildalberta.ca/fishing/fish-stocking/fsm-images/Highway%2063%20Pond/Hwy%2063%20Pond%20overview.jpg"),"https://mywildalberta.ca/fishing/fish-stocking/fsm-images/Highway%2063%20Pond/Hwy%2063%20Pond%20overview.jpg")</x:f>
        <x:v>https://mywildalberta.ca/fishing/fish-stocking/fsm-images/Highway%2063%20Pond/Hwy%2063%20Pond%20overview.jpg</x:v>
      </x:c>
    </x:row>
    <x:row r="287" ht="48" customHeight="1">
      <x:c r="A287" s="8" t="str">
        <x:v>Highway 686 Pond</x:v>
      </x:c>
      <x:c r="B287" s="8" t="str">
        <x:v>6795</x:v>
      </x:c>
      <x:c r="C287" s="11" t="str">
        <x:v>Highway 686 Pond clear view from shore</x:v>
      </x:c>
      <x:c r="D287" s="15" t="str">
        <x:f>IFERROR(HYPERLINK("https://mywildalberta.ca/fishing/fish-stocking/fsm-images/Highway%20686%20Pond/Highway%20686%20Pond%20clear%20view%20from%20shore.jpg","https://mywildalberta.ca/fishing/fish-stocking/fsm-images/Highway%20686%20Pond/Highway%20686%20Pond%20clear%20view%20from%20shore.jpg"),"https://mywildalberta.ca/fishing/fish-stocking/fsm-images/Highway%20686%20Pond/Highway%20686%20Pond%20clear%20view%20from%20shore.jpg")</x:f>
        <x:v>https://mywildalberta.ca/fishing/fish-stocking/fsm-images/Highway%20686%20Pond/Highway%20686%20Pond%20clear%20view%20from%20shore.jpg</x:v>
      </x:c>
    </x:row>
    <x:row r="288" ht="48" customHeight="1">
      <x:c r="A288" s="8" t="str">
        <x:v>Highway 686 Pond</x:v>
      </x:c>
      <x:c r="B288" s="8" t="str">
        <x:v>6795</x:v>
      </x:c>
      <x:c r="C288" s="11" t="str">
        <x:v>Highway 686 pond reeds aroinf the shore</x:v>
      </x:c>
      <x:c r="D288" s="15" t="str">
        <x:f>IFERROR(HYPERLINK("https://mywildalberta.ca/fishing/fish-stocking/fsm-images/Highway%20686%20Pond/Highway%20686%20pond%20reeds%20aroinf%20the%20shore.jpg","https://mywildalberta.ca/fishing/fish-stocking/fsm-images/Highway%20686%20Pond/Highway%20686%20pond%20reeds%20aroinf%20the%20shore.jpg"),"https://mywildalberta.ca/fishing/fish-stocking/fsm-images/Highway%20686%20Pond/Highway%20686%20pond%20reeds%20aroinf%20the%20shore.jpg")</x:f>
        <x:v>https://mywildalberta.ca/fishing/fish-stocking/fsm-images/Highway%20686%20Pond/Highway%20686%20pond%20reeds%20aroinf%20the%20shore.jpg</x:v>
      </x:c>
    </x:row>
    <x:row r="289" ht="48" customHeight="1">
      <x:c r="A289" s="8" t="str">
        <x:v>Highway 686 Pond</x:v>
      </x:c>
      <x:c r="B289" s="8" t="str">
        <x:v>6795</x:v>
      </x:c>
      <x:c r="C289" s="11" t="str">
        <x:v>Highway 686 Pond small tree in photo</x:v>
      </x:c>
      <x:c r="D289" s="15" t="str">
        <x:f>IFERROR(HYPERLINK("https://mywildalberta.ca/fishing/fish-stocking/fsm-images/Highway%20686%20Pond/Highway%20686%20Pond%20small%20tree%20in%20photo.jpg","https://mywildalberta.ca/fishing/fish-stocking/fsm-images/Highway%20686%20Pond/Highway%20686%20Pond%20small%20tree%20in%20photo.jpg"),"https://mywildalberta.ca/fishing/fish-stocking/fsm-images/Highway%20686%20Pond/Highway%20686%20Pond%20small%20tree%20in%20photo.jpg")</x:f>
        <x:v>https://mywildalberta.ca/fishing/fish-stocking/fsm-images/Highway%20686%20Pond/Highway%20686%20Pond%20small%20tree%20in%20photo.jpg</x:v>
      </x:c>
    </x:row>
    <x:row r="290" ht="48" customHeight="1">
      <x:c r="A290" s="8" t="str">
        <x:v>Hiller's Reservoir</x:v>
      </x:c>
      <x:c r="B290" s="8" t="str">
        <x:v>6796</x:v>
      </x:c>
      <x:c r="C290" s="11" t="str">
        <x:v>Hiller's reservoir porta</x:v>
      </x:c>
      <x:c r="D290" s="15" t="str">
        <x:f>IFERROR(HYPERLINK("https://mywildalberta.ca/fishing/fish-stocking/fsm-images/Hiller's%20Reservoir/Hiller's%20reservoir%20porta.jpg","https://mywildalberta.ca/fishing/fish-stocking/fsm-images/Hiller's%20Reservoir/Hiller's%20reservoir%20porta.jpg"),"https://mywildalberta.ca/fishing/fish-stocking/fsm-images/Hiller's%20Reservoir/Hiller's%20reservoir%20porta.jpg")</x:f>
        <x:v>https://mywildalberta.ca/fishing/fish-stocking/fsm-images/Hiller's%20Reservoir/Hiller's%20reservoir%20porta.jpg</x:v>
      </x:c>
    </x:row>
    <x:row r="291" ht="48" customHeight="1">
      <x:c r="A291" s="8" t="str">
        <x:v>Hiller's Reservoir</x:v>
      </x:c>
      <x:c r="B291" s="8" t="str">
        <x:v>6796</x:v>
      </x:c>
      <x:c r="C291" s="11" t="str">
        <x:v>Hiller's reservoir road around the reservoir</x:v>
      </x:c>
      <x:c r="D291" s="15" t="str">
        <x:f>IFERROR(HYPERLINK("https://mywildalberta.ca/fishing/fish-stocking/fsm-images/Hiller's%20Reservoir/Hiller's%20reservoir%20road%20around%20the%20reservoir.jpg","https://mywildalberta.ca/fishing/fish-stocking/fsm-images/Hiller's%20Reservoir/Hiller's%20reservoir%20road%20around%20the%20reservoir.jpg"),"https://mywildalberta.ca/fishing/fish-stocking/fsm-images/Hiller's%20Reservoir/Hiller's%20reservoir%20road%20around%20the%20reservoir.jpg")</x:f>
        <x:v>https://mywildalberta.ca/fishing/fish-stocking/fsm-images/Hiller's%20Reservoir/Hiller's%20reservoir%20road%20around%20the%20reservoir.jpg</x:v>
      </x:c>
    </x:row>
    <x:row r="292" ht="48" customHeight="1">
      <x:c r="A292" s="8" t="str">
        <x:v>Hiller's Reservoir</x:v>
      </x:c>
      <x:c r="B292" s="8" t="str">
        <x:v>6796</x:v>
      </x:c>
      <x:c r="C292" s="11" t="str">
        <x:v>Hillers Reservoir spring season</x:v>
      </x:c>
      <x:c r="D292" s="15" t="str">
        <x:f>IFERROR(HYPERLINK("https://mywildalberta.ca/fishing/fish-stocking/fsm-images/Hiller's%20Reservoir/Hillers%20Reservoir%20spring%20season.jpg","https://mywildalberta.ca/fishing/fish-stocking/fsm-images/Hiller's%20Reservoir/Hillers%20Reservoir%20spring%20season.jpg"),"https://mywildalberta.ca/fishing/fish-stocking/fsm-images/Hiller's%20Reservoir/Hillers%20Reservoir%20spring%20season.jpg")</x:f>
        <x:v>https://mywildalberta.ca/fishing/fish-stocking/fsm-images/Hiller's%20Reservoir/Hillers%20Reservoir%20spring%20season.jpg</x:v>
      </x:c>
    </x:row>
    <x:row r="293" ht="48" customHeight="1">
      <x:c r="A293" s="8" t="str">
        <x:v>Horseshoe Lake</x:v>
      </x:c>
      <x:c r="B293" s="8" t="str">
        <x:v>6669</x:v>
      </x:c>
      <x:c r="C293" s="11" t="str">
        <x:v>Horseshoe Lake reeds</x:v>
      </x:c>
      <x:c r="D293" s="15" t="str">
        <x:f>IFERROR(HYPERLINK("https://mywildalberta.ca/fishing/fish-stocking/fsm-images/Horseshoe%20Lake/Horseshoe%20Lake%20reeds.JPG","https://mywildalberta.ca/fishing/fish-stocking/fsm-images/Horseshoe%20Lake/Horseshoe%20Lake%20reeds.JPG"),"https://mywildalberta.ca/fishing/fish-stocking/fsm-images/Horseshoe%20Lake/Horseshoe%20Lake%20reeds.JPG")</x:f>
        <x:v>https://mywildalberta.ca/fishing/fish-stocking/fsm-images/Horseshoe%20Lake/Horseshoe%20Lake%20reeds.JPG</x:v>
      </x:c>
    </x:row>
    <x:row r="294" ht="48" customHeight="1">
      <x:c r="A294" s="8" t="str">
        <x:v>Horseshoe Lake</x:v>
      </x:c>
      <x:c r="B294" s="8" t="str">
        <x:v>6669</x:v>
      </x:c>
      <x:c r="C294" s="11" t="str">
        <x:v>Horseshoe lake water</x:v>
      </x:c>
      <x:c r="D294" s="15" t="str">
        <x:f>IFERROR(HYPERLINK("https://mywildalberta.ca/fishing/fish-stocking/fsm-images/Horseshoe%20Lake/Horseshoe%20lake%20water.JPG","https://mywildalberta.ca/fishing/fish-stocking/fsm-images/Horseshoe%20Lake/Horseshoe%20lake%20water.JPG"),"https://mywildalberta.ca/fishing/fish-stocking/fsm-images/Horseshoe%20Lake/Horseshoe%20lake%20water.JPG")</x:f>
        <x:v>https://mywildalberta.ca/fishing/fish-stocking/fsm-images/Horseshoe%20Lake/Horseshoe%20lake%20water.JPG</x:v>
      </x:c>
    </x:row>
    <x:row r="295" ht="48" customHeight="1">
      <x:c r="A295" s="8" t="str">
        <x:v>Horseshoe Lake</x:v>
      </x:c>
      <x:c r="B295" s="8" t="str">
        <x:v>6669</x:v>
      </x:c>
      <x:c r="C295" s="11" t="str">
        <x:v>Horseshoe stocking</x:v>
      </x:c>
      <x:c r="D295" s="15" t="str">
        <x:f>IFERROR(HYPERLINK("https://mywildalberta.ca/fishing/fish-stocking/fsm-images/Horseshoe%20Lake/Horseshoe%20stocking.JPG","https://mywildalberta.ca/fishing/fish-stocking/fsm-images/Horseshoe%20Lake/Horseshoe%20stocking.JPG"),"https://mywildalberta.ca/fishing/fish-stocking/fsm-images/Horseshoe%20Lake/Horseshoe%20stocking.JPG")</x:f>
        <x:v>https://mywildalberta.ca/fishing/fish-stocking/fsm-images/Horseshoe%20Lake/Horseshoe%20stocking.JPG</x:v>
      </x:c>
    </x:row>
    <x:row r="296" ht="48" customHeight="1">
      <x:c r="A296" s="8" t="str">
        <x:v>Huber Reservoir</x:v>
      </x:c>
      <x:c r="B296" s="8" t="str">
        <x:v>6780</x:v>
      </x:c>
      <x:c r="C296" s="11" t="str">
        <x:v>Huber Boat Launch</x:v>
      </x:c>
      <x:c r="D296" s="15" t="str">
        <x:f>IFERROR(HYPERLINK("https://mywildalberta.ca/fishing/fish-stocking/fsm-images/Huber%20Reservoir/Huber%20Boat%20Launch.jpg","https://mywildalberta.ca/fishing/fish-stocking/fsm-images/Huber%20Reservoir/Huber%20Boat%20Launch.jpg"),"https://mywildalberta.ca/fishing/fish-stocking/fsm-images/Huber%20Reservoir/Huber%20Boat%20Launch.jpg")</x:f>
        <x:v>https://mywildalberta.ca/fishing/fish-stocking/fsm-images/Huber%20Reservoir/Huber%20Boat%20Launch.jpg</x:v>
      </x:c>
    </x:row>
    <x:row r="297" ht="48" customHeight="1">
      <x:c r="A297" s="8" t="str">
        <x:v>Huber Reservoir</x:v>
      </x:c>
      <x:c r="B297" s="8" t="str">
        <x:v>6780</x:v>
      </x:c>
      <x:c r="C297" s="11" t="str">
        <x:v>Huber Campground (Closeup)</x:v>
      </x:c>
      <x:c r="D297" s="15" t="str">
        <x:f>IFERROR(HYPERLINK("https://mywildalberta.ca/fishing/fish-stocking/fsm-images/Huber%20Reservoir/Huber%20Campground%20(Closeup).jpg","https://mywildalberta.ca/fishing/fish-stocking/fsm-images/Huber%20Reservoir/Huber%20Campground%20(Closeup).jpg"),"https://mywildalberta.ca/fishing/fish-stocking/fsm-images/Huber%20Reservoir/Huber%20Campground%20(Closeup).jpg")</x:f>
        <x:v>https://mywildalberta.ca/fishing/fish-stocking/fsm-images/Huber%20Reservoir/Huber%20Campground%20(Closeup).jpg</x:v>
      </x:c>
    </x:row>
    <x:row r="298" ht="48" customHeight="1">
      <x:c r="A298" s="8" t="str">
        <x:v>Huber Reservoir</x:v>
      </x:c>
      <x:c r="B298" s="8" t="str">
        <x:v>6780</x:v>
      </x:c>
      <x:c r="C298" s="11" t="str">
        <x:v>Huber Channel narrow channel</x:v>
      </x:c>
      <x:c r="D298" s="15" t="str">
        <x:f>IFERROR(HYPERLINK("https://mywildalberta.ca/fishing/fish-stocking/fsm-images/Huber%20Reservoir/Huber%20Channel%20narrow%20channel.jpg","https://mywildalberta.ca/fishing/fish-stocking/fsm-images/Huber%20Reservoir/Huber%20Channel%20narrow%20channel.jpg"),"https://mywildalberta.ca/fishing/fish-stocking/fsm-images/Huber%20Reservoir/Huber%20Channel%20narrow%20channel.jpg")</x:f>
        <x:v>https://mywildalberta.ca/fishing/fish-stocking/fsm-images/Huber%20Reservoir/Huber%20Channel%20narrow%20channel.jpg</x:v>
      </x:c>
    </x:row>
    <x:row r="299" ht="48" customHeight="1">
      <x:c r="A299" s="8" t="str">
        <x:v>Huber Reservoir</x:v>
      </x:c>
      <x:c r="B299" s="8" t="str">
        <x:v>6780</x:v>
      </x:c>
      <x:c r="C299" s="11" t="str">
        <x:v>Huber Infrastructure (Wide angle)</x:v>
      </x:c>
      <x:c r="D299" s="15" t="str">
        <x:f>IFERROR(HYPERLINK("https://mywildalberta.ca/fishing/fish-stocking/fsm-images/Huber%20Reservoir/Huber%20Infrastructure%20(Wide%20angle).jpg","https://mywildalberta.ca/fishing/fish-stocking/fsm-images/Huber%20Reservoir/Huber%20Infrastructure%20(Wide%20angle).jpg"),"https://mywildalberta.ca/fishing/fish-stocking/fsm-images/Huber%20Reservoir/Huber%20Infrastructure%20(Wide%20angle).jpg")</x:f>
        <x:v>https://mywildalberta.ca/fishing/fish-stocking/fsm-images/Huber%20Reservoir/Huber%20Infrastructure%20(Wide%20angle).jpg</x:v>
      </x:c>
    </x:row>
    <x:row r="300" ht="48" customHeight="1">
      <x:c r="A300" s="8" t="str">
        <x:v>Huber Reservoir</x:v>
      </x:c>
      <x:c r="B300" s="8" t="str">
        <x:v>6780</x:v>
      </x:c>
      <x:c r="C300" s="11" t="str">
        <x:v>Huber Infrastructure</x:v>
      </x:c>
      <x:c r="D300" s="15" t="str">
        <x:f>IFERROR(HYPERLINK("https://mywildalberta.ca/fishing/fish-stocking/fsm-images/Huber%20Reservoir/Huber%20Infrastructure.jpg","https://mywildalberta.ca/fishing/fish-stocking/fsm-images/Huber%20Reservoir/Huber%20Infrastructure.jpg"),"https://mywildalberta.ca/fishing/fish-stocking/fsm-images/Huber%20Reservoir/Huber%20Infrastructure.jpg")</x:f>
        <x:v>https://mywildalberta.ca/fishing/fish-stocking/fsm-images/Huber%20Reservoir/Huber%20Infrastructure.jpg</x:v>
      </x:c>
    </x:row>
    <x:row r="301" ht="48" customHeight="1">
      <x:c r="A301" s="8" t="str">
        <x:v>Huber Reservoir</x:v>
      </x:c>
      <x:c r="B301" s="8" t="str">
        <x:v>6780</x:v>
      </x:c>
      <x:c r="C301" s="11" t="str">
        <x:v>Huber lake clouds over water</x:v>
      </x:c>
      <x:c r="D301" s="15" t="str">
        <x:f>IFERROR(HYPERLINK("https://mywildalberta.ca/fishing/fish-stocking/fsm-images/Huber%20Reservoir/Huber%20lake%20clouds%20over%20water.jpg","https://mywildalberta.ca/fishing/fish-stocking/fsm-images/Huber%20Reservoir/Huber%20lake%20clouds%20over%20water.jpg"),"https://mywildalberta.ca/fishing/fish-stocking/fsm-images/Huber%20Reservoir/Huber%20lake%20clouds%20over%20water.jpg")</x:f>
        <x:v>https://mywildalberta.ca/fishing/fish-stocking/fsm-images/Huber%20Reservoir/Huber%20lake%20clouds%20over%20water.jpg</x:v>
      </x:c>
    </x:row>
    <x:row r="302" ht="48" customHeight="1">
      <x:c r="A302" s="8" t="str">
        <x:v>Huber Reservoir</x:v>
      </x:c>
      <x:c r="B302" s="8" t="str">
        <x:v>6780</x:v>
      </x:c>
      <x:c r="C302" s="11" t="str">
        <x:v>Huber Lake water</x:v>
      </x:c>
      <x:c r="D302" s="15" t="str">
        <x:f>IFERROR(HYPERLINK("https://mywildalberta.ca/fishing/fish-stocking/fsm-images/Huber%20Reservoir/Huber%20Lake%20water.jpg","https://mywildalberta.ca/fishing/fish-stocking/fsm-images/Huber%20Reservoir/Huber%20Lake%20water.jpg"),"https://mywildalberta.ca/fishing/fish-stocking/fsm-images/Huber%20Reservoir/Huber%20Lake%20water.jpg")</x:f>
        <x:v>https://mywildalberta.ca/fishing/fish-stocking/fsm-images/Huber%20Reservoir/Huber%20Lake%20water.jpg</x:v>
      </x:c>
    </x:row>
    <x:row r="303" ht="48" customHeight="1">
      <x:c r="A303" s="8" t="str">
        <x:v>Huber Reservoir</x:v>
      </x:c>
      <x:c r="B303" s="8" t="str">
        <x:v>6780</x:v>
      </x:c>
      <x:c r="C303" s="11" t="str">
        <x:v>Huber Reservoir (2)</x:v>
      </x:c>
      <x:c r="D303" s="15" t="str">
        <x:f>IFERROR(HYPERLINK("https://mywildalberta.ca/fishing/fish-stocking/fsm-images/Huber%20Reservoir/Huber%20Reservoir%20(2).JPG","https://mywildalberta.ca/fishing/fish-stocking/fsm-images/Huber%20Reservoir/Huber%20Reservoir%20(2).JPG"),"https://mywildalberta.ca/fishing/fish-stocking/fsm-images/Huber%20Reservoir/Huber%20Reservoir%20(2).JPG")</x:f>
        <x:v>https://mywildalberta.ca/fishing/fish-stocking/fsm-images/Huber%20Reservoir/Huber%20Reservoir%20(2).JPG</x:v>
      </x:c>
    </x:row>
    <x:row r="304" ht="48" customHeight="1">
      <x:c r="A304" s="8" t="str">
        <x:v>Huber Reservoir</x:v>
      </x:c>
      <x:c r="B304" s="8" t="str">
        <x:v>6780</x:v>
      </x:c>
      <x:c r="C304" s="11" t="str">
        <x:v>Huber Reservoir facilities</x:v>
      </x:c>
      <x:c r="D304" s="15" t="str">
        <x:f>IFERROR(HYPERLINK("https://mywildalberta.ca/fishing/fish-stocking/fsm-images/Huber%20Reservoir/Huber%20Reservoir%20facilities.jpg","https://mywildalberta.ca/fishing/fish-stocking/fsm-images/Huber%20Reservoir/Huber%20Reservoir%20facilities.jpg"),"https://mywildalberta.ca/fishing/fish-stocking/fsm-images/Huber%20Reservoir/Huber%20Reservoir%20facilities.jpg")</x:f>
        <x:v>https://mywildalberta.ca/fishing/fish-stocking/fsm-images/Huber%20Reservoir/Huber%20Reservoir%20facilities.jpg</x:v>
      </x:c>
    </x:row>
    <x:row r="305" ht="48" customHeight="1">
      <x:c r="A305" s="8" t="str">
        <x:v>Ice Lake</x:v>
      </x:c>
      <x:c r="B305" s="8" t="str">
        <x:v>4888</x:v>
      </x:c>
      <x:c r="C305" s="11" t="str">
        <x:v>Ice lake arial of entire lake</x:v>
      </x:c>
      <x:c r="D305" s="15" t="str">
        <x:f>IFERROR(HYPERLINK("https://mywildalberta.ca/fishing/fish-stocking/fsm-images/Ice%20Lake/Ice%20lake%20arial%20of%20entire%20lake.heic","https://mywildalberta.ca/fishing/fish-stocking/fsm-images/Ice%20Lake/Ice%20lake%20arial%20of%20entire%20lake.heic"),"https://mywildalberta.ca/fishing/fish-stocking/fsm-images/Ice%20Lake/Ice%20lake%20arial%20of%20entire%20lake.heic")</x:f>
        <x:v>https://mywildalberta.ca/fishing/fish-stocking/fsm-images/Ice%20Lake/Ice%20lake%20arial%20of%20entire%20lake.heic</x:v>
      </x:c>
    </x:row>
    <x:row r="306" ht="48" customHeight="1">
      <x:c r="A306" s="8" t="str">
        <x:v>Ice Lake</x:v>
      </x:c>
      <x:c r="B306" s="8" t="str">
        <x:v>4888</x:v>
      </x:c>
      <x:c r="C306" s="11" t="str">
        <x:v>Ice Lake arial other mountian in the back ground</x:v>
      </x:c>
      <x:c r="D306" s="15" t="str">
        <x:f>IFERROR(HYPERLINK("https://mywildalberta.ca/fishing/fish-stocking/fsm-images/Ice%20Lake/Ice%20Lake%20arial%20other%20mountian%20in%20the%20back%20ground.heic","https://mywildalberta.ca/fishing/fish-stocking/fsm-images/Ice%20Lake/Ice%20Lake%20arial%20other%20mountian%20in%20the%20back%20ground.heic"),"https://mywildalberta.ca/fishing/fish-stocking/fsm-images/Ice%20Lake/Ice%20Lake%20arial%20other%20mountian%20in%20the%20back%20ground.heic")</x:f>
        <x:v>https://mywildalberta.ca/fishing/fish-stocking/fsm-images/Ice%20Lake/Ice%20Lake%20arial%20other%20mountian%20in%20the%20back%20ground.heic</x:v>
      </x:c>
    </x:row>
    <x:row r="307" ht="48" customHeight="1">
      <x:c r="A307" s="8" t="str">
        <x:v>Ice Lake</x:v>
      </x:c>
      <x:c r="B307" s="8" t="str">
        <x:v>4888</x:v>
      </x:c>
      <x:c r="C307" s="11" t="str">
        <x:v>Ice Lake gravel wash</x:v>
      </x:c>
      <x:c r="D307" s="15" t="str">
        <x:f>IFERROR(HYPERLINK("https://mywildalberta.ca/fishing/fish-stocking/fsm-images/Ice%20Lake/Ice%20Lake%20gravel%20wash.jpg","https://mywildalberta.ca/fishing/fish-stocking/fsm-images/Ice%20Lake/Ice%20Lake%20gravel%20wash.jpg"),"https://mywildalberta.ca/fishing/fish-stocking/fsm-images/Ice%20Lake/Ice%20Lake%20gravel%20wash.jpg")</x:f>
        <x:v>https://mywildalberta.ca/fishing/fish-stocking/fsm-images/Ice%20Lake/Ice%20Lake%20gravel%20wash.jpg</x:v>
      </x:c>
    </x:row>
    <x:row r="308" ht="48" customHeight="1">
      <x:c r="A308" s="8" t="str">
        <x:v>Ice Lake</x:v>
      </x:c>
      <x:c r="B308" s="8" t="str">
        <x:v>4888</x:v>
      </x:c>
      <x:c r="C308" s="11" t="str">
        <x:v>Ice Lake senic view</x:v>
      </x:c>
      <x:c r="D308" s="15" t="str">
        <x:f>IFERROR(HYPERLINK("https://mywildalberta.ca/fishing/fish-stocking/fsm-images/Ice%20Lake/Ice%20Lake%20senic%20view.heic","https://mywildalberta.ca/fishing/fish-stocking/fsm-images/Ice%20Lake/Ice%20Lake%20senic%20view.heic"),"https://mywildalberta.ca/fishing/fish-stocking/fsm-images/Ice%20Lake/Ice%20Lake%20senic%20view.heic")</x:f>
        <x:v>https://mywildalberta.ca/fishing/fish-stocking/fsm-images/Ice%20Lake/Ice%20Lake%20senic%20view.heic</x:v>
      </x:c>
    </x:row>
    <x:row r="309" ht="48" customHeight="1">
      <x:c r="A309" s="8" t="str">
        <x:v>Ice Lake</x:v>
      </x:c>
      <x:c r="B309" s="8" t="str">
        <x:v>4888</x:v>
      </x:c>
      <x:c r="C309" s="11" t="str">
        <x:v>Ice Lake snow covered</x:v>
      </x:c>
      <x:c r="D309" s="15" t="str">
        <x:f>IFERROR(HYPERLINK("https://mywildalberta.ca/fishing/fish-stocking/fsm-images/Ice%20Lake/Ice%20Lake%20snow%20covered.JPG","https://mywildalberta.ca/fishing/fish-stocking/fsm-images/Ice%20Lake/Ice%20Lake%20snow%20covered.JPG"),"https://mywildalberta.ca/fishing/fish-stocking/fsm-images/Ice%20Lake/Ice%20Lake%20snow%20covered.JPG")</x:f>
        <x:v>https://mywildalberta.ca/fishing/fish-stocking/fsm-images/Ice%20Lake/Ice%20Lake%20snow%20covered.JPG</x:v>
      </x:c>
    </x:row>
    <x:row r="310" ht="48" customHeight="1">
      <x:c r="A310" s="8" t="str">
        <x:v>Ironside Pond</x:v>
      </x:c>
      <x:c r="B310" s="8" t="str">
        <x:v>6786</x:v>
      </x:c>
      <x:c r="C310" s="11" t="str">
        <x:v>Ironside Lake with trees and fenceline</x:v>
      </x:c>
      <x:c r="D310" s="15" t="str">
        <x:f>IFERROR(HYPERLINK("https://mywildalberta.ca/fishing/fish-stocking/fsm-images/Ironside%20Pond/Ironside%20Lake%20with%20trees%20and%20fenceline.JPG","https://mywildalberta.ca/fishing/fish-stocking/fsm-images/Ironside%20Pond/Ironside%20Lake%20with%20trees%20and%20fenceline.JPG"),"https://mywildalberta.ca/fishing/fish-stocking/fsm-images/Ironside%20Pond/Ironside%20Lake%20with%20trees%20and%20fenceline.JPG")</x:f>
        <x:v>https://mywildalberta.ca/fishing/fish-stocking/fsm-images/Ironside%20Pond/Ironside%20Lake%20with%20trees%20and%20fenceline.JPG</x:v>
      </x:c>
    </x:row>
    <x:row r="311" ht="48" customHeight="1">
      <x:c r="A311" s="8" t="str">
        <x:v>Ironside Pond</x:v>
      </x:c>
      <x:c r="B311" s="8" t="str">
        <x:v>6786</x:v>
      </x:c>
      <x:c r="C311" s="11" t="str">
        <x:v>Ironside Lake</x:v>
      </x:c>
      <x:c r="D311" s="15" t="str">
        <x:f>IFERROR(HYPERLINK("https://mywildalberta.ca/fishing/fish-stocking/fsm-images/Ironside%20Pond/Ironside%20Lake.JPG","https://mywildalberta.ca/fishing/fish-stocking/fsm-images/Ironside%20Pond/Ironside%20Lake.JPG"),"https://mywildalberta.ca/fishing/fish-stocking/fsm-images/Ironside%20Pond/Ironside%20Lake.JPG")</x:f>
        <x:v>https://mywildalberta.ca/fishing/fish-stocking/fsm-images/Ironside%20Pond/Ironside%20Lake.JPG</x:v>
      </x:c>
    </x:row>
    <x:row r="312" ht="48" customHeight="1">
      <x:c r="A312" s="8" t="str">
        <x:v>Island Lake</x:v>
      </x:c>
      <x:c r="B312" s="8" t="str">
        <x:v>4909</x:v>
      </x:c>
      <x:c r="C312" s="11" t="str">
        <x:v>Island Lake picnic table</x:v>
      </x:c>
      <x:c r="D312" s="15" t="str">
        <x:f>IFERROR(HYPERLINK("https://mywildalberta.ca/fishing/fish-stocking/fsm-images/Island%20Lake/Island%20Lake%20picnic%20table.jpg","https://mywildalberta.ca/fishing/fish-stocking/fsm-images/Island%20Lake/Island%20Lake%20picnic%20table.jpg"),"https://mywildalberta.ca/fishing/fish-stocking/fsm-images/Island%20Lake/Island%20Lake%20picnic%20table.jpg")</x:f>
        <x:v>https://mywildalberta.ca/fishing/fish-stocking/fsm-images/Island%20Lake/Island%20Lake%20picnic%20table.jpg</x:v>
      </x:c>
    </x:row>
    <x:row r="313" ht="48" customHeight="1">
      <x:c r="A313" s="8" t="str">
        <x:v>Island Lake</x:v>
      </x:c>
      <x:c r="B313" s="8" t="str">
        <x:v>4909</x:v>
      </x:c>
      <x:c r="C313" s="11" t="str">
        <x:v>Island Lake view from shore</x:v>
      </x:c>
      <x:c r="D313" s="15" t="str">
        <x:f>IFERROR(HYPERLINK("https://mywildalberta.ca/fishing/fish-stocking/fsm-images/Island%20Lake/Island%20Lake%20view%20from%20shore.JPG","https://mywildalberta.ca/fishing/fish-stocking/fsm-images/Island%20Lake/Island%20Lake%20view%20from%20shore.JPG"),"https://mywildalberta.ca/fishing/fish-stocking/fsm-images/Island%20Lake/Island%20Lake%20view%20from%20shore.JPG")</x:f>
        <x:v>https://mywildalberta.ca/fishing/fish-stocking/fsm-images/Island%20Lake/Island%20Lake%20view%20from%20shore.JPG</x:v>
      </x:c>
    </x:row>
    <x:row r="314" ht="48" customHeight="1">
      <x:c r="A314" s="8" t="str">
        <x:v>Island Lake</x:v>
      </x:c>
      <x:c r="B314" s="8" t="str">
        <x:v>4909</x:v>
      </x:c>
      <x:c r="C314" s="11" t="str">
        <x:v>Island Lake view of lake</x:v>
      </x:c>
      <x:c r="D314" s="15" t="str">
        <x:f>IFERROR(HYPERLINK("https://mywildalberta.ca/fishing/fish-stocking/fsm-images/Island%20Lake/Island%20Lake%20view%20of%20lake.JPG","https://mywildalberta.ca/fishing/fish-stocking/fsm-images/Island%20Lake/Island%20Lake%20view%20of%20lake.JPG"),"https://mywildalberta.ca/fishing/fish-stocking/fsm-images/Island%20Lake/Island%20Lake%20view%20of%20lake.JPG")</x:f>
        <x:v>https://mywildalberta.ca/fishing/fish-stocking/fsm-images/Island%20Lake/Island%20Lake%20view%20of%20lake.JPG</x:v>
      </x:c>
    </x:row>
    <x:row r="315" ht="48" customHeight="1">
      <x:c r="A315" s="8" t="str">
        <x:v>Jackfish Lake</x:v>
      </x:c>
      <x:c r="B315" s="8" t="str">
        <x:v>4920</x:v>
      </x:c>
      <x:c r="C315" s="11" t="str">
        <x:v>Jack Fish Lake (Lake)</x:v>
      </x:c>
      <x:c r="D315" s="15" t="str">
        <x:f>IFERROR(HYPERLINK("https://mywildalberta.ca/fishing/fish-stocking/fsm-images/Jackfish%20Lake/Jack%20Fish%20Lake%20(Lake).jpg","https://mywildalberta.ca/fishing/fish-stocking/fsm-images/Jackfish%20Lake/Jack%20Fish%20Lake%20(Lake).jpg"),"https://mywildalberta.ca/fishing/fish-stocking/fsm-images/Jackfish%20Lake/Jack%20Fish%20Lake%20(Lake).jpg")</x:f>
        <x:v>https://mywildalberta.ca/fishing/fish-stocking/fsm-images/Jackfish%20Lake/Jack%20Fish%20Lake%20(Lake).jpg</x:v>
      </x:c>
    </x:row>
    <x:row r="316" ht="48" customHeight="1">
      <x:c r="A316" s="8" t="str">
        <x:v>Jackfish Lake</x:v>
      </x:c>
      <x:c r="B316" s="8" t="str">
        <x:v>4920</x:v>
      </x:c>
      <x:c r="C316" s="11" t="str">
        <x:v>Jack Fish Lake Building</x:v>
      </x:c>
      <x:c r="D316" s="15" t="str">
        <x:f>IFERROR(HYPERLINK("https://mywildalberta.ca/fishing/fish-stocking/fsm-images/Jackfish%20Lake/Jack%20Fish%20Lake%20Building.jpg","https://mywildalberta.ca/fishing/fish-stocking/fsm-images/Jackfish%20Lake/Jack%20Fish%20Lake%20Building.jpg"),"https://mywildalberta.ca/fishing/fish-stocking/fsm-images/Jackfish%20Lake/Jack%20Fish%20Lake%20Building.jpg")</x:f>
        <x:v>https://mywildalberta.ca/fishing/fish-stocking/fsm-images/Jackfish%20Lake/Jack%20Fish%20Lake%20Building.jpg</x:v>
      </x:c>
    </x:row>
    <x:row r="317" ht="48" customHeight="1">
      <x:c r="A317" s="8" t="str">
        <x:v>Jackfish Lake</x:v>
      </x:c>
      <x:c r="B317" s="8" t="str">
        <x:v>4920</x:v>
      </x:c>
      <x:c r="C317" s="11" t="str">
        <x:v>Jack Fish Lake Camping</x:v>
      </x:c>
      <x:c r="D317" s="15" t="str">
        <x:f>IFERROR(HYPERLINK("https://mywildalberta.ca/fishing/fish-stocking/fsm-images/Jackfish%20Lake/Jack%20Fish%20Lake%20Camping.jpg","https://mywildalberta.ca/fishing/fish-stocking/fsm-images/Jackfish%20Lake/Jack%20Fish%20Lake%20Camping.jpg"),"https://mywildalberta.ca/fishing/fish-stocking/fsm-images/Jackfish%20Lake/Jack%20Fish%20Lake%20Camping.jpg")</x:f>
        <x:v>https://mywildalberta.ca/fishing/fish-stocking/fsm-images/Jackfish%20Lake/Jack%20Fish%20Lake%20Camping.jpg</x:v>
      </x:c>
    </x:row>
    <x:row r="318" ht="48" customHeight="1">
      <x:c r="A318" s="8" t="str">
        <x:v>Jackfish Lake</x:v>
      </x:c>
      <x:c r="B318" s="8" t="str">
        <x:v>4920</x:v>
      </x:c>
      <x:c r="C318" s="11" t="str">
        <x:v>Jack Fish Lake park Sign</x:v>
      </x:c>
      <x:c r="D318" s="15" t="str">
        <x:f>IFERROR(HYPERLINK("https://mywildalberta.ca/fishing/fish-stocking/fsm-images/Jackfish%20Lake/Jack%20Fish%20Lake%20park%20Sign.jpg","https://mywildalberta.ca/fishing/fish-stocking/fsm-images/Jackfish%20Lake/Jack%20Fish%20Lake%20park%20Sign.jpg"),"https://mywildalberta.ca/fishing/fish-stocking/fsm-images/Jackfish%20Lake/Jack%20Fish%20Lake%20park%20Sign.jpg")</x:f>
        <x:v>https://mywildalberta.ca/fishing/fish-stocking/fsm-images/Jackfish%20Lake/Jack%20Fish%20Lake%20park%20Sign.jpg</x:v>
      </x:c>
    </x:row>
    <x:row r="319" ht="48" customHeight="1">
      <x:c r="A319" s="8" t="str">
        <x:v>Jarvis Creek Pond</x:v>
      </x:c>
      <x:c r="B319" s="8" t="str">
        <x:v>6788</x:v>
      </x:c>
      <x:c r="C319" s="11" t="str">
        <x:v>Jarvis Pond fishing dock</x:v>
      </x:c>
      <x:c r="D319" s="15" t="str">
        <x:f>IFERROR(HYPERLINK("https://mywildalberta.ca/fishing/fish-stocking/fsm-images/Jarvis%20Creek%20Pond/Jarvis%20Pond%20fishing%20dock.jpg","https://mywildalberta.ca/fishing/fish-stocking/fsm-images/Jarvis%20Creek%20Pond/Jarvis%20Pond%20fishing%20dock.jpg"),"https://mywildalberta.ca/fishing/fish-stocking/fsm-images/Jarvis%20Creek%20Pond/Jarvis%20Pond%20fishing%20dock.jpg")</x:f>
        <x:v>https://mywildalberta.ca/fishing/fish-stocking/fsm-images/Jarvis%20Creek%20Pond/Jarvis%20Pond%20fishing%20dock.jpg</x:v>
      </x:c>
    </x:row>
    <x:row r="320" ht="48" customHeight="1">
      <x:c r="A320" s="8" t="str">
        <x:v>Jarvis Creek Pond</x:v>
      </x:c>
      <x:c r="B320" s="8" t="str">
        <x:v>6788</x:v>
      </x:c>
      <x:c r="C320" s="11" t="str">
        <x:v>Jarvis Pond view from trail leading to lake</x:v>
      </x:c>
      <x:c r="D320" s="15" t="str">
        <x:f>IFERROR(HYPERLINK("https://mywildalberta.ca/fishing/fish-stocking/fsm-images/Jarvis%20Creek%20Pond/Jarvis%20Pond%20view%20from%20trail%20leading%20to%20lake.jpg","https://mywildalberta.ca/fishing/fish-stocking/fsm-images/Jarvis%20Creek%20Pond/Jarvis%20Pond%20view%20from%20trail%20leading%20to%20lake.jpg"),"https://mywildalberta.ca/fishing/fish-stocking/fsm-images/Jarvis%20Creek%20Pond/Jarvis%20Pond%20view%20from%20trail%20leading%20to%20lake.jpg")</x:f>
        <x:v>https://mywildalberta.ca/fishing/fish-stocking/fsm-images/Jarvis%20Creek%20Pond/Jarvis%20Pond%20view%20from%20trail%20leading%20to%20lake.jpg</x:v>
      </x:c>
    </x:row>
    <x:row r="321" ht="48" customHeight="1">
      <x:c r="A321" s="8" t="str">
        <x:v>Kakut Pond</x:v>
      </x:c>
      <x:c r="B321" s="8" t="str">
        <x:v>26729</x:v>
      </x:c>
      <x:c r="C321" s="11" t="str">
        <x:v>Kakut view of lake from shore</x:v>
      </x:c>
      <x:c r="D321" s="15" t="str">
        <x:f>IFERROR(HYPERLINK("https://mywildalberta.ca/fishing/fish-stocking/fsm-images/Kakut%20Pond/Kakut%20view%20of%20lake%20from%20shore.jpg","https://mywildalberta.ca/fishing/fish-stocking/fsm-images/Kakut%20Pond/Kakut%20view%20of%20lake%20from%20shore.jpg"),"https://mywildalberta.ca/fishing/fish-stocking/fsm-images/Kakut%20Pond/Kakut%20view%20of%20lake%20from%20shore.jpg")</x:f>
        <x:v>https://mywildalberta.ca/fishing/fish-stocking/fsm-images/Kakut%20Pond/Kakut%20view%20of%20lake%20from%20shore.jpg</x:v>
      </x:c>
    </x:row>
    <x:row r="322" ht="48" customHeight="1">
      <x:c r="A322" s="8" t="str">
        <x:v>Kakut Pond</x:v>
      </x:c>
      <x:c r="B322" s="8" t="str">
        <x:v>26729</x:v>
      </x:c>
      <x:c r="C322" s="11" t="str">
        <x:v>Kakut view of shore</x:v>
      </x:c>
      <x:c r="D322" s="15" t="str">
        <x:f>IFERROR(HYPERLINK("https://mywildalberta.ca/fishing/fish-stocking/fsm-images/Kakut%20Pond/Kakut%20view%20of%20shore.jpg","https://mywildalberta.ca/fishing/fish-stocking/fsm-images/Kakut%20Pond/Kakut%20view%20of%20shore.jpg"),"https://mywildalberta.ca/fishing/fish-stocking/fsm-images/Kakut%20Pond/Kakut%20view%20of%20shore.jpg")</x:f>
        <x:v>https://mywildalberta.ca/fishing/fish-stocking/fsm-images/Kakut%20Pond/Kakut%20view%20of%20shore.jpg</x:v>
      </x:c>
    </x:row>
    <x:row r="323" ht="48" customHeight="1">
      <x:c r="A323" s="8" t="str">
        <x:v>Kerbe's Pond</x:v>
      </x:c>
      <x:c r="B323" s="8" t="str">
        <x:v>6770</x:v>
      </x:c>
      <x:c r="C323" s="11" t="str">
        <x:v>Kerbe Entrance sign</x:v>
      </x:c>
      <x:c r="D323" s="15" t="str">
        <x:f>IFERROR(HYPERLINK("https://mywildalberta.ca/fishing/fish-stocking/fsm-images/Kerbe's%20Pond/Kerbe%20Entrance%20sign.jpg","https://mywildalberta.ca/fishing/fish-stocking/fsm-images/Kerbe's%20Pond/Kerbe%20Entrance%20sign.jpg"),"https://mywildalberta.ca/fishing/fish-stocking/fsm-images/Kerbe's%20Pond/Kerbe%20Entrance%20sign.jpg")</x:f>
        <x:v>https://mywildalberta.ca/fishing/fish-stocking/fsm-images/Kerbe's%20Pond/Kerbe%20Entrance%20sign.jpg</x:v>
      </x:c>
    </x:row>
    <x:row r="324" ht="48" customHeight="1">
      <x:c r="A324" s="8" t="str">
        <x:v>Kerbe's Pond</x:v>
      </x:c>
      <x:c r="B324" s="8" t="str">
        <x:v>6770</x:v>
      </x:c>
      <x:c r="C324" s="11" t="str">
        <x:v>Kerbe's Pond Boat Launch</x:v>
      </x:c>
      <x:c r="D324" s="15" t="str">
        <x:f>IFERROR(HYPERLINK("https://mywildalberta.ca/fishing/fish-stocking/fsm-images/Kerbe's%20Pond/Kerbe's%20Pond%20Boat%20Launch.jpg","https://mywildalberta.ca/fishing/fish-stocking/fsm-images/Kerbe's%20Pond/Kerbe's%20Pond%20Boat%20Launch.jpg"),"https://mywildalberta.ca/fishing/fish-stocking/fsm-images/Kerbe's%20Pond/Kerbe's%20Pond%20Boat%20Launch.jpg")</x:f>
        <x:v>https://mywildalberta.ca/fishing/fish-stocking/fsm-images/Kerbe's%20Pond/Kerbe's%20Pond%20Boat%20Launch.jpg</x:v>
      </x:c>
    </x:row>
    <x:row r="325" ht="48" customHeight="1">
      <x:c r="A325" s="8" t="str">
        <x:v>Kerbe's Pond</x:v>
      </x:c>
      <x:c r="B325" s="8" t="str">
        <x:v>6770</x:v>
      </x:c>
      <x:c r="C325" s="11" t="str">
        <x:v>Kerbes Pond (2)</x:v>
      </x:c>
      <x:c r="D325" s="15" t="str">
        <x:f>IFERROR(HYPERLINK("https://mywildalberta.ca/fishing/fish-stocking/fsm-images/Kerbe's%20Pond/Kerbes%20Pond%20(2).jpg","https://mywildalberta.ca/fishing/fish-stocking/fsm-images/Kerbe's%20Pond/Kerbes%20Pond%20(2).jpg"),"https://mywildalberta.ca/fishing/fish-stocking/fsm-images/Kerbe's%20Pond/Kerbes%20Pond%20(2).jpg")</x:f>
        <x:v>https://mywildalberta.ca/fishing/fish-stocking/fsm-images/Kerbe's%20Pond/Kerbes%20Pond%20(2).jpg</x:v>
      </x:c>
    </x:row>
    <x:row r="326" ht="48" customHeight="1">
      <x:c r="A326" s="8" t="str">
        <x:v>Kerbe's Pond</x:v>
      </x:c>
      <x:c r="B326" s="8" t="str">
        <x:v>6770</x:v>
      </x:c>
      <x:c r="C326" s="11" t="str">
        <x:v>Kerbes Pond (3)</x:v>
      </x:c>
      <x:c r="D326" s="15" t="str">
        <x:f>IFERROR(HYPERLINK("https://mywildalberta.ca/fishing/fish-stocking/fsm-images/Kerbe's%20Pond/Kerbes%20Pond%20(3).jpg","https://mywildalberta.ca/fishing/fish-stocking/fsm-images/Kerbe's%20Pond/Kerbes%20Pond%20(3).jpg"),"https://mywildalberta.ca/fishing/fish-stocking/fsm-images/Kerbe's%20Pond/Kerbes%20Pond%20(3).jpg")</x:f>
        <x:v>https://mywildalberta.ca/fishing/fish-stocking/fsm-images/Kerbe's%20Pond/Kerbes%20Pond%20(3).jpg</x:v>
      </x:c>
    </x:row>
    <x:row r="327" ht="48" customHeight="1">
      <x:c r="A327" s="8" t="str">
        <x:v>Kerbe's Pond</x:v>
      </x:c>
      <x:c r="B327" s="8" t="str">
        <x:v>6770</x:v>
      </x:c>
      <x:c r="C327" s="11" t="str">
        <x:v>Kerbes Pond (4)</x:v>
      </x:c>
      <x:c r="D327" s="15" t="str">
        <x:f>IFERROR(HYPERLINK("https://mywildalberta.ca/fishing/fish-stocking/fsm-images/Kerbe's%20Pond/Kerbes%20Pond%20(4).jpg","https://mywildalberta.ca/fishing/fish-stocking/fsm-images/Kerbe's%20Pond/Kerbes%20Pond%20(4).jpg"),"https://mywildalberta.ca/fishing/fish-stocking/fsm-images/Kerbe's%20Pond/Kerbes%20Pond%20(4).jpg")</x:f>
        <x:v>https://mywildalberta.ca/fishing/fish-stocking/fsm-images/Kerbe's%20Pond/Kerbes%20Pond%20(4).jpg</x:v>
      </x:c>
    </x:row>
    <x:row r="328" ht="48" customHeight="1">
      <x:c r="A328" s="8" t="str">
        <x:v>Kerbe's Pond</x:v>
      </x:c>
      <x:c r="B328" s="8" t="str">
        <x:v>6770</x:v>
      </x:c>
      <x:c r="C328" s="11" t="str">
        <x:v>Kerbes Pond Entrance</x:v>
      </x:c>
      <x:c r="D328" s="15" t="str">
        <x:f>IFERROR(HYPERLINK("https://mywildalberta.ca/fishing/fish-stocking/fsm-images/Kerbe's%20Pond/Kerbes%20Pond%20Entrance.jpg","https://mywildalberta.ca/fishing/fish-stocking/fsm-images/Kerbe's%20Pond/Kerbes%20Pond%20Entrance.jpg"),"https://mywildalberta.ca/fishing/fish-stocking/fsm-images/Kerbe's%20Pond/Kerbes%20Pond%20Entrance.jpg")</x:f>
        <x:v>https://mywildalberta.ca/fishing/fish-stocking/fsm-images/Kerbe's%20Pond/Kerbes%20Pond%20Entrance.jpg</x:v>
      </x:c>
    </x:row>
    <x:row r="329" ht="48" customHeight="1">
      <x:c r="A329" s="8" t="str">
        <x:v>Kerbe's Pond</x:v>
      </x:c>
      <x:c r="B329" s="8" t="str">
        <x:v>6770</x:v>
      </x:c>
      <x:c r="C329" s="11" t="str">
        <x:v>Kerbes Pond Out House</x:v>
      </x:c>
      <x:c r="D329" s="15" t="str">
        <x:f>IFERROR(HYPERLINK("https://mywildalberta.ca/fishing/fish-stocking/fsm-images/Kerbe's%20Pond/Kerbes%20Pond%20Out%20House.jpg","https://mywildalberta.ca/fishing/fish-stocking/fsm-images/Kerbe's%20Pond/Kerbes%20Pond%20Out%20House.jpg"),"https://mywildalberta.ca/fishing/fish-stocking/fsm-images/Kerbe's%20Pond/Kerbes%20Pond%20Out%20House.jpg")</x:f>
        <x:v>https://mywildalberta.ca/fishing/fish-stocking/fsm-images/Kerbe's%20Pond/Kerbes%20Pond%20Out%20House.jpg</x:v>
      </x:c>
    </x:row>
    <x:row r="330" ht="48" customHeight="1">
      <x:c r="A330" s="8" t="str">
        <x:v>Kerbe's Pond</x:v>
      </x:c>
      <x:c r="B330" s="8" t="str">
        <x:v>6770</x:v>
      </x:c>
      <x:c r="C330" s="11" t="str">
        <x:v>Kerbes Pond Side View</x:v>
      </x:c>
      <x:c r="D330" s="15" t="str">
        <x:f>IFERROR(HYPERLINK("https://mywildalberta.ca/fishing/fish-stocking/fsm-images/Kerbe's%20Pond/Kerbes%20Pond%20Side%20View.jpg","https://mywildalberta.ca/fishing/fish-stocking/fsm-images/Kerbe's%20Pond/Kerbes%20Pond%20Side%20View.jpg"),"https://mywildalberta.ca/fishing/fish-stocking/fsm-images/Kerbe's%20Pond/Kerbes%20Pond%20Side%20View.jpg")</x:f>
        <x:v>https://mywildalberta.ca/fishing/fish-stocking/fsm-images/Kerbe's%20Pond/Kerbes%20Pond%20Side%20View.jpg</x:v>
      </x:c>
    </x:row>
    <x:row r="331" ht="48" customHeight="1">
      <x:c r="A331" s="8" t="str">
        <x:v>Kerbe's Pond</x:v>
      </x:c>
      <x:c r="B331" s="8" t="str">
        <x:v>6770</x:v>
      </x:c>
      <x:c r="C331" s="11" t="str">
        <x:v>Kerbes Pond Tiger Trout Sign</x:v>
      </x:c>
      <x:c r="D331" s="15" t="str">
        <x:f>IFERROR(HYPERLINK("https://mywildalberta.ca/fishing/fish-stocking/fsm-images/Kerbe's%20Pond/Kerbes%20Pond%20Tiger%20Trout%20Sign.jpg","https://mywildalberta.ca/fishing/fish-stocking/fsm-images/Kerbe's%20Pond/Kerbes%20Pond%20Tiger%20Trout%20Sign.jpg"),"https://mywildalberta.ca/fishing/fish-stocking/fsm-images/Kerbe's%20Pond/Kerbes%20Pond%20Tiger%20Trout%20Sign.jpg")</x:f>
        <x:v>https://mywildalberta.ca/fishing/fish-stocking/fsm-images/Kerbe's%20Pond/Kerbes%20Pond%20Tiger%20Trout%20Sign.jpg</x:v>
      </x:c>
    </x:row>
    <x:row r="332" ht="48" customHeight="1">
      <x:c r="A332" s="8" t="str">
        <x:v>Kerbe's Pond</x:v>
      </x:c>
      <x:c r="B332" s="8" t="str">
        <x:v>6770</x:v>
      </x:c>
      <x:c r="C332" s="11" t="str">
        <x:v>Kerbes Pond Wide View</x:v>
      </x:c>
      <x:c r="D332" s="15" t="str">
        <x:f>IFERROR(HYPERLINK("https://mywildalberta.ca/fishing/fish-stocking/fsm-images/Kerbe's%20Pond/Kerbes%20Pond%20Wide%20View.jpg","https://mywildalberta.ca/fishing/fish-stocking/fsm-images/Kerbe's%20Pond/Kerbes%20Pond%20Wide%20View.jpg"),"https://mywildalberta.ca/fishing/fish-stocking/fsm-images/Kerbe's%20Pond/Kerbes%20Pond%20Wide%20View.jpg")</x:f>
        <x:v>https://mywildalberta.ca/fishing/fish-stocking/fsm-images/Kerbe's%20Pond/Kerbes%20Pond%20Wide%20View.jpg</x:v>
      </x:c>
    </x:row>
    <x:row r="333" ht="48" customHeight="1">
      <x:c r="A333" s="8" t="str">
        <x:v>Kerbe's Pond</x:v>
      </x:c>
      <x:c r="B333" s="8" t="str">
        <x:v>6770</x:v>
      </x:c>
      <x:c r="C333" s="11" t="str">
        <x:v>Kerbes Pond</x:v>
      </x:c>
      <x:c r="D333" s="15" t="str">
        <x:f>IFERROR(HYPERLINK("https://mywildalberta.ca/fishing/fish-stocking/fsm-images/Kerbe's%20Pond/Kerbes%20Pond.jpg","https://mywildalberta.ca/fishing/fish-stocking/fsm-images/Kerbe's%20Pond/Kerbes%20Pond.jpg"),"https://mywildalberta.ca/fishing/fish-stocking/fsm-images/Kerbe's%20Pond/Kerbes%20Pond.jpg")</x:f>
        <x:v>https://mywildalberta.ca/fishing/fish-stocking/fsm-images/Kerbe's%20Pond/Kerbes%20Pond.jpg</x:v>
      </x:c>
    </x:row>
    <x:row r="334" ht="48" customHeight="1">
      <x:c r="A334" s="8" t="str">
        <x:v>Kinglet Lake</x:v>
      </x:c>
      <x:c r="B334" s="8" t="str">
        <x:v>6654</x:v>
      </x:c>
      <x:c r="C334" s="11" t="str">
        <x:v>Kinglet Lake ariel view</x:v>
      </x:c>
      <x:c r="D334" s="15" t="str">
        <x:f>IFERROR(HYPERLINK("https://mywildalberta.ca/fishing/fish-stocking/fsm-images/Kinglet%20Lake/Kinglet%20Lake%20ariel%20view.jpg","https://mywildalberta.ca/fishing/fish-stocking/fsm-images/Kinglet%20Lake/Kinglet%20Lake%20ariel%20view.jpg"),"https://mywildalberta.ca/fishing/fish-stocking/fsm-images/Kinglet%20Lake/Kinglet%20Lake%20ariel%20view.jpg")</x:f>
        <x:v>https://mywildalberta.ca/fishing/fish-stocking/fsm-images/Kinglet%20Lake/Kinglet%20Lake%20ariel%20view.jpg</x:v>
      </x:c>
    </x:row>
    <x:row r="335" ht="48" customHeight="1">
      <x:c r="A335" s="8" t="str">
        <x:v>Kinky Lake</x:v>
      </x:c>
      <x:c r="B335" s="8" t="str">
        <x:v>5002</x:v>
      </x:c>
      <x:c r="C335" s="11" t="str">
        <x:v>Kinky Lake (5)</x:v>
      </x:c>
      <x:c r="D335" s="15" t="str">
        <x:f>IFERROR(HYPERLINK("https://mywildalberta.ca/fishing/fish-stocking/fsm-images/Kinky%20Lake/Kinky%20Lake%20(5).jpg","https://mywildalberta.ca/fishing/fish-stocking/fsm-images/Kinky%20Lake/Kinky%20Lake%20(5).jpg"),"https://mywildalberta.ca/fishing/fish-stocking/fsm-images/Kinky%20Lake/Kinky%20Lake%20(5).jpg")</x:f>
        <x:v>https://mywildalberta.ca/fishing/fish-stocking/fsm-images/Kinky%20Lake/Kinky%20Lake%20(5).jpg</x:v>
      </x:c>
    </x:row>
    <x:row r="336" ht="48" customHeight="1">
      <x:c r="A336" s="8" t="str">
        <x:v>Kinky Lake</x:v>
      </x:c>
      <x:c r="B336" s="8" t="str">
        <x:v>5002</x:v>
      </x:c>
      <x:c r="C336" s="11" t="str">
        <x:v>Kinky Lake camping area with facilities</x:v>
      </x:c>
      <x:c r="D336" s="15" t="str">
        <x:f>IFERROR(HYPERLINK("https://mywildalberta.ca/fishing/fish-stocking/fsm-images/Kinky%20Lake/Kinky%20Lake%20camping%20area%20with%20facilities.jpg","https://mywildalberta.ca/fishing/fish-stocking/fsm-images/Kinky%20Lake/Kinky%20Lake%20camping%20area%20with%20facilities.jpg"),"https://mywildalberta.ca/fishing/fish-stocking/fsm-images/Kinky%20Lake/Kinky%20Lake%20camping%20area%20with%20facilities.jpg")</x:f>
        <x:v>https://mywildalberta.ca/fishing/fish-stocking/fsm-images/Kinky%20Lake/Kinky%20Lake%20camping%20area%20with%20facilities.jpg</x:v>
      </x:c>
    </x:row>
    <x:row r="337" ht="48" customHeight="1">
      <x:c r="A337" s="8" t="str">
        <x:v>Kinky Lake</x:v>
      </x:c>
      <x:c r="B337" s="8" t="str">
        <x:v>5002</x:v>
      </x:c>
      <x:c r="C337" s="11" t="str">
        <x:v>Kinky Lake garbage receptical</x:v>
      </x:c>
      <x:c r="D337" s="15" t="str">
        <x:f>IFERROR(HYPERLINK("https://mywildalberta.ca/fishing/fish-stocking/fsm-images/Kinky%20Lake/Kinky%20Lake%20garbage%20receptical.jpg","https://mywildalberta.ca/fishing/fish-stocking/fsm-images/Kinky%20Lake/Kinky%20Lake%20garbage%20receptical.jpg"),"https://mywildalberta.ca/fishing/fish-stocking/fsm-images/Kinky%20Lake/Kinky%20Lake%20garbage%20receptical.jpg")</x:f>
        <x:v>https://mywildalberta.ca/fishing/fish-stocking/fsm-images/Kinky%20Lake/Kinky%20Lake%20garbage%20receptical.jpg</x:v>
      </x:c>
    </x:row>
    <x:row r="338" ht="48" customHeight="1">
      <x:c r="A338" s="8" t="str">
        <x:v>Kinky Lake</x:v>
      </x:c>
      <x:c r="B338" s="8" t="str">
        <x:v>5002</x:v>
      </x:c>
      <x:c r="C338" s="11" t="str">
        <x:v>Kinky Lake primative boat launch</x:v>
      </x:c>
      <x:c r="D338" s="15" t="str">
        <x:f>IFERROR(HYPERLINK("https://mywildalberta.ca/fishing/fish-stocking/fsm-images/Kinky%20Lake/Kinky%20Lake%20primative%20boat%20launch.jpg","https://mywildalberta.ca/fishing/fish-stocking/fsm-images/Kinky%20Lake/Kinky%20Lake%20primative%20boat%20launch.jpg"),"https://mywildalberta.ca/fishing/fish-stocking/fsm-images/Kinky%20Lake/Kinky%20Lake%20primative%20boat%20launch.jpg")</x:f>
        <x:v>https://mywildalberta.ca/fishing/fish-stocking/fsm-images/Kinky%20Lake/Kinky%20Lake%20primative%20boat%20launch.jpg</x:v>
      </x:c>
    </x:row>
    <x:row r="339" ht="48" customHeight="1">
      <x:c r="A339" s="8" t="str">
        <x:v>Kinky Lake</x:v>
      </x:c>
      <x:c r="B339" s="8" t="str">
        <x:v>5002</x:v>
      </x:c>
      <x:c r="C339" s="11" t="str">
        <x:v>Kinky Lake view from side of boat lauch</x:v>
      </x:c>
      <x:c r="D339" s="15" t="str">
        <x:f>IFERROR(HYPERLINK("https://mywildalberta.ca/fishing/fish-stocking/fsm-images/Kinky%20Lake/Kinky%20Lake%20view%20from%20side%20of%20boat%20lauch.jpg","https://mywildalberta.ca/fishing/fish-stocking/fsm-images/Kinky%20Lake/Kinky%20Lake%20view%20from%20side%20of%20boat%20lauch.jpg"),"https://mywildalberta.ca/fishing/fish-stocking/fsm-images/Kinky%20Lake/Kinky%20Lake%20view%20from%20side%20of%20boat%20lauch.jpg")</x:f>
        <x:v>https://mywildalberta.ca/fishing/fish-stocking/fsm-images/Kinky%20Lake/Kinky%20Lake%20view%20from%20side%20of%20boat%20lauch.jpg</x:v>
      </x:c>
    </x:row>
    <x:row r="340" ht="48" customHeight="1">
      <x:c r="A340" s="8" t="str">
        <x:v>Kramer Pond</x:v>
      </x:c>
      <x:c r="B340" s="8" t="str">
        <x:v>6774</x:v>
      </x:c>
      <x:c r="C340" s="11" t="str">
        <x:v>Kramer Pond fence line</x:v>
      </x:c>
      <x:c r="D340" s="15" t="str">
        <x:f>IFERROR(HYPERLINK("https://mywildalberta.ca/fishing/fish-stocking/fsm-images/Kramer%20Pond/Kramer%20Pond%20fence%20line.JPG","https://mywildalberta.ca/fishing/fish-stocking/fsm-images/Kramer%20Pond/Kramer%20Pond%20fence%20line.JPG"),"https://mywildalberta.ca/fishing/fish-stocking/fsm-images/Kramer%20Pond/Kramer%20Pond%20fence%20line.JPG")</x:f>
        <x:v>https://mywildalberta.ca/fishing/fish-stocking/fsm-images/Kramer%20Pond/Kramer%20Pond%20fence%20line.JPG</x:v>
      </x:c>
    </x:row>
    <x:row r="341" ht="48" customHeight="1">
      <x:c r="A341" s="8" t="str">
        <x:v>Kramer Pond</x:v>
      </x:c>
      <x:c r="B341" s="8" t="str">
        <x:v>6774</x:v>
      </x:c>
      <x:c r="C341" s="11" t="str">
        <x:v>Kramer Pond Lake view with shore line</x:v>
      </x:c>
      <x:c r="D341" s="15" t="str">
        <x:f>IFERROR(HYPERLINK("https://mywildalberta.ca/fishing/fish-stocking/fsm-images/Kramer%20Pond/Kramer%20Pond%20Lake%20view%20with%20shore%20line.JPG","https://mywildalberta.ca/fishing/fish-stocking/fsm-images/Kramer%20Pond/Kramer%20Pond%20Lake%20view%20with%20shore%20line.JPG"),"https://mywildalberta.ca/fishing/fish-stocking/fsm-images/Kramer%20Pond/Kramer%20Pond%20Lake%20view%20with%20shore%20line.JPG")</x:f>
        <x:v>https://mywildalberta.ca/fishing/fish-stocking/fsm-images/Kramer%20Pond/Kramer%20Pond%20Lake%20view%20with%20shore%20line.JPG</x:v>
      </x:c>
    </x:row>
    <x:row r="342" ht="48" customHeight="1">
      <x:c r="A342" s="8" t="str">
        <x:v>Kramer Pond</x:v>
      </x:c>
      <x:c r="B342" s="8" t="str">
        <x:v>6774</x:v>
      </x:c>
      <x:c r="C342" s="11" t="str">
        <x:v>Kramer Pond lake view</x:v>
      </x:c>
      <x:c r="D342" s="15" t="str">
        <x:f>IFERROR(HYPERLINK("https://mywildalberta.ca/fishing/fish-stocking/fsm-images/Kramer%20Pond/Kramer%20Pond%20lake%20view.JPG","https://mywildalberta.ca/fishing/fish-stocking/fsm-images/Kramer%20Pond/Kramer%20Pond%20lake%20view.JPG"),"https://mywildalberta.ca/fishing/fish-stocking/fsm-images/Kramer%20Pond/Kramer%20Pond%20lake%20view.JPG")</x:f>
        <x:v>https://mywildalberta.ca/fishing/fish-stocking/fsm-images/Kramer%20Pond/Kramer%20Pond%20lake%20view.JPG</x:v>
      </x:c>
    </x:row>
    <x:row r="343" ht="48" customHeight="1">
      <x:c r="A343" s="8" t="str">
        <x:v>Kramer Pond</x:v>
      </x:c>
      <x:c r="B343" s="8" t="str">
        <x:v>6774</x:v>
      </x:c>
      <x:c r="C343" s="11" t="str">
        <x:v>Kramer Pond shore line from fishing</x:v>
      </x:c>
      <x:c r="D343" s="15" t="str">
        <x:f>IFERROR(HYPERLINK("https://mywildalberta.ca/fishing/fish-stocking/fsm-images/Kramer%20Pond/Kramer%20Pond%20shore%20line%20from%20fishing.JPG","https://mywildalberta.ca/fishing/fish-stocking/fsm-images/Kramer%20Pond/Kramer%20Pond%20shore%20line%20from%20fishing.JPG"),"https://mywildalberta.ca/fishing/fish-stocking/fsm-images/Kramer%20Pond/Kramer%20Pond%20shore%20line%20from%20fishing.JPG")</x:f>
        <x:v>https://mywildalberta.ca/fishing/fish-stocking/fsm-images/Kramer%20Pond/Kramer%20Pond%20shore%20line%20from%20fishing.JPG</x:v>
      </x:c>
    </x:row>
    <x:row r="344" ht="48" customHeight="1">
      <x:c r="A344" s="8" t="str">
        <x:v>La Crete Pond</x:v>
      </x:c>
      <x:c r="B344" s="8" t="str">
        <x:v>20267</x:v>
      </x:c>
      <x:c r="C344" s="11" t="str">
        <x:v>La Crete (1)</x:v>
      </x:c>
      <x:c r="D344" s="15" t="str">
        <x:f>IFERROR(HYPERLINK("https://mywildalberta.ca/fishing/fish-stocking/fsm-images/La%20Crete%20Pond/La%20Crete%20(1).jpg","https://mywildalberta.ca/fishing/fish-stocking/fsm-images/La%20Crete%20Pond/La%20Crete%20(1).jpg"),"https://mywildalberta.ca/fishing/fish-stocking/fsm-images/La%20Crete%20Pond/La%20Crete%20(1).jpg")</x:f>
        <x:v>https://mywildalberta.ca/fishing/fish-stocking/fsm-images/La%20Crete%20Pond/La%20Crete%20(1).jpg</x:v>
      </x:c>
    </x:row>
    <x:row r="345" ht="48" customHeight="1">
      <x:c r="A345" s="8" t="str">
        <x:v>Lake of the Horns</x:v>
      </x:c>
      <x:c r="B345" s="8" t="str">
        <x:v>4854</x:v>
      </x:c>
      <x:c r="C345" s="11" t="str">
        <x:v>Lake of Horns areial view</x:v>
      </x:c>
      <x:c r="D345" s="15" t="str">
        <x:f>IFERROR(HYPERLINK("https://mywildalberta.ca/fishing/fish-stocking/fsm-images/Lake%20of%20the%20Horns/Lake%20of%20Horns%20areial%20view.JPG","https://mywildalberta.ca/fishing/fish-stocking/fsm-images/Lake%20of%20the%20Horns/Lake%20of%20Horns%20areial%20view.JPG"),"https://mywildalberta.ca/fishing/fish-stocking/fsm-images/Lake%20of%20the%20Horns/Lake%20of%20Horns%20areial%20view.JPG")</x:f>
        <x:v>https://mywildalberta.ca/fishing/fish-stocking/fsm-images/Lake%20of%20the%20Horns/Lake%20of%20Horns%20areial%20view.JPG</x:v>
      </x:c>
    </x:row>
    <x:row r="346" ht="48" customHeight="1">
      <x:c r="A346" s="8" t="str">
        <x:v>Lambert Pond</x:v>
      </x:c>
      <x:c r="B346" s="8" t="str">
        <x:v>3479</x:v>
      </x:c>
      <x:c r="C346" s="11" t="str">
        <x:v>Lambert pond on a cloudy day opposite view</x:v>
      </x:c>
      <x:c r="D346" s="15" t="str">
        <x:f>IFERROR(HYPERLINK("https://mywildalberta.ca/fishing/fish-stocking/fsm-images/Lambert%20Pond/Lambert%20pond%20on%20a%20cloudy%20day%20opposite%20view.JPG","https://mywildalberta.ca/fishing/fish-stocking/fsm-images/Lambert%20Pond/Lambert%20pond%20on%20a%20cloudy%20day%20opposite%20view.JPG"),"https://mywildalberta.ca/fishing/fish-stocking/fsm-images/Lambert%20Pond/Lambert%20pond%20on%20a%20cloudy%20day%20opposite%20view.JPG")</x:f>
        <x:v>https://mywildalberta.ca/fishing/fish-stocking/fsm-images/Lambert%20Pond/Lambert%20pond%20on%20a%20cloudy%20day%20opposite%20view.JPG</x:v>
      </x:c>
    </x:row>
    <x:row r="347" ht="48" customHeight="1">
      <x:c r="A347" s="8" t="str">
        <x:v>Lambert Pond</x:v>
      </x:c>
      <x:c r="B347" s="8" t="str">
        <x:v>3479</x:v>
      </x:c>
      <x:c r="C347" s="11" t="str">
        <x:v>Lambert Pond on a cloudy day</x:v>
      </x:c>
      <x:c r="D347" s="15" t="str">
        <x:f>IFERROR(HYPERLINK("https://mywildalberta.ca/fishing/fish-stocking/fsm-images/Lambert%20Pond/Lambert%20Pond%20on%20a%20cloudy%20day.JPG","https://mywildalberta.ca/fishing/fish-stocking/fsm-images/Lambert%20Pond/Lambert%20Pond%20on%20a%20cloudy%20day.JPG"),"https://mywildalberta.ca/fishing/fish-stocking/fsm-images/Lambert%20Pond/Lambert%20Pond%20on%20a%20cloudy%20day.JPG")</x:f>
        <x:v>https://mywildalberta.ca/fishing/fish-stocking/fsm-images/Lambert%20Pond/Lambert%20Pond%20on%20a%20cloudy%20day.JPG</x:v>
      </x:c>
    </x:row>
    <x:row r="348" ht="48" customHeight="1">
      <x:c r="A348" s="8" t="str">
        <x:v>Landslide Lake</x:v>
      </x:c>
      <x:c r="B348" s="8" t="str">
        <x:v>5029</x:v>
      </x:c>
      <x:c r="C348" s="11" t="str">
        <x:v>Landslide Lake arial view</x:v>
      </x:c>
      <x:c r="D348" s="15" t="str">
        <x:f>IFERROR(HYPERLINK("https://mywildalberta.ca/fishing/fish-stocking/fsm-images/Landslide%20Lake/Landslide%20Lake%20arial%20view.jpg","https://mywildalberta.ca/fishing/fish-stocking/fsm-images/Landslide%20Lake/Landslide%20Lake%20arial%20view.jpg"),"https://mywildalberta.ca/fishing/fish-stocking/fsm-images/Landslide%20Lake/Landslide%20Lake%20arial%20view.jpg")</x:f>
        <x:v>https://mywildalberta.ca/fishing/fish-stocking/fsm-images/Landslide%20Lake/Landslide%20Lake%20arial%20view.jpg</x:v>
      </x:c>
    </x:row>
    <x:row r="349" ht="48" customHeight="1">
      <x:c r="A349" s="8" t="str">
        <x:v>Lara Fish Pond</x:v>
      </x:c>
      <x:c r="B349" s="8" t="str">
        <x:v>24053</x:v>
      </x:c>
      <x:c r="C349" s="11" t="str">
        <x:v>Lara Fish Pond with windmill aeration</x:v>
      </x:c>
      <x:c r="D349" s="15" t="str">
        <x:f>IFERROR(HYPERLINK("https://mywildalberta.ca/fishing/fish-stocking/fsm-images/Lara%20Fish%20Pond/Lara%20Fish%20Pond%20with%20windmill%20aeration.JPG","https://mywildalberta.ca/fishing/fish-stocking/fsm-images/Lara%20Fish%20Pond/Lara%20Fish%20Pond%20with%20windmill%20aeration.JPG"),"https://mywildalberta.ca/fishing/fish-stocking/fsm-images/Lara%20Fish%20Pond/Lara%20Fish%20Pond%20with%20windmill%20aeration.JPG")</x:f>
        <x:v>https://mywildalberta.ca/fishing/fish-stocking/fsm-images/Lara%20Fish%20Pond/Lara%20Fish%20Pond%20with%20windmill%20aeration.JPG</x:v>
      </x:c>
    </x:row>
    <x:row r="350" ht="48" customHeight="1">
      <x:c r="A350" s="8" t="str">
        <x:v>Lara Fish Pond</x:v>
      </x:c>
      <x:c r="B350" s="8" t="str">
        <x:v>24053</x:v>
      </x:c>
      <x:c r="C350" s="11" t="str">
        <x:v>Lara Pond in the fall</x:v>
      </x:c>
      <x:c r="D350" s="15" t="str">
        <x:f>IFERROR(HYPERLINK("https://mywildalberta.ca/fishing/fish-stocking/fsm-images/Lara%20Fish%20Pond/Lara%20Pond%20in%20the%20fall.JPG","https://mywildalberta.ca/fishing/fish-stocking/fsm-images/Lara%20Fish%20Pond/Lara%20Pond%20in%20the%20fall.JPG"),"https://mywildalberta.ca/fishing/fish-stocking/fsm-images/Lara%20Fish%20Pond/Lara%20Pond%20in%20the%20fall.JPG")</x:f>
        <x:v>https://mywildalberta.ca/fishing/fish-stocking/fsm-images/Lara%20Fish%20Pond/Lara%20Pond%20in%20the%20fall.JPG</x:v>
      </x:c>
    </x:row>
    <x:row r="351" ht="48" customHeight="1">
      <x:c r="A351" s="8" t="str">
        <x:v>Lara Fish Pond</x:v>
      </x:c>
      <x:c r="B351" s="8" t="str">
        <x:v>24053</x:v>
      </x:c>
      <x:c r="C351" s="11" t="str">
        <x:v>Lara Trout Pond in the winter</x:v>
      </x:c>
      <x:c r="D351" s="15" t="str">
        <x:f>IFERROR(HYPERLINK("https://mywildalberta.ca/fishing/fish-stocking/fsm-images/Lara%20Fish%20Pond/Lara%20Trout%20Pond%20in%20the%20winter.jpg","https://mywildalberta.ca/fishing/fish-stocking/fsm-images/Lara%20Fish%20Pond/Lara%20Trout%20Pond%20in%20the%20winter.jpg"),"https://mywildalberta.ca/fishing/fish-stocking/fsm-images/Lara%20Fish%20Pond/Lara%20Trout%20Pond%20in%20the%20winter.jpg")</x:f>
        <x:v>https://mywildalberta.ca/fishing/fish-stocking/fsm-images/Lara%20Fish%20Pond/Lara%20Trout%20Pond%20in%20the%20winter.jpg</x:v>
      </x:c>
    </x:row>
    <x:row r="352" ht="48" customHeight="1">
      <x:c r="A352" s="8" t="str">
        <x:v>Leduc Reservoir</x:v>
      </x:c>
      <x:c r="B352" s="8" t="str">
        <x:v>6764</x:v>
      </x:c>
      <x:c r="C352" s="11" t="str">
        <x:v>Leduc Pond primitie hand launch</x:v>
      </x:c>
      <x:c r="D352" s="15" t="str">
        <x:f>IFERROR(HYPERLINK("https://mywildalberta.ca/fishing/fish-stocking/fsm-images/Leduc%20Reservoir/Leduc%20Pond%20primitie%20hand%20launch.jpg","https://mywildalberta.ca/fishing/fish-stocking/fsm-images/Leduc%20Reservoir/Leduc%20Pond%20primitie%20hand%20launch.jpg"),"https://mywildalberta.ca/fishing/fish-stocking/fsm-images/Leduc%20Reservoir/Leduc%20Pond%20primitie%20hand%20launch.jpg")</x:f>
        <x:v>https://mywildalberta.ca/fishing/fish-stocking/fsm-images/Leduc%20Reservoir/Leduc%20Pond%20primitie%20hand%20launch.jpg</x:v>
      </x:c>
    </x:row>
    <x:row r="353" ht="48" customHeight="1">
      <x:c r="A353" s="8" t="str">
        <x:v>Leduc Reservoir</x:v>
      </x:c>
      <x:c r="B353" s="8" t="str">
        <x:v>6764</x:v>
      </x:c>
      <x:c r="C353" s="11" t="str">
        <x:v>Leduc trout pond bay area</x:v>
      </x:c>
      <x:c r="D353" s="15" t="str">
        <x:f>IFERROR(HYPERLINK("https://mywildalberta.ca/fishing/fish-stocking/fsm-images/Leduc%20Reservoir/Leduc%20trout%20pond%20bay%20area.jpg","https://mywildalberta.ca/fishing/fish-stocking/fsm-images/Leduc%20Reservoir/Leduc%20trout%20pond%20bay%20area.jpg"),"https://mywildalberta.ca/fishing/fish-stocking/fsm-images/Leduc%20Reservoir/Leduc%20trout%20pond%20bay%20area.jpg")</x:f>
        <x:v>https://mywildalberta.ca/fishing/fish-stocking/fsm-images/Leduc%20Reservoir/Leduc%20trout%20pond%20bay%20area.jpg</x:v>
      </x:c>
    </x:row>
    <x:row r="354" ht="48" customHeight="1">
      <x:c r="A354" s="8" t="str">
        <x:v>Leduc Reservoir</x:v>
      </x:c>
      <x:c r="B354" s="8" t="str">
        <x:v>6764</x:v>
      </x:c>
      <x:c r="C354" s="11" t="str">
        <x:v>Leduc trout pond playground area</x:v>
      </x:c>
      <x:c r="D354" s="15" t="str">
        <x:f>IFERROR(HYPERLINK("https://mywildalberta.ca/fishing/fish-stocking/fsm-images/Leduc%20Reservoir/Leduc%20trout%20pond%20playground%20area.jpg","https://mywildalberta.ca/fishing/fish-stocking/fsm-images/Leduc%20Reservoir/Leduc%20trout%20pond%20playground%20area.jpg"),"https://mywildalberta.ca/fishing/fish-stocking/fsm-images/Leduc%20Reservoir/Leduc%20trout%20pond%20playground%20area.jpg")</x:f>
        <x:v>https://mywildalberta.ca/fishing/fish-stocking/fsm-images/Leduc%20Reservoir/Leduc%20trout%20pond%20playground%20area.jpg</x:v>
      </x:c>
    </x:row>
    <x:row r="355" ht="48" customHeight="1">
      <x:c r="A355" s="8" t="str">
        <x:v>Lees Lake</x:v>
      </x:c>
      <x:c r="B355" s="8" t="str">
        <x:v>5050</x:v>
      </x:c>
      <x:c r="C355" s="11" t="str">
        <x:v>Lees Lake from top of stocking truck moutains in the background</x:v>
      </x:c>
      <x:c r="D355" s="15" t="str">
        <x:f>IFERROR(HYPERLINK("https://mywildalberta.ca/fishing/fish-stocking/fsm-images/Lees%20Lake/Lees%20Lake%20from%20top%20of%20stocking%20truck%20moutains%20in%20the%20background.jpg","https://mywildalberta.ca/fishing/fish-stocking/fsm-images/Lees%20Lake/Lees%20Lake%20from%20top%20of%20stocking%20truck%20moutains%20in%20the%20background.jpg"),"https://mywildalberta.ca/fishing/fish-stocking/fsm-images/Lees%20Lake/Lees%20Lake%20from%20top%20of%20stocking%20truck%20moutains%20in%20the%20background.jpg")</x:f>
        <x:v>https://mywildalberta.ca/fishing/fish-stocking/fsm-images/Lees%20Lake/Lees%20Lake%20from%20top%20of%20stocking%20truck%20moutains%20in%20the%20background.jpg</x:v>
      </x:c>
    </x:row>
    <x:row r="356" ht="48" customHeight="1">
      <x:c r="A356" s="8" t="str">
        <x:v>Lees Lake</x:v>
      </x:c>
      <x:c r="B356" s="8" t="str">
        <x:v>5050</x:v>
      </x:c>
      <x:c r="C356" s="11" t="str">
        <x:v>Lees Lake stocking truck and boat on shore</x:v>
      </x:c>
      <x:c r="D356" s="15" t="str">
        <x:f>IFERROR(HYPERLINK("https://mywildalberta.ca/fishing/fish-stocking/fsm-images/Lees%20Lake/Lees%20Lake%20stocking%20truck%20and%20boat%20on%20shore.jpg","https://mywildalberta.ca/fishing/fish-stocking/fsm-images/Lees%20Lake/Lees%20Lake%20stocking%20truck%20and%20boat%20on%20shore.jpg"),"https://mywildalberta.ca/fishing/fish-stocking/fsm-images/Lees%20Lake/Lees%20Lake%20stocking%20truck%20and%20boat%20on%20shore.jpg")</x:f>
        <x:v>https://mywildalberta.ca/fishing/fish-stocking/fsm-images/Lees%20Lake/Lees%20Lake%20stocking%20truck%20and%20boat%20on%20shore.jpg</x:v>
      </x:c>
    </x:row>
    <x:row r="357" ht="48" customHeight="1">
      <x:c r="A357" s="8" t="str">
        <x:v>Lees Lake</x:v>
      </x:c>
      <x:c r="B357" s="8" t="str">
        <x:v>5050</x:v>
      </x:c>
      <x:c r="C357" s="11" t="str">
        <x:v>Lees Lake treed shoreline looking on to lake from top of stocking truck</x:v>
      </x:c>
      <x:c r="D357" s="15" t="str">
        <x:f>IFERROR(HYPERLINK("https://mywildalberta.ca/fishing/fish-stocking/fsm-images/Lees%20Lake/Lees%20Lake%20treed%20shoreline%20looking%20on%20to%20lake%20from%20top%20of%20stocking%20truck.jpg","https://mywildalberta.ca/fishing/fish-stocking/fsm-images/Lees%20Lake/Lees%20Lake%20treed%20shoreline%20looking%20on%20to%20lake%20from%20top%20of%20stocking%20truck.jpg"),"https://mywildalberta.ca/fishing/fish-stocking/fsm-images/Lees%20Lake/Lees%20Lake%20treed%20shoreline%20looking%20on%20to%20lake%20from%20top%20of%20stocking%20truck.jpg")</x:f>
        <x:v>https://mywildalberta.ca/fishing/fish-stocking/fsm-images/Lees%20Lake/Lees%20Lake%20treed%20shoreline%20looking%20on%20to%20lake%20from%20top%20of%20stocking%20truck.jpg</x:v>
      </x:c>
    </x:row>
    <x:row r="358" ht="48" customHeight="1">
      <x:c r="A358" s="8" t="str">
        <x:v>Little Bear Lake</x:v>
      </x:c>
      <x:c r="B358" s="8" t="str">
        <x:v>5093</x:v>
      </x:c>
      <x:c r="C358" s="11" t="str">
        <x:v>Little Bear (Hasse Lake) blue skies</x:v>
      </x:c>
      <x:c r="D358" s="15" t="str">
        <x:f>IFERROR(HYPERLINK("https://mywildalberta.ca/fishing/fish-stocking/fsm-images/Little%20Bear%20Lake/Little%20Bear%20(Hasse%20Lake)%20blue%20skies.jpg","https://mywildalberta.ca/fishing/fish-stocking/fsm-images/Little%20Bear%20Lake/Little%20Bear%20(Hasse%20Lake)%20blue%20skies.jpg"),"https://mywildalberta.ca/fishing/fish-stocking/fsm-images/Little%20Bear%20Lake/Little%20Bear%20(Hasse%20Lake)%20blue%20skies.jpg")</x:f>
        <x:v>https://mywildalberta.ca/fishing/fish-stocking/fsm-images/Little%20Bear%20Lake/Little%20Bear%20(Hasse%20Lake)%20blue%20skies.jpg</x:v>
      </x:c>
    </x:row>
    <x:row r="359" ht="48" customHeight="1">
      <x:c r="A359" s="8" t="str">
        <x:v>Little Bear Lake</x:v>
      </x:c>
      <x:c r="B359" s="8" t="str">
        <x:v>5093</x:v>
      </x:c>
      <x:c r="C359" s="11" t="str">
        <x:v>Little Bear (Hasse) sunny skies</x:v>
      </x:c>
      <x:c r="D359" s="15" t="str">
        <x:f>IFERROR(HYPERLINK("https://mywildalberta.ca/fishing/fish-stocking/fsm-images/Little%20Bear%20Lake/Little%20Bear%20(Hasse)%20sunny%20skies.jpg","https://mywildalberta.ca/fishing/fish-stocking/fsm-images/Little%20Bear%20Lake/Little%20Bear%20(Hasse)%20sunny%20skies.jpg"),"https://mywildalberta.ca/fishing/fish-stocking/fsm-images/Little%20Bear%20Lake/Little%20Bear%20(Hasse)%20sunny%20skies.jpg")</x:f>
        <x:v>https://mywildalberta.ca/fishing/fish-stocking/fsm-images/Little%20Bear%20Lake/Little%20Bear%20(Hasse)%20sunny%20skies.jpg</x:v>
      </x:c>
    </x:row>
    <x:row r="360" ht="48" customHeight="1">
      <x:c r="A360" s="8" t="str">
        <x:v>Loomis Lake</x:v>
      </x:c>
      <x:c r="B360" s="8" t="str">
        <x:v>5149</x:v>
      </x:c>
      <x:c r="C360" s="11" t="str">
        <x:v>Loomis Lake tucked into moutains</x:v>
      </x:c>
      <x:c r="D360" s="15" t="str">
        <x:f>IFERROR(HYPERLINK("https://mywildalberta.ca/fishing/fish-stocking/fsm-images/Loomis%20Lake/Loomis%20Lake%20tucked%20into%20moutains.JPG","https://mywildalberta.ca/fishing/fish-stocking/fsm-images/Loomis%20Lake/Loomis%20Lake%20tucked%20into%20moutains.JPG"),"https://mywildalberta.ca/fishing/fish-stocking/fsm-images/Loomis%20Lake/Loomis%20Lake%20tucked%20into%20moutains.JPG")</x:f>
        <x:v>https://mywildalberta.ca/fishing/fish-stocking/fsm-images/Loomis%20Lake/Loomis%20Lake%20tucked%20into%20moutains.JPG</x:v>
      </x:c>
    </x:row>
    <x:row r="361" ht="48" customHeight="1">
      <x:c r="A361" s="8" t="str">
        <x:v>Lost Guide Lake</x:v>
      </x:c>
      <x:c r="B361" s="8" t="str">
        <x:v>5158</x:v>
      </x:c>
      <x:c r="C361" s="11" t="str">
        <x:v>Lost Guide Lake airel view</x:v>
      </x:c>
      <x:c r="D361" s="15" t="str">
        <x:f>IFERROR(HYPERLINK("https://mywildalberta.ca/fishing/fish-stocking/fsm-images/Lost%20Guide%20Lake/Lost%20Guide%20Lake%20airel%20view.jpg","https://mywildalberta.ca/fishing/fish-stocking/fsm-images/Lost%20Guide%20Lake/Lost%20Guide%20Lake%20airel%20view.jpg"),"https://mywildalberta.ca/fishing/fish-stocking/fsm-images/Lost%20Guide%20Lake/Lost%20Guide%20Lake%20airel%20view.jpg")</x:f>
        <x:v>https://mywildalberta.ca/fishing/fish-stocking/fsm-images/Lost%20Guide%20Lake/Lost%20Guide%20Lake%20airel%20view.jpg</x:v>
      </x:c>
    </x:row>
    <x:row r="362" ht="48" customHeight="1">
      <x:c r="A362" s="8" t="str">
        <x:v>Lost Guide Lake</x:v>
      </x:c>
      <x:c r="B362" s="8" t="str">
        <x:v>5158</x:v>
      </x:c>
      <x:c r="C362" s="11" t="str">
        <x:v>Lost Guide winter airel view</x:v>
      </x:c>
      <x:c r="D362" s="15" t="str">
        <x:f>IFERROR(HYPERLINK("https://mywildalberta.ca/fishing/fish-stocking/fsm-images/Lost%20Guide%20Lake/Lost%20Guide%20winter%20airel%20view.JPG","https://mywildalberta.ca/fishing/fish-stocking/fsm-images/Lost%20Guide%20Lake/Lost%20Guide%20winter%20airel%20view.JPG"),"https://mywildalberta.ca/fishing/fish-stocking/fsm-images/Lost%20Guide%20Lake/Lost%20Guide%20winter%20airel%20view.JPG")</x:f>
        <x:v>https://mywildalberta.ca/fishing/fish-stocking/fsm-images/Lost%20Guide%20Lake/Lost%20Guide%20winter%20airel%20view.JPG</x:v>
      </x:c>
    </x:row>
    <x:row r="363" ht="48" customHeight="1">
      <x:c r="A363" s="8" t="str">
        <x:v>Lovett Lake</x:v>
      </x:c>
      <x:c r="B363" s="8" t="str">
        <x:v>6658</x:v>
      </x:c>
      <x:c r="C363" s="11" t="str">
        <x:v>Lovette Lake</x:v>
      </x:c>
      <x:c r="D363" s="15" t="str">
        <x:f>IFERROR(HYPERLINK("https://mywildalberta.ca/fishing/fish-stocking/fsm-images/Lovett%20Lake/Lovette%20Lake.JPG","https://mywildalberta.ca/fishing/fish-stocking/fsm-images/Lovett%20Lake/Lovette%20Lake.JPG"),"https://mywildalberta.ca/fishing/fish-stocking/fsm-images/Lovett%20Lake/Lovette%20Lake.JPG")</x:f>
        <x:v>https://mywildalberta.ca/fishing/fish-stocking/fsm-images/Lovett%20Lake/Lovette%20Lake.JPG</x:v>
      </x:c>
    </x:row>
    <x:row r="364" ht="48" customHeight="1">
      <x:c r="A364" s="8" t="str">
        <x:v>Lovett Lake</x:v>
      </x:c>
      <x:c r="B364" s="8" t="str">
        <x:v>6658</x:v>
      </x:c>
      <x:c r="C364" s="11" t="str">
        <x:v>Lovette shore view</x:v>
      </x:c>
      <x:c r="D364" s="15" t="str">
        <x:f>IFERROR(HYPERLINK("https://mywildalberta.ca/fishing/fish-stocking/fsm-images/Lovett%20Lake/Lovette%20shore%20view.JPG","https://mywildalberta.ca/fishing/fish-stocking/fsm-images/Lovett%20Lake/Lovette%20shore%20view.JPG"),"https://mywildalberta.ca/fishing/fish-stocking/fsm-images/Lovett%20Lake/Lovette%20shore%20view.JPG")</x:f>
        <x:v>https://mywildalberta.ca/fishing/fish-stocking/fsm-images/Lovett%20Lake/Lovette%20shore%20view.JPG</x:v>
      </x:c>
    </x:row>
    <x:row r="365" ht="48" customHeight="1">
      <x:c r="A365" s="8" t="str">
        <x:v>Lower Chain Lake</x:v>
      </x:c>
      <x:c r="B365" s="8" t="str">
        <x:v>6528</x:v>
      </x:c>
      <x:c r="C365" s="11" t="str">
        <x:v>Lower Chain over the water view</x:v>
      </x:c>
      <x:c r="D365" s="15" t="str">
        <x:f>IFERROR(HYPERLINK("https://mywildalberta.ca/fishing/fish-stocking/fsm-images/Lower%20Chain%20Lake/Lower%20Chain%20over%20the%20water%20view.heic","https://mywildalberta.ca/fishing/fish-stocking/fsm-images/Lower%20Chain%20Lake/Lower%20Chain%20over%20the%20water%20view.heic"),"https://mywildalberta.ca/fishing/fish-stocking/fsm-images/Lower%20Chain%20Lake/Lower%20Chain%20over%20the%20water%20view.heic")</x:f>
        <x:v>https://mywildalberta.ca/fishing/fish-stocking/fsm-images/Lower%20Chain%20Lake/Lower%20Chain%20over%20the%20water%20view.heic</x:v>
      </x:c>
    </x:row>
    <x:row r="366" ht="48" customHeight="1">
      <x:c r="A366" s="8" t="str">
        <x:v>Lower Chain Lake</x:v>
      </x:c>
      <x:c r="B366" s="8" t="str">
        <x:v>6528</x:v>
      </x:c>
      <x:c r="C366" s="11" t="str">
        <x:v>Lower Chain TGTR</x:v>
      </x:c>
      <x:c r="D366" s="15" t="str">
        <x:f>IFERROR(HYPERLINK("https://mywildalberta.ca/fishing/fish-stocking/fsm-images/Lower%20Chain%20Lake/Lower%20Chain%20TGTR.heic","https://mywildalberta.ca/fishing/fish-stocking/fsm-images/Lower%20Chain%20Lake/Lower%20Chain%20TGTR.heic"),"https://mywildalberta.ca/fishing/fish-stocking/fsm-images/Lower%20Chain%20Lake/Lower%20Chain%20TGTR.heic")</x:f>
        <x:v>https://mywildalberta.ca/fishing/fish-stocking/fsm-images/Lower%20Chain%20Lake/Lower%20Chain%20TGTR.heic</x:v>
      </x:c>
    </x:row>
    <x:row r="367" ht="48" customHeight="1">
      <x:c r="A367" s="8" t="str">
        <x:v>Lower Chain Lake</x:v>
      </x:c>
      <x:c r="B367" s="8" t="str">
        <x:v>6528</x:v>
      </x:c>
      <x:c r="C367" s="11" t="str">
        <x:v>Lower Chain water with trees</x:v>
      </x:c>
      <x:c r="D367" s="15" t="str">
        <x:f>IFERROR(HYPERLINK("https://mywildalberta.ca/fishing/fish-stocking/fsm-images/Lower%20Chain%20Lake/Lower%20Chain%20water%20with%20trees.heic","https://mywildalberta.ca/fishing/fish-stocking/fsm-images/Lower%20Chain%20Lake/Lower%20Chain%20water%20with%20trees.heic"),"https://mywildalberta.ca/fishing/fish-stocking/fsm-images/Lower%20Chain%20Lake/Lower%20Chain%20water%20with%20trees.heic")</x:f>
        <x:v>https://mywildalberta.ca/fishing/fish-stocking/fsm-images/Lower%20Chain%20Lake/Lower%20Chain%20water%20with%20trees.heic</x:v>
      </x:c>
    </x:row>
    <x:row r="368" ht="48" customHeight="1">
      <x:c r="A368" s="8" t="str">
        <x:v>Lower Champion Lake</x:v>
      </x:c>
      <x:c r="B368" s="8" t="str">
        <x:v>6608</x:v>
      </x:c>
      <x:c r="C368" s="11" t="str">
        <x:v>Lower Champion back pack fishing</x:v>
      </x:c>
      <x:c r="D368" s="15" t="str">
        <x:f>IFERROR(HYPERLINK("https://mywildalberta.ca/fishing/fish-stocking/fsm-images/Lower%20Champion%20Lake/Lower%20Champion%20back%20pack%20fishing.JPG","https://mywildalberta.ca/fishing/fish-stocking/fsm-images/Lower%20Champion%20Lake/Lower%20Champion%20back%20pack%20fishing.JPG"),"https://mywildalberta.ca/fishing/fish-stocking/fsm-images/Lower%20Champion%20Lake/Lower%20Champion%20back%20pack%20fishing.JPG")</x:f>
        <x:v>https://mywildalberta.ca/fishing/fish-stocking/fsm-images/Lower%20Champion%20Lake/Lower%20Champion%20back%20pack%20fishing.JPG</x:v>
      </x:c>
    </x:row>
    <x:row r="369" ht="48" customHeight="1">
      <x:c r="A369" s="8" t="str">
        <x:v>Lower Champion Lake</x:v>
      </x:c>
      <x:c r="B369" s="8" t="str">
        <x:v>6608</x:v>
      </x:c>
      <x:c r="C369" s="11" t="str">
        <x:v>Lower Champion Lake</x:v>
      </x:c>
      <x:c r="D369" s="15" t="str">
        <x:f>IFERROR(HYPERLINK("https://mywildalberta.ca/fishing/fish-stocking/fsm-images/Lower%20Champion%20Lake/Lower%20Champion%20Lake.JPG","https://mywildalberta.ca/fishing/fish-stocking/fsm-images/Lower%20Champion%20Lake/Lower%20Champion%20Lake.JPG"),"https://mywildalberta.ca/fishing/fish-stocking/fsm-images/Lower%20Champion%20Lake/Lower%20Champion%20Lake.JPG")</x:f>
        <x:v>https://mywildalberta.ca/fishing/fish-stocking/fsm-images/Lower%20Champion%20Lake/Lower%20Champion%20Lake.JPG</x:v>
      </x:c>
    </x:row>
    <x:row r="370" ht="48" customHeight="1">
      <x:c r="A370" s="8" t="str">
        <x:v>Lower Champion Lake</x:v>
      </x:c>
      <x:c r="B370" s="8" t="str">
        <x:v>6608</x:v>
      </x:c>
      <x:c r="C370" s="11" t="str">
        <x:v>Lower Champion with a fallen tree</x:v>
      </x:c>
      <x:c r="D370" s="15" t="str">
        <x:f>IFERROR(HYPERLINK("https://mywildalberta.ca/fishing/fish-stocking/fsm-images/Lower%20Champion%20Lake/Lower%20Champion%20with%20a%20fallen%20tree.JPG","https://mywildalberta.ca/fishing/fish-stocking/fsm-images/Lower%20Champion%20Lake/Lower%20Champion%20with%20a%20fallen%20tree.JPG"),"https://mywildalberta.ca/fishing/fish-stocking/fsm-images/Lower%20Champion%20Lake/Lower%20Champion%20with%20a%20fallen%20tree.JPG")</x:f>
        <x:v>https://mywildalberta.ca/fishing/fish-stocking/fsm-images/Lower%20Champion%20Lake/Lower%20Champion%20with%20a%20fallen%20tree.JPG</x:v>
      </x:c>
    </x:row>
    <x:row r="371" ht="48" customHeight="1">
      <x:c r="A371" s="8" t="str">
        <x:v>Lower Galatea Lake</x:v>
      </x:c>
      <x:c r="B371" s="8" t="str">
        <x:v>4642</x:v>
      </x:c>
      <x:c r="C371" s="11" t="str">
        <x:v>Lower Galatea Lake (1)</x:v>
      </x:c>
      <x:c r="D371" s="15" t="str">
        <x:f>IFERROR(HYPERLINK("https://mywildalberta.ca/fishing/fish-stocking/fsm-images/Lower%20Galatea%20Lake/Lower%20Galatea%20Lake%20(1).jpg","https://mywildalberta.ca/fishing/fish-stocking/fsm-images/Lower%20Galatea%20Lake/Lower%20Galatea%20Lake%20(1).jpg"),"https://mywildalberta.ca/fishing/fish-stocking/fsm-images/Lower%20Galatea%20Lake/Lower%20Galatea%20Lake%20(1).jpg")</x:f>
        <x:v>https://mywildalberta.ca/fishing/fish-stocking/fsm-images/Lower%20Galatea%20Lake/Lower%20Galatea%20Lake%20(1).jpg</x:v>
      </x:c>
    </x:row>
    <x:row r="372" ht="48" customHeight="1">
      <x:c r="A372" s="8" t="str">
        <x:v>Lower Headwall Lake</x:v>
      </x:c>
      <x:c r="B372" s="8" t="str">
        <x:v>6530</x:v>
      </x:c>
      <x:c r="C372" s="11" t="str">
        <x:v>Lower Headwall Lake creek flowing into waterbody</x:v>
      </x:c>
      <x:c r="D372" s="15" t="str">
        <x:f>IFERROR(HYPERLINK("https://mywildalberta.ca/fishing/fish-stocking/fsm-images/Lower%20Headwall%20Lake/Lower%20Headwall%20Lake%20creek%20flowing%20into%20waterbody.jpg","https://mywildalberta.ca/fishing/fish-stocking/fsm-images/Lower%20Headwall%20Lake/Lower%20Headwall%20Lake%20creek%20flowing%20into%20waterbody.jpg"),"https://mywildalberta.ca/fishing/fish-stocking/fsm-images/Lower%20Headwall%20Lake/Lower%20Headwall%20Lake%20creek%20flowing%20into%20waterbody.jpg")</x:f>
        <x:v>https://mywildalberta.ca/fishing/fish-stocking/fsm-images/Lower%20Headwall%20Lake/Lower%20Headwall%20Lake%20creek%20flowing%20into%20waterbody.jpg</x:v>
      </x:c>
    </x:row>
    <x:row r="373" ht="48" customHeight="1">
      <x:c r="A373" s="8" t="str">
        <x:v>Lower Headwall Lake</x:v>
      </x:c>
      <x:c r="B373" s="8" t="str">
        <x:v>6530</x:v>
      </x:c>
      <x:c r="C373" s="11" t="str">
        <x:v>Lower Headwall Lake testing out the water</x:v>
      </x:c>
      <x:c r="D373" s="15" t="str">
        <x:f>IFERROR(HYPERLINK("https://mywildalberta.ca/fishing/fish-stocking/fsm-images/Lower%20Headwall%20Lake/Lower%20Headwall%20Lake%20testing%20out%20the%20water.jpg","https://mywildalberta.ca/fishing/fish-stocking/fsm-images/Lower%20Headwall%20Lake/Lower%20Headwall%20Lake%20testing%20out%20the%20water.jpg"),"https://mywildalberta.ca/fishing/fish-stocking/fsm-images/Lower%20Headwall%20Lake/Lower%20Headwall%20Lake%20testing%20out%20the%20water.jpg")</x:f>
        <x:v>https://mywildalberta.ca/fishing/fish-stocking/fsm-images/Lower%20Headwall%20Lake/Lower%20Headwall%20Lake%20testing%20out%20the%20water.jpg</x:v>
      </x:c>
    </x:row>
    <x:row r="374" ht="48" customHeight="1">
      <x:c r="A374" s="8" t="str">
        <x:v>Lower Hogarth Lake</x:v>
      </x:c>
      <x:c r="B374" s="8" t="str">
        <x:v>6541</x:v>
      </x:c>
      <x:c r="C374" s="11" t="str">
        <x:v>Hogarth Lakes ariel view</x:v>
      </x:c>
      <x:c r="D374" s="15" t="str">
        <x:f>IFERROR(HYPERLINK("https://mywildalberta.ca/fishing/fish-stocking/fsm-images/Lower%20Hogarth%20Lake/Hogarth%20Lakes%20ariel%20view.jpg","https://mywildalberta.ca/fishing/fish-stocking/fsm-images/Lower%20Hogarth%20Lake/Hogarth%20Lakes%20ariel%20view.jpg"),"https://mywildalberta.ca/fishing/fish-stocking/fsm-images/Lower%20Hogarth%20Lake/Hogarth%20Lakes%20ariel%20view.jpg")</x:f>
        <x:v>https://mywildalberta.ca/fishing/fish-stocking/fsm-images/Lower%20Hogarth%20Lake/Hogarth%20Lakes%20ariel%20view.jpg</x:v>
      </x:c>
    </x:row>
    <x:row r="375" ht="48" customHeight="1">
      <x:c r="A375" s="8" t="str">
        <x:v>Lower Pierre Greys Lake</x:v>
      </x:c>
      <x:c r="B375" s="8" t="str">
        <x:v>6534</x:v>
      </x:c>
      <x:c r="C375" s="11" t="str">
        <x:v>Pierre Gray's Lake #1 hand boat launch and reeds</x:v>
      </x:c>
      <x:c r="D375" s="15" t="str">
        <x:f>IFERROR(HYPERLINK("https://mywildalberta.ca/fishing/fish-stocking/fsm-images/Lower%20Pierre%20Greys%20Lake/Pierre%20Gray's%20Lake%20%231%20hand%20boat%20launch%20and%20reeds.jpg","https://mywildalberta.ca/fishing/fish-stocking/fsm-images/Lower%20Pierre%20Greys%20Lake/Pierre%20Gray's%20Lake%20%231%20hand%20boat%20launch%20and%20reeds.jpg"),"https://mywildalberta.ca/fishing/fish-stocking/fsm-images/Lower%20Pierre%20Greys%20Lake/Pierre%20Gray's%20Lake%20%231%20hand%20boat%20launch%20and%20reeds.jpg")</x:f>
        <x:v>https://mywildalberta.ca/fishing/fish-stocking/fsm-images/Lower%20Pierre%20Greys%20Lake/Pierre%20Gray's%20Lake%20%231%20hand%20boat%20launch%20and%20reeds.jpg</x:v>
      </x:c>
    </x:row>
    <x:row r="376" ht="48" customHeight="1">
      <x:c r="A376" s="8" t="str">
        <x:v>Lower Pierre Greys Lake</x:v>
      </x:c>
      <x:c r="B376" s="8" t="str">
        <x:v>6534</x:v>
      </x:c>
      <x:c r="C376" s="11" t="str">
        <x:v>Pierre Grey's Lake #1 hand boat launch</x:v>
      </x:c>
      <x:c r="D376" s="15" t="str">
        <x:f>IFERROR(HYPERLINK("https://mywildalberta.ca/fishing/fish-stocking/fsm-images/Lower%20Pierre%20Greys%20Lake/Pierre%20Grey's%20Lake%20%231%20hand%20boat%20launch.jpg","https://mywildalberta.ca/fishing/fish-stocking/fsm-images/Lower%20Pierre%20Greys%20Lake/Pierre%20Grey's%20Lake%20%231%20hand%20boat%20launch.jpg"),"https://mywildalberta.ca/fishing/fish-stocking/fsm-images/Lower%20Pierre%20Greys%20Lake/Pierre%20Grey's%20Lake%20%231%20hand%20boat%20launch.jpg")</x:f>
        <x:v>https://mywildalberta.ca/fishing/fish-stocking/fsm-images/Lower%20Pierre%20Greys%20Lake/Pierre%20Grey's%20Lake%20%231%20hand%20boat%20launch.jpg</x:v>
      </x:c>
    </x:row>
    <x:row r="377" ht="48" customHeight="1">
      <x:c r="A377" s="8" t="str">
        <x:v>Lower Pierre Greys Lake</x:v>
      </x:c>
      <x:c r="B377" s="8" t="str">
        <x:v>6534</x:v>
      </x:c>
      <x:c r="C377" s="11" t="str">
        <x:v>Pierre Grey's Lake #1 signage and cook chack</x:v>
      </x:c>
      <x:c r="D377" s="15" t="str">
        <x:f>IFERROR(HYPERLINK("https://mywildalberta.ca/fishing/fish-stocking/fsm-images/Lower%20Pierre%20Greys%20Lake/Pierre%20Grey's%20Lake%20%231%20signage%20and%20cook%20chack.jpg","https://mywildalberta.ca/fishing/fish-stocking/fsm-images/Lower%20Pierre%20Greys%20Lake/Pierre%20Grey's%20Lake%20%231%20signage%20and%20cook%20chack.jpg"),"https://mywildalberta.ca/fishing/fish-stocking/fsm-images/Lower%20Pierre%20Greys%20Lake/Pierre%20Grey's%20Lake%20%231%20signage%20and%20cook%20chack.jpg")</x:f>
        <x:v>https://mywildalberta.ca/fishing/fish-stocking/fsm-images/Lower%20Pierre%20Greys%20Lake/Pierre%20Grey's%20Lake%20%231%20signage%20and%20cook%20chack.jpg</x:v>
      </x:c>
    </x:row>
    <x:row r="378" ht="48" customHeight="1">
      <x:c r="A378" s="8" t="str">
        <x:v>Lower Pierre Greys Lake</x:v>
      </x:c>
      <x:c r="B378" s="8" t="str">
        <x:v>6534</x:v>
      </x:c>
      <x:c r="C378" s="11" t="str">
        <x:v>Pierre Grey's Lake hand launch boat access</x:v>
      </x:c>
      <x:c r="D378" s="15" t="str">
        <x:f>IFERROR(HYPERLINK("https://mywildalberta.ca/fishing/fish-stocking/fsm-images/Lower%20Pierre%20Greys%20Lake/Pierre%20Grey's%20Lake%20hand%20launch%20boat%20access.jpg","https://mywildalberta.ca/fishing/fish-stocking/fsm-images/Lower%20Pierre%20Greys%20Lake/Pierre%20Grey's%20Lake%20hand%20launch%20boat%20access.jpg"),"https://mywildalberta.ca/fishing/fish-stocking/fsm-images/Lower%20Pierre%20Greys%20Lake/Pierre%20Grey's%20Lake%20hand%20launch%20boat%20access.jpg")</x:f>
        <x:v>https://mywildalberta.ca/fishing/fish-stocking/fsm-images/Lower%20Pierre%20Greys%20Lake/Pierre%20Grey's%20Lake%20hand%20launch%20boat%20access.jpg</x:v>
      </x:c>
    </x:row>
    <x:row r="379" ht="48" customHeight="1">
      <x:c r="A379" s="8" t="str">
        <x:v>Lower Smuts Lake</x:v>
      </x:c>
      <x:c r="B379" s="8" t="str">
        <x:v>6605</x:v>
      </x:c>
      <x:c r="C379" s="11" t="str">
        <x:v>Lower Smuts Lake</x:v>
      </x:c>
      <x:c r="D379" s="15" t="str">
        <x:f>IFERROR(HYPERLINK("https://mywildalberta.ca/fishing/fish-stocking/fsm-images/Lower%20Smuts%20Lake/Lower%20Smuts%20Lake.jpg","https://mywildalberta.ca/fishing/fish-stocking/fsm-images/Lower%20Smuts%20Lake/Lower%20Smuts%20Lake.jpg"),"https://mywildalberta.ca/fishing/fish-stocking/fsm-images/Lower%20Smuts%20Lake/Lower%20Smuts%20Lake.jpg")</x:f>
        <x:v>https://mywildalberta.ca/fishing/fish-stocking/fsm-images/Lower%20Smuts%20Lake/Lower%20Smuts%20Lake.jpg</x:v>
      </x:c>
    </x:row>
    <x:row r="380" ht="48" customHeight="1">
      <x:c r="A380" s="8" t="str">
        <x:v>Machesis Lake</x:v>
      </x:c>
      <x:c r="B380" s="8" t="str">
        <x:v>6750</x:v>
      </x:c>
      <x:c r="C380" s="11" t="str">
        <x:v>Machesis Lake</x:v>
      </x:c>
      <x:c r="D380" s="15" t="str">
        <x:f>IFERROR(HYPERLINK("https://mywildalberta.ca/fishing/fish-stocking/fsm-images/Machesis%20Lake/Machesis%20Lake.jpg","https://mywildalberta.ca/fishing/fish-stocking/fsm-images/Machesis%20Lake/Machesis%20Lake.jpg"),"https://mywildalberta.ca/fishing/fish-stocking/fsm-images/Machesis%20Lake/Machesis%20Lake.jpg")</x:f>
        <x:v>https://mywildalberta.ca/fishing/fish-stocking/fsm-images/Machesis%20Lake/Machesis%20Lake.jpg</x:v>
      </x:c>
    </x:row>
    <x:row r="381" ht="48" customHeight="1">
      <x:c r="A381" s="8" t="str">
        <x:v>Mami Lake</x:v>
      </x:c>
      <x:c r="B381" s="8" t="str">
        <x:v>5513</x:v>
      </x:c>
      <x:c r="C381" s="11" t="str">
        <x:v>Payne Lake boat launch and dock</x:v>
      </x:c>
      <x:c r="D381" s="15" t="str">
        <x:f>IFERROR(HYPERLINK("https://mywildalberta.ca/fishing/fish-stocking/fsm-images/Mami%20Lake/Payne%20Lake%20boat%20launch%20and%20dock.JPG","https://mywildalberta.ca/fishing/fish-stocking/fsm-images/Mami%20Lake/Payne%20Lake%20boat%20launch%20and%20dock.JPG"),"https://mywildalberta.ca/fishing/fish-stocking/fsm-images/Mami%20Lake/Payne%20Lake%20boat%20launch%20and%20dock.JPG")</x:f>
        <x:v>https://mywildalberta.ca/fishing/fish-stocking/fsm-images/Mami%20Lake/Payne%20Lake%20boat%20launch%20and%20dock.JPG</x:v>
      </x:c>
    </x:row>
    <x:row r="382" ht="48" customHeight="1">
      <x:c r="A382" s="8" t="str">
        <x:v>Mami Lake</x:v>
      </x:c>
      <x:c r="B382" s="8" t="str">
        <x:v>5513</x:v>
      </x:c>
      <x:c r="C382" s="11" t="str">
        <x:v>Payne Lake boat launch</x:v>
      </x:c>
      <x:c r="D382" s="15" t="str">
        <x:f>IFERROR(HYPERLINK("https://mywildalberta.ca/fishing/fish-stocking/fsm-images/Mami%20Lake/Payne%20Lake%20boat%20launch.JPG","https://mywildalberta.ca/fishing/fish-stocking/fsm-images/Mami%20Lake/Payne%20Lake%20boat%20launch.JPG"),"https://mywildalberta.ca/fishing/fish-stocking/fsm-images/Mami%20Lake/Payne%20Lake%20boat%20launch.JPG")</x:f>
        <x:v>https://mywildalberta.ca/fishing/fish-stocking/fsm-images/Mami%20Lake/Payne%20Lake%20boat%20launch.JPG</x:v>
      </x:c>
    </x:row>
    <x:row r="383" ht="48" customHeight="1">
      <x:c r="A383" s="8" t="str">
        <x:v>Margaret Lake</x:v>
      </x:c>
      <x:c r="B383" s="8" t="str">
        <x:v>5223</x:v>
      </x:c>
      <x:c r="C383" s="11" t="str">
        <x:v>Margaret Lake parking area</x:v>
      </x:c>
      <x:c r="D383" s="15" t="str">
        <x:f>IFERROR(HYPERLINK("https://mywildalberta.ca/fishing/fish-stocking/fsm-images/Margaret%20Lake/Margaret%20Lake%20parking%20area.HEIC","https://mywildalberta.ca/fishing/fish-stocking/fsm-images/Margaret%20Lake/Margaret%20Lake%20parking%20area.HEIC"),"https://mywildalberta.ca/fishing/fish-stocking/fsm-images/Margaret%20Lake/Margaret%20Lake%20parking%20area.HEIC")</x:f>
        <x:v>https://mywildalberta.ca/fishing/fish-stocking/fsm-images/Margaret%20Lake/Margaret%20Lake%20parking%20area.HEIC</x:v>
      </x:c>
    </x:row>
    <x:row r="384" ht="48" customHeight="1">
      <x:c r="A384" s="8" t="str">
        <x:v>Margaret Lake</x:v>
      </x:c>
      <x:c r="B384" s="8" t="str">
        <x:v>5223</x:v>
      </x:c>
      <x:c r="C384" s="11" t="str">
        <x:v>Margaret Lake tree line</x:v>
      </x:c>
      <x:c r="D384" s="15" t="str">
        <x:f>IFERROR(HYPERLINK("https://mywildalberta.ca/fishing/fish-stocking/fsm-images/Margaret%20Lake/Margaret%20Lake%20tree%20line.HEIC","https://mywildalberta.ca/fishing/fish-stocking/fsm-images/Margaret%20Lake/Margaret%20Lake%20tree%20line.HEIC"),"https://mywildalberta.ca/fishing/fish-stocking/fsm-images/Margaret%20Lake/Margaret%20Lake%20tree%20line.HEIC")</x:f>
        <x:v>https://mywildalberta.ca/fishing/fish-stocking/fsm-images/Margaret%20Lake/Margaret%20Lake%20tree%20line.HEIC</x:v>
      </x:c>
    </x:row>
    <x:row r="385" ht="48" customHeight="1">
      <x:c r="A385" s="8" t="str">
        <x:v>Margaret Lake</x:v>
      </x:c>
      <x:c r="B385" s="8" t="str">
        <x:v>5223</x:v>
      </x:c>
      <x:c r="C385" s="11" t="str">
        <x:v>Margaret lake vehicle fence</x:v>
      </x:c>
      <x:c r="D385" s="15" t="str">
        <x:f>IFERROR(HYPERLINK("https://mywildalberta.ca/fishing/fish-stocking/fsm-images/Margaret%20Lake/Margaret%20lake%20vehicle%20fence.HEIC","https://mywildalberta.ca/fishing/fish-stocking/fsm-images/Margaret%20Lake/Margaret%20lake%20vehicle%20fence.HEIC"),"https://mywildalberta.ca/fishing/fish-stocking/fsm-images/Margaret%20Lake/Margaret%20lake%20vehicle%20fence.HEIC")</x:f>
        <x:v>https://mywildalberta.ca/fishing/fish-stocking/fsm-images/Margaret%20Lake/Margaret%20lake%20vehicle%20fence.HEIC</x:v>
      </x:c>
    </x:row>
    <x:row r="386" ht="48" customHeight="1">
      <x:c r="A386" s="8" t="str">
        <x:v>Margaret Lake</x:v>
      </x:c>
      <x:c r="B386" s="8" t="str">
        <x:v>5223</x:v>
      </x:c>
      <x:c r="C386" s="11" t="str">
        <x:v>Margaret Lake</x:v>
      </x:c>
      <x:c r="D386" s="15" t="str">
        <x:f>IFERROR(HYPERLINK("https://mywildalberta.ca/fishing/fish-stocking/fsm-images/Margaret%20Lake/Margaret%20Lake.jpg","https://mywildalberta.ca/fishing/fish-stocking/fsm-images/Margaret%20Lake/Margaret%20Lake.jpg"),"https://mywildalberta.ca/fishing/fish-stocking/fsm-images/Margaret%20Lake/Margaret%20Lake.jpg")</x:f>
        <x:v>https://mywildalberta.ca/fishing/fish-stocking/fsm-images/Margaret%20Lake/Margaret%20Lake.jpg</x:v>
      </x:c>
    </x:row>
    <x:row r="387" ht="48" customHeight="1">
      <x:c r="A387" s="8" t="str">
        <x:v>Margaret Lake</x:v>
      </x:c>
      <x:c r="B387" s="8" t="str">
        <x:v>5223</x:v>
      </x:c>
      <x:c r="C387" s="11" t="str">
        <x:v>Margraret lake information sign</x:v>
      </x:c>
      <x:c r="D387" s="15" t="str">
        <x:f>IFERROR(HYPERLINK("https://mywildalberta.ca/fishing/fish-stocking/fsm-images/Margaret%20Lake/Margraret%20lake%20information%20sign.HEIC","https://mywildalberta.ca/fishing/fish-stocking/fsm-images/Margaret%20Lake/Margraret%20lake%20information%20sign.HEIC"),"https://mywildalberta.ca/fishing/fish-stocking/fsm-images/Margaret%20Lake/Margraret%20lake%20information%20sign.HEIC")</x:f>
        <x:v>https://mywildalberta.ca/fishing/fish-stocking/fsm-images/Margaret%20Lake/Margraret%20lake%20information%20sign.HEIC</x:v>
      </x:c>
    </x:row>
    <x:row r="388" ht="48" customHeight="1">
      <x:c r="A388" s="8" t="str">
        <x:v>Margaret Lake</x:v>
      </x:c>
      <x:c r="B388" s="8" t="str">
        <x:v>5223</x:v>
      </x:c>
      <x:c r="C388" s="11" t="str">
        <x:v>Margret lake overview</x:v>
      </x:c>
      <x:c r="D388" s="15" t="str">
        <x:f>IFERROR(HYPERLINK("https://mywildalberta.ca/fishing/fish-stocking/fsm-images/Margaret%20Lake/Margret%20lake%20overview.HEIC","https://mywildalberta.ca/fishing/fish-stocking/fsm-images/Margaret%20Lake/Margret%20lake%20overview.HEIC"),"https://mywildalberta.ca/fishing/fish-stocking/fsm-images/Margaret%20Lake/Margret%20lake%20overview.HEIC")</x:f>
        <x:v>https://mywildalberta.ca/fishing/fish-stocking/fsm-images/Margaret%20Lake/Margret%20lake%20overview.HEIC</x:v>
      </x:c>
    </x:row>
    <x:row r="389" ht="48" customHeight="1">
      <x:c r="A389" s="8" t="str">
        <x:v>Mayan Lake</x:v>
      </x:c>
      <x:c r="B389" s="8" t="str">
        <x:v>19525</x:v>
      </x:c>
      <x:c r="C389" s="11" t="str">
        <x:v>Mayan Lake (2)</x:v>
      </x:c>
      <x:c r="D389" s="15" t="str">
        <x:f>IFERROR(HYPERLINK("https://mywildalberta.ca/fishing/fish-stocking/fsm-images/Mcclennan%20Reservoir/Mayan%20Lake%20(2).jpg","https://mywildalberta.ca/fishing/fish-stocking/fsm-images/Mcclennan%20Reservoir/Mayan%20Lake%20(2).jpg"),"https://mywildalberta.ca/fishing/fish-stocking/fsm-images/Mcclennan%20Reservoir/Mayan%20Lake%20(2).jpg")</x:f>
        <x:v>https://mywildalberta.ca/fishing/fish-stocking/fsm-images/Mcclennan%20Reservoir/Mayan%20Lake%20(2).jpg</x:v>
      </x:c>
    </x:row>
    <x:row r="390" ht="48" customHeight="1">
      <x:c r="A390" s="8" t="str">
        <x:v>Mayan Lake</x:v>
      </x:c>
      <x:c r="B390" s="8" t="str">
        <x:v>19525</x:v>
      </x:c>
      <x:c r="C390" s="11" t="str">
        <x:v>Mayan Lake camping and picnic area</x:v>
      </x:c>
      <x:c r="D390" s="15" t="str">
        <x:f>IFERROR(HYPERLINK("https://mywildalberta.ca/fishing/fish-stocking/fsm-images/Mcclennan%20Reservoir/Mayan%20Lake%20camping%20and%20picnic%20area.jpg","https://mywildalberta.ca/fishing/fish-stocking/fsm-images/Mcclennan%20Reservoir/Mayan%20Lake%20camping%20and%20picnic%20area.jpg"),"https://mywildalberta.ca/fishing/fish-stocking/fsm-images/Mcclennan%20Reservoir/Mayan%20Lake%20camping%20and%20picnic%20area.jpg")</x:f>
        <x:v>https://mywildalberta.ca/fishing/fish-stocking/fsm-images/Mcclennan%20Reservoir/Mayan%20Lake%20camping%20and%20picnic%20area.jpg</x:v>
      </x:c>
    </x:row>
    <x:row r="391" ht="48" customHeight="1">
      <x:c r="A391" s="8" t="str">
        <x:v>Mayan Lake</x:v>
      </x:c>
      <x:c r="B391" s="8" t="str">
        <x:v>19525</x:v>
      </x:c>
      <x:c r="C391" s="11" t="str">
        <x:v>Mayan Lake quad stocking buckets of fish</x:v>
      </x:c>
      <x:c r="D391" s="15" t="str">
        <x:f>IFERROR(HYPERLINK("https://mywildalberta.ca/fishing/fish-stocking/fsm-images/Mcclennan%20Reservoir/Mayan%20Lake%20quad%20stocking%20buckets%20of%20fish.JPG","https://mywildalberta.ca/fishing/fish-stocking/fsm-images/Mcclennan%20Reservoir/Mayan%20Lake%20quad%20stocking%20buckets%20of%20fish.JPG"),"https://mywildalberta.ca/fishing/fish-stocking/fsm-images/Mcclennan%20Reservoir/Mayan%20Lake%20quad%20stocking%20buckets%20of%20fish.JPG")</x:f>
        <x:v>https://mywildalberta.ca/fishing/fish-stocking/fsm-images/Mcclennan%20Reservoir/Mayan%20Lake%20quad%20stocking%20buckets%20of%20fish.JPG</x:v>
      </x:c>
    </x:row>
    <x:row r="392" ht="48" customHeight="1">
      <x:c r="A392" s="8" t="str">
        <x:v>Mayan Lake</x:v>
      </x:c>
      <x:c r="B392" s="8" t="str">
        <x:v>19525</x:v>
      </x:c>
      <x:c r="C392" s="11" t="str">
        <x:v>Mayan Lake quad stocking</x:v>
      </x:c>
      <x:c r="D392" s="15" t="str">
        <x:f>IFERROR(HYPERLINK("https://mywildalberta.ca/fishing/fish-stocking/fsm-images/Mcclennan%20Reservoir/Mayan%20Lake%20quad%20stocking.JPG","https://mywildalberta.ca/fishing/fish-stocking/fsm-images/Mcclennan%20Reservoir/Mayan%20Lake%20quad%20stocking.JPG"),"https://mywildalberta.ca/fishing/fish-stocking/fsm-images/Mcclennan%20Reservoir/Mayan%20Lake%20quad%20stocking.JPG")</x:f>
        <x:v>https://mywildalberta.ca/fishing/fish-stocking/fsm-images/Mcclennan%20Reservoir/Mayan%20Lake%20quad%20stocking.JPG</x:v>
      </x:c>
    </x:row>
    <x:row r="393" ht="48" customHeight="1">
      <x:c r="A393" s="8" t="str">
        <x:v>Mayan Lake</x:v>
      </x:c>
      <x:c r="B393" s="8" t="str">
        <x:v>19525</x:v>
      </x:c>
      <x:c r="C393" s="11" t="str">
        <x:v>Mayan lake shore line</x:v>
      </x:c>
      <x:c r="D393" s="15" t="str">
        <x:f>IFERROR(HYPERLINK("https://mywildalberta.ca/fishing/fish-stocking/fsm-images/Mcclennan%20Reservoir/Mayan%20lake%20shore%20line.JPG","https://mywildalberta.ca/fishing/fish-stocking/fsm-images/Mcclennan%20Reservoir/Mayan%20lake%20shore%20line.JPG"),"https://mywildalberta.ca/fishing/fish-stocking/fsm-images/Mcclennan%20Reservoir/Mayan%20lake%20shore%20line.JPG")</x:f>
        <x:v>https://mywildalberta.ca/fishing/fish-stocking/fsm-images/Mcclennan%20Reservoir/Mayan%20lake%20shore%20line.JPG</x:v>
      </x:c>
    </x:row>
    <x:row r="394" ht="48" customHeight="1">
      <x:c r="A394" s="8" t="str">
        <x:v>Mayan Lake</x:v>
      </x:c>
      <x:c r="B394" s="8" t="str">
        <x:v>19525</x:v>
      </x:c>
      <x:c r="C394" s="11" t="str">
        <x:v>Mayan Lake view through the trees</x:v>
      </x:c>
      <x:c r="D394" s="15" t="str">
        <x:f>IFERROR(HYPERLINK("https://mywildalberta.ca/fishing/fish-stocking/fsm-images/Mcclennan%20Reservoir/Mayan%20Lake%20view%20through%20the%20trees.jpg","https://mywildalberta.ca/fishing/fish-stocking/fsm-images/Mcclennan%20Reservoir/Mayan%20Lake%20view%20through%20the%20trees.jpg"),"https://mywildalberta.ca/fishing/fish-stocking/fsm-images/Mcclennan%20Reservoir/Mayan%20Lake%20view%20through%20the%20trees.jpg")</x:f>
        <x:v>https://mywildalberta.ca/fishing/fish-stocking/fsm-images/Mcclennan%20Reservoir/Mayan%20Lake%20view%20through%20the%20trees.jpg</x:v>
      </x:c>
    </x:row>
    <x:row r="395" ht="48" customHeight="1">
      <x:c r="A395" s="8" t="str">
        <x:v>Mayan Lake</x:v>
      </x:c>
      <x:c r="B395" s="8" t="str">
        <x:v>19525</x:v>
      </x:c>
      <x:c r="C395" s="11" t="str">
        <x:v>McClennan information sign with camground and dock</x:v>
      </x:c>
      <x:c r="D395" s="15" t="str">
        <x:f>IFERROR(HYPERLINK("https://mywildalberta.ca/fishing/fish-stocking/fsm-images/Mcclennan%20Reservoir/McClennan%20information%20sign%20with%20camground%20and%20dock.jpg","https://mywildalberta.ca/fishing/fish-stocking/fsm-images/Mcclennan%20Reservoir/McClennan%20information%20sign%20with%20camground%20and%20dock.jpg"),"https://mywildalberta.ca/fishing/fish-stocking/fsm-images/Mcclennan%20Reservoir/McClennan%20information%20sign%20with%20camground%20and%20dock.jpg")</x:f>
        <x:v>https://mywildalberta.ca/fishing/fish-stocking/fsm-images/Mcclennan%20Reservoir/McClennan%20information%20sign%20with%20camground%20and%20dock.jpg</x:v>
      </x:c>
    </x:row>
    <x:row r="396" ht="48" customHeight="1">
      <x:c r="A396" s="8" t="str">
        <x:v>Mayan Lake</x:v>
      </x:c>
      <x:c r="B396" s="8" t="str">
        <x:v>19525</x:v>
      </x:c>
      <x:c r="C396" s="11" t="str">
        <x:v>McClennan with dock in picture</x:v>
      </x:c>
      <x:c r="D396" s="15" t="str">
        <x:f>IFERROR(HYPERLINK("https://mywildalberta.ca/fishing/fish-stocking/fsm-images/Mcclennan%20Reservoir/McClennan%20with%20dock%20in%20picture.jpg","https://mywildalberta.ca/fishing/fish-stocking/fsm-images/Mcclennan%20Reservoir/McClennan%20with%20dock%20in%20picture.jpg"),"https://mywildalberta.ca/fishing/fish-stocking/fsm-images/Mcclennan%20Reservoir/McClennan%20with%20dock%20in%20picture.jpg")</x:f>
        <x:v>https://mywildalberta.ca/fishing/fish-stocking/fsm-images/Mcclennan%20Reservoir/McClennan%20with%20dock%20in%20picture.jpg</x:v>
      </x:c>
    </x:row>
    <x:row r="397" ht="48" customHeight="1">
      <x:c r="A397" s="8" t="str">
        <x:v>McLaren's Reservoir</x:v>
      </x:c>
      <x:c r="B397" s="8" t="str">
        <x:v>6755</x:v>
      </x:c>
      <x:c r="C397" s="11" t="str">
        <x:v>IMG 0364</x:v>
      </x:c>
      <x:c r="D397" s="15" t="str">
        <x:f>IFERROR(HYPERLINK("https://mywildalberta.ca/fishing/fish-stocking/fsm-images/McLaren's%20Reservoir/IMG_0364.JPG","https://mywildalberta.ca/fishing/fish-stocking/fsm-images/McLaren's%20Reservoir/IMG_0364.JPG"),"https://mywildalberta.ca/fishing/fish-stocking/fsm-images/McLaren's%20Reservoir/IMG_0364.JPG")</x:f>
        <x:v>https://mywildalberta.ca/fishing/fish-stocking/fsm-images/McLaren's%20Reservoir/IMG_0364.JPG</x:v>
      </x:c>
    </x:row>
    <x:row r="398" ht="48" customHeight="1">
      <x:c r="A398" s="8" t="str">
        <x:v>McLaren's Reservoir</x:v>
      </x:c>
      <x:c r="B398" s="8" t="str">
        <x:v>6755</x:v>
      </x:c>
      <x:c r="C398" s="11" t="str">
        <x:v>McLarens east bank at campground</x:v>
      </x:c>
      <x:c r="D398" s="15" t="str">
        <x:f>IFERROR(HYPERLINK("https://mywildalberta.ca/fishing/fish-stocking/fsm-images/McLaren's%20Reservoir/McLarens%20east%20bank%20at%20campground.JPG","https://mywildalberta.ca/fishing/fish-stocking/fsm-images/McLaren's%20Reservoir/McLarens%20east%20bank%20at%20campground.JPG"),"https://mywildalberta.ca/fishing/fish-stocking/fsm-images/McLaren's%20Reservoir/McLarens%20east%20bank%20at%20campground.JPG")</x:f>
        <x:v>https://mywildalberta.ca/fishing/fish-stocking/fsm-images/McLaren's%20Reservoir/McLarens%20east%20bank%20at%20campground.JPG</x:v>
      </x:c>
    </x:row>
    <x:row r="399" ht="48" customHeight="1">
      <x:c r="A399" s="8" t="str">
        <x:v>McLaren's Reservoir</x:v>
      </x:c>
      <x:c r="B399" s="8" t="str">
        <x:v>6755</x:v>
      </x:c>
      <x:c r="C399" s="11" t="str">
        <x:v>McLarens edge of farmers field</x:v>
      </x:c>
      <x:c r="D399" s="15" t="str">
        <x:f>IFERROR(HYPERLINK("https://mywildalberta.ca/fishing/fish-stocking/fsm-images/McLaren's%20Reservoir/McLarens%20edge%20of%20farmers%20field.JPG","https://mywildalberta.ca/fishing/fish-stocking/fsm-images/McLaren's%20Reservoir/McLarens%20edge%20of%20farmers%20field.JPG"),"https://mywildalberta.ca/fishing/fish-stocking/fsm-images/McLaren's%20Reservoir/McLarens%20edge%20of%20farmers%20field.JPG")</x:f>
        <x:v>https://mywildalberta.ca/fishing/fish-stocking/fsm-images/McLaren's%20Reservoir/McLarens%20edge%20of%20farmers%20field.JPG</x:v>
      </x:c>
    </x:row>
    <x:row r="400" ht="48" customHeight="1">
      <x:c r="A400" s="8" t="str">
        <x:v>McLaren's Reservoir</x:v>
      </x:c>
      <x:c r="B400" s="8" t="str">
        <x:v>6755</x:v>
      </x:c>
      <x:c r="C400" s="11" t="str">
        <x:v>McLarens Reservoir  pelican swimming</x:v>
      </x:c>
      <x:c r="D400" s="15" t="str">
        <x:f>IFERROR(HYPERLINK("https://mywildalberta.ca/fishing/fish-stocking/fsm-images/McLaren's%20Reservoir/McLarens%20Reservoir%20%20pelican%20swimming.JPG","https://mywildalberta.ca/fishing/fish-stocking/fsm-images/McLaren's%20Reservoir/McLarens%20Reservoir%20%20pelican%20swimming.JPG"),"https://mywildalberta.ca/fishing/fish-stocking/fsm-images/McLaren's%20Reservoir/McLarens%20Reservoir%20%20pelican%20swimming.JPG")</x:f>
        <x:v>https://mywildalberta.ca/fishing/fish-stocking/fsm-images/McLaren's%20Reservoir/McLarens%20Reservoir%20%20pelican%20swimming.JPG</x:v>
      </x:c>
    </x:row>
    <x:row r="401" ht="48" customHeight="1">
      <x:c r="A401" s="8" t="str">
        <x:v>McLaren's Reservoir</x:v>
      </x:c>
      <x:c r="B401" s="8" t="str">
        <x:v>6755</x:v>
      </x:c>
      <x:c r="C401" s="11" t="str">
        <x:v>Mclarens Reservoir reeds</x:v>
      </x:c>
      <x:c r="D401" s="15" t="str">
        <x:f>IFERROR(HYPERLINK("https://mywildalberta.ca/fishing/fish-stocking/fsm-images/McLaren's%20Reservoir/Mclarens%20Reservoir%20reeds.JPG","https://mywildalberta.ca/fishing/fish-stocking/fsm-images/McLaren's%20Reservoir/Mclarens%20Reservoir%20reeds.JPG"),"https://mywildalberta.ca/fishing/fish-stocking/fsm-images/McLaren's%20Reservoir/Mclarens%20Reservoir%20reeds.JPG")</x:f>
        <x:v>https://mywildalberta.ca/fishing/fish-stocking/fsm-images/McLaren's%20Reservoir/Mclarens%20Reservoir%20reeds.JPG</x:v>
      </x:c>
    </x:row>
    <x:row r="402" ht="48" customHeight="1">
      <x:c r="A402" s="8" t="str">
        <x:v>McVinnie Reservoir</x:v>
      </x:c>
      <x:c r="B402" s="8" t="str">
        <x:v>6758</x:v>
      </x:c>
      <x:c r="C402" s="11" t="str">
        <x:v>McVinnie parking area and facilities</x:v>
      </x:c>
      <x:c r="D402" s="15" t="str">
        <x:f>IFERROR(HYPERLINK("https://mywildalberta.ca/fishing/fish-stocking/fsm-images/McVinnie%20Reservoir/McVinnie%20parking%20area%20and%20facilities.JPG","https://mywildalberta.ca/fishing/fish-stocking/fsm-images/McVinnie%20Reservoir/McVinnie%20parking%20area%20and%20facilities.JPG"),"https://mywildalberta.ca/fishing/fish-stocking/fsm-images/McVinnie%20Reservoir/McVinnie%20parking%20area%20and%20facilities.JPG")</x:f>
        <x:v>https://mywildalberta.ca/fishing/fish-stocking/fsm-images/McVinnie%20Reservoir/McVinnie%20parking%20area%20and%20facilities.JPG</x:v>
      </x:c>
    </x:row>
    <x:row r="403" ht="48" customHeight="1">
      <x:c r="A403" s="8" t="str">
        <x:v>McVinnie Reservoir</x:v>
      </x:c>
      <x:c r="B403" s="8" t="str">
        <x:v>6758</x:v>
      </x:c>
      <x:c r="C403" s="11" t="str">
        <x:v>McVinnie winter view of lake</x:v>
      </x:c>
      <x:c r="D403" s="15" t="str">
        <x:f>IFERROR(HYPERLINK("https://mywildalberta.ca/fishing/fish-stocking/fsm-images/McVinnie%20Reservoir/McVinnie%20winter%20view%20of%20lake.JPG","https://mywildalberta.ca/fishing/fish-stocking/fsm-images/McVinnie%20Reservoir/McVinnie%20winter%20view%20of%20lake.JPG"),"https://mywildalberta.ca/fishing/fish-stocking/fsm-images/McVinnie%20Reservoir/McVinnie%20winter%20view%20of%20lake.JPG")</x:f>
        <x:v>https://mywildalberta.ca/fishing/fish-stocking/fsm-images/McVinnie%20Reservoir/McVinnie%20winter%20view%20of%20lake.JPG</x:v>
      </x:c>
    </x:row>
    <x:row r="404" ht="48" customHeight="1">
      <x:c r="A404" s="8" t="str">
        <x:v>MD Peace Pond #1</x:v>
      </x:c>
      <x:c r="B404" s="8" t="str">
        <x:v>6721</x:v>
      </x:c>
      <x:c r="C404" s="11" t="str">
        <x:v>Peace Pond #1</x:v>
      </x:c>
      <x:c r="D404" s="15" t="str">
        <x:f>IFERROR(HYPERLINK("https://mywildalberta.ca/fishing/fish-stocking/fsm-images/MD%20Peace%20Pond%20%231/Peace%20Pond%20%231.jpg","https://mywildalberta.ca/fishing/fish-stocking/fsm-images/MD%20Peace%20Pond%20%231/Peace%20Pond%20%231.jpg"),"https://mywildalberta.ca/fishing/fish-stocking/fsm-images/MD%20Peace%20Pond%20%231/Peace%20Pond%20%231.jpg")</x:f>
        <x:v>https://mywildalberta.ca/fishing/fish-stocking/fsm-images/MD%20Peace%20Pond%20%231/Peace%20Pond%20%231.jpg</x:v>
      </x:c>
    </x:row>
    <x:row r="405" ht="48" customHeight="1">
      <x:c r="A405" s="8" t="str">
        <x:v>MD Peace Pond #2</x:v>
      </x:c>
      <x:c r="B405" s="8" t="str">
        <x:v>22995</x:v>
      </x:c>
      <x:c r="C405" s="11" t="str">
        <x:v>Peace Pond #2 (1)</x:v>
      </x:c>
      <x:c r="D405" s="15" t="str">
        <x:f>IFERROR(HYPERLINK("https://mywildalberta.ca/fishing/fish-stocking/fsm-images/MD%20Peace%20Pond%20%232/Peace%20Pond%20%232%20(1).jpg","https://mywildalberta.ca/fishing/fish-stocking/fsm-images/MD%20Peace%20Pond%20%232/Peace%20Pond%20%232%20(1).jpg"),"https://mywildalberta.ca/fishing/fish-stocking/fsm-images/MD%20Peace%20Pond%20%232/Peace%20Pond%20%232%20(1).jpg")</x:f>
        <x:v>https://mywildalberta.ca/fishing/fish-stocking/fsm-images/MD%20Peace%20Pond%20%232/Peace%20Pond%20%232%20(1).jpg</x:v>
      </x:c>
    </x:row>
    <x:row r="406" ht="48" customHeight="1">
      <x:c r="A406" s="8" t="str">
        <x:v>MD Peace Pond #2</x:v>
      </x:c>
      <x:c r="B406" s="8" t="str">
        <x:v>22995</x:v>
      </x:c>
      <x:c r="C406" s="11" t="str">
        <x:v>Peace Pond #2 (2)</x:v>
      </x:c>
      <x:c r="D406" s="15" t="str">
        <x:f>IFERROR(HYPERLINK("https://mywildalberta.ca/fishing/fish-stocking/fsm-images/MD%20Peace%20Pond%20%232/Peace%20Pond%20%232%20(2).jpg","https://mywildalberta.ca/fishing/fish-stocking/fsm-images/MD%20Peace%20Pond%20%232/Peace%20Pond%20%232%20(2).jpg"),"https://mywildalberta.ca/fishing/fish-stocking/fsm-images/MD%20Peace%20Pond%20%232/Peace%20Pond%20%232%20(2).jpg")</x:f>
        <x:v>https://mywildalberta.ca/fishing/fish-stocking/fsm-images/MD%20Peace%20Pond%20%232/Peace%20Pond%20%232%20(2).jpg</x:v>
      </x:c>
    </x:row>
    <x:row r="407" ht="48" customHeight="1">
      <x:c r="A407" s="8" t="str">
        <x:v>MD Peace Pond #2</x:v>
      </x:c>
      <x:c r="B407" s="8" t="str">
        <x:v>22995</x:v>
      </x:c>
      <x:c r="C407" s="11" t="str">
        <x:v>Peace Pond #2 (3)</x:v>
      </x:c>
      <x:c r="D407" s="15" t="str">
        <x:f>IFERROR(HYPERLINK("https://mywildalberta.ca/fishing/fish-stocking/fsm-images/MD%20Peace%20Pond%20%232/Peace%20Pond%20%232%20(3).jpg","https://mywildalberta.ca/fishing/fish-stocking/fsm-images/MD%20Peace%20Pond%20%232/Peace%20Pond%20%232%20(3).jpg"),"https://mywildalberta.ca/fishing/fish-stocking/fsm-images/MD%20Peace%20Pond%20%232/Peace%20Pond%20%232%20(3).jpg")</x:f>
        <x:v>https://mywildalberta.ca/fishing/fish-stocking/fsm-images/MD%20Peace%20Pond%20%232/Peace%20Pond%20%232%20(3).jpg</x:v>
      </x:c>
    </x:row>
    <x:row r="408" ht="48" customHeight="1">
      <x:c r="A408" s="8" t="str">
        <x:v>MD Peace Pond #2</x:v>
      </x:c>
      <x:c r="B408" s="8" t="str">
        <x:v>22995</x:v>
      </x:c>
      <x:c r="C408" s="11" t="str">
        <x:v>Peace Pond #2 (4)</x:v>
      </x:c>
      <x:c r="D408" s="15" t="str">
        <x:f>IFERROR(HYPERLINK("https://mywildalberta.ca/fishing/fish-stocking/fsm-images/MD%20Peace%20Pond%20%232/Peace%20Pond%20%232%20(4).jpg","https://mywildalberta.ca/fishing/fish-stocking/fsm-images/MD%20Peace%20Pond%20%232/Peace%20Pond%20%232%20(4).jpg"),"https://mywildalberta.ca/fishing/fish-stocking/fsm-images/MD%20Peace%20Pond%20%232/Peace%20Pond%20%232%20(4).jpg")</x:f>
        <x:v>https://mywildalberta.ca/fishing/fish-stocking/fsm-images/MD%20Peace%20Pond%20%232/Peace%20Pond%20%232%20(4).jpg</x:v>
      </x:c>
    </x:row>
    <x:row r="409" ht="48" customHeight="1">
      <x:c r="A409" s="8" t="str">
        <x:v>Medley River</x:v>
      </x:c>
      <x:c r="B409" s="8" t="str">
        <x:v>2129</x:v>
      </x:c>
      <x:c r="C409" s="11" t="str">
        <x:v>Medly River culvert</x:v>
      </x:c>
      <x:c r="D409" s="15" t="str">
        <x:f>IFERROR(HYPERLINK("https://mywildalberta.ca/fishing/fish-stocking/fsm-images/Medley%20River/Medly%20River%20culvert.jpg","https://mywildalberta.ca/fishing/fish-stocking/fsm-images/Medley%20River/Medly%20River%20culvert.jpg"),"https://mywildalberta.ca/fishing/fish-stocking/fsm-images/Medley%20River/Medly%20River%20culvert.jpg")</x:f>
        <x:v>https://mywildalberta.ca/fishing/fish-stocking/fsm-images/Medley%20River/Medly%20River%20culvert.jpg</x:v>
      </x:c>
    </x:row>
    <x:row r="410" ht="48" customHeight="1">
      <x:c r="A410" s="8" t="str">
        <x:v>Medley River</x:v>
      </x:c>
      <x:c r="B410" s="8" t="str">
        <x:v>2129</x:v>
      </x:c>
      <x:c r="C410" s="11" t="str">
        <x:v>Medly River golden grass and clear water</x:v>
      </x:c>
      <x:c r="D410" s="15" t="str">
        <x:f>IFERROR(HYPERLINK("https://mywildalberta.ca/fishing/fish-stocking/fsm-images/Medley%20River/Medly%20River%20golden%20grass%20and%20clear%20water.jpg","https://mywildalberta.ca/fishing/fish-stocking/fsm-images/Medley%20River/Medly%20River%20golden%20grass%20and%20clear%20water.jpg"),"https://mywildalberta.ca/fishing/fish-stocking/fsm-images/Medley%20River/Medly%20River%20golden%20grass%20and%20clear%20water.jpg")</x:f>
        <x:v>https://mywildalberta.ca/fishing/fish-stocking/fsm-images/Medley%20River/Medly%20River%20golden%20grass%20and%20clear%20water.jpg</x:v>
      </x:c>
    </x:row>
    <x:row r="411" ht="48" customHeight="1">
      <x:c r="A411" s="8" t="str">
        <x:v>Michel Creek Reservoir</x:v>
      </x:c>
      <x:c r="B411" s="8" t="str">
        <x:v>3523</x:v>
      </x:c>
      <x:c r="C411" s="11" t="str">
        <x:v>Michel Reservoir over view of lake</x:v>
      </x:c>
      <x:c r="D411" s="15" t="str">
        <x:f>IFERROR(HYPERLINK("https://mywildalberta.ca/fishing/fish-stocking/fsm-images/Michel%20Creek%20Reservoir/Michel%20Reservoir%20over%20view%20of%20lake.JPG","https://mywildalberta.ca/fishing/fish-stocking/fsm-images/Michel%20Creek%20Reservoir/Michel%20Reservoir%20over%20view%20of%20lake.JPG"),"https://mywildalberta.ca/fishing/fish-stocking/fsm-images/Michel%20Creek%20Reservoir/Michel%20Reservoir%20over%20view%20of%20lake.JPG")</x:f>
        <x:v>https://mywildalberta.ca/fishing/fish-stocking/fsm-images/Michel%20Creek%20Reservoir/Michel%20Reservoir%20over%20view%20of%20lake.JPG</x:v>
      </x:c>
    </x:row>
    <x:row r="412" ht="48" customHeight="1">
      <x:c r="A412" s="8" t="str">
        <x:v>Michel Creek Reservoir</x:v>
      </x:c>
      <x:c r="B412" s="8" t="str">
        <x:v>3523</x:v>
      </x:c>
      <x:c r="C412" s="11" t="str">
        <x:v>Michel Reservoir stocking</x:v>
      </x:c>
      <x:c r="D412" s="15" t="str">
        <x:f>IFERROR(HYPERLINK("https://mywildalberta.ca/fishing/fish-stocking/fsm-images/Michel%20Creek%20Reservoir/Michel%20Reservoir%20stocking.JPG","https://mywildalberta.ca/fishing/fish-stocking/fsm-images/Michel%20Creek%20Reservoir/Michel%20Reservoir%20stocking.JPG"),"https://mywildalberta.ca/fishing/fish-stocking/fsm-images/Michel%20Creek%20Reservoir/Michel%20Reservoir%20stocking.JPG")</x:f>
        <x:v>https://mywildalberta.ca/fishing/fish-stocking/fsm-images/Michel%20Creek%20Reservoir/Michel%20Reservoir%20stocking.JPG</x:v>
      </x:c>
    </x:row>
    <x:row r="413" ht="48" customHeight="1">
      <x:c r="A413" s="8" t="str">
        <x:v>Michichi Reservoir</x:v>
      </x:c>
      <x:c r="B413" s="8" t="str">
        <x:v>3524</x:v>
      </x:c>
      <x:c r="C413" s="11" t="str">
        <x:v>Michichi Boardwalk Sign</x:v>
      </x:c>
      <x:c r="D413" s="15" t="str">
        <x:f>IFERROR(HYPERLINK("https://mywildalberta.ca/fishing/fish-stocking/fsm-images/Michichi%20Reservoir/Michichi%20Boardwalk%20Sign.jpg","https://mywildalberta.ca/fishing/fish-stocking/fsm-images/Michichi%20Reservoir/Michichi%20Boardwalk%20Sign.jpg"),"https://mywildalberta.ca/fishing/fish-stocking/fsm-images/Michichi%20Reservoir/Michichi%20Boardwalk%20Sign.jpg")</x:f>
        <x:v>https://mywildalberta.ca/fishing/fish-stocking/fsm-images/Michichi%20Reservoir/Michichi%20Boardwalk%20Sign.jpg</x:v>
      </x:c>
    </x:row>
    <x:row r="414" ht="48" customHeight="1">
      <x:c r="A414" s="8" t="str">
        <x:v>Michichi Reservoir</x:v>
      </x:c>
      <x:c r="B414" s="8" t="str">
        <x:v>3524</x:v>
      </x:c>
      <x:c r="C414" s="11" t="str">
        <x:v>Michichi Camping Spots</x:v>
      </x:c>
      <x:c r="D414" s="15" t="str">
        <x:f>IFERROR(HYPERLINK("https://mywildalberta.ca/fishing/fish-stocking/fsm-images/Michichi%20Reservoir/Michichi%20Camping%20Spots.jpg","https://mywildalberta.ca/fishing/fish-stocking/fsm-images/Michichi%20Reservoir/Michichi%20Camping%20Spots.jpg"),"https://mywildalberta.ca/fishing/fish-stocking/fsm-images/Michichi%20Reservoir/Michichi%20Camping%20Spots.jpg")</x:f>
        <x:v>https://mywildalberta.ca/fishing/fish-stocking/fsm-images/Michichi%20Reservoir/Michichi%20Camping%20Spots.jpg</x:v>
      </x:c>
    </x:row>
    <x:row r="415" ht="48" customHeight="1">
      <x:c r="A415" s="8" t="str">
        <x:v>Michichi Reservoir</x:v>
      </x:c>
      <x:c r="B415" s="8" t="str">
        <x:v>3524</x:v>
      </x:c>
      <x:c r="C415" s="11" t="str">
        <x:v>Michichi Cook Shelter Side</x:v>
      </x:c>
      <x:c r="D415" s="15" t="str">
        <x:f>IFERROR(HYPERLINK("https://mywildalberta.ca/fishing/fish-stocking/fsm-images/Michichi%20Reservoir/Michichi%20Cook%20Shelter%20Side.jpg","https://mywildalberta.ca/fishing/fish-stocking/fsm-images/Michichi%20Reservoir/Michichi%20Cook%20Shelter%20Side.jpg"),"https://mywildalberta.ca/fishing/fish-stocking/fsm-images/Michichi%20Reservoir/Michichi%20Cook%20Shelter%20Side.jpg")</x:f>
        <x:v>https://mywildalberta.ca/fishing/fish-stocking/fsm-images/Michichi%20Reservoir/Michichi%20Cook%20Shelter%20Side.jpg</x:v>
      </x:c>
    </x:row>
    <x:row r="416" ht="48" customHeight="1">
      <x:c r="A416" s="8" t="str">
        <x:v>Michichi Reservoir</x:v>
      </x:c>
      <x:c r="B416" s="8" t="str">
        <x:v>3524</x:v>
      </x:c>
      <x:c r="C416" s="11" t="str">
        <x:v>Michichi Cook Shelter Wide</x:v>
      </x:c>
      <x:c r="D416" s="15" t="str">
        <x:f>IFERROR(HYPERLINK("https://mywildalberta.ca/fishing/fish-stocking/fsm-images/Michichi%20Reservoir/Michichi%20Cook%20Shelter%20Wide.jpg","https://mywildalberta.ca/fishing/fish-stocking/fsm-images/Michichi%20Reservoir/Michichi%20Cook%20Shelter%20Wide.jpg"),"https://mywildalberta.ca/fishing/fish-stocking/fsm-images/Michichi%20Reservoir/Michichi%20Cook%20Shelter%20Wide.jpg")</x:f>
        <x:v>https://mywildalberta.ca/fishing/fish-stocking/fsm-images/Michichi%20Reservoir/Michichi%20Cook%20Shelter%20Wide.jpg</x:v>
      </x:c>
    </x:row>
    <x:row r="417" ht="48" customHeight="1">
      <x:c r="A417" s="8" t="str">
        <x:v>Michichi Reservoir</x:v>
      </x:c>
      <x:c r="B417" s="8" t="str">
        <x:v>3524</x:v>
      </x:c>
      <x:c r="C417" s="11" t="str">
        <x:v>Michichi Dock</x:v>
      </x:c>
      <x:c r="D417" s="15" t="str">
        <x:f>IFERROR(HYPERLINK("https://mywildalberta.ca/fishing/fish-stocking/fsm-images/Michichi%20Reservoir/Michichi%20Dock.jpg","https://mywildalberta.ca/fishing/fish-stocking/fsm-images/Michichi%20Reservoir/Michichi%20Dock.jpg"),"https://mywildalberta.ca/fishing/fish-stocking/fsm-images/Michichi%20Reservoir/Michichi%20Dock.jpg")</x:f>
        <x:v>https://mywildalberta.ca/fishing/fish-stocking/fsm-images/Michichi%20Reservoir/Michichi%20Dock.jpg</x:v>
      </x:c>
    </x:row>
    <x:row r="418" ht="48" customHeight="1">
      <x:c r="A418" s="8" t="str">
        <x:v>Michichi Reservoir</x:v>
      </x:c>
      <x:c r="B418" s="8" t="str">
        <x:v>3524</x:v>
      </x:c>
      <x:c r="C418" s="11" t="str">
        <x:v>MIchichi Fish Cleaning Station</x:v>
      </x:c>
      <x:c r="D418" s="15" t="str">
        <x:f>IFERROR(HYPERLINK("https://mywildalberta.ca/fishing/fish-stocking/fsm-images/Michichi%20Reservoir/MIchichi%20Fish%20Cleaning%20Station.jpg","https://mywildalberta.ca/fishing/fish-stocking/fsm-images/Michichi%20Reservoir/MIchichi%20Fish%20Cleaning%20Station.jpg"),"https://mywildalberta.ca/fishing/fish-stocking/fsm-images/Michichi%20Reservoir/MIchichi%20Fish%20Cleaning%20Station.jpg")</x:f>
        <x:v>https://mywildalberta.ca/fishing/fish-stocking/fsm-images/Michichi%20Reservoir/MIchichi%20Fish%20Cleaning%20Station.jpg</x:v>
      </x:c>
    </x:row>
    <x:row r="419" ht="48" customHeight="1">
      <x:c r="A419" s="8" t="str">
        <x:v>Michichi Reservoir</x:v>
      </x:c>
      <x:c r="B419" s="8" t="str">
        <x:v>3524</x:v>
      </x:c>
      <x:c r="C419" s="11" t="str">
        <x:v>Michichi Fishing Sign</x:v>
      </x:c>
      <x:c r="D419" s="15" t="str">
        <x:f>IFERROR(HYPERLINK("https://mywildalberta.ca/fishing/fish-stocking/fsm-images/Michichi%20Reservoir/Michichi%20Fishing%20Sign.jpg","https://mywildalberta.ca/fishing/fish-stocking/fsm-images/Michichi%20Reservoir/Michichi%20Fishing%20Sign.jpg"),"https://mywildalberta.ca/fishing/fish-stocking/fsm-images/Michichi%20Reservoir/Michichi%20Fishing%20Sign.jpg")</x:f>
        <x:v>https://mywildalberta.ca/fishing/fish-stocking/fsm-images/Michichi%20Reservoir/Michichi%20Fishing%20Sign.jpg</x:v>
      </x:c>
    </x:row>
    <x:row r="420" ht="48" customHeight="1">
      <x:c r="A420" s="8" t="str">
        <x:v>Michichi Reservoir</x:v>
      </x:c>
      <x:c r="B420" s="8" t="str">
        <x:v>3524</x:v>
      </x:c>
      <x:c r="C420" s="11" t="str">
        <x:v>Michichi Lakeside View</x:v>
      </x:c>
      <x:c r="D420" s="15" t="str">
        <x:f>IFERROR(HYPERLINK("https://mywildalberta.ca/fishing/fish-stocking/fsm-images/Michichi%20Reservoir/Michichi%20Lakeside%20View.jpg","https://mywildalberta.ca/fishing/fish-stocking/fsm-images/Michichi%20Reservoir/Michichi%20Lakeside%20View.jpg"),"https://mywildalberta.ca/fishing/fish-stocking/fsm-images/Michichi%20Reservoir/Michichi%20Lakeside%20View.jpg")</x:f>
        <x:v>https://mywildalberta.ca/fishing/fish-stocking/fsm-images/Michichi%20Reservoir/Michichi%20Lakeside%20View.jpg</x:v>
      </x:c>
    </x:row>
    <x:row r="421" ht="48" customHeight="1">
      <x:c r="A421" s="8" t="str">
        <x:v>Michichi Reservoir</x:v>
      </x:c>
      <x:c r="B421" s="8" t="str">
        <x:v>3524</x:v>
      </x:c>
      <x:c r="C421" s="11" t="str">
        <x:v>Michichi Lookout</x:v>
      </x:c>
      <x:c r="D421" s="15" t="str">
        <x:f>IFERROR(HYPERLINK("https://mywildalberta.ca/fishing/fish-stocking/fsm-images/Michichi%20Reservoir/Michichi%20Lookout.jpg","https://mywildalberta.ca/fishing/fish-stocking/fsm-images/Michichi%20Reservoir/Michichi%20Lookout.jpg"),"https://mywildalberta.ca/fishing/fish-stocking/fsm-images/Michichi%20Reservoir/Michichi%20Lookout.jpg")</x:f>
        <x:v>https://mywildalberta.ca/fishing/fish-stocking/fsm-images/Michichi%20Reservoir/Michichi%20Lookout.jpg</x:v>
      </x:c>
    </x:row>
    <x:row r="422" ht="48" customHeight="1">
      <x:c r="A422" s="8" t="str">
        <x:v>Michichi Reservoir</x:v>
      </x:c>
      <x:c r="B422" s="8" t="str">
        <x:v>3524</x:v>
      </x:c>
      <x:c r="C422" s="11" t="str">
        <x:v>Michichi Playground</x:v>
      </x:c>
      <x:c r="D422" s="15" t="str">
        <x:f>IFERROR(HYPERLINK("https://mywildalberta.ca/fishing/fish-stocking/fsm-images/Michichi%20Reservoir/Michichi%20Playground.jpg","https://mywildalberta.ca/fishing/fish-stocking/fsm-images/Michichi%20Reservoir/Michichi%20Playground.jpg"),"https://mywildalberta.ca/fishing/fish-stocking/fsm-images/Michichi%20Reservoir/Michichi%20Playground.jpg")</x:f>
        <x:v>https://mywildalberta.ca/fishing/fish-stocking/fsm-images/Michichi%20Reservoir/Michichi%20Playground.jpg</x:v>
      </x:c>
    </x:row>
    <x:row r="423" ht="48" customHeight="1">
      <x:c r="A423" s="8" t="str">
        <x:v>Michichi Reservoir</x:v>
      </x:c>
      <x:c r="B423" s="8" t="str">
        <x:v>3524</x:v>
      </x:c>
      <x:c r="C423" s="11" t="str">
        <x:v>Michichi pond and island</x:v>
      </x:c>
      <x:c r="D423" s="15" t="str">
        <x:f>IFERROR(HYPERLINK("https://mywildalberta.ca/fishing/fish-stocking/fsm-images/Michichi%20Reservoir/Michichi%20pond%20and%20island.jpg","https://mywildalberta.ca/fishing/fish-stocking/fsm-images/Michichi%20Reservoir/Michichi%20pond%20and%20island.jpg"),"https://mywildalberta.ca/fishing/fish-stocking/fsm-images/Michichi%20Reservoir/Michichi%20pond%20and%20island.jpg")</x:f>
        <x:v>https://mywildalberta.ca/fishing/fish-stocking/fsm-images/Michichi%20Reservoir/Michichi%20pond%20and%20island.jpg</x:v>
      </x:c>
    </x:row>
    <x:row r="424" ht="48" customHeight="1">
      <x:c r="A424" s="8" t="str">
        <x:v>Michichi Reservoir</x:v>
      </x:c>
      <x:c r="B424" s="8" t="str">
        <x:v>3524</x:v>
      </x:c>
      <x:c r="C424" s="11" t="str">
        <x:v>Michichi reservoir</x:v>
      </x:c>
      <x:c r="D424" s="15" t="str">
        <x:f>IFERROR(HYPERLINK("https://mywildalberta.ca/fishing/fish-stocking/fsm-images/Michichi%20Reservoir/Michichi%20reservoir.JPG","https://mywildalberta.ca/fishing/fish-stocking/fsm-images/Michichi%20Reservoir/Michichi%20reservoir.JPG"),"https://mywildalberta.ca/fishing/fish-stocking/fsm-images/Michichi%20Reservoir/Michichi%20reservoir.JPG")</x:f>
        <x:v>https://mywildalberta.ca/fishing/fish-stocking/fsm-images/Michichi%20Reservoir/Michichi%20reservoir.JPG</x:v>
      </x:c>
    </x:row>
    <x:row r="425" ht="48" customHeight="1">
      <x:c r="A425" s="8" t="str">
        <x:v>Michichi Reservoir</x:v>
      </x:c>
      <x:c r="B425" s="8" t="str">
        <x:v>3524</x:v>
      </x:c>
      <x:c r="C425" s="11" t="str">
        <x:v>Michichi Walking Trail (2)</x:v>
      </x:c>
      <x:c r="D425" s="15" t="str">
        <x:f>IFERROR(HYPERLINK("https://mywildalberta.ca/fishing/fish-stocking/fsm-images/Michichi%20Reservoir/Michichi%20Walking%20Trail%20(2).jpg","https://mywildalberta.ca/fishing/fish-stocking/fsm-images/Michichi%20Reservoir/Michichi%20Walking%20Trail%20(2).jpg"),"https://mywildalberta.ca/fishing/fish-stocking/fsm-images/Michichi%20Reservoir/Michichi%20Walking%20Trail%20(2).jpg")</x:f>
        <x:v>https://mywildalberta.ca/fishing/fish-stocking/fsm-images/Michichi%20Reservoir/Michichi%20Walking%20Trail%20(2).jpg</x:v>
      </x:c>
    </x:row>
    <x:row r="426" ht="48" customHeight="1">
      <x:c r="A426" s="8" t="str">
        <x:v>Michichi Reservoir</x:v>
      </x:c>
      <x:c r="B426" s="8" t="str">
        <x:v>3524</x:v>
      </x:c>
      <x:c r="C426" s="11" t="str">
        <x:v>Michichi Walking Trail</x:v>
      </x:c>
      <x:c r="D426" s="15" t="str">
        <x:f>IFERROR(HYPERLINK("https://mywildalberta.ca/fishing/fish-stocking/fsm-images/Michichi%20Reservoir/Michichi%20Walking%20Trail.jpg","https://mywildalberta.ca/fishing/fish-stocking/fsm-images/Michichi%20Reservoir/Michichi%20Walking%20Trail.jpg"),"https://mywildalberta.ca/fishing/fish-stocking/fsm-images/Michichi%20Reservoir/Michichi%20Walking%20Trail.jpg")</x:f>
        <x:v>https://mywildalberta.ca/fishing/fish-stocking/fsm-images/Michichi%20Reservoir/Michichi%20Walking%20Trail.jpg</x:v>
      </x:c>
    </x:row>
    <x:row r="427" ht="48" customHeight="1">
      <x:c r="A427" s="8" t="str">
        <x:v>Michichi Reservoir</x:v>
      </x:c>
      <x:c r="B427" s="8" t="str">
        <x:v>3524</x:v>
      </x:c>
      <x:c r="C427" s="11" t="str">
        <x:v>Michichi Washrooms</x:v>
      </x:c>
      <x:c r="D427" s="15" t="str">
        <x:f>IFERROR(HYPERLINK("https://mywildalberta.ca/fishing/fish-stocking/fsm-images/Michichi%20Reservoir/Michichi%20Washrooms.jpg","https://mywildalberta.ca/fishing/fish-stocking/fsm-images/Michichi%20Reservoir/Michichi%20Washrooms.jpg"),"https://mywildalberta.ca/fishing/fish-stocking/fsm-images/Michichi%20Reservoir/Michichi%20Washrooms.jpg")</x:f>
        <x:v>https://mywildalberta.ca/fishing/fish-stocking/fsm-images/Michichi%20Reservoir/Michichi%20Washrooms.jpg</x:v>
      </x:c>
    </x:row>
    <x:row r="428" ht="48" customHeight="1">
      <x:c r="A428" s="8" t="str">
        <x:v>Michichi Reservoir</x:v>
      </x:c>
      <x:c r="B428" s="8" t="str">
        <x:v>3524</x:v>
      </x:c>
      <x:c r="C428" s="11" t="str">
        <x:v>Michichi Wide View and dock</x:v>
      </x:c>
      <x:c r="D428" s="15" t="str">
        <x:f>IFERROR(HYPERLINK("https://mywildalberta.ca/fishing/fish-stocking/fsm-images/Michichi%20Reservoir/Michichi%20Wide%20View%20and%20dock.jpg","https://mywildalberta.ca/fishing/fish-stocking/fsm-images/Michichi%20Reservoir/Michichi%20Wide%20View%20and%20dock.jpg"),"https://mywildalberta.ca/fishing/fish-stocking/fsm-images/Michichi%20Reservoir/Michichi%20Wide%20View%20and%20dock.jpg")</x:f>
        <x:v>https://mywildalberta.ca/fishing/fish-stocking/fsm-images/Michichi%20Reservoir/Michichi%20Wide%20View%20and%20dock.jpg</x:v>
      </x:c>
    </x:row>
    <x:row r="429" ht="48" customHeight="1">
      <x:c r="A429" s="8" t="str">
        <x:v>Middle Pierre Greys Lake</x:v>
      </x:c>
      <x:c r="B429" s="8" t="str">
        <x:v>6533</x:v>
      </x:c>
      <x:c r="C429" s="11" t="str">
        <x:v>Pierre Grey's Lake #2 boat and fishing dock</x:v>
      </x:c>
      <x:c r="D429" s="15" t="str">
        <x:f>IFERROR(HYPERLINK("https://mywildalberta.ca/fishing/fish-stocking/fsm-images/Middle%20Pierre%20Greys%20Lake/Pierre%20Grey's%20Lake%20%232%20boat%20and%20fishing%20dock.jpg","https://mywildalberta.ca/fishing/fish-stocking/fsm-images/Middle%20Pierre%20Greys%20Lake/Pierre%20Grey's%20Lake%20%232%20boat%20and%20fishing%20dock.jpg"),"https://mywildalberta.ca/fishing/fish-stocking/fsm-images/Middle%20Pierre%20Greys%20Lake/Pierre%20Grey's%20Lake%20%232%20boat%20and%20fishing%20dock.jpg")</x:f>
        <x:v>https://mywildalberta.ca/fishing/fish-stocking/fsm-images/Middle%20Pierre%20Greys%20Lake/Pierre%20Grey's%20Lake%20%232%20boat%20and%20fishing%20dock.jpg</x:v>
      </x:c>
    </x:row>
    <x:row r="430" ht="48" customHeight="1">
      <x:c r="A430" s="8" t="str">
        <x:v>Mile 07 Lake</x:v>
      </x:c>
      <x:c r="B430" s="8" t="str">
        <x:v>6642</x:v>
      </x:c>
      <x:c r="C430" s="11" t="str">
        <x:v>Mile 7 Lake lake overview zoomed in</x:v>
      </x:c>
      <x:c r="D430" s="15" t="str">
        <x:f>IFERROR(HYPERLINK("https://mywildalberta.ca/fishing/fish-stocking/fsm-images/Mile%2007%20Lake/Mile%207%20Lake%20lake%20overview%20zoomed%20in.jpg","https://mywildalberta.ca/fishing/fish-stocking/fsm-images/Mile%2007%20Lake/Mile%207%20Lake%20lake%20overview%20zoomed%20in.jpg"),"https://mywildalberta.ca/fishing/fish-stocking/fsm-images/Mile%2007%20Lake/Mile%207%20Lake%20lake%20overview%20zoomed%20in.jpg")</x:f>
        <x:v>https://mywildalberta.ca/fishing/fish-stocking/fsm-images/Mile%2007%20Lake/Mile%207%20Lake%20lake%20overview%20zoomed%20in.jpg</x:v>
      </x:c>
    </x:row>
    <x:row r="431" ht="48" customHeight="1">
      <x:c r="A431" s="8" t="str">
        <x:v>Mile 07 Lake</x:v>
      </x:c>
      <x:c r="B431" s="8" t="str">
        <x:v>6642</x:v>
      </x:c>
      <x:c r="C431" s="11" t="str">
        <x:v>Mile 7 Lake overview</x:v>
      </x:c>
      <x:c r="D431" s="15" t="str">
        <x:f>IFERROR(HYPERLINK("https://mywildalberta.ca/fishing/fish-stocking/fsm-images/Mile%2007%20Lake/Mile%207%20Lake%20overview.JPG","https://mywildalberta.ca/fishing/fish-stocking/fsm-images/Mile%2007%20Lake/Mile%207%20Lake%20overview.JPG"),"https://mywildalberta.ca/fishing/fish-stocking/fsm-images/Mile%2007%20Lake/Mile%207%20Lake%20overview.JPG")</x:f>
        <x:v>https://mywildalberta.ca/fishing/fish-stocking/fsm-images/Mile%2007%20Lake/Mile%207%20Lake%20overview.JPG</x:v>
      </x:c>
    </x:row>
    <x:row r="432" ht="48" customHeight="1">
      <x:c r="A432" s="8" t="str">
        <x:v>Mile 07 Lake</x:v>
      </x:c>
      <x:c r="B432" s="8" t="str">
        <x:v>6642</x:v>
      </x:c>
      <x:c r="C432" s="11" t="str">
        <x:v>Mile 7 Lake sandy beach</x:v>
      </x:c>
      <x:c r="D432" s="15" t="str">
        <x:f>IFERROR(HYPERLINK("https://mywildalberta.ca/fishing/fish-stocking/fsm-images/Mile%2007%20Lake/Mile%207%20Lake%20sandy%20beach.JPG","https://mywildalberta.ca/fishing/fish-stocking/fsm-images/Mile%2007%20Lake/Mile%207%20Lake%20sandy%20beach.JPG"),"https://mywildalberta.ca/fishing/fish-stocking/fsm-images/Mile%2007%20Lake/Mile%207%20Lake%20sandy%20beach.JPG")</x:f>
        <x:v>https://mywildalberta.ca/fishing/fish-stocking/fsm-images/Mile%2007%20Lake/Mile%207%20Lake%20sandy%20beach.JPG</x:v>
      </x:c>
    </x:row>
    <x:row r="433" ht="48" customHeight="1">
      <x:c r="A433" s="8" t="str">
        <x:v>Mile 07 Lake</x:v>
      </x:c>
      <x:c r="B433" s="8" t="str">
        <x:v>6642</x:v>
      </x:c>
      <x:c r="C433" s="11" t="str">
        <x:v>Mile 7 stocking</x:v>
      </x:c>
      <x:c r="D433" s="15" t="str">
        <x:f>IFERROR(HYPERLINK("https://mywildalberta.ca/fishing/fish-stocking/fsm-images/Mile%2007%20Lake/Mile%207%20stocking.JPG","https://mywildalberta.ca/fishing/fish-stocking/fsm-images/Mile%2007%20Lake/Mile%207%20stocking.JPG"),"https://mywildalberta.ca/fishing/fish-stocking/fsm-images/Mile%2007%20Lake/Mile%207%20stocking.JPG")</x:f>
        <x:v>https://mywildalberta.ca/fishing/fish-stocking/fsm-images/Mile%2007%20Lake/Mile%207%20stocking.JPG</x:v>
      </x:c>
    </x:row>
    <x:row r="434" ht="48" customHeight="1">
      <x:c r="A434" s="8" t="str">
        <x:v>Millers Lake</x:v>
      </x:c>
      <x:c r="B434" s="8" t="str">
        <x:v>5324</x:v>
      </x:c>
      <x:c r="C434" s="11" t="str">
        <x:v>Millers Lake winter condiditons</x:v>
      </x:c>
      <x:c r="D434" s="15" t="str">
        <x:f>IFERROR(HYPERLINK("https://mywildalberta.ca/fishing/fish-stocking/fsm-images/Millers%20Lake/Millers%20Lake%20winter%20condiditons.JPG","https://mywildalberta.ca/fishing/fish-stocking/fsm-images/Millers%20Lake/Millers%20Lake%20winter%20condiditons.JPG"),"https://mywildalberta.ca/fishing/fish-stocking/fsm-images/Millers%20Lake/Millers%20Lake%20winter%20condiditons.JPG")</x:f>
        <x:v>https://mywildalberta.ca/fishing/fish-stocking/fsm-images/Millers%20Lake/Millers%20Lake%20winter%20condiditons.JPG</x:v>
      </x:c>
    </x:row>
    <x:row r="435" ht="48" customHeight="1">
      <x:c r="A435" s="8" t="str">
        <x:v>Mirage Lake</x:v>
      </x:c>
      <x:c r="B435" s="8" t="str">
        <x:v>5360</x:v>
      </x:c>
      <x:c r="C435" s="11" t="str">
        <x:v>Bathroom Facilities</x:v>
      </x:c>
      <x:c r="D435" s="15" t="str">
        <x:f>IFERROR(HYPERLINK("https://mywildalberta.ca/fishing/fish-stocking/fsm-images/Mirage%20Lake/Bathroom%20Facilities.jpg","https://mywildalberta.ca/fishing/fish-stocking/fsm-images/Mirage%20Lake/Bathroom%20Facilities.jpg"),"https://mywildalberta.ca/fishing/fish-stocking/fsm-images/Mirage%20Lake/Bathroom%20Facilities.jpg")</x:f>
        <x:v>https://mywildalberta.ca/fishing/fish-stocking/fsm-images/Mirage%20Lake/Bathroom%20Facilities.jpg</x:v>
      </x:c>
    </x:row>
    <x:row r="436" ht="48" customHeight="1">
      <x:c r="A436" s="8" t="str">
        <x:v>Mirage Lake</x:v>
      </x:c>
      <x:c r="B436" s="8" t="str">
        <x:v>5360</x:v>
      </x:c>
      <x:c r="C436" s="11" t="str">
        <x:v>Bench</x:v>
      </x:c>
      <x:c r="D436" s="15" t="str">
        <x:f>IFERROR(HYPERLINK("https://mywildalberta.ca/fishing/fish-stocking/fsm-images/Mirage%20Lake/Bench.jpg","https://mywildalberta.ca/fishing/fish-stocking/fsm-images/Mirage%20Lake/Bench.jpg"),"https://mywildalberta.ca/fishing/fish-stocking/fsm-images/Mirage%20Lake/Bench.jpg")</x:f>
        <x:v>https://mywildalberta.ca/fishing/fish-stocking/fsm-images/Mirage%20Lake/Bench.jpg</x:v>
      </x:c>
    </x:row>
    <x:row r="437" ht="48" customHeight="1">
      <x:c r="A437" s="8" t="str">
        <x:v>Mirage Lake</x:v>
      </x:c>
      <x:c r="B437" s="8" t="str">
        <x:v>5360</x:v>
      </x:c>
      <x:c r="C437" s="11" t="str">
        <x:v>Builiding and Volleyball Net</x:v>
      </x:c>
      <x:c r="D437" s="15" t="str">
        <x:f>IFERROR(HYPERLINK("https://mywildalberta.ca/fishing/fish-stocking/fsm-images/Mirage%20Lake/Builiding%20and%20Volleyball%20Net.jpg","https://mywildalberta.ca/fishing/fish-stocking/fsm-images/Mirage%20Lake/Builiding%20and%20Volleyball%20Net.jpg"),"https://mywildalberta.ca/fishing/fish-stocking/fsm-images/Mirage%20Lake/Builiding%20and%20Volleyball%20Net.jpg")</x:f>
        <x:v>https://mywildalberta.ca/fishing/fish-stocking/fsm-images/Mirage%20Lake/Builiding%20and%20Volleyball%20Net.jpg</x:v>
      </x:c>
    </x:row>
    <x:row r="438" ht="48" customHeight="1">
      <x:c r="A438" s="8" t="str">
        <x:v>Mirage Lake</x:v>
      </x:c>
      <x:c r="B438" s="8" t="str">
        <x:v>5360</x:v>
      </x:c>
      <x:c r="C438" s="11" t="str">
        <x:v>Camping Site</x:v>
      </x:c>
      <x:c r="D438" s="15" t="str">
        <x:f>IFERROR(HYPERLINK("https://mywildalberta.ca/fishing/fish-stocking/fsm-images/Mirage%20Lake/Camping%20Site.jpg","https://mywildalberta.ca/fishing/fish-stocking/fsm-images/Mirage%20Lake/Camping%20Site.jpg"),"https://mywildalberta.ca/fishing/fish-stocking/fsm-images/Mirage%20Lake/Camping%20Site.jpg")</x:f>
        <x:v>https://mywildalberta.ca/fishing/fish-stocking/fsm-images/Mirage%20Lake/Camping%20Site.jpg</x:v>
      </x:c>
    </x:row>
    <x:row r="439" ht="48" customHeight="1">
      <x:c r="A439" s="8" t="str">
        <x:v>Mirage Lake</x:v>
      </x:c>
      <x:c r="B439" s="8" t="str">
        <x:v>5360</x:v>
      </x:c>
      <x:c r="C439" s="11" t="str">
        <x:v>Dock (3)</x:v>
      </x:c>
      <x:c r="D439" s="15" t="str">
        <x:f>IFERROR(HYPERLINK("https://mywildalberta.ca/fishing/fish-stocking/fsm-images/Mirage%20Lake/Dock%20(3).jpg","https://mywildalberta.ca/fishing/fish-stocking/fsm-images/Mirage%20Lake/Dock%20(3).jpg"),"https://mywildalberta.ca/fishing/fish-stocking/fsm-images/Mirage%20Lake/Dock%20(3).jpg")</x:f>
        <x:v>https://mywildalberta.ca/fishing/fish-stocking/fsm-images/Mirage%20Lake/Dock%20(3).jpg</x:v>
      </x:c>
    </x:row>
    <x:row r="440" ht="48" customHeight="1">
      <x:c r="A440" s="8" t="str">
        <x:v>Mirage Lake</x:v>
      </x:c>
      <x:c r="B440" s="8" t="str">
        <x:v>5360</x:v>
      </x:c>
      <x:c r="C440" s="11" t="str">
        <x:v>Dock and Lake View</x:v>
      </x:c>
      <x:c r="D440" s="15" t="str">
        <x:f>IFERROR(HYPERLINK("https://mywildalberta.ca/fishing/fish-stocking/fsm-images/Mirage%20Lake/Dock%20and%20Lake%20View.jpg","https://mywildalberta.ca/fishing/fish-stocking/fsm-images/Mirage%20Lake/Dock%20and%20Lake%20View.jpg"),"https://mywildalberta.ca/fishing/fish-stocking/fsm-images/Mirage%20Lake/Dock%20and%20Lake%20View.jpg")</x:f>
        <x:v>https://mywildalberta.ca/fishing/fish-stocking/fsm-images/Mirage%20Lake/Dock%20and%20Lake%20View.jpg</x:v>
      </x:c>
    </x:row>
    <x:row r="441" ht="48" customHeight="1">
      <x:c r="A441" s="8" t="str">
        <x:v>Mirage Lake</x:v>
      </x:c>
      <x:c r="B441" s="8" t="str">
        <x:v>5360</x:v>
      </x:c>
      <x:c r="C441" s="11" t="str">
        <x:v>Drinking Water Receptical</x:v>
      </x:c>
      <x:c r="D441" s="15" t="str">
        <x:f>IFERROR(HYPERLINK("https://mywildalberta.ca/fishing/fish-stocking/fsm-images/Mirage%20Lake/Drinking%20Water%20Receptical.jpg","https://mywildalberta.ca/fishing/fish-stocking/fsm-images/Mirage%20Lake/Drinking%20Water%20Receptical.jpg"),"https://mywildalberta.ca/fishing/fish-stocking/fsm-images/Mirage%20Lake/Drinking%20Water%20Receptical.jpg")</x:f>
        <x:v>https://mywildalberta.ca/fishing/fish-stocking/fsm-images/Mirage%20Lake/Drinking%20Water%20Receptical.jpg</x:v>
      </x:c>
    </x:row>
    <x:row r="442" ht="48" customHeight="1">
      <x:c r="A442" s="8" t="str">
        <x:v>Mirage Lake</x:v>
      </x:c>
      <x:c r="B442" s="8" t="str">
        <x:v>5360</x:v>
      </x:c>
      <x:c r="C442" s="11" t="str">
        <x:v>Fire Pit site</x:v>
      </x:c>
      <x:c r="D442" s="15" t="str">
        <x:f>IFERROR(HYPERLINK("https://mywildalberta.ca/fishing/fish-stocking/fsm-images/Mirage%20Lake/Fire%20Pit%20site.jpg","https://mywildalberta.ca/fishing/fish-stocking/fsm-images/Mirage%20Lake/Fire%20Pit%20site.jpg"),"https://mywildalberta.ca/fishing/fish-stocking/fsm-images/Mirage%20Lake/Fire%20Pit%20site.jpg")</x:f>
        <x:v>https://mywildalberta.ca/fishing/fish-stocking/fsm-images/Mirage%20Lake/Fire%20Pit%20site.jpg</x:v>
      </x:c>
    </x:row>
    <x:row r="443" ht="48" customHeight="1">
      <x:c r="A443" s="8" t="str">
        <x:v>Mirage Lake</x:v>
      </x:c>
      <x:c r="B443" s="8" t="str">
        <x:v>5360</x:v>
      </x:c>
      <x:c r="C443" s="11" t="str">
        <x:v>Fish Information Sign</x:v>
      </x:c>
      <x:c r="D443" s="15" t="str">
        <x:f>IFERROR(HYPERLINK("https://mywildalberta.ca/fishing/fish-stocking/fsm-images/Mirage%20Lake/Fish%20Information%20Sign.jpg","https://mywildalberta.ca/fishing/fish-stocking/fsm-images/Mirage%20Lake/Fish%20Information%20Sign.jpg"),"https://mywildalberta.ca/fishing/fish-stocking/fsm-images/Mirage%20Lake/Fish%20Information%20Sign.jpg")</x:f>
        <x:v>https://mywildalberta.ca/fishing/fish-stocking/fsm-images/Mirage%20Lake/Fish%20Information%20Sign.jpg</x:v>
      </x:c>
    </x:row>
    <x:row r="444" ht="48" customHeight="1">
      <x:c r="A444" s="8" t="str">
        <x:v>Mirage Lake</x:v>
      </x:c>
      <x:c r="B444" s="8" t="str">
        <x:v>5360</x:v>
      </x:c>
      <x:c r="C444" s="11" t="str">
        <x:v>Garbage Cans</x:v>
      </x:c>
      <x:c r="D444" s="15" t="str">
        <x:f>IFERROR(HYPERLINK("https://mywildalberta.ca/fishing/fish-stocking/fsm-images/Mirage%20Lake/Garbage%20Cans.jpg","https://mywildalberta.ca/fishing/fish-stocking/fsm-images/Mirage%20Lake/Garbage%20Cans.jpg"),"https://mywildalberta.ca/fishing/fish-stocking/fsm-images/Mirage%20Lake/Garbage%20Cans.jpg")</x:f>
        <x:v>https://mywildalberta.ca/fishing/fish-stocking/fsm-images/Mirage%20Lake/Garbage%20Cans.jpg</x:v>
      </x:c>
    </x:row>
    <x:row r="445" ht="48" customHeight="1">
      <x:c r="A445" s="8" t="str">
        <x:v>Mirage Lake</x:v>
      </x:c>
      <x:c r="B445" s="8" t="str">
        <x:v>5360</x:v>
      </x:c>
      <x:c r="C445" s="11" t="str">
        <x:v>Lake Above View</x:v>
      </x:c>
      <x:c r="D445" s="15" t="str">
        <x:f>IFERROR(HYPERLINK("https://mywildalberta.ca/fishing/fish-stocking/fsm-images/Mirage%20Lake/Lake%20Above%20View.jpg","https://mywildalberta.ca/fishing/fish-stocking/fsm-images/Mirage%20Lake/Lake%20Above%20View.jpg"),"https://mywildalberta.ca/fishing/fish-stocking/fsm-images/Mirage%20Lake/Lake%20Above%20View.jpg")</x:f>
        <x:v>https://mywildalberta.ca/fishing/fish-stocking/fsm-images/Mirage%20Lake/Lake%20Above%20View.jpg</x:v>
      </x:c>
    </x:row>
    <x:row r="446" ht="48" customHeight="1">
      <x:c r="A446" s="8" t="str">
        <x:v>Mirage Lake</x:v>
      </x:c>
      <x:c r="B446" s="8" t="str">
        <x:v>5360</x:v>
      </x:c>
      <x:c r="C446" s="11" t="str">
        <x:v>Lake Bank View (2)</x:v>
      </x:c>
      <x:c r="D446" s="15" t="str">
        <x:f>IFERROR(HYPERLINK("https://mywildalberta.ca/fishing/fish-stocking/fsm-images/Mirage%20Lake/Lake%20Bank%20View%20(2).jpg","https://mywildalberta.ca/fishing/fish-stocking/fsm-images/Mirage%20Lake/Lake%20Bank%20View%20(2).jpg"),"https://mywildalberta.ca/fishing/fish-stocking/fsm-images/Mirage%20Lake/Lake%20Bank%20View%20(2).jpg")</x:f>
        <x:v>https://mywildalberta.ca/fishing/fish-stocking/fsm-images/Mirage%20Lake/Lake%20Bank%20View%20(2).jpg</x:v>
      </x:c>
    </x:row>
    <x:row r="447" ht="48" customHeight="1">
      <x:c r="A447" s="8" t="str">
        <x:v>Mirage Lake</x:v>
      </x:c>
      <x:c r="B447" s="8" t="str">
        <x:v>5360</x:v>
      </x:c>
      <x:c r="C447" s="11" t="str">
        <x:v>Lake Side Swing Set</x:v>
      </x:c>
      <x:c r="D447" s="15" t="str">
        <x:f>IFERROR(HYPERLINK("https://mywildalberta.ca/fishing/fish-stocking/fsm-images/Mirage%20Lake/Lake%20Side%20Swing%20Set.jpg","https://mywildalberta.ca/fishing/fish-stocking/fsm-images/Mirage%20Lake/Lake%20Side%20Swing%20Set.jpg"),"https://mywildalberta.ca/fishing/fish-stocking/fsm-images/Mirage%20Lake/Lake%20Side%20Swing%20Set.jpg")</x:f>
        <x:v>https://mywildalberta.ca/fishing/fish-stocking/fsm-images/Mirage%20Lake/Lake%20Side%20Swing%20Set.jpg</x:v>
      </x:c>
    </x:row>
    <x:row r="448" ht="48" customHeight="1">
      <x:c r="A448" s="8" t="str">
        <x:v>Mirage Lake</x:v>
      </x:c>
      <x:c r="B448" s="8" t="str">
        <x:v>5360</x:v>
      </x:c>
      <x:c r="C448" s="11" t="str">
        <x:v>Lake View and Dock</x:v>
      </x:c>
      <x:c r="D448" s="15" t="str">
        <x:f>IFERROR(HYPERLINK("https://mywildalberta.ca/fishing/fish-stocking/fsm-images/Mirage%20Lake/Lake%20View%20and%20Dock.jpg","https://mywildalberta.ca/fishing/fish-stocking/fsm-images/Mirage%20Lake/Lake%20View%20and%20Dock.jpg"),"https://mywildalberta.ca/fishing/fish-stocking/fsm-images/Mirage%20Lake/Lake%20View%20and%20Dock.jpg")</x:f>
        <x:v>https://mywildalberta.ca/fishing/fish-stocking/fsm-images/Mirage%20Lake/Lake%20View%20and%20Dock.jpg</x:v>
      </x:c>
    </x:row>
    <x:row r="449" ht="48" customHeight="1">
      <x:c r="A449" s="8" t="str">
        <x:v>Mirage Lake</x:v>
      </x:c>
      <x:c r="B449" s="8" t="str">
        <x:v>5360</x:v>
      </x:c>
      <x:c r="C449" s="11" t="str">
        <x:v>Lake View</x:v>
      </x:c>
      <x:c r="D449" s="15" t="str">
        <x:f>IFERROR(HYPERLINK("https://mywildalberta.ca/fishing/fish-stocking/fsm-images/Mirage%20Lake/Lake%20View.jpg","https://mywildalberta.ca/fishing/fish-stocking/fsm-images/Mirage%20Lake/Lake%20View.jpg"),"https://mywildalberta.ca/fishing/fish-stocking/fsm-images/Mirage%20Lake/Lake%20View.jpg")</x:f>
        <x:v>https://mywildalberta.ca/fishing/fish-stocking/fsm-images/Mirage%20Lake/Lake%20View.jpg</x:v>
      </x:c>
    </x:row>
    <x:row r="450" ht="48" customHeight="1">
      <x:c r="A450" s="8" t="str">
        <x:v>Mirage Lake</x:v>
      </x:c>
      <x:c r="B450" s="8" t="str">
        <x:v>5360</x:v>
      </x:c>
      <x:c r="C450" s="11" t="str">
        <x:v>Moonshine Park Sign</x:v>
      </x:c>
      <x:c r="D450" s="15" t="str">
        <x:f>IFERROR(HYPERLINK("https://mywildalberta.ca/fishing/fish-stocking/fsm-images/Mirage%20Lake/Moonshine%20Park%20Sign.jpg","https://mywildalberta.ca/fishing/fish-stocking/fsm-images/Mirage%20Lake/Moonshine%20Park%20Sign.jpg"),"https://mywildalberta.ca/fishing/fish-stocking/fsm-images/Mirage%20Lake/Moonshine%20Park%20Sign.jpg")</x:f>
        <x:v>https://mywildalberta.ca/fishing/fish-stocking/fsm-images/Mirage%20Lake/Moonshine%20Park%20Sign.jpg</x:v>
      </x:c>
    </x:row>
    <x:row r="451" ht="48" customHeight="1">
      <x:c r="A451" s="8" t="str">
        <x:v>Mirage Lake</x:v>
      </x:c>
      <x:c r="B451" s="8" t="str">
        <x:v>5360</x:v>
      </x:c>
      <x:c r="C451" s="11" t="str">
        <x:v>Open Water View</x:v>
      </x:c>
      <x:c r="D451" s="15" t="str">
        <x:f>IFERROR(HYPERLINK("https://mywildalberta.ca/fishing/fish-stocking/fsm-images/Mirage%20Lake/Open%20Water%20View.jpg","https://mywildalberta.ca/fishing/fish-stocking/fsm-images/Mirage%20Lake/Open%20Water%20View.jpg"),"https://mywildalberta.ca/fishing/fish-stocking/fsm-images/Mirage%20Lake/Open%20Water%20View.jpg")</x:f>
        <x:v>https://mywildalberta.ca/fishing/fish-stocking/fsm-images/Mirage%20Lake/Open%20Water%20View.jpg</x:v>
      </x:c>
    </x:row>
    <x:row r="452" ht="48" customHeight="1">
      <x:c r="A452" s="8" t="str">
        <x:v>Mirage Lake</x:v>
      </x:c>
      <x:c r="B452" s="8" t="str">
        <x:v>5360</x:v>
      </x:c>
      <x:c r="C452" s="11" t="str">
        <x:v>Otter Sign</x:v>
      </x:c>
      <x:c r="D452" s="15" t="str">
        <x:f>IFERROR(HYPERLINK("https://mywildalberta.ca/fishing/fish-stocking/fsm-images/Mirage%20Lake/Otter%20Sign.jpg","https://mywildalberta.ca/fishing/fish-stocking/fsm-images/Mirage%20Lake/Otter%20Sign.jpg"),"https://mywildalberta.ca/fishing/fish-stocking/fsm-images/Mirage%20Lake/Otter%20Sign.jpg")</x:f>
        <x:v>https://mywildalberta.ca/fishing/fish-stocking/fsm-images/Mirage%20Lake/Otter%20Sign.jpg</x:v>
      </x:c>
    </x:row>
    <x:row r="453" ht="48" customHeight="1">
      <x:c r="A453" s="8" t="str">
        <x:v>Mirage Lake</x:v>
      </x:c>
      <x:c r="B453" s="8" t="str">
        <x:v>5360</x:v>
      </x:c>
      <x:c r="C453" s="11" t="str">
        <x:v>Picnic Benches</x:v>
      </x:c>
      <x:c r="D453" s="15" t="str">
        <x:f>IFERROR(HYPERLINK("https://mywildalberta.ca/fishing/fish-stocking/fsm-images/Mirage%20Lake/Picnic%20Benches.jpg","https://mywildalberta.ca/fishing/fish-stocking/fsm-images/Mirage%20Lake/Picnic%20Benches.jpg"),"https://mywildalberta.ca/fishing/fish-stocking/fsm-images/Mirage%20Lake/Picnic%20Benches.jpg")</x:f>
        <x:v>https://mywildalberta.ca/fishing/fish-stocking/fsm-images/Mirage%20Lake/Picnic%20Benches.jpg</x:v>
      </x:c>
    </x:row>
    <x:row r="454" ht="48" customHeight="1">
      <x:c r="A454" s="8" t="str">
        <x:v>Mirage Lake</x:v>
      </x:c>
      <x:c r="B454" s="8" t="str">
        <x:v>5360</x:v>
      </x:c>
      <x:c r="C454" s="11" t="str">
        <x:v>Picnic Site</x:v>
      </x:c>
      <x:c r="D454" s="15" t="str">
        <x:f>IFERROR(HYPERLINK("https://mywildalberta.ca/fishing/fish-stocking/fsm-images/Mirage%20Lake/Picnic%20Site.jpg","https://mywildalberta.ca/fishing/fish-stocking/fsm-images/Mirage%20Lake/Picnic%20Site.jpg"),"https://mywildalberta.ca/fishing/fish-stocking/fsm-images/Mirage%20Lake/Picnic%20Site.jpg")</x:f>
        <x:v>https://mywildalberta.ca/fishing/fish-stocking/fsm-images/Mirage%20Lake/Picnic%20Site.jpg</x:v>
      </x:c>
    </x:row>
    <x:row r="455" ht="48" customHeight="1">
      <x:c r="A455" s="8" t="str">
        <x:v>Mirage Lake</x:v>
      </x:c>
      <x:c r="B455" s="8" t="str">
        <x:v>5360</x:v>
      </x:c>
      <x:c r="C455" s="11" t="str">
        <x:v>Playground</x:v>
      </x:c>
      <x:c r="D455" s="15" t="str">
        <x:f>IFERROR(HYPERLINK("https://mywildalberta.ca/fishing/fish-stocking/fsm-images/Mirage%20Lake/Playground.jpg","https://mywildalberta.ca/fishing/fish-stocking/fsm-images/Mirage%20Lake/Playground.jpg"),"https://mywildalberta.ca/fishing/fish-stocking/fsm-images/Mirage%20Lake/Playground.jpg")</x:f>
        <x:v>https://mywildalberta.ca/fishing/fish-stocking/fsm-images/Mirage%20Lake/Playground.jpg</x:v>
      </x:c>
    </x:row>
    <x:row r="456" ht="48" customHeight="1">
      <x:c r="A456" s="8" t="str">
        <x:v>Mirage Lake</x:v>
      </x:c>
      <x:c r="B456" s="8" t="str">
        <x:v>5360</x:v>
      </x:c>
      <x:c r="C456" s="11" t="str">
        <x:v>Wood Shelter</x:v>
      </x:c>
      <x:c r="D456" s="15" t="str">
        <x:f>IFERROR(HYPERLINK("https://mywildalberta.ca/fishing/fish-stocking/fsm-images/Mirage%20Lake/Wood%20Shelter.jpg","https://mywildalberta.ca/fishing/fish-stocking/fsm-images/Mirage%20Lake/Wood%20Shelter.jpg"),"https://mywildalberta.ca/fishing/fish-stocking/fsm-images/Mirage%20Lake/Wood%20Shelter.jpg")</x:f>
        <x:v>https://mywildalberta.ca/fishing/fish-stocking/fsm-images/Mirage%20Lake/Wood%20Shelter.jpg</x:v>
      </x:c>
    </x:row>
    <x:row r="457" ht="48" customHeight="1">
      <x:c r="A457" s="8" t="str">
        <x:v>Mitchell Lake</x:v>
      </x:c>
      <x:c r="B457" s="8" t="str">
        <x:v>5348</x:v>
      </x:c>
      <x:c r="C457" s="11" t="str">
        <x:v>Mitchell Lake overview of lake from entrance</x:v>
      </x:c>
      <x:c r="D457" s="15" t="str">
        <x:f>IFERROR(HYPERLINK("https://mywildalberta.ca/fishing/fish-stocking/fsm-images/Mitchell%20Lake/Mitchell%20Lake%20overview%20of%20lake%20from%20entrance.JPG","https://mywildalberta.ca/fishing/fish-stocking/fsm-images/Mitchell%20Lake/Mitchell%20Lake%20overview%20of%20lake%20from%20entrance.JPG"),"https://mywildalberta.ca/fishing/fish-stocking/fsm-images/Mitchell%20Lake/Mitchell%20Lake%20overview%20of%20lake%20from%20entrance.JPG")</x:f>
        <x:v>https://mywildalberta.ca/fishing/fish-stocking/fsm-images/Mitchell%20Lake/Mitchell%20Lake%20overview%20of%20lake%20from%20entrance.JPG</x:v>
      </x:c>
    </x:row>
    <x:row r="458" ht="48" customHeight="1">
      <x:c r="A458" s="8" t="str">
        <x:v>Morinville Fish and Game Pond</x:v>
      </x:c>
      <x:c r="B458" s="8" t="str">
        <x:v>6736</x:v>
      </x:c>
      <x:c r="C458" s="11" t="str">
        <x:v>Morinville Fish and Game Pond (2)</x:v>
      </x:c>
      <x:c r="D458" s="15" t="str">
        <x:f>IFERROR(HYPERLINK("https://mywildalberta.ca/fishing/fish-stocking/fsm-images/Morinville%20Fish%20and%20Game%20Pond/Morinville%20Fish%20and%20Game%20Pond%20(2).JPG","https://mywildalberta.ca/fishing/fish-stocking/fsm-images/Morinville%20Fish%20and%20Game%20Pond/Morinville%20Fish%20and%20Game%20Pond%20(2).JPG"),"https://mywildalberta.ca/fishing/fish-stocking/fsm-images/Morinville%20Fish%20and%20Game%20Pond/Morinville%20Fish%20and%20Game%20Pond%20(2).JPG")</x:f>
        <x:v>https://mywildalberta.ca/fishing/fish-stocking/fsm-images/Morinville%20Fish%20and%20Game%20Pond/Morinville%20Fish%20and%20Game%20Pond%20(2).JPG</x:v>
      </x:c>
    </x:row>
    <x:row r="459" ht="48" customHeight="1">
      <x:c r="A459" s="8" t="str">
        <x:v>Morinville Fish and Game Pond</x:v>
      </x:c>
      <x:c r="B459" s="8" t="str">
        <x:v>6736</x:v>
      </x:c>
      <x:c r="C459" s="11" t="str">
        <x:v>Morinville Fish and Game Pond fighing peir</x:v>
      </x:c>
      <x:c r="D459" s="15" t="str">
        <x:f>IFERROR(HYPERLINK("https://mywildalberta.ca/fishing/fish-stocking/fsm-images/Morinville%20Fish%20and%20Game%20Pond/Morinville%20Fish%20and%20Game%20Pond%20fighing%20peir.JPG","https://mywildalberta.ca/fishing/fish-stocking/fsm-images/Morinville%20Fish%20and%20Game%20Pond/Morinville%20Fish%20and%20Game%20Pond%20fighing%20peir.JPG"),"https://mywildalberta.ca/fishing/fish-stocking/fsm-images/Morinville%20Fish%20and%20Game%20Pond/Morinville%20Fish%20and%20Game%20Pond%20fighing%20peir.JPG")</x:f>
        <x:v>https://mywildalberta.ca/fishing/fish-stocking/fsm-images/Morinville%20Fish%20and%20Game%20Pond/Morinville%20Fish%20and%20Game%20Pond%20fighing%20peir.JPG</x:v>
      </x:c>
    </x:row>
    <x:row r="460" ht="48" customHeight="1">
      <x:c r="A460" s="8" t="str">
        <x:v>Morinville Fish and Game Pond</x:v>
      </x:c>
      <x:c r="B460" s="8" t="str">
        <x:v>6736</x:v>
      </x:c>
      <x:c r="C460" s="11" t="str">
        <x:v>Morinville Lake picture from shore</x:v>
      </x:c>
      <x:c r="D460" s="15" t="str">
        <x:f>IFERROR(HYPERLINK("https://mywildalberta.ca/fishing/fish-stocking/fsm-images/Morinville%20Fish%20and%20Game%20Pond/Morinville%20Lake%20picture%20from%20shore.jpg","https://mywildalberta.ca/fishing/fish-stocking/fsm-images/Morinville%20Fish%20and%20Game%20Pond/Morinville%20Lake%20picture%20from%20shore.jpg"),"https://mywildalberta.ca/fishing/fish-stocking/fsm-images/Morinville%20Fish%20and%20Game%20Pond/Morinville%20Lake%20picture%20from%20shore.jpg")</x:f>
        <x:v>https://mywildalberta.ca/fishing/fish-stocking/fsm-images/Morinville%20Fish%20and%20Game%20Pond/Morinville%20Lake%20picture%20from%20shore.jpg</x:v>
      </x:c>
    </x:row>
    <x:row r="461" ht="48" customHeight="1">
      <x:c r="A461" s="8" t="str">
        <x:v>Mount Lorette Ponds</x:v>
      </x:c>
      <x:c r="B461" s="8" t="str">
        <x:v>3482</x:v>
      </x:c>
      <x:c r="C461" s="11" t="str">
        <x:v>Mt Lorette Pond</x:v>
      </x:c>
      <x:c r="D461" s="15" t="str">
        <x:f>IFERROR(HYPERLINK("https://mywildalberta.ca/fishing/fish-stocking/fsm-images/Mount%20Lorette%20Ponds/Mt%20Lorette%20Pond.JPG","https://mywildalberta.ca/fishing/fish-stocking/fsm-images/Mount%20Lorette%20Ponds/Mt%20Lorette%20Pond.JPG"),"https://mywildalberta.ca/fishing/fish-stocking/fsm-images/Mount%20Lorette%20Ponds/Mt%20Lorette%20Pond.JPG")</x:f>
        <x:v>https://mywildalberta.ca/fishing/fish-stocking/fsm-images/Mount%20Lorette%20Ponds/Mt%20Lorette%20Pond.JPG</x:v>
      </x:c>
    </x:row>
    <x:row r="462" ht="48" customHeight="1">
      <x:c r="A462" s="8" t="str">
        <x:v>Mount Lorette Ponds</x:v>
      </x:c>
      <x:c r="B462" s="8" t="str">
        <x:v>3482</x:v>
      </x:c>
      <x:c r="C462" s="11" t="str">
        <x:v>mt Lorrette pond moutian view</x:v>
      </x:c>
      <x:c r="D462" s="15" t="str">
        <x:f>IFERROR(HYPERLINK("https://mywildalberta.ca/fishing/fish-stocking/fsm-images/Mount%20Lorette%20Ponds/mt%20Lorrette%20pond%20moutian%20view.JPG","https://mywildalberta.ca/fishing/fish-stocking/fsm-images/Mount%20Lorette%20Ponds/mt%20Lorrette%20pond%20moutian%20view.JPG"),"https://mywildalberta.ca/fishing/fish-stocking/fsm-images/Mount%20Lorette%20Ponds/mt%20Lorrette%20pond%20moutian%20view.JPG")</x:f>
        <x:v>https://mywildalberta.ca/fishing/fish-stocking/fsm-images/Mount%20Lorette%20Ponds/mt%20Lorrette%20pond%20moutian%20view.JPG</x:v>
      </x:c>
    </x:row>
    <x:row r="463" ht="48" customHeight="1">
      <x:c r="A463" s="8" t="str">
        <x:v>Mount Lorette Ponds</x:v>
      </x:c>
      <x:c r="B463" s="8" t="str">
        <x:v>3482</x:v>
      </x:c>
      <x:c r="C463" s="11" t="str">
        <x:v>mt. lorette pond water and walk path</x:v>
      </x:c>
      <x:c r="D463" s="15" t="str">
        <x:f>IFERROR(HYPERLINK("https://mywildalberta.ca/fishing/fish-stocking/fsm-images/Mount%20Lorette%20Ponds/mt.%20lorette%20pond%20water%20and%20walk%20path.jpg","https://mywildalberta.ca/fishing/fish-stocking/fsm-images/Mount%20Lorette%20Ponds/mt.%20lorette%20pond%20water%20and%20walk%20path.jpg"),"https://mywildalberta.ca/fishing/fish-stocking/fsm-images/Mount%20Lorette%20Ponds/mt.%20lorette%20pond%20water%20and%20walk%20path.jpg")</x:f>
        <x:v>https://mywildalberta.ca/fishing/fish-stocking/fsm-images/Mount%20Lorette%20Ponds/mt.%20lorette%20pond%20water%20and%20walk%20path.jpg</x:v>
      </x:c>
    </x:row>
    <x:row r="464" ht="48" customHeight="1">
      <x:c r="A464" s="8" t="str">
        <x:v>Mount Lorette Ponds</x:v>
      </x:c>
      <x:c r="B464" s="8" t="str">
        <x:v>3482</x:v>
      </x:c>
      <x:c r="C464" s="11" t="str">
        <x:v>mt.lorette clear blue water</x:v>
      </x:c>
      <x:c r="D464" s="15" t="str">
        <x:f>IFERROR(HYPERLINK("https://mywildalberta.ca/fishing/fish-stocking/fsm-images/Mount%20Lorette%20Ponds/mt.lorette%20clear%20blue%20water.jpg","https://mywildalberta.ca/fishing/fish-stocking/fsm-images/Mount%20Lorette%20Ponds/mt.lorette%20clear%20blue%20water.jpg"),"https://mywildalberta.ca/fishing/fish-stocking/fsm-images/Mount%20Lorette%20Ponds/mt.lorette%20clear%20blue%20water.jpg")</x:f>
        <x:v>https://mywildalberta.ca/fishing/fish-stocking/fsm-images/Mount%20Lorette%20Ponds/mt.lorette%20clear%20blue%20water.jpg</x:v>
      </x:c>
    </x:row>
    <x:row r="465" ht="48" customHeight="1">
      <x:c r="A465" s="8" t="str">
        <x:v>Muir Lake</x:v>
      </x:c>
      <x:c r="B465" s="8" t="str">
        <x:v>5387</x:v>
      </x:c>
      <x:c r="C465" s="11" t="str">
        <x:v>Muir Lake with fishing doc</x:v>
      </x:c>
      <x:c r="D465" s="15" t="str">
        <x:f>IFERROR(HYPERLINK("https://mywildalberta.ca/fishing/fish-stocking/fsm-images/Muir%20Lake/Muir%20Lake%20with%20fishing%20doc.JPG","https://mywildalberta.ca/fishing/fish-stocking/fsm-images/Muir%20Lake/Muir%20Lake%20with%20fishing%20doc.JPG"),"https://mywildalberta.ca/fishing/fish-stocking/fsm-images/Muir%20Lake/Muir%20Lake%20with%20fishing%20doc.JPG")</x:f>
        <x:v>https://mywildalberta.ca/fishing/fish-stocking/fsm-images/Muir%20Lake/Muir%20Lake%20with%20fishing%20doc.JPG</x:v>
      </x:c>
    </x:row>
    <x:row r="466" ht="48" customHeight="1">
      <x:c r="A466" s="8" t="str">
        <x:v>Muskiki Lake</x:v>
      </x:c>
      <x:c r="B466" s="8" t="str">
        <x:v>5407</x:v>
      </x:c>
      <x:c r="C466" s="11" t="str">
        <x:v>Muskiki from top of stocking truck with tree</x:v>
      </x:c>
      <x:c r="D466" s="15" t="str">
        <x:f>IFERROR(HYPERLINK("https://mywildalberta.ca/fishing/fish-stocking/fsm-images/Muskiki%20Lake/Muskiki%20from%20top%20of%20stocking%20truck%20with%20tree.jpg","https://mywildalberta.ca/fishing/fish-stocking/fsm-images/Muskiki%20Lake/Muskiki%20from%20top%20of%20stocking%20truck%20with%20tree.jpg"),"https://mywildalberta.ca/fishing/fish-stocking/fsm-images/Muskiki%20Lake/Muskiki%20from%20top%20of%20stocking%20truck%20with%20tree.jpg")</x:f>
        <x:v>https://mywildalberta.ca/fishing/fish-stocking/fsm-images/Muskiki%20Lake/Muskiki%20from%20top%20of%20stocking%20truck%20with%20tree.jpg</x:v>
      </x:c>
    </x:row>
    <x:row r="467" ht="48" customHeight="1">
      <x:c r="A467" s="8" t="str">
        <x:v>Muskiki Lake</x:v>
      </x:c>
      <x:c r="B467" s="8" t="str">
        <x:v>5407</x:v>
      </x:c>
      <x:c r="C467" s="11" t="str">
        <x:v>Muskiki overview from top of stocking truck on cloudy day</x:v>
      </x:c>
      <x:c r="D467" s="15" t="str">
        <x:f>IFERROR(HYPERLINK("https://mywildalberta.ca/fishing/fish-stocking/fsm-images/Muskiki%20Lake/Muskiki%20overview%20from%20top%20of%20stocking%20truck%20on%20cloudy%20day.jpg","https://mywildalberta.ca/fishing/fish-stocking/fsm-images/Muskiki%20Lake/Muskiki%20overview%20from%20top%20of%20stocking%20truck%20on%20cloudy%20day.jpg"),"https://mywildalberta.ca/fishing/fish-stocking/fsm-images/Muskiki%20Lake/Muskiki%20overview%20from%20top%20of%20stocking%20truck%20on%20cloudy%20day.jpg")</x:f>
        <x:v>https://mywildalberta.ca/fishing/fish-stocking/fsm-images/Muskiki%20Lake/Muskiki%20overview%20from%20top%20of%20stocking%20truck%20on%20cloudy%20day.jpg</x:v>
      </x:c>
    </x:row>
    <x:row r="468" ht="48" customHeight="1">
      <x:c r="A468" s="8" t="str">
        <x:v>Muskoseepi Pond</x:v>
      </x:c>
      <x:c r="B468" s="8" t="str">
        <x:v>6730</x:v>
      </x:c>
      <x:c r="C468" s="11" t="str">
        <x:v>Muskoseepi overview</x:v>
      </x:c>
      <x:c r="D468" s="15" t="str">
        <x:f>IFERROR(HYPERLINK("https://mywildalberta.ca/fishing/fish-stocking/fsm-images/Muskoseepi%20Pond/Muskoseepi%20overview.jpg","https://mywildalberta.ca/fishing/fish-stocking/fsm-images/Muskoseepi%20Pond/Muskoseepi%20overview.jpg"),"https://mywildalberta.ca/fishing/fish-stocking/fsm-images/Muskoseepi%20Pond/Muskoseepi%20overview.jpg")</x:f>
        <x:v>https://mywildalberta.ca/fishing/fish-stocking/fsm-images/Muskoseepi%20Pond/Muskoseepi%20overview.jpg</x:v>
      </x:c>
    </x:row>
    <x:row r="469" ht="48" customHeight="1">
      <x:c r="A469" s="8" t="str">
        <x:v>Muskoseepi Pond</x:v>
      </x:c>
      <x:c r="B469" s="8" t="str">
        <x:v>6730</x:v>
      </x:c>
      <x:c r="C469" s="11" t="str">
        <x:v>Muskoseepi pavilion</x:v>
      </x:c>
      <x:c r="D469" s="15" t="str">
        <x:f>IFERROR(HYPERLINK("https://mywildalberta.ca/fishing/fish-stocking/fsm-images/Muskoseepi%20Pond/Muskoseepi%20pavilion.jpg","https://mywildalberta.ca/fishing/fish-stocking/fsm-images/Muskoseepi%20Pond/Muskoseepi%20pavilion.jpg"),"https://mywildalberta.ca/fishing/fish-stocking/fsm-images/Muskoseepi%20Pond/Muskoseepi%20pavilion.jpg")</x:f>
        <x:v>https://mywildalberta.ca/fishing/fish-stocking/fsm-images/Muskoseepi%20Pond/Muskoseepi%20pavilion.jpg</x:v>
      </x:c>
    </x:row>
    <x:row r="470" ht="48" customHeight="1">
      <x:c r="A470" s="8" t="str">
        <x:v>Nardam Lake</x:v>
      </x:c>
      <x:c r="B470" s="8" t="str">
        <x:v>6732</x:v>
      </x:c>
      <x:c r="C470" s="11" t="str">
        <x:v>Nardam  (1)</x:v>
      </x:c>
      <x:c r="D470" s="15" t="str">
        <x:f>IFERROR(HYPERLINK("https://mywildalberta.ca/fishing/fish-stocking/fsm-images/Nardam%20Lake/Nardam%20%20(1).jpg","https://mywildalberta.ca/fishing/fish-stocking/fsm-images/Nardam%20Lake/Nardam%20%20(1).jpg"),"https://mywildalberta.ca/fishing/fish-stocking/fsm-images/Nardam%20Lake/Nardam%20%20(1).jpg")</x:f>
        <x:v>https://mywildalberta.ca/fishing/fish-stocking/fsm-images/Nardam%20Lake/Nardam%20%20(1).jpg</x:v>
      </x:c>
    </x:row>
    <x:row r="471" ht="48" customHeight="1">
      <x:c r="A471" s="8" t="str">
        <x:v>Nardam Lake</x:v>
      </x:c>
      <x:c r="B471" s="8" t="str">
        <x:v>6732</x:v>
      </x:c>
      <x:c r="C471" s="11" t="str">
        <x:v>Nardam (2)</x:v>
      </x:c>
      <x:c r="D471" s="15" t="str">
        <x:f>IFERROR(HYPERLINK("https://mywildalberta.ca/fishing/fish-stocking/fsm-images/Nardam%20Lake/Nardam%20(2).jpg","https://mywildalberta.ca/fishing/fish-stocking/fsm-images/Nardam%20Lake/Nardam%20(2).jpg"),"https://mywildalberta.ca/fishing/fish-stocking/fsm-images/Nardam%20Lake/Nardam%20(2).jpg")</x:f>
        <x:v>https://mywildalberta.ca/fishing/fish-stocking/fsm-images/Nardam%20Lake/Nardam%20(2).jpg</x:v>
      </x:c>
    </x:row>
    <x:row r="472" ht="48" customHeight="1">
      <x:c r="A472" s="8" t="str">
        <x:v>Nardam Lake</x:v>
      </x:c>
      <x:c r="B472" s="8" t="str">
        <x:v>6732</x:v>
      </x:c>
      <x:c r="C472" s="11" t="str">
        <x:v>Nardam (3)</x:v>
      </x:c>
      <x:c r="D472" s="15" t="str">
        <x:f>IFERROR(HYPERLINK("https://mywildalberta.ca/fishing/fish-stocking/fsm-images/Nardam%20Lake/Nardam%20(3).jpg","https://mywildalberta.ca/fishing/fish-stocking/fsm-images/Nardam%20Lake/Nardam%20(3).jpg"),"https://mywildalberta.ca/fishing/fish-stocking/fsm-images/Nardam%20Lake/Nardam%20(3).jpg")</x:f>
        <x:v>https://mywildalberta.ca/fishing/fish-stocking/fsm-images/Nardam%20Lake/Nardam%20(3).jpg</x:v>
      </x:c>
    </x:row>
    <x:row r="473" ht="48" customHeight="1">
      <x:c r="A473" s="8" t="str">
        <x:v>Nardam Lake</x:v>
      </x:c>
      <x:c r="B473" s="8" t="str">
        <x:v>6732</x:v>
      </x:c>
      <x:c r="C473" s="11" t="str">
        <x:v>Nardum (4)</x:v>
      </x:c>
      <x:c r="D473" s="15" t="str">
        <x:f>IFERROR(HYPERLINK("https://mywildalberta.ca/fishing/fish-stocking/fsm-images/Nardam%20Lake/Nardum%20(4).jpg","https://mywildalberta.ca/fishing/fish-stocking/fsm-images/Nardam%20Lake/Nardum%20(4).jpg"),"https://mywildalberta.ca/fishing/fish-stocking/fsm-images/Nardam%20Lake/Nardum%20(4).jpg")</x:f>
        <x:v>https://mywildalberta.ca/fishing/fish-stocking/fsm-images/Nardam%20Lake/Nardum%20(4).jpg</x:v>
      </x:c>
    </x:row>
    <x:row r="474" ht="48" customHeight="1">
      <x:c r="A474" s="8" t="str">
        <x:v>Nicholas Sheran Park Pond</x:v>
      </x:c>
      <x:c r="B474" s="8" t="str">
        <x:v>6734</x:v>
      </x:c>
      <x:c r="C474" s="11" t="str">
        <x:v>NIcolas Sheran boat launch</x:v>
      </x:c>
      <x:c r="D474" s="15" t="str">
        <x:f>IFERROR(HYPERLINK("https://mywildalberta.ca/fishing/fish-stocking/fsm-images/Nicholas%20Sheran%20Park%20Pond/NIcolas%20Sheran%20boat%20launch.jpg","https://mywildalberta.ca/fishing/fish-stocking/fsm-images/Nicholas%20Sheran%20Park%20Pond/NIcolas%20Sheran%20boat%20launch.jpg"),"https://mywildalberta.ca/fishing/fish-stocking/fsm-images/Nicholas%20Sheran%20Park%20Pond/NIcolas%20Sheran%20boat%20launch.jpg")</x:f>
        <x:v>https://mywildalberta.ca/fishing/fish-stocking/fsm-images/Nicholas%20Sheran%20Park%20Pond/NIcolas%20Sheran%20boat%20launch.jpg</x:v>
      </x:c>
    </x:row>
    <x:row r="475" ht="48" customHeight="1">
      <x:c r="A475" s="8" t="str">
        <x:v>Nicholas Sheran Park Pond</x:v>
      </x:c>
      <x:c r="B475" s="8" t="str">
        <x:v>6734</x:v>
      </x:c>
      <x:c r="C475" s="11" t="str">
        <x:v>Nicolas Sheran stocking fish into pond</x:v>
      </x:c>
      <x:c r="D475" s="15" t="str">
        <x:f>IFERROR(HYPERLINK("https://mywildalberta.ca/fishing/fish-stocking/fsm-images/Nicholas%20Sheran%20Park%20Pond/Nicolas%20Sheran%20stocking%20fish%20into%20pond.jpg","https://mywildalberta.ca/fishing/fish-stocking/fsm-images/Nicholas%20Sheran%20Park%20Pond/Nicolas%20Sheran%20stocking%20fish%20into%20pond.jpg"),"https://mywildalberta.ca/fishing/fish-stocking/fsm-images/Nicholas%20Sheran%20Park%20Pond/Nicolas%20Sheran%20stocking%20fish%20into%20pond.jpg")</x:f>
        <x:v>https://mywildalberta.ca/fishing/fish-stocking/fsm-images/Nicholas%20Sheran%20Park%20Pond/Nicolas%20Sheran%20stocking%20fish%20into%20pond.jpg</x:v>
      </x:c>
    </x:row>
    <x:row r="476" ht="48" customHeight="1">
      <x:c r="A476" s="8" t="str">
        <x:v>Nicholas Sheran Park Pond</x:v>
      </x:c>
      <x:c r="B476" s="8" t="str">
        <x:v>6734</x:v>
      </x:c>
      <x:c r="C476" s="11" t="str">
        <x:v>Nicolas Sheran stocking hose in water</x:v>
      </x:c>
      <x:c r="D476" s="15" t="str">
        <x:f>IFERROR(HYPERLINK("https://mywildalberta.ca/fishing/fish-stocking/fsm-images/Nicholas%20Sheran%20Park%20Pond/Nicolas%20Sheran%20stocking%20hose%20in%20water.jpg","https://mywildalberta.ca/fishing/fish-stocking/fsm-images/Nicholas%20Sheran%20Park%20Pond/Nicolas%20Sheran%20stocking%20hose%20in%20water.jpg"),"https://mywildalberta.ca/fishing/fish-stocking/fsm-images/Nicholas%20Sheran%20Park%20Pond/Nicolas%20Sheran%20stocking%20hose%20in%20water.jpg")</x:f>
        <x:v>https://mywildalberta.ca/fishing/fish-stocking/fsm-images/Nicholas%20Sheran%20Park%20Pond/Nicolas%20Sheran%20stocking%20hose%20in%20water.jpg</x:v>
      </x:c>
    </x:row>
    <x:row r="477" ht="48" customHeight="1">
      <x:c r="A477" s="8" t="str">
        <x:v>Nicholas Sheran Park Pond</x:v>
      </x:c>
      <x:c r="B477" s="8" t="str">
        <x:v>6734</x:v>
      </x:c>
      <x:c r="C477" s="11" t="str">
        <x:v>Nicolas Sheran stocking truck and trailer stocking fish</x:v>
      </x:c>
      <x:c r="D477" s="15" t="str">
        <x:f>IFERROR(HYPERLINK("https://mywildalberta.ca/fishing/fish-stocking/fsm-images/Nicholas%20Sheran%20Park%20Pond/Nicolas%20Sheran%20stocking%20truck%20and%20trailer%20stocking%20fish.jpg","https://mywildalberta.ca/fishing/fish-stocking/fsm-images/Nicholas%20Sheran%20Park%20Pond/Nicolas%20Sheran%20stocking%20truck%20and%20trailer%20stocking%20fish.jpg"),"https://mywildalberta.ca/fishing/fish-stocking/fsm-images/Nicholas%20Sheran%20Park%20Pond/Nicolas%20Sheran%20stocking%20truck%20and%20trailer%20stocking%20fish.jpg")</x:f>
        <x:v>https://mywildalberta.ca/fishing/fish-stocking/fsm-images/Nicholas%20Sheran%20Park%20Pond/Nicolas%20Sheran%20stocking%20truck%20and%20trailer%20stocking%20fish.jpg</x:v>
      </x:c>
    </x:row>
    <x:row r="478" ht="48" customHeight="1">
      <x:c r="A478" s="8" t="str">
        <x:v>Nicholas Sheran Park Pond</x:v>
      </x:c>
      <x:c r="B478" s="8" t="str">
        <x:v>6734</x:v>
      </x:c>
      <x:c r="C478" s="11" t="str">
        <x:v>NIcolas Sheran stocking truck beside lake</x:v>
      </x:c>
      <x:c r="D478" s="15" t="str">
        <x:f>IFERROR(HYPERLINK("https://mywildalberta.ca/fishing/fish-stocking/fsm-images/Nicholas%20Sheran%20Park%20Pond/NIcolas%20Sheran%20stocking%20truck%20beside%20lake.jpg","https://mywildalberta.ca/fishing/fish-stocking/fsm-images/Nicholas%20Sheran%20Park%20Pond/NIcolas%20Sheran%20stocking%20truck%20beside%20lake.jpg"),"https://mywildalberta.ca/fishing/fish-stocking/fsm-images/Nicholas%20Sheran%20Park%20Pond/NIcolas%20Sheran%20stocking%20truck%20beside%20lake.jpg")</x:f>
        <x:v>https://mywildalberta.ca/fishing/fish-stocking/fsm-images/Nicholas%20Sheran%20Park%20Pond/NIcolas%20Sheran%20stocking%20truck%20beside%20lake.jpg</x:v>
      </x:c>
    </x:row>
    <x:row r="479" ht="48" customHeight="1">
      <x:c r="A479" s="8" t="str">
        <x:v>Niton Lake</x:v>
      </x:c>
      <x:c r="B479" s="8" t="str">
        <x:v>6647</x:v>
      </x:c>
      <x:c r="C479" s="11" t="str">
        <x:v>Ninton Pond (1)</x:v>
      </x:c>
      <x:c r="D479" s="15" t="str">
        <x:f>IFERROR(HYPERLINK("https://mywildalberta.ca/fishing/fish-stocking/fsm-images/Niton%20Lake/Ninton%20Pond%20(1).jpg","https://mywildalberta.ca/fishing/fish-stocking/fsm-images/Niton%20Lake/Ninton%20Pond%20(1).jpg"),"https://mywildalberta.ca/fishing/fish-stocking/fsm-images/Niton%20Lake/Ninton%20Pond%20(1).jpg")</x:f>
        <x:v>https://mywildalberta.ca/fishing/fish-stocking/fsm-images/Niton%20Lake/Ninton%20Pond%20(1).jpg</x:v>
      </x:c>
    </x:row>
    <x:row r="480" ht="48" customHeight="1">
      <x:c r="A480" s="8" t="str">
        <x:v>Nordegg Borrow Pit (East)</x:v>
      </x:c>
      <x:c r="B480" s="8" t="str">
        <x:v>6914</x:v>
      </x:c>
      <x:c r="C480" s="11" t="str">
        <x:v>Entire Pit View (2)</x:v>
      </x:c>
      <x:c r="D480" s="15" t="str">
        <x:f>IFERROR(HYPERLINK("https://mywildalberta.ca/fishing/fish-stocking/fsm-images/Nordegg%20Borrow%20Pit%20(East)/Entire%20Pit%20View%20(2).jpg","https://mywildalberta.ca/fishing/fish-stocking/fsm-images/Nordegg%20Borrow%20Pit%20(East)/Entire%20Pit%20View%20(2).jpg"),"https://mywildalberta.ca/fishing/fish-stocking/fsm-images/Nordegg%20Borrow%20Pit%20(East)/Entire%20Pit%20View%20(2).jpg")</x:f>
        <x:v>https://mywildalberta.ca/fishing/fish-stocking/fsm-images/Nordegg%20Borrow%20Pit%20(East)/Entire%20Pit%20View%20(2).jpg</x:v>
      </x:c>
    </x:row>
    <x:row r="481" ht="48" customHeight="1">
      <x:c r="A481" s="8" t="str">
        <x:v>Nordegg Borrow Pit (East)</x:v>
      </x:c>
      <x:c r="B481" s="8" t="str">
        <x:v>6914</x:v>
      </x:c>
      <x:c r="C481" s="11" t="str">
        <x:v>Entire Pit View</x:v>
      </x:c>
      <x:c r="D481" s="15" t="str">
        <x:f>IFERROR(HYPERLINK("https://mywildalberta.ca/fishing/fish-stocking/fsm-images/Nordegg%20Borrow%20Pit%20(East)/Entire%20Pit%20View.jpg","https://mywildalberta.ca/fishing/fish-stocking/fsm-images/Nordegg%20Borrow%20Pit%20(East)/Entire%20Pit%20View.jpg"),"https://mywildalberta.ca/fishing/fish-stocking/fsm-images/Nordegg%20Borrow%20Pit%20(East)/Entire%20Pit%20View.jpg")</x:f>
        <x:v>https://mywildalberta.ca/fishing/fish-stocking/fsm-images/Nordegg%20Borrow%20Pit%20(East)/Entire%20Pit%20View.jpg</x:v>
      </x:c>
    </x:row>
    <x:row r="482" ht="48" customHeight="1">
      <x:c r="A482" s="8" t="str">
        <x:v>Nordegg Borrow Pit (East)</x:v>
      </x:c>
      <x:c r="B482" s="8" t="str">
        <x:v>6914</x:v>
      </x:c>
      <x:c r="C482" s="11" t="str">
        <x:v>Nordegg East (1)</x:v>
      </x:c>
      <x:c r="D482" s="15" t="str">
        <x:f>IFERROR(HYPERLINK("https://mywildalberta.ca/fishing/fish-stocking/fsm-images/Nordegg%20Borrow%20Pit%20(East)/Nordegg%20East%20(1).jpg","https://mywildalberta.ca/fishing/fish-stocking/fsm-images/Nordegg%20Borrow%20Pit%20(East)/Nordegg%20East%20(1).jpg"),"https://mywildalberta.ca/fishing/fish-stocking/fsm-images/Nordegg%20Borrow%20Pit%20(East)/Nordegg%20East%20(1).jpg")</x:f>
        <x:v>https://mywildalberta.ca/fishing/fish-stocking/fsm-images/Nordegg%20Borrow%20Pit%20(East)/Nordegg%20East%20(1).jpg</x:v>
      </x:c>
    </x:row>
    <x:row r="483" ht="48" customHeight="1">
      <x:c r="A483" s="8" t="str">
        <x:v>Nordegg Borrow Pit (East)</x:v>
      </x:c>
      <x:c r="B483" s="8" t="str">
        <x:v>6914</x:v>
      </x:c>
      <x:c r="C483" s="11" t="str">
        <x:v>Pit view across lake</x:v>
      </x:c>
      <x:c r="D483" s="15" t="str">
        <x:f>IFERROR(HYPERLINK("https://mywildalberta.ca/fishing/fish-stocking/fsm-images/Nordegg%20Borrow%20Pit%20(East)/Pit%20view%20across%20lake.jpg","https://mywildalberta.ca/fishing/fish-stocking/fsm-images/Nordegg%20Borrow%20Pit%20(East)/Pit%20view%20across%20lake.jpg"),"https://mywildalberta.ca/fishing/fish-stocking/fsm-images/Nordegg%20Borrow%20Pit%20(East)/Pit%20view%20across%20lake.jpg")</x:f>
        <x:v>https://mywildalberta.ca/fishing/fish-stocking/fsm-images/Nordegg%20Borrow%20Pit%20(East)/Pit%20view%20across%20lake.jpg</x:v>
      </x:c>
    </x:row>
    <x:row r="484" ht="48" customHeight="1">
      <x:c r="A484" s="8" t="str">
        <x:v>Nordegg Borrow Pit (East)</x:v>
      </x:c>
      <x:c r="B484" s="8" t="str">
        <x:v>6914</x:v>
      </x:c>
      <x:c r="C484" s="11" t="str">
        <x:v>Pit view with fishing pole</x:v>
      </x:c>
      <x:c r="D484" s="15" t="str">
        <x:f>IFERROR(HYPERLINK("https://mywildalberta.ca/fishing/fish-stocking/fsm-images/Nordegg%20Borrow%20Pit%20(East)/Pit%20view%20with%20fishing%20pole.jpg","https://mywildalberta.ca/fishing/fish-stocking/fsm-images/Nordegg%20Borrow%20Pit%20(East)/Pit%20view%20with%20fishing%20pole.jpg"),"https://mywildalberta.ca/fishing/fish-stocking/fsm-images/Nordegg%20Borrow%20Pit%20(East)/Pit%20view%20with%20fishing%20pole.jpg")</x:f>
        <x:v>https://mywildalberta.ca/fishing/fish-stocking/fsm-images/Nordegg%20Borrow%20Pit%20(East)/Pit%20view%20with%20fishing%20pole.jpg</x:v>
      </x:c>
    </x:row>
    <x:row r="485" ht="48" customHeight="1">
      <x:c r="A485" s="8" t="str">
        <x:v>Nordegg Borrow Pit (East)</x:v>
      </x:c>
      <x:c r="B485" s="8" t="str">
        <x:v>6914</x:v>
      </x:c>
      <x:c r="C485" s="11" t="str">
        <x:v>View from parking lot</x:v>
      </x:c>
      <x:c r="D485" s="15" t="str">
        <x:f>IFERROR(HYPERLINK("https://mywildalberta.ca/fishing/fish-stocking/fsm-images/Nordegg%20Borrow%20Pit%20(East)/View%20from%20parking%20lot.jpg","https://mywildalberta.ca/fishing/fish-stocking/fsm-images/Nordegg%20Borrow%20Pit%20(East)/View%20from%20parking%20lot.jpg"),"https://mywildalberta.ca/fishing/fish-stocking/fsm-images/Nordegg%20Borrow%20Pit%20(East)/View%20from%20parking%20lot.jpg")</x:f>
        <x:v>https://mywildalberta.ca/fishing/fish-stocking/fsm-images/Nordegg%20Borrow%20Pit%20(East)/View%20from%20parking%20lot.jpg</x:v>
      </x:c>
    </x:row>
    <x:row r="486" ht="48" customHeight="1">
      <x:c r="A486" s="8" t="str">
        <x:v>Nordegg Borrow Pit (East)</x:v>
      </x:c>
      <x:c r="B486" s="8" t="str">
        <x:v>6914</x:v>
      </x:c>
      <x:c r="C486" s="11" t="str">
        <x:v>View from shore</x:v>
      </x:c>
      <x:c r="D486" s="15" t="str">
        <x:f>IFERROR(HYPERLINK("https://mywildalberta.ca/fishing/fish-stocking/fsm-images/Nordegg%20Borrow%20Pit%20(East)/View%20from%20shore.jpg","https://mywildalberta.ca/fishing/fish-stocking/fsm-images/Nordegg%20Borrow%20Pit%20(East)/View%20from%20shore.jpg"),"https://mywildalberta.ca/fishing/fish-stocking/fsm-images/Nordegg%20Borrow%20Pit%20(East)/View%20from%20shore.jpg")</x:f>
        <x:v>https://mywildalberta.ca/fishing/fish-stocking/fsm-images/Nordegg%20Borrow%20Pit%20(East)/View%20from%20shore.jpg</x:v>
      </x:c>
    </x:row>
    <x:row r="487" ht="48" customHeight="1">
      <x:c r="A487" s="8" t="str">
        <x:v>Nordegg Borrow Pit (East)</x:v>
      </x:c>
      <x:c r="B487" s="8" t="str">
        <x:v>6914</x:v>
      </x:c>
      <x:c r="C487" s="11" t="str">
        <x:v>View to far bank</x:v>
      </x:c>
      <x:c r="D487" s="15" t="str">
        <x:f>IFERROR(HYPERLINK("https://mywildalberta.ca/fishing/fish-stocking/fsm-images/Nordegg%20Borrow%20Pit%20(East)/View%20to%20far%20bank.jpg","https://mywildalberta.ca/fishing/fish-stocking/fsm-images/Nordegg%20Borrow%20Pit%20(East)/View%20to%20far%20bank.jpg"),"https://mywildalberta.ca/fishing/fish-stocking/fsm-images/Nordegg%20Borrow%20Pit%20(East)/View%20to%20far%20bank.jpg")</x:f>
        <x:v>https://mywildalberta.ca/fishing/fish-stocking/fsm-images/Nordegg%20Borrow%20Pit%20(East)/View%20to%20far%20bank.jpg</x:v>
      </x:c>
    </x:row>
    <x:row r="488" ht="48" customHeight="1">
      <x:c r="A488" s="8" t="str">
        <x:v>Nordegg Borrow Pit (West)</x:v>
      </x:c>
      <x:c r="B488" s="8" t="str">
        <x:v>6915</x:v>
      </x:c>
      <x:c r="C488" s="11" t="str">
        <x:v>Across pit view</x:v>
      </x:c>
      <x:c r="D488" s="15" t="str">
        <x:f>IFERROR(HYPERLINK("https://mywildalberta.ca/fishing/fish-stocking/fsm-images/Nordegg%20Borrow%20Pit%20(West)/Across%20pit%20view.jpg","https://mywildalberta.ca/fishing/fish-stocking/fsm-images/Nordegg%20Borrow%20Pit%20(West)/Across%20pit%20view.jpg"),"https://mywildalberta.ca/fishing/fish-stocking/fsm-images/Nordegg%20Borrow%20Pit%20(West)/Across%20pit%20view.jpg")</x:f>
        <x:v>https://mywildalberta.ca/fishing/fish-stocking/fsm-images/Nordegg%20Borrow%20Pit%20(West)/Across%20pit%20view.jpg</x:v>
      </x:c>
    </x:row>
    <x:row r="489" ht="48" customHeight="1">
      <x:c r="A489" s="8" t="str">
        <x:v>Nordegg Borrow Pit (West)</x:v>
      </x:c>
      <x:c r="B489" s="8" t="str">
        <x:v>6915</x:v>
      </x:c>
      <x:c r="C489" s="11" t="str">
        <x:v>Burrow pit long view</x:v>
      </x:c>
      <x:c r="D489" s="15" t="str">
        <x:f>IFERROR(HYPERLINK("https://mywildalberta.ca/fishing/fish-stocking/fsm-images/Nordegg%20Borrow%20Pit%20(West)/Burrow%20pit%20long%20view.jpg","https://mywildalberta.ca/fishing/fish-stocking/fsm-images/Nordegg%20Borrow%20Pit%20(West)/Burrow%20pit%20long%20view.jpg"),"https://mywildalberta.ca/fishing/fish-stocking/fsm-images/Nordegg%20Borrow%20Pit%20(West)/Burrow%20pit%20long%20view.jpg")</x:f>
        <x:v>https://mywildalberta.ca/fishing/fish-stocking/fsm-images/Nordegg%20Borrow%20Pit%20(West)/Burrow%20pit%20long%20view.jpg</x:v>
      </x:c>
    </x:row>
    <x:row r="490" ht="48" customHeight="1">
      <x:c r="A490" s="8" t="str">
        <x:v>Nordegg Borrow Pit (West)</x:v>
      </x:c>
      <x:c r="B490" s="8" t="str">
        <x:v>6915</x:v>
      </x:c>
      <x:c r="C490" s="11" t="str">
        <x:v>Burrow pit view from far bank</x:v>
      </x:c>
      <x:c r="D490" s="15" t="str">
        <x:f>IFERROR(HYPERLINK("https://mywildalberta.ca/fishing/fish-stocking/fsm-images/Nordegg%20Borrow%20Pit%20(West)/Burrow%20pit%20view%20from%20far%20bank.jpg","https://mywildalberta.ca/fishing/fish-stocking/fsm-images/Nordegg%20Borrow%20Pit%20(West)/Burrow%20pit%20view%20from%20far%20bank.jpg"),"https://mywildalberta.ca/fishing/fish-stocking/fsm-images/Nordegg%20Borrow%20Pit%20(West)/Burrow%20pit%20view%20from%20far%20bank.jpg")</x:f>
        <x:v>https://mywildalberta.ca/fishing/fish-stocking/fsm-images/Nordegg%20Borrow%20Pit%20(West)/Burrow%20pit%20view%20from%20far%20bank.jpg</x:v>
      </x:c>
    </x:row>
    <x:row r="491" ht="48" customHeight="1">
      <x:c r="A491" s="8" t="str">
        <x:v>Nordegg Borrow Pit (West)</x:v>
      </x:c>
      <x:c r="B491" s="8" t="str">
        <x:v>6915</x:v>
      </x:c>
      <x:c r="C491" s="11" t="str">
        <x:v>Entire Pit View</x:v>
      </x:c>
      <x:c r="D491" s="15" t="str">
        <x:f>IFERROR(HYPERLINK("https://mywildalberta.ca/fishing/fish-stocking/fsm-images/Nordegg%20Borrow%20Pit%20(West)/Entire%20Pit%20View.jpg","https://mywildalberta.ca/fishing/fish-stocking/fsm-images/Nordegg%20Borrow%20Pit%20(West)/Entire%20Pit%20View.jpg"),"https://mywildalberta.ca/fishing/fish-stocking/fsm-images/Nordegg%20Borrow%20Pit%20(West)/Entire%20Pit%20View.jpg")</x:f>
        <x:v>https://mywildalberta.ca/fishing/fish-stocking/fsm-images/Nordegg%20Borrow%20Pit%20(West)/Entire%20Pit%20View.jpg</x:v>
      </x:c>
    </x:row>
    <x:row r="492" ht="48" customHeight="1">
      <x:c r="A492" s="8" t="str">
        <x:v>Nordegg Borrow Pit (West)</x:v>
      </x:c>
      <x:c r="B492" s="8" t="str">
        <x:v>6915</x:v>
      </x:c>
      <x:c r="C492" s="11" t="str">
        <x:v>Entire view of pit lakes</x:v>
      </x:c>
      <x:c r="D492" s="15" t="str">
        <x:f>IFERROR(HYPERLINK("https://mywildalberta.ca/fishing/fish-stocking/fsm-images/Nordegg%20Borrow%20Pit%20(West)/Entire%20view%20of%20pit%20lakes.jpg","https://mywildalberta.ca/fishing/fish-stocking/fsm-images/Nordegg%20Borrow%20Pit%20(West)/Entire%20view%20of%20pit%20lakes.jpg"),"https://mywildalberta.ca/fishing/fish-stocking/fsm-images/Nordegg%20Borrow%20Pit%20(West)/Entire%20view%20of%20pit%20lakes.jpg")</x:f>
        <x:v>https://mywildalberta.ca/fishing/fish-stocking/fsm-images/Nordegg%20Borrow%20Pit%20(West)/Entire%20view%20of%20pit%20lakes.jpg</x:v>
      </x:c>
    </x:row>
    <x:row r="493" ht="48" customHeight="1">
      <x:c r="A493" s="8" t="str">
        <x:v>Nordegg Borrow Pit (West)</x:v>
      </x:c>
      <x:c r="B493" s="8" t="str">
        <x:v>6915</x:v>
      </x:c>
      <x:c r="C493" s="11" t="str">
        <x:v>Rock Pit</x:v>
      </x:c>
      <x:c r="D493" s="15" t="str">
        <x:f>IFERROR(HYPERLINK("https://mywildalberta.ca/fishing/fish-stocking/fsm-images/Nordegg%20Borrow%20Pit%20(West)/Rock%20Pit.jpg","https://mywildalberta.ca/fishing/fish-stocking/fsm-images/Nordegg%20Borrow%20Pit%20(West)/Rock%20Pit.jpg"),"https://mywildalberta.ca/fishing/fish-stocking/fsm-images/Nordegg%20Borrow%20Pit%20(West)/Rock%20Pit.jpg")</x:f>
        <x:v>https://mywildalberta.ca/fishing/fish-stocking/fsm-images/Nordegg%20Borrow%20Pit%20(West)/Rock%20Pit.jpg</x:v>
      </x:c>
    </x:row>
    <x:row r="494" ht="48" customHeight="1">
      <x:c r="A494" s="8" t="str">
        <x:v>Nordegg Borrow Pit (West)</x:v>
      </x:c>
      <x:c r="B494" s="8" t="str">
        <x:v>6915</x:v>
      </x:c>
      <x:c r="C494" s="11" t="str">
        <x:v>Shore view</x:v>
      </x:c>
      <x:c r="D494" s="15" t="str">
        <x:f>IFERROR(HYPERLINK("https://mywildalberta.ca/fishing/fish-stocking/fsm-images/Nordegg%20Borrow%20Pit%20(West)/Shore%20view.jpg","https://mywildalberta.ca/fishing/fish-stocking/fsm-images/Nordegg%20Borrow%20Pit%20(West)/Shore%20view.jpg"),"https://mywildalberta.ca/fishing/fish-stocking/fsm-images/Nordegg%20Borrow%20Pit%20(West)/Shore%20view.jpg")</x:f>
        <x:v>https://mywildalberta.ca/fishing/fish-stocking/fsm-images/Nordegg%20Borrow%20Pit%20(West)/Shore%20view.jpg</x:v>
      </x:c>
    </x:row>
    <x:row r="495" ht="48" customHeight="1">
      <x:c r="A495" s="8" t="str">
        <x:v>Nordegg Borrow Pit (West)</x:v>
      </x:c>
      <x:c r="B495" s="8" t="str">
        <x:v>6915</x:v>
      </x:c>
      <x:c r="C495" s="11" t="str">
        <x:v>Small Pond</x:v>
      </x:c>
      <x:c r="D495" s="15" t="str">
        <x:f>IFERROR(HYPERLINK("https://mywildalberta.ca/fishing/fish-stocking/fsm-images/Nordegg%20Borrow%20Pit%20(West)/Small%20Pond.jpg","https://mywildalberta.ca/fishing/fish-stocking/fsm-images/Nordegg%20Borrow%20Pit%20(West)/Small%20Pond.jpg"),"https://mywildalberta.ca/fishing/fish-stocking/fsm-images/Nordegg%20Borrow%20Pit%20(West)/Small%20Pond.jpg")</x:f>
        <x:v>https://mywildalberta.ca/fishing/fish-stocking/fsm-images/Nordegg%20Borrow%20Pit%20(West)/Small%20Pond.jpg</x:v>
      </x:c>
    </x:row>
    <x:row r="496" ht="48" customHeight="1">
      <x:c r="A496" s="8" t="str">
        <x:v>Nordegg Borrow Pit (West)</x:v>
      </x:c>
      <x:c r="B496" s="8" t="str">
        <x:v>6915</x:v>
      </x:c>
      <x:c r="C496" s="11" t="str">
        <x:v>View from bank</x:v>
      </x:c>
      <x:c r="D496" s="15" t="str">
        <x:f>IFERROR(HYPERLINK("https://mywildalberta.ca/fishing/fish-stocking/fsm-images/Nordegg%20Borrow%20Pit%20(West)/View%20from%20bank.jpg","https://mywildalberta.ca/fishing/fish-stocking/fsm-images/Nordegg%20Borrow%20Pit%20(West)/View%20from%20bank.jpg"),"https://mywildalberta.ca/fishing/fish-stocking/fsm-images/Nordegg%20Borrow%20Pit%20(West)/View%20from%20bank.jpg")</x:f>
        <x:v>https://mywildalberta.ca/fishing/fish-stocking/fsm-images/Nordegg%20Borrow%20Pit%20(West)/View%20from%20bank.jpg</x:v>
      </x:c>
    </x:row>
    <x:row r="497" ht="48" customHeight="1">
      <x:c r="A497" s="8" t="str">
        <x:v>Nordegg Borrow Pit (West)</x:v>
      </x:c>
      <x:c r="B497" s="8" t="str">
        <x:v>6915</x:v>
      </x:c>
      <x:c r="C497" s="11" t="str">
        <x:v>View from shore cliff</x:v>
      </x:c>
      <x:c r="D497" s="15" t="str">
        <x:f>IFERROR(HYPERLINK("https://mywildalberta.ca/fishing/fish-stocking/fsm-images/Nordegg%20Borrow%20Pit%20(West)/View%20from%20shore%20cliff.jpg","https://mywildalberta.ca/fishing/fish-stocking/fsm-images/Nordegg%20Borrow%20Pit%20(West)/View%20from%20shore%20cliff.jpg"),"https://mywildalberta.ca/fishing/fish-stocking/fsm-images/Nordegg%20Borrow%20Pit%20(West)/View%20from%20shore%20cliff.jpg")</x:f>
        <x:v>https://mywildalberta.ca/fishing/fish-stocking/fsm-images/Nordegg%20Borrow%20Pit%20(West)/View%20from%20shore%20cliff.jpg</x:v>
      </x:c>
    </x:row>
    <x:row r="498" ht="48" customHeight="1">
      <x:c r="A498" s="8" t="str">
        <x:v>Nordegg Borrow Pit (West)</x:v>
      </x:c>
      <x:c r="B498" s="8" t="str">
        <x:v>6915</x:v>
      </x:c>
      <x:c r="C498" s="11" t="str">
        <x:v>View from shore</x:v>
      </x:c>
      <x:c r="D498" s="15" t="str">
        <x:f>IFERROR(HYPERLINK("https://mywildalberta.ca/fishing/fish-stocking/fsm-images/Nordegg%20Borrow%20Pit%20(West)/View%20from%20shore.jpg","https://mywildalberta.ca/fishing/fish-stocking/fsm-images/Nordegg%20Borrow%20Pit%20(West)/View%20from%20shore.jpg"),"https://mywildalberta.ca/fishing/fish-stocking/fsm-images/Nordegg%20Borrow%20Pit%20(West)/View%20from%20shore.jpg")</x:f>
        <x:v>https://mywildalberta.ca/fishing/fish-stocking/fsm-images/Nordegg%20Borrow%20Pit%20(West)/View%20from%20shore.jpg</x:v>
      </x:c>
    </x:row>
    <x:row r="499" ht="48" customHeight="1">
      <x:c r="A499" s="8" t="str">
        <x:v>Nordegg Borrow Pit (West)</x:v>
      </x:c>
      <x:c r="B499" s="8" t="str">
        <x:v>6915</x:v>
      </x:c>
      <x:c r="C499" s="11" t="str">
        <x:v>View of drop off</x:v>
      </x:c>
      <x:c r="D499" s="15" t="str">
        <x:f>IFERROR(HYPERLINK("https://mywildalberta.ca/fishing/fish-stocking/fsm-images/Nordegg%20Borrow%20Pit%20(West)/View%20of%20drop%20off.jpg","https://mywildalberta.ca/fishing/fish-stocking/fsm-images/Nordegg%20Borrow%20Pit%20(West)/View%20of%20drop%20off.jpg"),"https://mywildalberta.ca/fishing/fish-stocking/fsm-images/Nordegg%20Borrow%20Pit%20(West)/View%20of%20drop%20off.jpg")</x:f>
        <x:v>https://mywildalberta.ca/fishing/fish-stocking/fsm-images/Nordegg%20Borrow%20Pit%20(West)/View%20of%20drop%20off.jpg</x:v>
      </x:c>
    </x:row>
    <x:row r="500" ht="48" customHeight="1">
      <x:c r="A500" s="8" t="str">
        <x:v>North Two Lake</x:v>
      </x:c>
      <x:c r="B500" s="8" t="str">
        <x:v>6535</x:v>
      </x:c>
      <x:c r="C500" s="11" t="str">
        <x:v>North Two Lake</x:v>
      </x:c>
      <x:c r="D500" s="15" t="str">
        <x:f>IFERROR(HYPERLINK("https://mywildalberta.ca/fishing/fish-stocking/fsm-images/North%20Two%20Lake/North%20Two%20Lake.jpg","https://mywildalberta.ca/fishing/fish-stocking/fsm-images/North%20Two%20Lake/North%20Two%20Lake.jpg"),"https://mywildalberta.ca/fishing/fish-stocking/fsm-images/North%20Two%20Lake/North%20Two%20Lake.jpg")</x:f>
        <x:v>https://mywildalberta.ca/fishing/fish-stocking/fsm-images/North%20Two%20Lake/North%20Two%20Lake.jpg</x:v>
      </x:c>
    </x:row>
    <x:row r="501" ht="48" customHeight="1">
      <x:c r="A501" s="8" t="str">
        <x:v>North Two Lake</x:v>
      </x:c>
      <x:c r="B501" s="8" t="str">
        <x:v>6535</x:v>
      </x:c>
      <x:c r="C501" s="11" t="str">
        <x:v>Two Lake (1)</x:v>
      </x:c>
      <x:c r="D501" s="15" t="str">
        <x:f>IFERROR(HYPERLINK("https://mywildalberta.ca/fishing/fish-stocking/fsm-images/North%20Two%20Lake/Two%20Lake%20(1).jpg","https://mywildalberta.ca/fishing/fish-stocking/fsm-images/North%20Two%20Lake/Two%20Lake%20(1).jpg"),"https://mywildalberta.ca/fishing/fish-stocking/fsm-images/North%20Two%20Lake/Two%20Lake%20(1).jpg")</x:f>
        <x:v>https://mywildalberta.ca/fishing/fish-stocking/fsm-images/North%20Two%20Lake/Two%20Lake%20(1).jpg</x:v>
      </x:c>
    </x:row>
    <x:row r="502" ht="48" customHeight="1">
      <x:c r="A502" s="8" t="str">
        <x:v>Obed Lake</x:v>
      </x:c>
      <x:c r="B502" s="8" t="str">
        <x:v>5466</x:v>
      </x:c>
      <x:c r="C502" s="11" t="str">
        <x:v>Obed boat on water</x:v>
      </x:c>
      <x:c r="D502" s="15" t="str">
        <x:f>IFERROR(HYPERLINK("https://mywildalberta.ca/fishing/fish-stocking/fsm-images/Obed%20Lake/Obed%20boat%20on%20water.jpg","https://mywildalberta.ca/fishing/fish-stocking/fsm-images/Obed%20Lake/Obed%20boat%20on%20water.jpg"),"https://mywildalberta.ca/fishing/fish-stocking/fsm-images/Obed%20Lake/Obed%20boat%20on%20water.jpg")</x:f>
        <x:v>https://mywildalberta.ca/fishing/fish-stocking/fsm-images/Obed%20Lake/Obed%20boat%20on%20water.jpg</x:v>
      </x:c>
    </x:row>
    <x:row r="503" ht="48" customHeight="1">
      <x:c r="A503" s="8" t="str">
        <x:v>Obed Lake</x:v>
      </x:c>
      <x:c r="B503" s="8" t="str">
        <x:v>5466</x:v>
      </x:c>
      <x:c r="C503" s="11" t="str">
        <x:v>Obed lake cloudy day</x:v>
      </x:c>
      <x:c r="D503" s="15" t="str">
        <x:f>IFERROR(HYPERLINK("https://mywildalberta.ca/fishing/fish-stocking/fsm-images/Obed%20Lake/Obed%20lake%20cloudy%20day.jpg","https://mywildalberta.ca/fishing/fish-stocking/fsm-images/Obed%20Lake/Obed%20lake%20cloudy%20day.jpg"),"https://mywildalberta.ca/fishing/fish-stocking/fsm-images/Obed%20Lake/Obed%20lake%20cloudy%20day.jpg")</x:f>
        <x:v>https://mywildalberta.ca/fishing/fish-stocking/fsm-images/Obed%20Lake/Obed%20lake%20cloudy%20day.jpg</x:v>
      </x:c>
    </x:row>
    <x:row r="504" ht="48" customHeight="1">
      <x:c r="A504" s="8" t="str">
        <x:v>Obed Lake</x:v>
      </x:c>
      <x:c r="B504" s="8" t="str">
        <x:v>5466</x:v>
      </x:c>
      <x:c r="C504" s="11" t="str">
        <x:v>Obed lake shore view</x:v>
      </x:c>
      <x:c r="D504" s="15" t="str">
        <x:f>IFERROR(HYPERLINK("https://mywildalberta.ca/fishing/fish-stocking/fsm-images/Obed%20Lake/Obed%20lake%20shore%20view.jpg","https://mywildalberta.ca/fishing/fish-stocking/fsm-images/Obed%20Lake/Obed%20lake%20shore%20view.jpg"),"https://mywildalberta.ca/fishing/fish-stocking/fsm-images/Obed%20Lake/Obed%20lake%20shore%20view.jpg")</x:f>
        <x:v>https://mywildalberta.ca/fishing/fish-stocking/fsm-images/Obed%20Lake/Obed%20lake%20shore%20view.jpg</x:v>
      </x:c>
    </x:row>
    <x:row r="505" ht="48" customHeight="1">
      <x:c r="A505" s="8" t="str">
        <x:v>Open Creek Reservoir</x:v>
      </x:c>
      <x:c r="B505" s="8" t="str">
        <x:v>6726</x:v>
      </x:c>
      <x:c r="C505" s="11" t="str">
        <x:v>Open creek day use cook shak and view point</x:v>
      </x:c>
      <x:c r="D505" s="15" t="str">
        <x:f>IFERROR(HYPERLINK("https://mywildalberta.ca/fishing/fish-stocking/fsm-images/Open%20Creek%20Reservoir/Open%20creek%20day%20use%20cook%20shak%20and%20view%20point.jpg","https://mywildalberta.ca/fishing/fish-stocking/fsm-images/Open%20Creek%20Reservoir/Open%20creek%20day%20use%20cook%20shak%20and%20view%20point.jpg"),"https://mywildalberta.ca/fishing/fish-stocking/fsm-images/Open%20Creek%20Reservoir/Open%20creek%20day%20use%20cook%20shak%20and%20view%20point.jpg")</x:f>
        <x:v>https://mywildalberta.ca/fishing/fish-stocking/fsm-images/Open%20Creek%20Reservoir/Open%20creek%20day%20use%20cook%20shak%20and%20view%20point.jpg</x:v>
      </x:c>
    </x:row>
    <x:row r="506" ht="48" customHeight="1">
      <x:c r="A506" s="8" t="str">
        <x:v>Open Creek Reservoir</x:v>
      </x:c>
      <x:c r="B506" s="8" t="str">
        <x:v>6726</x:v>
      </x:c>
      <x:c r="C506" s="11" t="str">
        <x:v>Open Creek dock and fishing peir</x:v>
      </x:c>
      <x:c r="D506" s="15" t="str">
        <x:f>IFERROR(HYPERLINK("https://mywildalberta.ca/fishing/fish-stocking/fsm-images/Open%20Creek%20Reservoir/Open%20Creek%20dock%20and%20fishing%20peir.jpg","https://mywildalberta.ca/fishing/fish-stocking/fsm-images/Open%20Creek%20Reservoir/Open%20Creek%20dock%20and%20fishing%20peir.jpg"),"https://mywildalberta.ca/fishing/fish-stocking/fsm-images/Open%20Creek%20Reservoir/Open%20Creek%20dock%20and%20fishing%20peir.jpg")</x:f>
        <x:v>https://mywildalberta.ca/fishing/fish-stocking/fsm-images/Open%20Creek%20Reservoir/Open%20Creek%20dock%20and%20fishing%20peir.jpg</x:v>
      </x:c>
    </x:row>
    <x:row r="507" ht="48" customHeight="1">
      <x:c r="A507" s="8" t="str">
        <x:v>Open Creek Reservoir</x:v>
      </x:c>
      <x:c r="B507" s="8" t="str">
        <x:v>6726</x:v>
      </x:c>
      <x:c r="C507" s="11" t="str">
        <x:v>Open Creek lake overview</x:v>
      </x:c>
      <x:c r="D507" s="15" t="str">
        <x:f>IFERROR(HYPERLINK("https://mywildalberta.ca/fishing/fish-stocking/fsm-images/Open%20Creek%20Reservoir/Open%20Creek%20lake%20overview.JPG","https://mywildalberta.ca/fishing/fish-stocking/fsm-images/Open%20Creek%20Reservoir/Open%20Creek%20lake%20overview.JPG"),"https://mywildalberta.ca/fishing/fish-stocking/fsm-images/Open%20Creek%20Reservoir/Open%20Creek%20lake%20overview.JPG")</x:f>
        <x:v>https://mywildalberta.ca/fishing/fish-stocking/fsm-images/Open%20Creek%20Reservoir/Open%20Creek%20lake%20overview.JPG</x:v>
      </x:c>
    </x:row>
    <x:row r="508" ht="48" customHeight="1">
      <x:c r="A508" s="8" t="str">
        <x:v>Open Creek Reservoir</x:v>
      </x:c>
      <x:c r="B508" s="8" t="str">
        <x:v>6726</x:v>
      </x:c>
      <x:c r="C508" s="11" t="str">
        <x:v>Open creek playground area</x:v>
      </x:c>
      <x:c r="D508" s="15" t="str">
        <x:f>IFERROR(HYPERLINK("https://mywildalberta.ca/fishing/fish-stocking/fsm-images/Open%20Creek%20Reservoir/Open%20creek%20playground%20area.jpg","https://mywildalberta.ca/fishing/fish-stocking/fsm-images/Open%20Creek%20Reservoir/Open%20creek%20playground%20area.jpg"),"https://mywildalberta.ca/fishing/fish-stocking/fsm-images/Open%20Creek%20Reservoir/Open%20creek%20playground%20area.jpg")</x:f>
        <x:v>https://mywildalberta.ca/fishing/fish-stocking/fsm-images/Open%20Creek%20Reservoir/Open%20creek%20playground%20area.jpg</x:v>
      </x:c>
    </x:row>
    <x:row r="509" ht="48" customHeight="1">
      <x:c r="A509" s="8" t="str">
        <x:v>Open Creek Reservoir</x:v>
      </x:c>
      <x:c r="B509" s="8" t="str">
        <x:v>6726</x:v>
      </x:c>
      <x:c r="C509" s="11" t="str">
        <x:v>Open Creek Reservoir facilities</x:v>
      </x:c>
      <x:c r="D509" s="15" t="str">
        <x:f>IFERROR(HYPERLINK("https://mywildalberta.ca/fishing/fish-stocking/fsm-images/Open%20Creek%20Reservoir/Open%20Creek%20Reservoir%20facilities.jpg","https://mywildalberta.ca/fishing/fish-stocking/fsm-images/Open%20Creek%20Reservoir/Open%20Creek%20Reservoir%20facilities.jpg"),"https://mywildalberta.ca/fishing/fish-stocking/fsm-images/Open%20Creek%20Reservoir/Open%20Creek%20Reservoir%20facilities.jpg")</x:f>
        <x:v>https://mywildalberta.ca/fishing/fish-stocking/fsm-images/Open%20Creek%20Reservoir/Open%20Creek%20Reservoir%20facilities.jpg</x:v>
      </x:c>
    </x:row>
    <x:row r="510" ht="48" customHeight="1">
      <x:c r="A510" s="8" t="str">
        <x:v>Open Creek Reservoir</x:v>
      </x:c>
      <x:c r="B510" s="8" t="str">
        <x:v>6726</x:v>
      </x:c>
      <x:c r="C510" s="11" t="str">
        <x:v>Open Creek veiw point</x:v>
      </x:c>
      <x:c r="D510" s="15" t="str">
        <x:f>IFERROR(HYPERLINK("https://mywildalberta.ca/fishing/fish-stocking/fsm-images/Open%20Creek%20Reservoir/Open%20Creek%20veiw%20point.jpg","https://mywildalberta.ca/fishing/fish-stocking/fsm-images/Open%20Creek%20Reservoir/Open%20Creek%20veiw%20point.jpg"),"https://mywildalberta.ca/fishing/fish-stocking/fsm-images/Open%20Creek%20Reservoir/Open%20Creek%20veiw%20point.jpg")</x:f>
        <x:v>https://mywildalberta.ca/fishing/fish-stocking/fsm-images/Open%20Creek%20Reservoir/Open%20Creek%20veiw%20point.jpg</x:v>
      </x:c>
    </x:row>
    <x:row r="511" ht="48" customHeight="1">
      <x:c r="A511" s="8" t="str">
        <x:v>Oyen Pond</x:v>
      </x:c>
      <x:c r="B511" s="8" t="str">
        <x:v>18020</x:v>
      </x:c>
      <x:c r="C511" s="11" t="str">
        <x:v>Oyen Pond and Algae</x:v>
      </x:c>
      <x:c r="D511" s="15" t="str">
        <x:f>IFERROR(HYPERLINK("https://mywildalberta.ca/fishing/fish-stocking/fsm-images/Oyen%20Pond/Oyen%20Pond%20and%20Algae.jpg","https://mywildalberta.ca/fishing/fish-stocking/fsm-images/Oyen%20Pond/Oyen%20Pond%20and%20Algae.jpg"),"https://mywildalberta.ca/fishing/fish-stocking/fsm-images/Oyen%20Pond/Oyen%20Pond%20and%20Algae.jpg")</x:f>
        <x:v>https://mywildalberta.ca/fishing/fish-stocking/fsm-images/Oyen%20Pond/Oyen%20Pond%20and%20Algae.jpg</x:v>
      </x:c>
    </x:row>
    <x:row r="512" ht="48" customHeight="1">
      <x:c r="A512" s="8" t="str">
        <x:v>Oyen Pond</x:v>
      </x:c>
      <x:c r="B512" s="8" t="str">
        <x:v>18020</x:v>
      </x:c>
      <x:c r="C512" s="11" t="str">
        <x:v>Oyen Pond Surrounding</x:v>
      </x:c>
      <x:c r="D512" s="15" t="str">
        <x:f>IFERROR(HYPERLINK("https://mywildalberta.ca/fishing/fish-stocking/fsm-images/Oyen%20Pond/Oyen%20Pond%20Surrounding.jpg","https://mywildalberta.ca/fishing/fish-stocking/fsm-images/Oyen%20Pond/Oyen%20Pond%20Surrounding.jpg"),"https://mywildalberta.ca/fishing/fish-stocking/fsm-images/Oyen%20Pond/Oyen%20Pond%20Surrounding.jpg")</x:f>
        <x:v>https://mywildalberta.ca/fishing/fish-stocking/fsm-images/Oyen%20Pond/Oyen%20Pond%20Surrounding.jpg</x:v>
      </x:c>
    </x:row>
    <x:row r="513" ht="48" customHeight="1">
      <x:c r="A513" s="8" t="str">
        <x:v>Oyen Pond</x:v>
      </x:c>
      <x:c r="B513" s="8" t="str">
        <x:v>18020</x:v>
      </x:c>
      <x:c r="C513" s="11" t="str">
        <x:v>Oyen Pond Water</x:v>
      </x:c>
      <x:c r="D513" s="15" t="str">
        <x:f>IFERROR(HYPERLINK("https://mywildalberta.ca/fishing/fish-stocking/fsm-images/Oyen%20Pond/Oyen%20Pond%20Water.jpg","https://mywildalberta.ca/fishing/fish-stocking/fsm-images/Oyen%20Pond/Oyen%20Pond%20Water.jpg"),"https://mywildalberta.ca/fishing/fish-stocking/fsm-images/Oyen%20Pond/Oyen%20Pond%20Water.jpg")</x:f>
        <x:v>https://mywildalberta.ca/fishing/fish-stocking/fsm-images/Oyen%20Pond/Oyen%20Pond%20Water.jpg</x:v>
      </x:c>
    </x:row>
    <x:row r="514" ht="48" customHeight="1">
      <x:c r="A514" s="8" t="str">
        <x:v>Oyen Pond</x:v>
      </x:c>
      <x:c r="B514" s="8" t="str">
        <x:v>18020</x:v>
      </x:c>
      <x:c r="C514" s="11" t="str">
        <x:v>Oyen Pond</x:v>
      </x:c>
      <x:c r="D514" s="15" t="str">
        <x:f>IFERROR(HYPERLINK("https://mywildalberta.ca/fishing/fish-stocking/fsm-images/Oyen%20Pond/Oyen%20Pond.jpg","https://mywildalberta.ca/fishing/fish-stocking/fsm-images/Oyen%20Pond/Oyen%20Pond.jpg"),"https://mywildalberta.ca/fishing/fish-stocking/fsm-images/Oyen%20Pond/Oyen%20Pond.jpg")</x:f>
        <x:v>https://mywildalberta.ca/fishing/fish-stocking/fsm-images/Oyen%20Pond/Oyen%20Pond.jpg</x:v>
      </x:c>
    </x:row>
    <x:row r="515" ht="48" customHeight="1">
      <x:c r="A515" s="8" t="str">
        <x:v>Oyen Pond</x:v>
      </x:c>
      <x:c r="B515" s="8" t="str">
        <x:v>18020</x:v>
      </x:c>
      <x:c r="C515" s="11" t="str">
        <x:v>Oyen Sign</x:v>
      </x:c>
      <x:c r="D515" s="15" t="str">
        <x:f>IFERROR(HYPERLINK("https://mywildalberta.ca/fishing/fish-stocking/fsm-images/Oyen%20Pond/Oyen%20Sign.jpg","https://mywildalberta.ca/fishing/fish-stocking/fsm-images/Oyen%20Pond/Oyen%20Sign.jpg"),"https://mywildalberta.ca/fishing/fish-stocking/fsm-images/Oyen%20Pond/Oyen%20Sign.jpg")</x:f>
        <x:v>https://mywildalberta.ca/fishing/fish-stocking/fsm-images/Oyen%20Pond/Oyen%20Sign.jpg</x:v>
      </x:c>
    </x:row>
    <x:row r="516" ht="48" customHeight="1">
      <x:c r="A516" s="8" t="str">
        <x:v>Oyen Pond</x:v>
      </x:c>
      <x:c r="B516" s="8" t="str">
        <x:v>18020</x:v>
      </x:c>
      <x:c r="C516" s="11" t="str">
        <x:v>Oyen Trout Pond</x:v>
      </x:c>
      <x:c r="D516" s="15" t="str">
        <x:f>IFERROR(HYPERLINK("https://mywildalberta.ca/fishing/fish-stocking/fsm-images/Oyen%20Pond/Oyen%20Trout%20Pond.jpg","https://mywildalberta.ca/fishing/fish-stocking/fsm-images/Oyen%20Pond/Oyen%20Trout%20Pond.jpg"),"https://mywildalberta.ca/fishing/fish-stocking/fsm-images/Oyen%20Pond/Oyen%20Trout%20Pond.jpg")</x:f>
        <x:v>https://mywildalberta.ca/fishing/fish-stocking/fsm-images/Oyen%20Pond/Oyen%20Trout%20Pond.jpg</x:v>
      </x:c>
    </x:row>
    <x:row r="517" ht="48" customHeight="1">
      <x:c r="A517" s="8" t="str">
        <x:v>Oyen Pond</x:v>
      </x:c>
      <x:c r="B517" s="8" t="str">
        <x:v>18020</x:v>
      </x:c>
      <x:c r="C517" s="11" t="str">
        <x:v>Oyen</x:v>
      </x:c>
      <x:c r="D517" s="15" t="str">
        <x:f>IFERROR(HYPERLINK("https://mywildalberta.ca/fishing/fish-stocking/fsm-images/Oyen%20Pond/Oyen.jpg","https://mywildalberta.ca/fishing/fish-stocking/fsm-images/Oyen%20Pond/Oyen.jpg"),"https://mywildalberta.ca/fishing/fish-stocking/fsm-images/Oyen%20Pond/Oyen.jpg")</x:f>
        <x:v>https://mywildalberta.ca/fishing/fish-stocking/fsm-images/Oyen%20Pond/Oyen.jpg</x:v>
      </x:c>
    </x:row>
    <x:row r="518" ht="48" customHeight="1">
      <x:c r="A518" s="8" t="str">
        <x:v>Peanut Lake</x:v>
      </x:c>
      <x:c r="B518" s="8" t="str">
        <x:v>5538</x:v>
      </x:c>
      <x:c r="C518" s="11" t="str">
        <x:v>Peanut fishing dock looking onto lake</x:v>
      </x:c>
      <x:c r="D518" s="15" t="str">
        <x:f>IFERROR(HYPERLINK("https://mywildalberta.ca/fishing/fish-stocking/fsm-images/Peanut%20Lake/Peanut%20fishing%20dock%20looking%20onto%20lake.jpg","https://mywildalberta.ca/fishing/fish-stocking/fsm-images/Peanut%20Lake/Peanut%20fishing%20dock%20looking%20onto%20lake.jpg"),"https://mywildalberta.ca/fishing/fish-stocking/fsm-images/Peanut%20Lake/Peanut%20fishing%20dock%20looking%20onto%20lake.jpg")</x:f>
        <x:v>https://mywildalberta.ca/fishing/fish-stocking/fsm-images/Peanut%20Lake/Peanut%20fishing%20dock%20looking%20onto%20lake.jpg</x:v>
      </x:c>
    </x:row>
    <x:row r="519" ht="48" customHeight="1">
      <x:c r="A519" s="8" t="str">
        <x:v>Peppers Lake</x:v>
      </x:c>
      <x:c r="B519" s="8" t="str">
        <x:v>5555</x:v>
      </x:c>
      <x:c r="C519" s="11" t="str">
        <x:v>Peppers Lake dock and boat launch area in the winter months</x:v>
      </x:c>
      <x:c r="D519" s="15" t="str">
        <x:f>IFERROR(HYPERLINK("https://mywildalberta.ca/fishing/fish-stocking/fsm-images/Peppers%20Lake/Peppers%20Lake%20dock%20and%20boat%20launch%20area%20in%20the%20winter%20months.JPG","https://mywildalberta.ca/fishing/fish-stocking/fsm-images/Peppers%20Lake/Peppers%20Lake%20dock%20and%20boat%20launch%20area%20in%20the%20winter%20months.JPG"),"https://mywildalberta.ca/fishing/fish-stocking/fsm-images/Peppers%20Lake/Peppers%20Lake%20dock%20and%20boat%20launch%20area%20in%20the%20winter%20months.JPG")</x:f>
        <x:v>https://mywildalberta.ca/fishing/fish-stocking/fsm-images/Peppers%20Lake/Peppers%20Lake%20dock%20and%20boat%20launch%20area%20in%20the%20winter%20months.JPG</x:v>
      </x:c>
    </x:row>
    <x:row r="520" ht="48" customHeight="1">
      <x:c r="A520" s="8" t="str">
        <x:v>Phyllis Lake</x:v>
      </x:c>
      <x:c r="B520" s="8" t="str">
        <x:v>5569</x:v>
      </x:c>
      <x:c r="C520" s="11" t="str">
        <x:v>Phyllis lake beach area</x:v>
      </x:c>
      <x:c r="D520" s="15" t="str">
        <x:f>IFERROR(HYPERLINK("https://mywildalberta.ca/fishing/fish-stocking/fsm-images/Phyllis%20Lake/Phyllis%20lake%20beach%20area.jpg","https://mywildalberta.ca/fishing/fish-stocking/fsm-images/Phyllis%20Lake/Phyllis%20lake%20beach%20area.jpg"),"https://mywildalberta.ca/fishing/fish-stocking/fsm-images/Phyllis%20Lake/Phyllis%20lake%20beach%20area.jpg")</x:f>
        <x:v>https://mywildalberta.ca/fishing/fish-stocking/fsm-images/Phyllis%20Lake/Phyllis%20lake%20beach%20area.jpg</x:v>
      </x:c>
    </x:row>
    <x:row r="521" ht="48" customHeight="1">
      <x:c r="A521" s="8" t="str">
        <x:v>Phyllis Lake</x:v>
      </x:c>
      <x:c r="B521" s="8" t="str">
        <x:v>5569</x:v>
      </x:c>
      <x:c r="C521" s="11" t="str">
        <x:v>Phyllis lake beach hand launch area</x:v>
      </x:c>
      <x:c r="D521" s="15" t="str">
        <x:f>IFERROR(HYPERLINK("https://mywildalberta.ca/fishing/fish-stocking/fsm-images/Phyllis%20Lake/Phyllis%20lake%20beach%20hand%20launch%20area.JPG","https://mywildalberta.ca/fishing/fish-stocking/fsm-images/Phyllis%20Lake/Phyllis%20lake%20beach%20hand%20launch%20area.JPG"),"https://mywildalberta.ca/fishing/fish-stocking/fsm-images/Phyllis%20Lake/Phyllis%20lake%20beach%20hand%20launch%20area.JPG")</x:f>
        <x:v>https://mywildalberta.ca/fishing/fish-stocking/fsm-images/Phyllis%20Lake/Phyllis%20lake%20beach%20hand%20launch%20area.JPG</x:v>
      </x:c>
    </x:row>
    <x:row r="522" ht="48" customHeight="1">
      <x:c r="A522" s="8" t="str">
        <x:v>Phyllis Lake</x:v>
      </x:c>
      <x:c r="B522" s="8" t="str">
        <x:v>5569</x:v>
      </x:c>
      <x:c r="C522" s="11" t="str">
        <x:v>Phyllis lake dock and fishing pear</x:v>
      </x:c>
      <x:c r="D522" s="15" t="str">
        <x:f>IFERROR(HYPERLINK("https://mywildalberta.ca/fishing/fish-stocking/fsm-images/Phyllis%20Lake/Phyllis%20lake%20dock%20and%20fishing%20pear.jpg","https://mywildalberta.ca/fishing/fish-stocking/fsm-images/Phyllis%20Lake/Phyllis%20lake%20dock%20and%20fishing%20pear.jpg"),"https://mywildalberta.ca/fishing/fish-stocking/fsm-images/Phyllis%20Lake/Phyllis%20lake%20dock%20and%20fishing%20pear.jpg")</x:f>
        <x:v>https://mywildalberta.ca/fishing/fish-stocking/fsm-images/Phyllis%20Lake/Phyllis%20lake%20dock%20and%20fishing%20pear.jpg</x:v>
      </x:c>
    </x:row>
    <x:row r="523" ht="48" customHeight="1">
      <x:c r="A523" s="8" t="str">
        <x:v>Phyllis Lake</x:v>
      </x:c>
      <x:c r="B523" s="8" t="str">
        <x:v>5569</x:v>
      </x:c>
      <x:c r="C523" s="11" t="str">
        <x:v>Phyllis Lake facilities</x:v>
      </x:c>
      <x:c r="D523" s="15" t="str">
        <x:f>IFERROR(HYPERLINK("https://mywildalberta.ca/fishing/fish-stocking/fsm-images/Phyllis%20Lake/Phyllis%20Lake%20facilities.jpg","https://mywildalberta.ca/fishing/fish-stocking/fsm-images/Phyllis%20Lake/Phyllis%20Lake%20facilities.jpg"),"https://mywildalberta.ca/fishing/fish-stocking/fsm-images/Phyllis%20Lake/Phyllis%20Lake%20facilities.jpg")</x:f>
        <x:v>https://mywildalberta.ca/fishing/fish-stocking/fsm-images/Phyllis%20Lake/Phyllis%20Lake%20facilities.jpg</x:v>
      </x:c>
    </x:row>
    <x:row r="524" ht="48" customHeight="1">
      <x:c r="A524" s="8" t="str">
        <x:v>Phyllis Lake</x:v>
      </x:c>
      <x:c r="B524" s="8" t="str">
        <x:v>5569</x:v>
      </x:c>
      <x:c r="C524" s="11" t="str">
        <x:v>Phyllis Lake picnic area</x:v>
      </x:c>
      <x:c r="D524" s="15" t="str">
        <x:f>IFERROR(HYPERLINK("https://mywildalberta.ca/fishing/fish-stocking/fsm-images/Phyllis%20Lake/Phyllis%20Lake%20picnic%20area.jpg","https://mywildalberta.ca/fishing/fish-stocking/fsm-images/Phyllis%20Lake/Phyllis%20Lake%20picnic%20area.jpg"),"https://mywildalberta.ca/fishing/fish-stocking/fsm-images/Phyllis%20Lake/Phyllis%20Lake%20picnic%20area.jpg")</x:f>
        <x:v>https://mywildalberta.ca/fishing/fish-stocking/fsm-images/Phyllis%20Lake/Phyllis%20Lake%20picnic%20area.jpg</x:v>
      </x:c>
    </x:row>
    <x:row r="525" ht="48" customHeight="1">
      <x:c r="A525" s="8" t="str">
        <x:v>Phyllis Lake</x:v>
      </x:c>
      <x:c r="B525" s="8" t="str">
        <x:v>5569</x:v>
      </x:c>
      <x:c r="C525" s="11" t="str">
        <x:v>Phyllis lake water</x:v>
      </x:c>
      <x:c r="D525" s="15" t="str">
        <x:f>IFERROR(HYPERLINK("https://mywildalberta.ca/fishing/fish-stocking/fsm-images/Phyllis%20Lake/Phyllis%20lake%20water.jpg","https://mywildalberta.ca/fishing/fish-stocking/fsm-images/Phyllis%20Lake/Phyllis%20lake%20water.jpg"),"https://mywildalberta.ca/fishing/fish-stocking/fsm-images/Phyllis%20Lake/Phyllis%20lake%20water.jpg")</x:f>
        <x:v>https://mywildalberta.ca/fishing/fish-stocking/fsm-images/Phyllis%20Lake/Phyllis%20lake%20water.jpg</x:v>
      </x:c>
    </x:row>
    <x:row r="526" ht="48" customHeight="1">
      <x:c r="A526" s="8" t="str">
        <x:v>Pine Coulee Reservoir</x:v>
      </x:c>
      <x:c r="B526" s="8" t="str">
        <x:v>18007</x:v>
      </x:c>
      <x:c r="C526" s="11" t="str">
        <x:v>Pine coulee reservoir boat on shore</x:v>
      </x:c>
      <x:c r="D526" s="15" t="str">
        <x:f>IFERROR(HYPERLINK("https://mywildalberta.ca/fishing/fish-stocking/fsm-images/Pine%20Coulee%20Reservoir/Pine%20coulee%20reservoir%20boat%20on%20shore.heic","https://mywildalberta.ca/fishing/fish-stocking/fsm-images/Pine%20Coulee%20Reservoir/Pine%20coulee%20reservoir%20boat%20on%20shore.heic"),"https://mywildalberta.ca/fishing/fish-stocking/fsm-images/Pine%20Coulee%20Reservoir/Pine%20coulee%20reservoir%20boat%20on%20shore.heic")</x:f>
        <x:v>https://mywildalberta.ca/fishing/fish-stocking/fsm-images/Pine%20Coulee%20Reservoir/Pine%20coulee%20reservoir%20boat%20on%20shore.heic</x:v>
      </x:c>
    </x:row>
    <x:row r="527" ht="48" customHeight="1">
      <x:c r="A527" s="8" t="str">
        <x:v>Pit 45</x:v>
      </x:c>
      <x:c r="B527" s="8" t="str">
        <x:v>23791</x:v>
      </x:c>
      <x:c r="C527" s="11" t="str">
        <x:v>Pit 45 (1)</x:v>
      </x:c>
      <x:c r="D527" s="15" t="str">
        <x:f>IFERROR(HYPERLINK("https://mywildalberta.ca/fishing/fish-stocking/fsm-images/Pit%2045/Pit%2045%20(1).JPG","https://mywildalberta.ca/fishing/fish-stocking/fsm-images/Pit%2045/Pit%2045%20(1).JPG"),"https://mywildalberta.ca/fishing/fish-stocking/fsm-images/Pit%2045/Pit%2045%20(1).JPG")</x:f>
        <x:v>https://mywildalberta.ca/fishing/fish-stocking/fsm-images/Pit%2045/Pit%2045%20(1).JPG</x:v>
      </x:c>
    </x:row>
    <x:row r="528" ht="48" customHeight="1">
      <x:c r="A528" s="8" t="str">
        <x:v>Police Lake</x:v>
      </x:c>
      <x:c r="B528" s="8" t="str">
        <x:v>5504</x:v>
      </x:c>
      <x:c r="C528" s="11" t="str">
        <x:v>Police Out Post Lake boat and fishing dock</x:v>
      </x:c>
      <x:c r="D528" s="15" t="str">
        <x:f>IFERROR(HYPERLINK("https://mywildalberta.ca/fishing/fish-stocking/fsm-images/Police%20Lake/Police%20Out%20Post%20Lake%20boat%20and%20fishing%20dock.jpg","https://mywildalberta.ca/fishing/fish-stocking/fsm-images/Police%20Lake/Police%20Out%20Post%20Lake%20boat%20and%20fishing%20dock.jpg"),"https://mywildalberta.ca/fishing/fish-stocking/fsm-images/Police%20Lake/Police%20Out%20Post%20Lake%20boat%20and%20fishing%20dock.jpg")</x:f>
        <x:v>https://mywildalberta.ca/fishing/fish-stocking/fsm-images/Police%20Lake/Police%20Out%20Post%20Lake%20boat%20and%20fishing%20dock.jpg</x:v>
      </x:c>
    </x:row>
    <x:row r="529" ht="48" customHeight="1">
      <x:c r="A529" s="8" t="str">
        <x:v>Police Lake</x:v>
      </x:c>
      <x:c r="B529" s="8" t="str">
        <x:v>5504</x:v>
      </x:c>
      <x:c r="C529" s="11" t="str">
        <x:v>Police Out Post Lake boat launch facing outwards to lake</x:v>
      </x:c>
      <x:c r="D529" s="15" t="str">
        <x:f>IFERROR(HYPERLINK("https://mywildalberta.ca/fishing/fish-stocking/fsm-images/Police%20Lake/Police%20Out%20Post%20Lake%20boat%20launch%20facing%20outwards%20to%20lake.jpg","https://mywildalberta.ca/fishing/fish-stocking/fsm-images/Police%20Lake/Police%20Out%20Post%20Lake%20boat%20launch%20facing%20outwards%20to%20lake.jpg"),"https://mywildalberta.ca/fishing/fish-stocking/fsm-images/Police%20Lake/Police%20Out%20Post%20Lake%20boat%20launch%20facing%20outwards%20to%20lake.jpg")</x:f>
        <x:v>https://mywildalberta.ca/fishing/fish-stocking/fsm-images/Police%20Lake/Police%20Out%20Post%20Lake%20boat%20launch%20facing%20outwards%20to%20lake.jpg</x:v>
      </x:c>
    </x:row>
    <x:row r="530" ht="48" customHeight="1">
      <x:c r="A530" s="8" t="str">
        <x:v>Police Lake</x:v>
      </x:c>
      <x:c r="B530" s="8" t="str">
        <x:v>5504</x:v>
      </x:c>
      <x:c r="C530" s="11" t="str">
        <x:v>Police Out Post Lake boat launch</x:v>
      </x:c>
      <x:c r="D530" s="15" t="str">
        <x:f>IFERROR(HYPERLINK("https://mywildalberta.ca/fishing/fish-stocking/fsm-images/Police%20Lake/Police%20Out%20Post%20Lake%20boat%20launch.jpg","https://mywildalberta.ca/fishing/fish-stocking/fsm-images/Police%20Lake/Police%20Out%20Post%20Lake%20boat%20launch.jpg"),"https://mywildalberta.ca/fishing/fish-stocking/fsm-images/Police%20Lake/Police%20Out%20Post%20Lake%20boat%20launch.jpg")</x:f>
        <x:v>https://mywildalberta.ca/fishing/fish-stocking/fsm-images/Police%20Lake/Police%20Out%20Post%20Lake%20boat%20launch.jpg</x:v>
      </x:c>
    </x:row>
    <x:row r="531" ht="48" customHeight="1">
      <x:c r="A531" s="8" t="str">
        <x:v>Police Lake</x:v>
      </x:c>
      <x:c r="B531" s="8" t="str">
        <x:v>5504</x:v>
      </x:c>
      <x:c r="C531" s="11" t="str">
        <x:v>Police Out Post Lake parking area</x:v>
      </x:c>
      <x:c r="D531" s="15" t="str">
        <x:f>IFERROR(HYPERLINK("https://mywildalberta.ca/fishing/fish-stocking/fsm-images/Police%20Lake/Police%20Out%20Post%20Lake%20parking%20area.jpg","https://mywildalberta.ca/fishing/fish-stocking/fsm-images/Police%20Lake/Police%20Out%20Post%20Lake%20parking%20area.jpg"),"https://mywildalberta.ca/fishing/fish-stocking/fsm-images/Police%20Lake/Police%20Out%20Post%20Lake%20parking%20area.jpg")</x:f>
        <x:v>https://mywildalberta.ca/fishing/fish-stocking/fsm-images/Police%20Lake/Police%20Out%20Post%20Lake%20parking%20area.jpg</x:v>
      </x:c>
    </x:row>
    <x:row r="532" ht="48" customHeight="1">
      <x:c r="A532" s="8" t="str">
        <x:v>Police Lake</x:v>
      </x:c>
      <x:c r="B532" s="8" t="str">
        <x:v>5504</x:v>
      </x:c>
      <x:c r="C532" s="11" t="str">
        <x:v>Police Out Post Lake welcome sign</x:v>
      </x:c>
      <x:c r="D532" s="15" t="str">
        <x:f>IFERROR(HYPERLINK("https://mywildalberta.ca/fishing/fish-stocking/fsm-images/Police%20Lake/Police%20Out%20Post%20Lake%20welcome%20sign.jpg","https://mywildalberta.ca/fishing/fish-stocking/fsm-images/Police%20Lake/Police%20Out%20Post%20Lake%20welcome%20sign.jpg"),"https://mywildalberta.ca/fishing/fish-stocking/fsm-images/Police%20Lake/Police%20Out%20Post%20Lake%20welcome%20sign.jpg")</x:f>
        <x:v>https://mywildalberta.ca/fishing/fish-stocking/fsm-images/Police%20Lake/Police%20Out%20Post%20Lake%20welcome%20sign.jpg</x:v>
      </x:c>
    </x:row>
    <x:row r="533" ht="48" customHeight="1">
      <x:c r="A533" s="8" t="str">
        <x:v>Rainbow Lake Pond</x:v>
      </x:c>
      <x:c r="B533" s="8" t="str">
        <x:v>6705</x:v>
      </x:c>
      <x:c r="C533" s="11" t="str">
        <x:v>Rainbow Lake (1)</x:v>
      </x:c>
      <x:c r="D533" s="15" t="str">
        <x:f>IFERROR(HYPERLINK("https://mywildalberta.ca/fishing/fish-stocking/fsm-images/Rainbow%20Lake%20Pond/Rainbow%20Lake%20(1).JPG","https://mywildalberta.ca/fishing/fish-stocking/fsm-images/Rainbow%20Lake%20Pond/Rainbow%20Lake%20(1).JPG"),"https://mywildalberta.ca/fishing/fish-stocking/fsm-images/Rainbow%20Lake%20Pond/Rainbow%20Lake%20(1).JPG")</x:f>
        <x:v>https://mywildalberta.ca/fishing/fish-stocking/fsm-images/Rainbow%20Lake%20Pond/Rainbow%20Lake%20(1).JPG</x:v>
      </x:c>
    </x:row>
    <x:row r="534" ht="48" customHeight="1">
      <x:c r="A534" s="8" t="str">
        <x:v>Rainbow Lake Pond</x:v>
      </x:c>
      <x:c r="B534" s="8" t="str">
        <x:v>6705</x:v>
      </x:c>
      <x:c r="C534" s="11" t="str">
        <x:v>Rainbow Lake fish stocking</x:v>
      </x:c>
      <x:c r="D534" s="15" t="str">
        <x:f>IFERROR(HYPERLINK("https://mywildalberta.ca/fishing/fish-stocking/fsm-images/Rainbow%20Lake%20Pond/Rainbow%20Lake%20fish%20stocking.jpg","https://mywildalberta.ca/fishing/fish-stocking/fsm-images/Rainbow%20Lake%20Pond/Rainbow%20Lake%20fish%20stocking.jpg"),"https://mywildalberta.ca/fishing/fish-stocking/fsm-images/Rainbow%20Lake%20Pond/Rainbow%20Lake%20fish%20stocking.jpg")</x:f>
        <x:v>https://mywildalberta.ca/fishing/fish-stocking/fsm-images/Rainbow%20Lake%20Pond/Rainbow%20Lake%20fish%20stocking.jpg</x:v>
      </x:c>
    </x:row>
    <x:row r="535" ht="48" customHeight="1">
      <x:c r="A535" s="8" t="str">
        <x:v>Rainbow Lake Pond</x:v>
      </x:c>
      <x:c r="B535" s="8" t="str">
        <x:v>6705</x:v>
      </x:c>
      <x:c r="C535" s="11" t="str">
        <x:v>Rainbow Lake Midday sun</x:v>
      </x:c>
      <x:c r="D535" s="15" t="str">
        <x:f>IFERROR(HYPERLINK("https://mywildalberta.ca/fishing/fish-stocking/fsm-images/Rainbow%20Lake%20Pond/Rainbow%20Lake%20Midday%20sun.jpg","https://mywildalberta.ca/fishing/fish-stocking/fsm-images/Rainbow%20Lake%20Pond/Rainbow%20Lake%20Midday%20sun.jpg"),"https://mywildalberta.ca/fishing/fish-stocking/fsm-images/Rainbow%20Lake%20Pond/Rainbow%20Lake%20Midday%20sun.jpg")</x:f>
        <x:v>https://mywildalberta.ca/fishing/fish-stocking/fsm-images/Rainbow%20Lake%20Pond/Rainbow%20Lake%20Midday%20sun.jpg</x:v>
      </x:c>
    </x:row>
    <x:row r="536" ht="48" customHeight="1">
      <x:c r="A536" s="8" t="str">
        <x:v>Rainbow Lake Pond</x:v>
      </x:c>
      <x:c r="B536" s="8" t="str">
        <x:v>6705</x:v>
      </x:c>
      <x:c r="C536" s="11" t="str">
        <x:v>Rainbow Lake Playground</x:v>
      </x:c>
      <x:c r="D536" s="15" t="str">
        <x:f>IFERROR(HYPERLINK("https://mywildalberta.ca/fishing/fish-stocking/fsm-images/Rainbow%20Lake%20Pond/Rainbow%20Lake%20Playground.jpg","https://mywildalberta.ca/fishing/fish-stocking/fsm-images/Rainbow%20Lake%20Pond/Rainbow%20Lake%20Playground.jpg"),"https://mywildalberta.ca/fishing/fish-stocking/fsm-images/Rainbow%20Lake%20Pond/Rainbow%20Lake%20Playground.jpg")</x:f>
        <x:v>https://mywildalberta.ca/fishing/fish-stocking/fsm-images/Rainbow%20Lake%20Pond/Rainbow%20Lake%20Playground.jpg</x:v>
      </x:c>
    </x:row>
    <x:row r="537" ht="48" customHeight="1">
      <x:c r="A537" s="8" t="str">
        <x:v>Rainbow Lake Pond</x:v>
      </x:c>
      <x:c r="B537" s="8" t="str">
        <x:v>6705</x:v>
      </x:c>
      <x:c r="C537" s="11" t="str">
        <x:v>Rainbow lake stocking in the sunset</x:v>
      </x:c>
      <x:c r="D537" s="15" t="str">
        <x:f>IFERROR(HYPERLINK("https://mywildalberta.ca/fishing/fish-stocking/fsm-images/Rainbow%20Lake%20Pond/Rainbow%20lake%20stocking%20in%20the%20sunset.jpg","https://mywildalberta.ca/fishing/fish-stocking/fsm-images/Rainbow%20Lake%20Pond/Rainbow%20lake%20stocking%20in%20the%20sunset.jpg"),"https://mywildalberta.ca/fishing/fish-stocking/fsm-images/Rainbow%20Lake%20Pond/Rainbow%20lake%20stocking%20in%20the%20sunset.jpg")</x:f>
        <x:v>https://mywildalberta.ca/fishing/fish-stocking/fsm-images/Rainbow%20Lake%20Pond/Rainbow%20lake%20stocking%20in%20the%20sunset.jpg</x:v>
      </x:c>
    </x:row>
    <x:row r="538" ht="48" customHeight="1">
      <x:c r="A538" s="8" t="str">
        <x:v>Rainbow Lake Pond</x:v>
      </x:c>
      <x:c r="B538" s="8" t="str">
        <x:v>6705</x:v>
      </x:c>
      <x:c r="C538" s="11" t="str">
        <x:v>Rainbow lake sunset</x:v>
      </x:c>
      <x:c r="D538" s="15" t="str">
        <x:f>IFERROR(HYPERLINK("https://mywildalberta.ca/fishing/fish-stocking/fsm-images/Rainbow%20Lake%20Pond/Rainbow%20lake%20sunset.jpg","https://mywildalberta.ca/fishing/fish-stocking/fsm-images/Rainbow%20Lake%20Pond/Rainbow%20lake%20sunset.jpg"),"https://mywildalberta.ca/fishing/fish-stocking/fsm-images/Rainbow%20Lake%20Pond/Rainbow%20lake%20sunset.jpg")</x:f>
        <x:v>https://mywildalberta.ca/fishing/fish-stocking/fsm-images/Rainbow%20Lake%20Pond/Rainbow%20lake%20sunset.jpg</x:v>
      </x:c>
    </x:row>
    <x:row r="539" ht="48" customHeight="1">
      <x:c r="A539" s="8" t="str">
        <x:v>Rat Lake</x:v>
      </x:c>
      <x:c r="B539" s="8" t="str">
        <x:v>6702</x:v>
      </x:c>
      <x:c r="C539" s="11" t="str">
        <x:v>Rat Lake dock looking onto the water</x:v>
      </x:c>
      <x:c r="D539" s="15" t="str">
        <x:f>IFERROR(HYPERLINK("https://mywildalberta.ca/fishing/fish-stocking/fsm-images/Rat%20Lake/Rat%20Lake%20dock%20looking%20onto%20the%20water.jpg","https://mywildalberta.ca/fishing/fish-stocking/fsm-images/Rat%20Lake/Rat%20Lake%20dock%20looking%20onto%20the%20water.jpg"),"https://mywildalberta.ca/fishing/fish-stocking/fsm-images/Rat%20Lake/Rat%20Lake%20dock%20looking%20onto%20the%20water.jpg")</x:f>
        <x:v>https://mywildalberta.ca/fishing/fish-stocking/fsm-images/Rat%20Lake/Rat%20Lake%20dock%20looking%20onto%20the%20water.jpg</x:v>
      </x:c>
    </x:row>
    <x:row r="540" ht="48" customHeight="1">
      <x:c r="A540" s="8" t="str">
        <x:v>Reesor Lake</x:v>
      </x:c>
      <x:c r="B540" s="8" t="str">
        <x:v>5661</x:v>
      </x:c>
      <x:c r="C540" s="11" t="str">
        <x:v>Reesor Lake boat launch area</x:v>
      </x:c>
      <x:c r="D540" s="15" t="str">
        <x:f>IFERROR(HYPERLINK("https://mywildalberta.ca/fishing/fish-stocking/fsm-images/Reesor%20Lake/Reesor%20Lake%20boat%20launch%20area.JPG","https://mywildalberta.ca/fishing/fish-stocking/fsm-images/Reesor%20Lake/Reesor%20Lake%20boat%20launch%20area.JPG"),"https://mywildalberta.ca/fishing/fish-stocking/fsm-images/Reesor%20Lake/Reesor%20Lake%20boat%20launch%20area.JPG")</x:f>
        <x:v>https://mywildalberta.ca/fishing/fish-stocking/fsm-images/Reesor%20Lake/Reesor%20Lake%20boat%20launch%20area.JPG</x:v>
      </x:c>
    </x:row>
    <x:row r="541" ht="48" customHeight="1">
      <x:c r="A541" s="8" t="str">
        <x:v>Reesor Lake</x:v>
      </x:c>
      <x:c r="B541" s="8" t="str">
        <x:v>5661</x:v>
      </x:c>
      <x:c r="C541" s="11" t="str">
        <x:v>Reesor Lake fishing dock and peer</x:v>
      </x:c>
      <x:c r="D541" s="15" t="str">
        <x:f>IFERROR(HYPERLINK("https://mywildalberta.ca/fishing/fish-stocking/fsm-images/Reesor%20Lake/Reesor%20Lake%20fishing%20dock%20and%20peer.jpg","https://mywildalberta.ca/fishing/fish-stocking/fsm-images/Reesor%20Lake/Reesor%20Lake%20fishing%20dock%20and%20peer.jpg"),"https://mywildalberta.ca/fishing/fish-stocking/fsm-images/Reesor%20Lake/Reesor%20Lake%20fishing%20dock%20and%20peer.jpg")</x:f>
        <x:v>https://mywildalberta.ca/fishing/fish-stocking/fsm-images/Reesor%20Lake/Reesor%20Lake%20fishing%20dock%20and%20peer.jpg</x:v>
      </x:c>
    </x:row>
    <x:row r="542" ht="48" customHeight="1">
      <x:c r="A542" s="8" t="str">
        <x:v>Reesor Lake</x:v>
      </x:c>
      <x:c r="B542" s="8" t="str">
        <x:v>5661</x:v>
      </x:c>
      <x:c r="C542" s="11" t="str">
        <x:v>Reesor Lake long view of the lake</x:v>
      </x:c>
      <x:c r="D542" s="15" t="str">
        <x:f>IFERROR(HYPERLINK("https://mywildalberta.ca/fishing/fish-stocking/fsm-images/Reesor%20Lake/Reesor%20Lake%20long%20view%20of%20the%20lake.heic","https://mywildalberta.ca/fishing/fish-stocking/fsm-images/Reesor%20Lake/Reesor%20Lake%20long%20view%20of%20the%20lake.heic"),"https://mywildalberta.ca/fishing/fish-stocking/fsm-images/Reesor%20Lake/Reesor%20Lake%20long%20view%20of%20the%20lake.heic")</x:f>
        <x:v>https://mywildalberta.ca/fishing/fish-stocking/fsm-images/Reesor%20Lake/Reesor%20Lake%20long%20view%20of%20the%20lake.heic</x:v>
      </x:c>
    </x:row>
    <x:row r="543" ht="48" customHeight="1">
      <x:c r="A543" s="8" t="str">
        <x:v>Reesor Lake</x:v>
      </x:c>
      <x:c r="B543" s="8" t="str">
        <x:v>5661</x:v>
      </x:c>
      <x:c r="C543" s="11" t="str">
        <x:v>Reesor Lake look out and access road</x:v>
      </x:c>
      <x:c r="D543" s="15" t="str">
        <x:f>IFERROR(HYPERLINK("https://mywildalberta.ca/fishing/fish-stocking/fsm-images/Reesor%20Lake/Reesor%20Lake%20look%20out%20and%20access%20road.jpg","https://mywildalberta.ca/fishing/fish-stocking/fsm-images/Reesor%20Lake/Reesor%20Lake%20look%20out%20and%20access%20road.jpg"),"https://mywildalberta.ca/fishing/fish-stocking/fsm-images/Reesor%20Lake/Reesor%20Lake%20look%20out%20and%20access%20road.jpg")</x:f>
        <x:v>https://mywildalberta.ca/fishing/fish-stocking/fsm-images/Reesor%20Lake/Reesor%20Lake%20look%20out%20and%20access%20road.jpg</x:v>
      </x:c>
    </x:row>
    <x:row r="544" ht="48" customHeight="1">
      <x:c r="A544" s="8" t="str">
        <x:v>Reesor Lake</x:v>
      </x:c>
      <x:c r="B544" s="8" t="str">
        <x:v>5661</x:v>
      </x:c>
      <x:c r="C544" s="11" t="str">
        <x:v>Ressor Lake board walk and picnic area</x:v>
      </x:c>
      <x:c r="D544" s="15" t="str">
        <x:f>IFERROR(HYPERLINK("https://mywildalberta.ca/fishing/fish-stocking/fsm-images/Reesor%20Lake/Ressor%20Lake%20board%20walk%20and%20picnic%20area.jpg","https://mywildalberta.ca/fishing/fish-stocking/fsm-images/Reesor%20Lake/Ressor%20Lake%20board%20walk%20and%20picnic%20area.jpg"),"https://mywildalberta.ca/fishing/fish-stocking/fsm-images/Reesor%20Lake/Ressor%20Lake%20board%20walk%20and%20picnic%20area.jpg")</x:f>
        <x:v>https://mywildalberta.ca/fishing/fish-stocking/fsm-images/Reesor%20Lake/Ressor%20Lake%20board%20walk%20and%20picnic%20area.jpg</x:v>
      </x:c>
    </x:row>
    <x:row r="545" ht="48" customHeight="1">
      <x:c r="A545" s="8" t="str">
        <x:v>Ribbon Lake</x:v>
      </x:c>
      <x:c r="B545" s="8" t="str">
        <x:v>5667</x:v>
      </x:c>
      <x:c r="C545" s="11" t="str">
        <x:v>Ribbon Lake</x:v>
      </x:c>
      <x:c r="D545" s="15" t="str">
        <x:f>IFERROR(HYPERLINK("https://mywildalberta.ca/fishing/fish-stocking/fsm-images/Ribbon%20Lake/Ribbon%20Lake.jpg","https://mywildalberta.ca/fishing/fish-stocking/fsm-images/Ribbon%20Lake/Ribbon%20Lake.jpg"),"https://mywildalberta.ca/fishing/fish-stocking/fsm-images/Ribbon%20Lake/Ribbon%20Lake.jpg")</x:f>
        <x:v>https://mywildalberta.ca/fishing/fish-stocking/fsm-images/Ribbon%20Lake/Ribbon%20Lake.jpg</x:v>
      </x:c>
    </x:row>
    <x:row r="546" ht="48" customHeight="1">
      <x:c r="A546" s="8" t="str">
        <x:v>Riverstone Pond</x:v>
      </x:c>
      <x:c r="B546" s="8" t="str">
        <x:v>22504</x:v>
      </x:c>
      <x:c r="C546" s="11" t="str">
        <x:v>Boat Launch Riverstone differet angle looking onto the fish dock</x:v>
      </x:c>
      <x:c r="D546" s="15" t="str">
        <x:f>IFERROR(HYPERLINK("https://mywildalberta.ca/fishing/fish-stocking/fsm-images/Riverstone%20Pond/Boat%20Launch%20Riverstone%20differet%20angle%20looking%20onto%20the%20fish%20dock.jpg","https://mywildalberta.ca/fishing/fish-stocking/fsm-images/Riverstone%20Pond/Boat%20Launch%20Riverstone%20differet%20angle%20looking%20onto%20the%20fish%20dock.jpg"),"https://mywildalberta.ca/fishing/fish-stocking/fsm-images/Riverstone%20Pond/Boat%20Launch%20Riverstone%20differet%20angle%20looking%20onto%20the%20fish%20dock.jpg")</x:f>
        <x:v>https://mywildalberta.ca/fishing/fish-stocking/fsm-images/Riverstone%20Pond/Boat%20Launch%20Riverstone%20differet%20angle%20looking%20onto%20the%20fish%20dock.jpg</x:v>
      </x:c>
    </x:row>
    <x:row r="547" ht="48" customHeight="1">
      <x:c r="A547" s="8" t="str">
        <x:v>Riverstone Pond</x:v>
      </x:c>
      <x:c r="B547" s="8" t="str">
        <x:v>22504</x:v>
      </x:c>
      <x:c r="C547" s="11" t="str">
        <x:v>Boat Launch Riverstone stocking truck with the fishing peer and dock</x:v>
      </x:c>
      <x:c r="D547" s="15" t="str">
        <x:f>IFERROR(HYPERLINK("https://mywildalberta.ca/fishing/fish-stocking/fsm-images/Riverstone%20Pond/Boat%20Launch%20Riverstone%20stocking%20truck%20with%20the%20fishing%20peer%20and%20dock.jpg","https://mywildalberta.ca/fishing/fish-stocking/fsm-images/Riverstone%20Pond/Boat%20Launch%20Riverstone%20stocking%20truck%20with%20the%20fishing%20peer%20and%20dock.jpg"),"https://mywildalberta.ca/fishing/fish-stocking/fsm-images/Riverstone%20Pond/Boat%20Launch%20Riverstone%20stocking%20truck%20with%20the%20fishing%20peer%20and%20dock.jpg")</x:f>
        <x:v>https://mywildalberta.ca/fishing/fish-stocking/fsm-images/Riverstone%20Pond/Boat%20Launch%20Riverstone%20stocking%20truck%20with%20the%20fishing%20peer%20and%20dock.jpg</x:v>
      </x:c>
    </x:row>
    <x:row r="548" ht="48" customHeight="1">
      <x:c r="A548" s="8" t="str">
        <x:v>Riverstone Pond</x:v>
      </x:c>
      <x:c r="B548" s="8" t="str">
        <x:v>22504</x:v>
      </x:c>
      <x:c r="C548" s="11" t="str">
        <x:v>Riverstone Pond (3)</x:v>
      </x:c>
      <x:c r="D548" s="15" t="str">
        <x:f>IFERROR(HYPERLINK("https://mywildalberta.ca/fishing/fish-stocking/fsm-images/Riverstone%20Pond/Riverstone%20Pond%20(3).jpg","https://mywildalberta.ca/fishing/fish-stocking/fsm-images/Riverstone%20Pond/Riverstone%20Pond%20(3).jpg"),"https://mywildalberta.ca/fishing/fish-stocking/fsm-images/Riverstone%20Pond/Riverstone%20Pond%20(3).jpg")</x:f>
        <x:v>https://mywildalberta.ca/fishing/fish-stocking/fsm-images/Riverstone%20Pond/Riverstone%20Pond%20(3).jpg</x:v>
      </x:c>
    </x:row>
    <x:row r="549" ht="48" customHeight="1">
      <x:c r="A549" s="8" t="str">
        <x:v>Riverstone Pond</x:v>
      </x:c>
      <x:c r="B549" s="8" t="str">
        <x:v>22504</x:v>
      </x:c>
      <x:c r="C549" s="11" t="str">
        <x:v>Riverstone Pond fishing doc and peer</x:v>
      </x:c>
      <x:c r="D549" s="15" t="str">
        <x:f>IFERROR(HYPERLINK("https://mywildalberta.ca/fishing/fish-stocking/fsm-images/Riverstone%20Pond/Riverstone%20Pond%20fishing%20doc%20and%20peer.JPG","https://mywildalberta.ca/fishing/fish-stocking/fsm-images/Riverstone%20Pond/Riverstone%20Pond%20fishing%20doc%20and%20peer.JPG"),"https://mywildalberta.ca/fishing/fish-stocking/fsm-images/Riverstone%20Pond/Riverstone%20Pond%20fishing%20doc%20and%20peer.JPG")</x:f>
        <x:v>https://mywildalberta.ca/fishing/fish-stocking/fsm-images/Riverstone%20Pond/Riverstone%20Pond%20fishing%20doc%20and%20peer.JPG</x:v>
      </x:c>
    </x:row>
    <x:row r="550" ht="48" customHeight="1">
      <x:c r="A550" s="8" t="str">
        <x:v>Riverstone Pond</x:v>
      </x:c>
      <x:c r="B550" s="8" t="str">
        <x:v>22504</x:v>
      </x:c>
      <x:c r="C550" s="11" t="str">
        <x:v>Riverstone Pond from the shore</x:v>
      </x:c>
      <x:c r="D550" s="15" t="str">
        <x:f>IFERROR(HYPERLINK("https://mywildalberta.ca/fishing/fish-stocking/fsm-images/Riverstone%20Pond/Riverstone%20Pond%20from%20the%20shore.jpg","https://mywildalberta.ca/fishing/fish-stocking/fsm-images/Riverstone%20Pond/Riverstone%20Pond%20from%20the%20shore.jpg"),"https://mywildalberta.ca/fishing/fish-stocking/fsm-images/Riverstone%20Pond/Riverstone%20Pond%20from%20the%20shore.jpg")</x:f>
        <x:v>https://mywildalberta.ca/fishing/fish-stocking/fsm-images/Riverstone%20Pond/Riverstone%20Pond%20from%20the%20shore.jpg</x:v>
      </x:c>
    </x:row>
    <x:row r="551" ht="48" customHeight="1">
      <x:c r="A551" s="8" t="str">
        <x:v>Rocky Children's Pond</x:v>
      </x:c>
      <x:c r="B551" s="8" t="str">
        <x:v>3485</x:v>
      </x:c>
      <x:c r="C551" s="11" t="str">
        <x:v>Attraction</x:v>
      </x:c>
      <x:c r="D551" s="15" t="str">
        <x:f>IFERROR(HYPERLINK("https://mywildalberta.ca/fishing/fish-stocking/fsm-images/Rocky%20Children's%20Pond/Attraction.jpg","https://mywildalberta.ca/fishing/fish-stocking/fsm-images/Rocky%20Children's%20Pond/Attraction.jpg"),"https://mywildalberta.ca/fishing/fish-stocking/fsm-images/Rocky%20Children's%20Pond/Attraction.jpg")</x:f>
        <x:v>https://mywildalberta.ca/fishing/fish-stocking/fsm-images/Rocky%20Children's%20Pond/Attraction.jpg</x:v>
      </x:c>
    </x:row>
    <x:row r="552" ht="48" customHeight="1">
      <x:c r="A552" s="8" t="str">
        <x:v>Rocky Children's Pond</x:v>
      </x:c>
      <x:c r="B552" s="8" t="str">
        <x:v>3485</x:v>
      </x:c>
      <x:c r="C552" s="11" t="str">
        <x:v>Day Use Area</x:v>
      </x:c>
      <x:c r="D552" s="15" t="str">
        <x:f>IFERROR(HYPERLINK("https://mywildalberta.ca/fishing/fish-stocking/fsm-images/Rocky%20Children's%20Pond/Day%20Use%20Area.jpg","https://mywildalberta.ca/fishing/fish-stocking/fsm-images/Rocky%20Children's%20Pond/Day%20Use%20Area.jpg"),"https://mywildalberta.ca/fishing/fish-stocking/fsm-images/Rocky%20Children's%20Pond/Day%20Use%20Area.jpg")</x:f>
        <x:v>https://mywildalberta.ca/fishing/fish-stocking/fsm-images/Rocky%20Children's%20Pond/Day%20Use%20Area.jpg</x:v>
      </x:c>
    </x:row>
    <x:row r="553" ht="48" customHeight="1">
      <x:c r="A553" s="8" t="str">
        <x:v>Rocky Children's Pond</x:v>
      </x:c>
      <x:c r="B553" s="8" t="str">
        <x:v>3485</x:v>
      </x:c>
      <x:c r="C553" s="11" t="str">
        <x:v>Dock</x:v>
      </x:c>
      <x:c r="D553" s="15" t="str">
        <x:f>IFERROR(HYPERLINK("https://mywildalberta.ca/fishing/fish-stocking/fsm-images/Rocky%20Children's%20Pond/Dock.jpg","https://mywildalberta.ca/fishing/fish-stocking/fsm-images/Rocky%20Children's%20Pond/Dock.jpg"),"https://mywildalberta.ca/fishing/fish-stocking/fsm-images/Rocky%20Children's%20Pond/Dock.jpg")</x:f>
        <x:v>https://mywildalberta.ca/fishing/fish-stocking/fsm-images/Rocky%20Children's%20Pond/Dock.jpg</x:v>
      </x:c>
    </x:row>
    <x:row r="554" ht="48" customHeight="1">
      <x:c r="A554" s="8" t="str">
        <x:v>Rocky Children's Pond</x:v>
      </x:c>
      <x:c r="B554" s="8" t="str">
        <x:v>3485</x:v>
      </x:c>
      <x:c r="C554" s="11" t="str">
        <x:v>Information Sign</x:v>
      </x:c>
      <x:c r="D554" s="15" t="str">
        <x:f>IFERROR(HYPERLINK("https://mywildalberta.ca/fishing/fish-stocking/fsm-images/Rocky%20Children's%20Pond/Information%20Sign.jpg","https://mywildalberta.ca/fishing/fish-stocking/fsm-images/Rocky%20Children's%20Pond/Information%20Sign.jpg"),"https://mywildalberta.ca/fishing/fish-stocking/fsm-images/Rocky%20Children's%20Pond/Information%20Sign.jpg")</x:f>
        <x:v>https://mywildalberta.ca/fishing/fish-stocking/fsm-images/Rocky%20Children's%20Pond/Information%20Sign.jpg</x:v>
      </x:c>
    </x:row>
    <x:row r="555" ht="48" customHeight="1">
      <x:c r="A555" s="8" t="str">
        <x:v>Rocky Children's Pond</x:v>
      </x:c>
      <x:c r="B555" s="8" t="str">
        <x:v>3485</x:v>
      </x:c>
      <x:c r="C555" s="11" t="str">
        <x:v>Rocky Children's Pond (1)</x:v>
      </x:c>
      <x:c r="D555" s="15" t="str">
        <x:f>IFERROR(HYPERLINK("https://mywildalberta.ca/fishing/fish-stocking/fsm-images/Rocky%20Children's%20Pond/Rocky%20Children's%20Pond%20(1).JPG","https://mywildalberta.ca/fishing/fish-stocking/fsm-images/Rocky%20Children's%20Pond/Rocky%20Children's%20Pond%20(1).JPG"),"https://mywildalberta.ca/fishing/fish-stocking/fsm-images/Rocky%20Children's%20Pond/Rocky%20Children's%20Pond%20(1).JPG")</x:f>
        <x:v>https://mywildalberta.ca/fishing/fish-stocking/fsm-images/Rocky%20Children's%20Pond/Rocky%20Children's%20Pond%20(1).JPG</x:v>
      </x:c>
    </x:row>
    <x:row r="556" ht="48" customHeight="1">
      <x:c r="A556" s="8" t="str">
        <x:v>Rocky Children's Pond</x:v>
      </x:c>
      <x:c r="B556" s="8" t="str">
        <x:v>3485</x:v>
      </x:c>
      <x:c r="C556" s="11" t="str">
        <x:v>Rocky Children's Pond (2)</x:v>
      </x:c>
      <x:c r="D556" s="15" t="str">
        <x:f>IFERROR(HYPERLINK("https://mywildalberta.ca/fishing/fish-stocking/fsm-images/Rocky%20Children's%20Pond/Rocky%20Children's%20Pond%20(2).JPG","https://mywildalberta.ca/fishing/fish-stocking/fsm-images/Rocky%20Children's%20Pond/Rocky%20Children's%20Pond%20(2).JPG"),"https://mywildalberta.ca/fishing/fish-stocking/fsm-images/Rocky%20Children's%20Pond/Rocky%20Children's%20Pond%20(2).JPG")</x:f>
        <x:v>https://mywildalberta.ca/fishing/fish-stocking/fsm-images/Rocky%20Children's%20Pond/Rocky%20Children's%20Pond%20(2).JPG</x:v>
      </x:c>
    </x:row>
    <x:row r="557" ht="48" customHeight="1">
      <x:c r="A557" s="8" t="str">
        <x:v>Rocky Children's Pond</x:v>
      </x:c>
      <x:c r="B557" s="8" t="str">
        <x:v>3485</x:v>
      </x:c>
      <x:c r="C557" s="11" t="str">
        <x:v>Rocky Children's Pond (3)</x:v>
      </x:c>
      <x:c r="D557" s="15" t="str">
        <x:f>IFERROR(HYPERLINK("https://mywildalberta.ca/fishing/fish-stocking/fsm-images/Rocky%20Children's%20Pond/Rocky%20Children's%20Pond%20(3).JPG","https://mywildalberta.ca/fishing/fish-stocking/fsm-images/Rocky%20Children's%20Pond/Rocky%20Children's%20Pond%20(3).JPG"),"https://mywildalberta.ca/fishing/fish-stocking/fsm-images/Rocky%20Children's%20Pond/Rocky%20Children's%20Pond%20(3).JPG")</x:f>
        <x:v>https://mywildalberta.ca/fishing/fish-stocking/fsm-images/Rocky%20Children's%20Pond/Rocky%20Children's%20Pond%20(3).JPG</x:v>
      </x:c>
    </x:row>
    <x:row r="558" ht="48" customHeight="1">
      <x:c r="A558" s="8" t="str">
        <x:v>Rocky Children's Pond</x:v>
      </x:c>
      <x:c r="B558" s="8" t="str">
        <x:v>3485</x:v>
      </x:c>
      <x:c r="C558" s="11" t="str">
        <x:v>Rocky Children's Pond (4)</x:v>
      </x:c>
      <x:c r="D558" s="15" t="str">
        <x:f>IFERROR(HYPERLINK("https://mywildalberta.ca/fishing/fish-stocking/fsm-images/Rocky%20Children's%20Pond/Rocky%20Children's%20Pond%20(4).JPG","https://mywildalberta.ca/fishing/fish-stocking/fsm-images/Rocky%20Children's%20Pond/Rocky%20Children's%20Pond%20(4).JPG"),"https://mywildalberta.ca/fishing/fish-stocking/fsm-images/Rocky%20Children's%20Pond/Rocky%20Children's%20Pond%20(4).JPG")</x:f>
        <x:v>https://mywildalberta.ca/fishing/fish-stocking/fsm-images/Rocky%20Children's%20Pond/Rocky%20Children's%20Pond%20(4).JPG</x:v>
      </x:c>
    </x:row>
    <x:row r="559" ht="48" customHeight="1">
      <x:c r="A559" s="8" t="str">
        <x:v>Rocky Children's Pond</x:v>
      </x:c>
      <x:c r="B559" s="8" t="str">
        <x:v>3485</x:v>
      </x:c>
      <x:c r="C559" s="11" t="str">
        <x:v>Submerged Dock</x:v>
      </x:c>
      <x:c r="D559" s="15" t="str">
        <x:f>IFERROR(HYPERLINK("https://mywildalberta.ca/fishing/fish-stocking/fsm-images/Rocky%20Children's%20Pond/Submerged%20Dock.jpg","https://mywildalberta.ca/fishing/fish-stocking/fsm-images/Rocky%20Children's%20Pond/Submerged%20Dock.jpg"),"https://mywildalberta.ca/fishing/fish-stocking/fsm-images/Rocky%20Children's%20Pond/Submerged%20Dock.jpg")</x:f>
        <x:v>https://mywildalberta.ca/fishing/fish-stocking/fsm-images/Rocky%20Children's%20Pond/Submerged%20Dock.jpg</x:v>
      </x:c>
    </x:row>
    <x:row r="560" ht="48" customHeight="1">
      <x:c r="A560" s="8" t="str">
        <x:v>Rocky Children's Pond</x:v>
      </x:c>
      <x:c r="B560" s="8" t="str">
        <x:v>3485</x:v>
      </x:c>
      <x:c r="C560" s="11" t="str">
        <x:v>View from Bridge (2)</x:v>
      </x:c>
      <x:c r="D560" s="15" t="str">
        <x:f>IFERROR(HYPERLINK("https://mywildalberta.ca/fishing/fish-stocking/fsm-images/Rocky%20Children's%20Pond/View%20from%20Bridge%20(2).jpg","https://mywildalberta.ca/fishing/fish-stocking/fsm-images/Rocky%20Children's%20Pond/View%20from%20Bridge%20(2).jpg"),"https://mywildalberta.ca/fishing/fish-stocking/fsm-images/Rocky%20Children's%20Pond/View%20from%20Bridge%20(2).jpg")</x:f>
        <x:v>https://mywildalberta.ca/fishing/fish-stocking/fsm-images/Rocky%20Children's%20Pond/View%20from%20Bridge%20(2).jpg</x:v>
      </x:c>
    </x:row>
    <x:row r="561" ht="48" customHeight="1">
      <x:c r="A561" s="8" t="str">
        <x:v>Rocky Children's Pond</x:v>
      </x:c>
      <x:c r="B561" s="8" t="str">
        <x:v>3485</x:v>
      </x:c>
      <x:c r="C561" s="11" t="str">
        <x:v>View from Bridge (3)</x:v>
      </x:c>
      <x:c r="D561" s="15" t="str">
        <x:f>IFERROR(HYPERLINK("https://mywildalberta.ca/fishing/fish-stocking/fsm-images/Rocky%20Children's%20Pond/View%20from%20Bridge%20(3).jpg","https://mywildalberta.ca/fishing/fish-stocking/fsm-images/Rocky%20Children's%20Pond/View%20from%20Bridge%20(3).jpg"),"https://mywildalberta.ca/fishing/fish-stocking/fsm-images/Rocky%20Children's%20Pond/View%20from%20Bridge%20(3).jpg")</x:f>
        <x:v>https://mywildalberta.ca/fishing/fish-stocking/fsm-images/Rocky%20Children's%20Pond/View%20from%20Bridge%20(3).jpg</x:v>
      </x:c>
    </x:row>
    <x:row r="562" ht="48" customHeight="1">
      <x:c r="A562" s="8" t="str">
        <x:v>Rocky Children's Pond</x:v>
      </x:c>
      <x:c r="B562" s="8" t="str">
        <x:v>3485</x:v>
      </x:c>
      <x:c r="C562" s="11" t="str">
        <x:v>View from Bridge (4)</x:v>
      </x:c>
      <x:c r="D562" s="15" t="str">
        <x:f>IFERROR(HYPERLINK("https://mywildalberta.ca/fishing/fish-stocking/fsm-images/Rocky%20Children's%20Pond/View%20from%20Bridge%20(4).jpg","https://mywildalberta.ca/fishing/fish-stocking/fsm-images/Rocky%20Children's%20Pond/View%20from%20Bridge%20(4).jpg"),"https://mywildalberta.ca/fishing/fish-stocking/fsm-images/Rocky%20Children's%20Pond/View%20from%20Bridge%20(4).jpg")</x:f>
        <x:v>https://mywildalberta.ca/fishing/fish-stocking/fsm-images/Rocky%20Children's%20Pond/View%20from%20Bridge%20(4).jpg</x:v>
      </x:c>
    </x:row>
    <x:row r="563" ht="48" customHeight="1">
      <x:c r="A563" s="8" t="str">
        <x:v>Rocky Children's Pond</x:v>
      </x:c>
      <x:c r="B563" s="8" t="str">
        <x:v>3485</x:v>
      </x:c>
      <x:c r="C563" s="11" t="str">
        <x:v>View from Bridge (5)</x:v>
      </x:c>
      <x:c r="D563" s="15" t="str">
        <x:f>IFERROR(HYPERLINK("https://mywildalberta.ca/fishing/fish-stocking/fsm-images/Rocky%20Children's%20Pond/View%20from%20Bridge%20(5).jpg","https://mywildalberta.ca/fishing/fish-stocking/fsm-images/Rocky%20Children's%20Pond/View%20from%20Bridge%20(5).jpg"),"https://mywildalberta.ca/fishing/fish-stocking/fsm-images/Rocky%20Children's%20Pond/View%20from%20Bridge%20(5).jpg")</x:f>
        <x:v>https://mywildalberta.ca/fishing/fish-stocking/fsm-images/Rocky%20Children's%20Pond/View%20from%20Bridge%20(5).jpg</x:v>
      </x:c>
    </x:row>
    <x:row r="564" ht="48" customHeight="1">
      <x:c r="A564" s="8" t="str">
        <x:v>Rocky Children's Pond</x:v>
      </x:c>
      <x:c r="B564" s="8" t="str">
        <x:v>3485</x:v>
      </x:c>
      <x:c r="C564" s="11" t="str">
        <x:v>View from Bridge</x:v>
      </x:c>
      <x:c r="D564" s="15" t="str">
        <x:f>IFERROR(HYPERLINK("https://mywildalberta.ca/fishing/fish-stocking/fsm-images/Rocky%20Children's%20Pond/View%20from%20Bridge.jpg","https://mywildalberta.ca/fishing/fish-stocking/fsm-images/Rocky%20Children's%20Pond/View%20from%20Bridge.jpg"),"https://mywildalberta.ca/fishing/fish-stocking/fsm-images/Rocky%20Children's%20Pond/View%20from%20Bridge.jpg")</x:f>
        <x:v>https://mywildalberta.ca/fishing/fish-stocking/fsm-images/Rocky%20Children's%20Pond/View%20from%20Bridge.jpg</x:v>
      </x:c>
    </x:row>
    <x:row r="565" ht="48" customHeight="1">
      <x:c r="A565" s="8" t="str">
        <x:v>Rocky Children's Pond</x:v>
      </x:c>
      <x:c r="B565" s="8" t="str">
        <x:v>3485</x:v>
      </x:c>
      <x:c r="C565" s="11" t="str">
        <x:v>View from far side of Pond</x:v>
      </x:c>
      <x:c r="D565" s="15" t="str">
        <x:f>IFERROR(HYPERLINK("https://mywildalberta.ca/fishing/fish-stocking/fsm-images/Rocky%20Children's%20Pond/View%20from%20far%20side%20of%20Pond.jpg","https://mywildalberta.ca/fishing/fish-stocking/fsm-images/Rocky%20Children's%20Pond/View%20from%20far%20side%20of%20Pond.jpg"),"https://mywildalberta.ca/fishing/fish-stocking/fsm-images/Rocky%20Children's%20Pond/View%20from%20far%20side%20of%20Pond.jpg")</x:f>
        <x:v>https://mywildalberta.ca/fishing/fish-stocking/fsm-images/Rocky%20Children's%20Pond/View%20from%20far%20side%20of%20Pond.jpg</x:v>
      </x:c>
    </x:row>
    <x:row r="566" ht="48" customHeight="1">
      <x:c r="A566" s="8" t="str">
        <x:v>Rocky Children's Pond</x:v>
      </x:c>
      <x:c r="B566" s="8" t="str">
        <x:v>3485</x:v>
      </x:c>
      <x:c r="C566" s="11" t="str">
        <x:v>View from Shore</x:v>
      </x:c>
      <x:c r="D566" s="15" t="str">
        <x:f>IFERROR(HYPERLINK("https://mywildalberta.ca/fishing/fish-stocking/fsm-images/Rocky%20Children's%20Pond/View%20from%20Shore.jpg","https://mywildalberta.ca/fishing/fish-stocking/fsm-images/Rocky%20Children's%20Pond/View%20from%20Shore.jpg"),"https://mywildalberta.ca/fishing/fish-stocking/fsm-images/Rocky%20Children's%20Pond/View%20from%20Shore.jpg")</x:f>
        <x:v>https://mywildalberta.ca/fishing/fish-stocking/fsm-images/Rocky%20Children's%20Pond/View%20from%20Shore.jpg</x:v>
      </x:c>
    </x:row>
    <x:row r="567" ht="48" customHeight="1">
      <x:c r="A567" s="8" t="str">
        <x:v>Rocky Children's Pond</x:v>
      </x:c>
      <x:c r="B567" s="8" t="str">
        <x:v>3485</x:v>
      </x:c>
      <x:c r="C567" s="11" t="str">
        <x:v>Washroom Facilities</x:v>
      </x:c>
      <x:c r="D567" s="15" t="str">
        <x:f>IFERROR(HYPERLINK("https://mywildalberta.ca/fishing/fish-stocking/fsm-images/Rocky%20Children's%20Pond/Washroom%20Facilities.jpg","https://mywildalberta.ca/fishing/fish-stocking/fsm-images/Rocky%20Children's%20Pond/Washroom%20Facilities.jpg"),"https://mywildalberta.ca/fishing/fish-stocking/fsm-images/Rocky%20Children's%20Pond/Washroom%20Facilities.jpg")</x:f>
        <x:v>https://mywildalberta.ca/fishing/fish-stocking/fsm-images/Rocky%20Children's%20Pond/Washroom%20Facilities.jpg</x:v>
      </x:c>
    </x:row>
    <x:row r="568" ht="48" customHeight="1">
      <x:c r="A568" s="8" t="str">
        <x:v>Running Lake</x:v>
      </x:c>
      <x:c r="B568" s="8" t="str">
        <x:v>5714</x:v>
      </x:c>
      <x:c r="C568" s="11" t="str">
        <x:v>Running Lake dock and fishing peir</x:v>
      </x:c>
      <x:c r="D568" s="15" t="str">
        <x:f>IFERROR(HYPERLINK("https://mywildalberta.ca/fishing/fish-stocking/fsm-images/Running%20Lake/Running%20Lake%20dock%20and%20fishing%20peir.jpg","https://mywildalberta.ca/fishing/fish-stocking/fsm-images/Running%20Lake/Running%20Lake%20dock%20and%20fishing%20peir.jpg"),"https://mywildalberta.ca/fishing/fish-stocking/fsm-images/Running%20Lake/Running%20Lake%20dock%20and%20fishing%20peir.jpg")</x:f>
        <x:v>https://mywildalberta.ca/fishing/fish-stocking/fsm-images/Running%20Lake/Running%20Lake%20dock%20and%20fishing%20peir.jpg</x:v>
      </x:c>
    </x:row>
    <x:row r="569" ht="48" customHeight="1">
      <x:c r="A569" s="8" t="str">
        <x:v>Salter's Lake</x:v>
      </x:c>
      <x:c r="B569" s="8" t="str">
        <x:v>5729</x:v>
      </x:c>
      <x:c r="C569" s="11" t="str">
        <x:v>Salters Lake boat launch and fishing dock</x:v>
      </x:c>
      <x:c r="D569" s="15" t="str">
        <x:f>IFERROR(HYPERLINK("https://mywildalberta.ca/fishing/fish-stocking/fsm-images/Salter's%20Lake/Salters%20Lake%20boat%20launch%20and%20fishing%20dock.JPG","https://mywildalberta.ca/fishing/fish-stocking/fsm-images/Salter's%20Lake/Salters%20Lake%20boat%20launch%20and%20fishing%20dock.JPG"),"https://mywildalberta.ca/fishing/fish-stocking/fsm-images/Salter's%20Lake/Salters%20Lake%20boat%20launch%20and%20fishing%20dock.JPG")</x:f>
        <x:v>https://mywildalberta.ca/fishing/fish-stocking/fsm-images/Salter's%20Lake/Salters%20Lake%20boat%20launch%20and%20fishing%20dock.JPG</x:v>
      </x:c>
    </x:row>
    <x:row r="570" ht="48" customHeight="1">
      <x:c r="A570" s="8" t="str">
        <x:v>Sardine Lake</x:v>
      </x:c>
      <x:c r="B570" s="8" t="str">
        <x:v>6695</x:v>
      </x:c>
      <x:c r="C570" s="11" t="str">
        <x:v>Angler sign</x:v>
      </x:c>
      <x:c r="D570" s="15" t="str">
        <x:f>IFERROR(HYPERLINK("https://mywildalberta.ca/fishing/fish-stocking/fsm-images/Sardine%20Lake/Angler%20sign.jpg","https://mywildalberta.ca/fishing/fish-stocking/fsm-images/Sardine%20Lake/Angler%20sign.jpg"),"https://mywildalberta.ca/fishing/fish-stocking/fsm-images/Sardine%20Lake/Angler%20sign.jpg")</x:f>
        <x:v>https://mywildalberta.ca/fishing/fish-stocking/fsm-images/Sardine%20Lake/Angler%20sign.jpg</x:v>
      </x:c>
    </x:row>
    <x:row r="571" ht="48" customHeight="1">
      <x:c r="A571" s="8" t="str">
        <x:v>Sardine Lake</x:v>
      </x:c>
      <x:c r="B571" s="8" t="str">
        <x:v>6695</x:v>
      </x:c>
      <x:c r="C571" s="11" t="str">
        <x:v>Dock (2)</x:v>
      </x:c>
      <x:c r="D571" s="15" t="str">
        <x:f>IFERROR(HYPERLINK("https://mywildalberta.ca/fishing/fish-stocking/fsm-images/Sardine%20Lake/Dock%20(2).jpg","https://mywildalberta.ca/fishing/fish-stocking/fsm-images/Sardine%20Lake/Dock%20(2).jpg"),"https://mywildalberta.ca/fishing/fish-stocking/fsm-images/Sardine%20Lake/Dock%20(2).jpg")</x:f>
        <x:v>https://mywildalberta.ca/fishing/fish-stocking/fsm-images/Sardine%20Lake/Dock%20(2).jpg</x:v>
      </x:c>
    </x:row>
    <x:row r="572" ht="48" customHeight="1">
      <x:c r="A572" s="8" t="str">
        <x:v>Sardine Lake</x:v>
      </x:c>
      <x:c r="B572" s="8" t="str">
        <x:v>6695</x:v>
      </x:c>
      <x:c r="C572" s="11" t="str">
        <x:v>Dock</x:v>
      </x:c>
      <x:c r="D572" s="15" t="str">
        <x:f>IFERROR(HYPERLINK("https://mywildalberta.ca/fishing/fish-stocking/fsm-images/Sardine%20Lake/Dock.jpg","https://mywildalberta.ca/fishing/fish-stocking/fsm-images/Sardine%20Lake/Dock.jpg"),"https://mywildalberta.ca/fishing/fish-stocking/fsm-images/Sardine%20Lake/Dock.jpg")</x:f>
        <x:v>https://mywildalberta.ca/fishing/fish-stocking/fsm-images/Sardine%20Lake/Dock.jpg</x:v>
      </x:c>
    </x:row>
    <x:row r="573" ht="48" customHeight="1">
      <x:c r="A573" s="8" t="str">
        <x:v>Sardine Lake</x:v>
      </x:c>
      <x:c r="B573" s="8" t="str">
        <x:v>6695</x:v>
      </x:c>
      <x:c r="C573" s="11" t="str">
        <x:v>Lake and dock</x:v>
      </x:c>
      <x:c r="D573" s="15" t="str">
        <x:f>IFERROR(HYPERLINK("https://mywildalberta.ca/fishing/fish-stocking/fsm-images/Sardine%20Lake/Lake%20and%20dock.jpg","https://mywildalberta.ca/fishing/fish-stocking/fsm-images/Sardine%20Lake/Lake%20and%20dock.jpg"),"https://mywildalberta.ca/fishing/fish-stocking/fsm-images/Sardine%20Lake/Lake%20and%20dock.jpg")</x:f>
        <x:v>https://mywildalberta.ca/fishing/fish-stocking/fsm-images/Sardine%20Lake/Lake%20and%20dock.jpg</x:v>
      </x:c>
    </x:row>
    <x:row r="574" ht="48" customHeight="1">
      <x:c r="A574" s="8" t="str">
        <x:v>Sardine Lake</x:v>
      </x:c>
      <x:c r="B574" s="8" t="str">
        <x:v>6695</x:v>
      </x:c>
      <x:c r="C574" s="11" t="str">
        <x:v>Lake view from shore 92)</x:v>
      </x:c>
      <x:c r="D574" s="15" t="str">
        <x:f>IFERROR(HYPERLINK("https://mywildalberta.ca/fishing/fish-stocking/fsm-images/Sardine%20Lake/Lake%20view%20from%20shore%2092).jpg","https://mywildalberta.ca/fishing/fish-stocking/fsm-images/Sardine%20Lake/Lake%20view%20from%20shore%2092).jpg"),"https://mywildalberta.ca/fishing/fish-stocking/fsm-images/Sardine%20Lake/Lake%20view%20from%20shore%2092).jpg")</x:f>
        <x:v>https://mywildalberta.ca/fishing/fish-stocking/fsm-images/Sardine%20Lake/Lake%20view%20from%20shore%2092).jpg</x:v>
      </x:c>
    </x:row>
    <x:row r="575" ht="48" customHeight="1">
      <x:c r="A575" s="8" t="str">
        <x:v>Sardine Lake</x:v>
      </x:c>
      <x:c r="B575" s="8" t="str">
        <x:v>6695</x:v>
      </x:c>
      <x:c r="C575" s="11" t="str">
        <x:v>lake View from Shore</x:v>
      </x:c>
      <x:c r="D575" s="15" t="str">
        <x:f>IFERROR(HYPERLINK("https://mywildalberta.ca/fishing/fish-stocking/fsm-images/Sardine%20Lake/lake%20View%20from%20Shore.jpg","https://mywildalberta.ca/fishing/fish-stocking/fsm-images/Sardine%20Lake/lake%20View%20from%20Shore.jpg"),"https://mywildalberta.ca/fishing/fish-stocking/fsm-images/Sardine%20Lake/lake%20View%20from%20Shore.jpg")</x:f>
        <x:v>https://mywildalberta.ca/fishing/fish-stocking/fsm-images/Sardine%20Lake/lake%20View%20from%20Shore.jpg</x:v>
      </x:c>
    </x:row>
    <x:row r="576" ht="48" customHeight="1">
      <x:c r="A576" s="8" t="str">
        <x:v>Sardine Lake</x:v>
      </x:c>
      <x:c r="B576" s="8" t="str">
        <x:v>6695</x:v>
      </x:c>
      <x:c r="C576" s="11" t="str">
        <x:v>lake View open Water</x:v>
      </x:c>
      <x:c r="D576" s="15" t="str">
        <x:f>IFERROR(HYPERLINK("https://mywildalberta.ca/fishing/fish-stocking/fsm-images/Sardine%20Lake/lake%20View%20open%20Water.jpg","https://mywildalberta.ca/fishing/fish-stocking/fsm-images/Sardine%20Lake/lake%20View%20open%20Water.jpg"),"https://mywildalberta.ca/fishing/fish-stocking/fsm-images/Sardine%20Lake/lake%20View%20open%20Water.jpg")</x:f>
        <x:v>https://mywildalberta.ca/fishing/fish-stocking/fsm-images/Sardine%20Lake/lake%20View%20open%20Water.jpg</x:v>
      </x:c>
    </x:row>
    <x:row r="577" ht="48" customHeight="1">
      <x:c r="A577" s="8" t="str">
        <x:v>Sardine Lake</x:v>
      </x:c>
      <x:c r="B577" s="8" t="str">
        <x:v>6695</x:v>
      </x:c>
      <x:c r="C577" s="11" t="str">
        <x:v>Lakeview from shore</x:v>
      </x:c>
      <x:c r="D577" s="15" t="str">
        <x:f>IFERROR(HYPERLINK("https://mywildalberta.ca/fishing/fish-stocking/fsm-images/Sardine%20Lake/Lakeview%20from%20shore.jpg","https://mywildalberta.ca/fishing/fish-stocking/fsm-images/Sardine%20Lake/Lakeview%20from%20shore.jpg"),"https://mywildalberta.ca/fishing/fish-stocking/fsm-images/Sardine%20Lake/Lakeview%20from%20shore.jpg")</x:f>
        <x:v>https://mywildalberta.ca/fishing/fish-stocking/fsm-images/Sardine%20Lake/Lakeview%20from%20shore.jpg</x:v>
      </x:c>
    </x:row>
    <x:row r="578" ht="48" customHeight="1">
      <x:c r="A578" s="8" t="str">
        <x:v>Sardine Lake</x:v>
      </x:c>
      <x:c r="B578" s="8" t="str">
        <x:v>6695</x:v>
      </x:c>
      <x:c r="C578" s="11" t="str">
        <x:v>park Sign</x:v>
      </x:c>
      <x:c r="D578" s="15" t="str">
        <x:f>IFERROR(HYPERLINK("https://mywildalberta.ca/fishing/fish-stocking/fsm-images/Sardine%20Lake/park%20Sign.jpg","https://mywildalberta.ca/fishing/fish-stocking/fsm-images/Sardine%20Lake/park%20Sign.jpg"),"https://mywildalberta.ca/fishing/fish-stocking/fsm-images/Sardine%20Lake/park%20Sign.jpg")</x:f>
        <x:v>https://mywildalberta.ca/fishing/fish-stocking/fsm-images/Sardine%20Lake/park%20Sign.jpg</x:v>
      </x:c>
    </x:row>
    <x:row r="579" ht="48" customHeight="1">
      <x:c r="A579" s="8" t="str">
        <x:v>Sardine Lake</x:v>
      </x:c>
      <x:c r="B579" s="8" t="str">
        <x:v>6695</x:v>
      </x:c>
      <x:c r="C579" s="11" t="str">
        <x:v>parking</x:v>
      </x:c>
      <x:c r="D579" s="15" t="str">
        <x:f>IFERROR(HYPERLINK("https://mywildalberta.ca/fishing/fish-stocking/fsm-images/Sardine%20Lake/parking.jpg","https://mywildalberta.ca/fishing/fish-stocking/fsm-images/Sardine%20Lake/parking.jpg"),"https://mywildalberta.ca/fishing/fish-stocking/fsm-images/Sardine%20Lake/parking.jpg")</x:f>
        <x:v>https://mywildalberta.ca/fishing/fish-stocking/fsm-images/Sardine%20Lake/parking.jpg</x:v>
      </x:c>
    </x:row>
    <x:row r="580" ht="48" customHeight="1">
      <x:c r="A580" s="8" t="str">
        <x:v>Sardine Lake</x:v>
      </x:c>
      <x:c r="B580" s="8" t="str">
        <x:v>6695</x:v>
      </x:c>
      <x:c r="C580" s="11" t="str">
        <x:v>Washroom Facilities</x:v>
      </x:c>
      <x:c r="D580" s="15" t="str">
        <x:f>IFERROR(HYPERLINK("https://mywildalberta.ca/fishing/fish-stocking/fsm-images/Sardine%20Lake/Washroom%20Facilities.jpg","https://mywildalberta.ca/fishing/fish-stocking/fsm-images/Sardine%20Lake/Washroom%20Facilities.jpg"),"https://mywildalberta.ca/fishing/fish-stocking/fsm-images/Sardine%20Lake/Washroom%20Facilities.jpg")</x:f>
        <x:v>https://mywildalberta.ca/fishing/fish-stocking/fsm-images/Sardine%20Lake/Washroom%20Facilities.jpg</x:v>
      </x:c>
    </x:row>
    <x:row r="581" ht="48" customHeight="1">
      <x:c r="A581" s="8" t="str">
        <x:v>Sauer Lake</x:v>
      </x:c>
      <x:c r="B581" s="8" t="str">
        <x:v>5753</x:v>
      </x:c>
      <x:c r="C581" s="11" t="str">
        <x:v>Sauer(4)</x:v>
      </x:c>
      <x:c r="D581" s="15" t="str">
        <x:f>IFERROR(HYPERLINK("https://mywildalberta.ca/fishing/fish-stocking/fsm-images/Sauer%20Lake/Sauer(4).jpg","https://mywildalberta.ca/fishing/fish-stocking/fsm-images/Sauer%20Lake/Sauer(4).jpg"),"https://mywildalberta.ca/fishing/fish-stocking/fsm-images/Sauer%20Lake/Sauer(4).jpg")</x:f>
        <x:v>https://mywildalberta.ca/fishing/fish-stocking/fsm-images/Sauer%20Lake/Sauer(4).jpg</x:v>
      </x:c>
    </x:row>
    <x:row r="582" ht="48" customHeight="1">
      <x:c r="A582" s="8" t="str">
        <x:v>Sauer Lake</x:v>
      </x:c>
      <x:c r="B582" s="8" t="str">
        <x:v>5753</x:v>
      </x:c>
      <x:c r="C582" s="11" t="str">
        <x:v>Sauer(5)</x:v>
      </x:c>
      <x:c r="D582" s="15" t="str">
        <x:f>IFERROR(HYPERLINK("https://mywildalberta.ca/fishing/fish-stocking/fsm-images/Sauer%20Lake/Sauer(5).jpg","https://mywildalberta.ca/fishing/fish-stocking/fsm-images/Sauer%20Lake/Sauer(5).jpg"),"https://mywildalberta.ca/fishing/fish-stocking/fsm-images/Sauer%20Lake/Sauer(5).jpg")</x:f>
        <x:v>https://mywildalberta.ca/fishing/fish-stocking/fsm-images/Sauer%20Lake/Sauer(5).jpg</x:v>
      </x:c>
    </x:row>
    <x:row r="583" ht="48" customHeight="1">
      <x:c r="A583" s="8" t="str">
        <x:v>Sauer Lake</x:v>
      </x:c>
      <x:c r="B583" s="8" t="str">
        <x:v>5753</x:v>
      </x:c>
      <x:c r="C583" s="11" t="str">
        <x:v>Sauer(6</x:v>
      </x:c>
      <x:c r="D583" s="15" t="str">
        <x:f>IFERROR(HYPERLINK("https://mywildalberta.ca/fishing/fish-stocking/fsm-images/Sauer%20Lake/Sauer(6.jpg","https://mywildalberta.ca/fishing/fish-stocking/fsm-images/Sauer%20Lake/Sauer(6.jpg"),"https://mywildalberta.ca/fishing/fish-stocking/fsm-images/Sauer%20Lake/Sauer(6.jpg")</x:f>
        <x:v>https://mywildalberta.ca/fishing/fish-stocking/fsm-images/Sauer%20Lake/Sauer(6.jpg</x:v>
      </x:c>
    </x:row>
    <x:row r="584" ht="48" customHeight="1">
      <x:c r="A584" s="8" t="str">
        <x:v>Schuman Lake</x:v>
      </x:c>
      <x:c r="B584" s="8" t="str">
        <x:v>5766</x:v>
      </x:c>
      <x:c r="C584" s="11" t="str">
        <x:v>Schuman boat launch area</x:v>
      </x:c>
      <x:c r="D584" s="15" t="str">
        <x:f>IFERROR(HYPERLINK("https://mywildalberta.ca/fishing/fish-stocking/fsm-images/Schuman%20Lake/Schuman%20boat%20launch%20area.jpg","https://mywildalberta.ca/fishing/fish-stocking/fsm-images/Schuman%20Lake/Schuman%20boat%20launch%20area.jpg"),"https://mywildalberta.ca/fishing/fish-stocking/fsm-images/Schuman%20Lake/Schuman%20boat%20launch%20area.jpg")</x:f>
        <x:v>https://mywildalberta.ca/fishing/fish-stocking/fsm-images/Schuman%20Lake/Schuman%20boat%20launch%20area.jpg</x:v>
      </x:c>
    </x:row>
    <x:row r="585" ht="48" customHeight="1">
      <x:c r="A585" s="8" t="str">
        <x:v>Schuman Lake</x:v>
      </x:c>
      <x:c r="B585" s="8" t="str">
        <x:v>5766</x:v>
      </x:c>
      <x:c r="C585" s="11" t="str">
        <x:v>Schuman facilities</x:v>
      </x:c>
      <x:c r="D585" s="15" t="str">
        <x:f>IFERROR(HYPERLINK("https://mywildalberta.ca/fishing/fish-stocking/fsm-images/Schuman%20Lake/Schuman%20facilities.jpg","https://mywildalberta.ca/fishing/fish-stocking/fsm-images/Schuman%20Lake/Schuman%20facilities.jpg"),"https://mywildalberta.ca/fishing/fish-stocking/fsm-images/Schuman%20Lake/Schuman%20facilities.jpg")</x:f>
        <x:v>https://mywildalberta.ca/fishing/fish-stocking/fsm-images/Schuman%20Lake/Schuman%20facilities.jpg</x:v>
      </x:c>
    </x:row>
    <x:row r="586" ht="48" customHeight="1">
      <x:c r="A586" s="8" t="str">
        <x:v>Schuman Lake</x:v>
      </x:c>
      <x:c r="B586" s="8" t="str">
        <x:v>5766</x:v>
      </x:c>
      <x:c r="C586" s="11" t="str">
        <x:v>Schuman information sign</x:v>
      </x:c>
      <x:c r="D586" s="15" t="str">
        <x:f>IFERROR(HYPERLINK("https://mywildalberta.ca/fishing/fish-stocking/fsm-images/Schuman%20Lake/Schuman%20information%20sign.jpg","https://mywildalberta.ca/fishing/fish-stocking/fsm-images/Schuman%20Lake/Schuman%20information%20sign.jpg"),"https://mywildalberta.ca/fishing/fish-stocking/fsm-images/Schuman%20Lake/Schuman%20information%20sign.jpg")</x:f>
        <x:v>https://mywildalberta.ca/fishing/fish-stocking/fsm-images/Schuman%20Lake/Schuman%20information%20sign.jpg</x:v>
      </x:c>
    </x:row>
    <x:row r="587" ht="48" customHeight="1">
      <x:c r="A587" s="8" t="str">
        <x:v>Schuman Lake</x:v>
      </x:c>
      <x:c r="B587" s="8" t="str">
        <x:v>5766</x:v>
      </x:c>
      <x:c r="C587" s="11" t="str">
        <x:v>Schuman lake entrance to boat launch at lake</x:v>
      </x:c>
      <x:c r="D587" s="15" t="str">
        <x:f>IFERROR(HYPERLINK("https://mywildalberta.ca/fishing/fish-stocking/fsm-images/Schuman%20Lake/Schuman%20lake%20entrance%20to%20boat%20launch%20at%20lake.jpg","https://mywildalberta.ca/fishing/fish-stocking/fsm-images/Schuman%20Lake/Schuman%20lake%20entrance%20to%20boat%20launch%20at%20lake.jpg"),"https://mywildalberta.ca/fishing/fish-stocking/fsm-images/Schuman%20Lake/Schuman%20lake%20entrance%20to%20boat%20launch%20at%20lake.jpg")</x:f>
        <x:v>https://mywildalberta.ca/fishing/fish-stocking/fsm-images/Schuman%20Lake/Schuman%20lake%20entrance%20to%20boat%20launch%20at%20lake.jpg</x:v>
      </x:c>
    </x:row>
    <x:row r="588" ht="48" customHeight="1">
      <x:c r="A588" s="8" t="str">
        <x:v>Severn Creek Reservoir</x:v>
      </x:c>
      <x:c r="B588" s="8" t="str">
        <x:v>6697</x:v>
      </x:c>
      <x:c r="C588" s="11" t="str">
        <x:v>Severn Lake (1)</x:v>
      </x:c>
      <x:c r="D588" s="15" t="str">
        <x:f>IFERROR(HYPERLINK("https://mywildalberta.ca/fishing/fish-stocking/fsm-images/Severn%20Creek%20Reservoir/Severn%20Lake%20(1).jpg","https://mywildalberta.ca/fishing/fish-stocking/fsm-images/Severn%20Creek%20Reservoir/Severn%20Lake%20(1).jpg"),"https://mywildalberta.ca/fishing/fish-stocking/fsm-images/Severn%20Creek%20Reservoir/Severn%20Lake%20(1).jpg")</x:f>
        <x:v>https://mywildalberta.ca/fishing/fish-stocking/fsm-images/Severn%20Creek%20Reservoir/Severn%20Lake%20(1).jpg</x:v>
      </x:c>
    </x:row>
    <x:row r="589" ht="48" customHeight="1">
      <x:c r="A589" s="8" t="str">
        <x:v>Shell True North Pond</x:v>
      </x:c>
      <x:c r="B589" s="8" t="str">
        <x:v>328085</x:v>
      </x:c>
      <x:c r="C589" s="11" t="str">
        <x:v>Bank View</x:v>
      </x:c>
      <x:c r="D589" s="15" t="str">
        <x:f>IFERROR(HYPERLINK("https://mywildalberta.ca/fishing/fish-stocking/fsm-images/Shell%20True%20North%20Pond/Bank%20View.jpg","https://mywildalberta.ca/fishing/fish-stocking/fsm-images/Shell%20True%20North%20Pond/Bank%20View.jpg"),"https://mywildalberta.ca/fishing/fish-stocking/fsm-images/Shell%20True%20North%20Pond/Bank%20View.jpg")</x:f>
        <x:v>https://mywildalberta.ca/fishing/fish-stocking/fsm-images/Shell%20True%20North%20Pond/Bank%20View.jpg</x:v>
      </x:c>
    </x:row>
    <x:row r="590" ht="48" customHeight="1">
      <x:c r="A590" s="8" t="str">
        <x:v>Shell True North Pond</x:v>
      </x:c>
      <x:c r="B590" s="8" t="str">
        <x:v>328085</x:v>
      </x:c>
      <x:c r="C590" s="11" t="str">
        <x:v>Dock</x:v>
      </x:c>
      <x:c r="D590" s="15" t="str">
        <x:f>IFERROR(HYPERLINK("https://mywildalberta.ca/fishing/fish-stocking/fsm-images/Shell%20True%20North%20Pond/Dock.jpg","https://mywildalberta.ca/fishing/fish-stocking/fsm-images/Shell%20True%20North%20Pond/Dock.jpg"),"https://mywildalberta.ca/fishing/fish-stocking/fsm-images/Shell%20True%20North%20Pond/Dock.jpg")</x:f>
        <x:v>https://mywildalberta.ca/fishing/fish-stocking/fsm-images/Shell%20True%20North%20Pond/Dock.jpg</x:v>
      </x:c>
    </x:row>
    <x:row r="591" ht="48" customHeight="1">
      <x:c r="A591" s="8" t="str">
        <x:v>Shell True North Pond</x:v>
      </x:c>
      <x:c r="B591" s="8" t="str">
        <x:v>328085</x:v>
      </x:c>
      <x:c r="C591" s="11" t="str">
        <x:v>Entire Pond</x:v>
      </x:c>
      <x:c r="D591" s="15" t="str">
        <x:f>IFERROR(HYPERLINK("https://mywildalberta.ca/fishing/fish-stocking/fsm-images/Shell%20True%20North%20Pond/Entire%20Pond.jpg","https://mywildalberta.ca/fishing/fish-stocking/fsm-images/Shell%20True%20North%20Pond/Entire%20Pond.jpg"),"https://mywildalberta.ca/fishing/fish-stocking/fsm-images/Shell%20True%20North%20Pond/Entire%20Pond.jpg")</x:f>
        <x:v>https://mywildalberta.ca/fishing/fish-stocking/fsm-images/Shell%20True%20North%20Pond/Entire%20Pond.jpg</x:v>
      </x:c>
    </x:row>
    <x:row r="592" ht="48" customHeight="1">
      <x:c r="A592" s="8" t="str">
        <x:v>Shell True North Pond</x:v>
      </x:c>
      <x:c r="B592" s="8" t="str">
        <x:v>328085</x:v>
      </x:c>
      <x:c r="C592" s="11" t="str">
        <x:v>Lake view from Bank</x:v>
      </x:c>
      <x:c r="D592" s="15" t="str">
        <x:f>IFERROR(HYPERLINK("https://mywildalberta.ca/fishing/fish-stocking/fsm-images/Shell%20True%20North%20Pond/Lake%20view%20from%20Bank.jpg","https://mywildalberta.ca/fishing/fish-stocking/fsm-images/Shell%20True%20North%20Pond/Lake%20view%20from%20Bank.jpg"),"https://mywildalberta.ca/fishing/fish-stocking/fsm-images/Shell%20True%20North%20Pond/Lake%20view%20from%20Bank.jpg")</x:f>
        <x:v>https://mywildalberta.ca/fishing/fish-stocking/fsm-images/Shell%20True%20North%20Pond/Lake%20view%20from%20Bank.jpg</x:v>
      </x:c>
    </x:row>
    <x:row r="593" ht="48" customHeight="1">
      <x:c r="A593" s="8" t="str">
        <x:v>Shell True North Pond</x:v>
      </x:c>
      <x:c r="B593" s="8" t="str">
        <x:v>328085</x:v>
      </x:c>
      <x:c r="C593" s="11" t="str">
        <x:v>Pond Dock and Lake</x:v>
      </x:c>
      <x:c r="D593" s="15" t="str">
        <x:f>IFERROR(HYPERLINK("https://mywildalberta.ca/fishing/fish-stocking/fsm-images/Shell%20True%20North%20Pond/Pond%20Dock%20and%20Lake.jpg","https://mywildalberta.ca/fishing/fish-stocking/fsm-images/Shell%20True%20North%20Pond/Pond%20Dock%20and%20Lake.jpg"),"https://mywildalberta.ca/fishing/fish-stocking/fsm-images/Shell%20True%20North%20Pond/Pond%20Dock%20and%20Lake.jpg")</x:f>
        <x:v>https://mywildalberta.ca/fishing/fish-stocking/fsm-images/Shell%20True%20North%20Pond/Pond%20Dock%20and%20Lake.jpg</x:v>
      </x:c>
    </x:row>
    <x:row r="594" ht="48" customHeight="1">
      <x:c r="A594" s="8" t="str">
        <x:v>Shell True North Pond</x:v>
      </x:c>
      <x:c r="B594" s="8" t="str">
        <x:v>328085</x:v>
      </x:c>
      <x:c r="C594" s="11" t="str">
        <x:v>Pond Garbage Recepticals</x:v>
      </x:c>
      <x:c r="D594" s="15" t="str">
        <x:f>IFERROR(HYPERLINK("https://mywildalberta.ca/fishing/fish-stocking/fsm-images/Shell%20True%20North%20Pond/Pond%20Garbage%20Recepticals.jpg","https://mywildalberta.ca/fishing/fish-stocking/fsm-images/Shell%20True%20North%20Pond/Pond%20Garbage%20Recepticals.jpg"),"https://mywildalberta.ca/fishing/fish-stocking/fsm-images/Shell%20True%20North%20Pond/Pond%20Garbage%20Recepticals.jpg")</x:f>
        <x:v>https://mywildalberta.ca/fishing/fish-stocking/fsm-images/Shell%20True%20North%20Pond/Pond%20Garbage%20Recepticals.jpg</x:v>
      </x:c>
    </x:row>
    <x:row r="595" ht="48" customHeight="1">
      <x:c r="A595" s="8" t="str">
        <x:v>Shell True North Pond</x:v>
      </x:c>
      <x:c r="B595" s="8" t="str">
        <x:v>328085</x:v>
      </x:c>
      <x:c r="C595" s="11" t="str">
        <x:v>Pond Open Water View (2)</x:v>
      </x:c>
      <x:c r="D595" s="15" t="str">
        <x:f>IFERROR(HYPERLINK("https://mywildalberta.ca/fishing/fish-stocking/fsm-images/Shell%20True%20North%20Pond/Pond%20Open%20Water%20View%20(2).jpg","https://mywildalberta.ca/fishing/fish-stocking/fsm-images/Shell%20True%20North%20Pond/Pond%20Open%20Water%20View%20(2).jpg"),"https://mywildalberta.ca/fishing/fish-stocking/fsm-images/Shell%20True%20North%20Pond/Pond%20Open%20Water%20View%20(2).jpg")</x:f>
        <x:v>https://mywildalberta.ca/fishing/fish-stocking/fsm-images/Shell%20True%20North%20Pond/Pond%20Open%20Water%20View%20(2).jpg</x:v>
      </x:c>
    </x:row>
    <x:row r="596" ht="48" customHeight="1">
      <x:c r="A596" s="8" t="str">
        <x:v>Shell True North Pond</x:v>
      </x:c>
      <x:c r="B596" s="8" t="str">
        <x:v>328085</x:v>
      </x:c>
      <x:c r="C596" s="11" t="str">
        <x:v>Pond Open Water View</x:v>
      </x:c>
      <x:c r="D596" s="15" t="str">
        <x:f>IFERROR(HYPERLINK("https://mywildalberta.ca/fishing/fish-stocking/fsm-images/Shell%20True%20North%20Pond/Pond%20Open%20Water%20View.jpg","https://mywildalberta.ca/fishing/fish-stocking/fsm-images/Shell%20True%20North%20Pond/Pond%20Open%20Water%20View.jpg"),"https://mywildalberta.ca/fishing/fish-stocking/fsm-images/Shell%20True%20North%20Pond/Pond%20Open%20Water%20View.jpg")</x:f>
        <x:v>https://mywildalberta.ca/fishing/fish-stocking/fsm-images/Shell%20True%20North%20Pond/Pond%20Open%20Water%20View.jpg</x:v>
      </x:c>
    </x:row>
    <x:row r="597" ht="48" customHeight="1">
      <x:c r="A597" s="8" t="str">
        <x:v>Shell True North Pond</x:v>
      </x:c>
      <x:c r="B597" s="8" t="str">
        <x:v>328085</x:v>
      </x:c>
      <x:c r="C597" s="11" t="str">
        <x:v>Pond Overview (2)</x:v>
      </x:c>
      <x:c r="D597" s="15" t="str">
        <x:f>IFERROR(HYPERLINK("https://mywildalberta.ca/fishing/fish-stocking/fsm-images/Shell%20True%20North%20Pond/Pond%20Overview%20(2).jpg","https://mywildalberta.ca/fishing/fish-stocking/fsm-images/Shell%20True%20North%20Pond/Pond%20Overview%20(2).jpg"),"https://mywildalberta.ca/fishing/fish-stocking/fsm-images/Shell%20True%20North%20Pond/Pond%20Overview%20(2).jpg")</x:f>
        <x:v>https://mywildalberta.ca/fishing/fish-stocking/fsm-images/Shell%20True%20North%20Pond/Pond%20Overview%20(2).jpg</x:v>
      </x:c>
    </x:row>
    <x:row r="598" ht="48" customHeight="1">
      <x:c r="A598" s="8" t="str">
        <x:v>Shell True North Pond</x:v>
      </x:c>
      <x:c r="B598" s="8" t="str">
        <x:v>328085</x:v>
      </x:c>
      <x:c r="C598" s="11" t="str">
        <x:v>Pond Overview</x:v>
      </x:c>
      <x:c r="D598" s="15" t="str">
        <x:f>IFERROR(HYPERLINK("https://mywildalberta.ca/fishing/fish-stocking/fsm-images/Shell%20True%20North%20Pond/Pond%20Overview.jpg","https://mywildalberta.ca/fishing/fish-stocking/fsm-images/Shell%20True%20North%20Pond/Pond%20Overview.jpg"),"https://mywildalberta.ca/fishing/fish-stocking/fsm-images/Shell%20True%20North%20Pond/Pond%20Overview.jpg")</x:f>
        <x:v>https://mywildalberta.ca/fishing/fish-stocking/fsm-images/Shell%20True%20North%20Pond/Pond%20Overview.jpg</x:v>
      </x:c>
    </x:row>
    <x:row r="599" ht="48" customHeight="1">
      <x:c r="A599" s="8" t="str">
        <x:v>Shell True North Pond</x:v>
      </x:c>
      <x:c r="B599" s="8" t="str">
        <x:v>328085</x:v>
      </x:c>
      <x:c r="C599" s="11" t="str">
        <x:v>Pond Signs</x:v>
      </x:c>
      <x:c r="D599" s="15" t="str">
        <x:f>IFERROR(HYPERLINK("https://mywildalberta.ca/fishing/fish-stocking/fsm-images/Shell%20True%20North%20Pond/Pond%20Signs.jpg","https://mywildalberta.ca/fishing/fish-stocking/fsm-images/Shell%20True%20North%20Pond/Pond%20Signs.jpg"),"https://mywildalberta.ca/fishing/fish-stocking/fsm-images/Shell%20True%20North%20Pond/Pond%20Signs.jpg")</x:f>
        <x:v>https://mywildalberta.ca/fishing/fish-stocking/fsm-images/Shell%20True%20North%20Pond/Pond%20Signs.jpg</x:v>
      </x:c>
    </x:row>
    <x:row r="600" ht="48" customHeight="1">
      <x:c r="A600" s="8" t="str">
        <x:v>Shell True North Pond</x:v>
      </x:c>
      <x:c r="B600" s="8" t="str">
        <x:v>328085</x:v>
      </x:c>
      <x:c r="C600" s="11" t="str">
        <x:v>View of Bank From Dock</x:v>
      </x:c>
      <x:c r="D600" s="15" t="str">
        <x:f>IFERROR(HYPERLINK("https://mywildalberta.ca/fishing/fish-stocking/fsm-images/Shell%20True%20North%20Pond/View%20of%20Bank%20From%20Dock.jpg","https://mywildalberta.ca/fishing/fish-stocking/fsm-images/Shell%20True%20North%20Pond/View%20of%20Bank%20From%20Dock.jpg"),"https://mywildalberta.ca/fishing/fish-stocking/fsm-images/Shell%20True%20North%20Pond/View%20of%20Bank%20From%20Dock.jpg")</x:f>
        <x:v>https://mywildalberta.ca/fishing/fish-stocking/fsm-images/Shell%20True%20North%20Pond/View%20of%20Bank%20From%20Dock.jpg</x:v>
      </x:c>
    </x:row>
    <x:row r="601" ht="48" customHeight="1">
      <x:c r="A601" s="8" t="str">
        <x:v>Shemeluk Lake</x:v>
      </x:c>
      <x:c r="B601" s="8" t="str">
        <x:v>6699</x:v>
      </x:c>
      <x:c r="C601" s="11" t="str">
        <x:v>Shemeluk (1)</x:v>
      </x:c>
      <x:c r="D601" s="15" t="str">
        <x:f>IFERROR(HYPERLINK("https://mywildalberta.ca/fishing/fish-stocking/fsm-images/Shemeluk%20Lake/Shemeluk%20(1).JPG","https://mywildalberta.ca/fishing/fish-stocking/fsm-images/Shemeluk%20Lake/Shemeluk%20(1).JPG"),"https://mywildalberta.ca/fishing/fish-stocking/fsm-images/Shemeluk%20Lake/Shemeluk%20(1).JPG")</x:f>
        <x:v>https://mywildalberta.ca/fishing/fish-stocking/fsm-images/Shemeluk%20Lake/Shemeluk%20(1).JPG</x:v>
      </x:c>
    </x:row>
    <x:row r="602" ht="48" customHeight="1">
      <x:c r="A602" s="8" t="str">
        <x:v>Shemeluk Lake</x:v>
      </x:c>
      <x:c r="B602" s="8" t="str">
        <x:v>6699</x:v>
      </x:c>
      <x:c r="C602" s="11" t="str">
        <x:v>Shemeluk (2)</x:v>
      </x:c>
      <x:c r="D602" s="15" t="str">
        <x:f>IFERROR(HYPERLINK("https://mywildalberta.ca/fishing/fish-stocking/fsm-images/Shemeluk%20Lake/Shemeluk%20(2).JPG","https://mywildalberta.ca/fishing/fish-stocking/fsm-images/Shemeluk%20Lake/Shemeluk%20(2).JPG"),"https://mywildalberta.ca/fishing/fish-stocking/fsm-images/Shemeluk%20Lake/Shemeluk%20(2).JPG")</x:f>
        <x:v>https://mywildalberta.ca/fishing/fish-stocking/fsm-images/Shemeluk%20Lake/Shemeluk%20(2).JPG</x:v>
      </x:c>
    </x:row>
    <x:row r="603" ht="48" customHeight="1">
      <x:c r="A603" s="8" t="str">
        <x:v>Shuster Lake</x:v>
      </x:c>
      <x:c r="B603" s="8" t="str">
        <x:v>6688</x:v>
      </x:c>
      <x:c r="C603" s="11" t="str">
        <x:v>Shuster Lake shore and water view</x:v>
      </x:c>
      <x:c r="D603" s="15" t="str">
        <x:f>IFERROR(HYPERLINK("https://mywildalberta.ca/fishing/fish-stocking/fsm-images/Shuster%20Lake/Shuster%20Lake%20shore%20and%20water%20view.jpg","https://mywildalberta.ca/fishing/fish-stocking/fsm-images/Shuster%20Lake/Shuster%20Lake%20shore%20and%20water%20view.jpg"),"https://mywildalberta.ca/fishing/fish-stocking/fsm-images/Shuster%20Lake/Shuster%20Lake%20shore%20and%20water%20view.jpg")</x:f>
        <x:v>https://mywildalberta.ca/fishing/fish-stocking/fsm-images/Shuster%20Lake/Shuster%20Lake%20shore%20and%20water%20view.jpg</x:v>
      </x:c>
    </x:row>
    <x:row r="604" ht="48" customHeight="1">
      <x:c r="A604" s="8" t="str">
        <x:v>Shuster Lake</x:v>
      </x:c>
      <x:c r="B604" s="8" t="str">
        <x:v>6688</x:v>
      </x:c>
      <x:c r="C604" s="11" t="str">
        <x:v>Shuster Lake water view</x:v>
      </x:c>
      <x:c r="D604" s="15" t="str">
        <x:f>IFERROR(HYPERLINK("https://mywildalberta.ca/fishing/fish-stocking/fsm-images/Shuster%20Lake/Shuster%20Lake%20water%20view.JPG","https://mywildalberta.ca/fishing/fish-stocking/fsm-images/Shuster%20Lake/Shuster%20Lake%20water%20view.JPG"),"https://mywildalberta.ca/fishing/fish-stocking/fsm-images/Shuster%20Lake/Shuster%20Lake%20water%20view.JPG")</x:f>
        <x:v>https://mywildalberta.ca/fishing/fish-stocking/fsm-images/Shuster%20Lake/Shuster%20Lake%20water%20view.JPG</x:v>
      </x:c>
    </x:row>
    <x:row r="605" ht="48" customHeight="1">
      <x:c r="A605" s="8" t="str">
        <x:v>Sibbald Lake</x:v>
      </x:c>
      <x:c r="B605" s="8" t="str">
        <x:v>5805</x:v>
      </x:c>
      <x:c r="C605" s="11" t="str">
        <x:v>Sibbald Lake</x:v>
      </x:c>
      <x:c r="D605" s="15" t="str">
        <x:f>IFERROR(HYPERLINK("https://mywildalberta.ca/fishing/fish-stocking/fsm-images/Sibbald%20Lake/Sibbald%20Lake.JPG","https://mywildalberta.ca/fishing/fish-stocking/fsm-images/Sibbald%20Lake/Sibbald%20Lake.JPG"),"https://mywildalberta.ca/fishing/fish-stocking/fsm-images/Sibbald%20Lake/Sibbald%20Lake.JPG")</x:f>
        <x:v>https://mywildalberta.ca/fishing/fish-stocking/fsm-images/Sibbald%20Lake/Sibbald%20Lake.JPG</x:v>
      </x:c>
    </x:row>
    <x:row r="606" ht="48" customHeight="1">
      <x:c r="A606" s="8" t="str">
        <x:v>Sibbald Meadows Pond</x:v>
      </x:c>
      <x:c r="B606" s="8" t="str">
        <x:v>3486</x:v>
      </x:c>
      <x:c r="C606" s="11" t="str">
        <x:v>Sibbald Meadows Pond</x:v>
      </x:c>
      <x:c r="D606" s="15" t="str">
        <x:f>IFERROR(HYPERLINK("https://mywildalberta.ca/fishing/fish-stocking/fsm-images/Sibbald%20Meadows%20Pond/Sibbald%20Meadows%20Pond.JPG","https://mywildalberta.ca/fishing/fish-stocking/fsm-images/Sibbald%20Meadows%20Pond/Sibbald%20Meadows%20Pond.JPG"),"https://mywildalberta.ca/fishing/fish-stocking/fsm-images/Sibbald%20Meadows%20Pond/Sibbald%20Meadows%20Pond.JPG")</x:f>
        <x:v>https://mywildalberta.ca/fishing/fish-stocking/fsm-images/Sibbald%20Meadows%20Pond/Sibbald%20Meadows%20Pond.JPG</x:v>
      </x:c>
    </x:row>
    <x:row r="607" ht="48" customHeight="1">
      <x:c r="A607" s="8" t="str">
        <x:v>Silkstone Lake</x:v>
      </x:c>
      <x:c r="B607" s="8" t="str">
        <x:v>6651</x:v>
      </x:c>
      <x:c r="C607" s="11" t="str">
        <x:v>Silkstone pond blue sky</x:v>
      </x:c>
      <x:c r="D607" s="15" t="str">
        <x:f>IFERROR(HYPERLINK("https://mywildalberta.ca/fishing/fish-stocking/fsm-images/Silkstone%20Lake/Silkstone%20pond%20blue%20sky.JPG","https://mywildalberta.ca/fishing/fish-stocking/fsm-images/Silkstone%20Lake/Silkstone%20pond%20blue%20sky.JPG"),"https://mywildalberta.ca/fishing/fish-stocking/fsm-images/Silkstone%20Lake/Silkstone%20pond%20blue%20sky.JPG")</x:f>
        <x:v>https://mywildalberta.ca/fishing/fish-stocking/fsm-images/Silkstone%20Lake/Silkstone%20pond%20blue%20sky.JPG</x:v>
      </x:c>
    </x:row>
    <x:row r="608" ht="48" customHeight="1">
      <x:c r="A608" s="8" t="str">
        <x:v>Silkstone Lake</x:v>
      </x:c>
      <x:c r="B608" s="8" t="str">
        <x:v>6651</x:v>
      </x:c>
      <x:c r="C608" s="11" t="str">
        <x:v>Silkstone pond shore and lake view</x:v>
      </x:c>
      <x:c r="D608" s="15" t="str">
        <x:f>IFERROR(HYPERLINK("https://mywildalberta.ca/fishing/fish-stocking/fsm-images/Silkstone%20Lake/Silkstone%20pond%20shore%20and%20lake%20view.JPG","https://mywildalberta.ca/fishing/fish-stocking/fsm-images/Silkstone%20Lake/Silkstone%20pond%20shore%20and%20lake%20view.JPG"),"https://mywildalberta.ca/fishing/fish-stocking/fsm-images/Silkstone%20Lake/Silkstone%20pond%20shore%20and%20lake%20view.JPG")</x:f>
        <x:v>https://mywildalberta.ca/fishing/fish-stocking/fsm-images/Silkstone%20Lake/Silkstone%20pond%20shore%20and%20lake%20view.JPG</x:v>
      </x:c>
    </x:row>
    <x:row r="609" ht="48" customHeight="1">
      <x:c r="A609" s="8" t="str">
        <x:v>Sparrow's Egg Lake</x:v>
      </x:c>
      <x:c r="B609" s="8" t="str">
        <x:v>5858</x:v>
      </x:c>
      <x:c r="C609" s="11" t="str">
        <x:v>Sparrows Egg Lake (1)</x:v>
      </x:c>
      <x:c r="D609" s="15" t="str">
        <x:f>IFERROR(HYPERLINK("https://mywildalberta.ca/fishing/fish-stocking/fsm-images/Sparrow's%20Egg%20Lake/Sparrows%20Egg%20Lake%20(1).jpg","https://mywildalberta.ca/fishing/fish-stocking/fsm-images/Sparrow's%20Egg%20Lake/Sparrows%20Egg%20Lake%20(1).jpg"),"https://mywildalberta.ca/fishing/fish-stocking/fsm-images/Sparrow's%20Egg%20Lake/Sparrows%20Egg%20Lake%20(1).jpg")</x:f>
        <x:v>https://mywildalberta.ca/fishing/fish-stocking/fsm-images/Sparrow's%20Egg%20Lake/Sparrows%20Egg%20Lake%20(1).jpg</x:v>
      </x:c>
    </x:row>
    <x:row r="610" ht="48" customHeight="1">
      <x:c r="A610" s="8" t="str">
        <x:v>Spring Coulee Park Pond</x:v>
      </x:c>
      <x:c r="B610" s="8" t="str">
        <x:v>6692</x:v>
      </x:c>
      <x:c r="C610" s="11" t="str">
        <x:v>Spring Coulee (1)</x:v>
      </x:c>
      <x:c r="D610" s="15" t="str">
        <x:f>IFERROR(HYPERLINK("https://mywildalberta.ca/fishing/fish-stocking/fsm-images/Spring%20Coulee%20Park%20Pond/Spring%20Coulee%20(1).jpg","https://mywildalberta.ca/fishing/fish-stocking/fsm-images/Spring%20Coulee%20Park%20Pond/Spring%20Coulee%20(1).jpg"),"https://mywildalberta.ca/fishing/fish-stocking/fsm-images/Spring%20Coulee%20Park%20Pond/Spring%20Coulee%20(1).jpg")</x:f>
        <x:v>https://mywildalberta.ca/fishing/fish-stocking/fsm-images/Spring%20Coulee%20Park%20Pond/Spring%20Coulee%20(1).jpg</x:v>
      </x:c>
    </x:row>
    <x:row r="611" ht="48" customHeight="1">
      <x:c r="A611" s="8" t="str">
        <x:v>Spring Coulee Park Pond</x:v>
      </x:c>
      <x:c r="B611" s="8" t="str">
        <x:v>6692</x:v>
      </x:c>
      <x:c r="C611" s="11" t="str">
        <x:v>Spring Coulee Campground (5)</x:v>
      </x:c>
      <x:c r="D611" s="15" t="str">
        <x:f>IFERROR(HYPERLINK("https://mywildalberta.ca/fishing/fish-stocking/fsm-images/Spring%20Coulee%20Park%20Pond/Spring%20Coulee%20Campground%20(5).jpg","https://mywildalberta.ca/fishing/fish-stocking/fsm-images/Spring%20Coulee%20Park%20Pond/Spring%20Coulee%20Campground%20(5).jpg"),"https://mywildalberta.ca/fishing/fish-stocking/fsm-images/Spring%20Coulee%20Park%20Pond/Spring%20Coulee%20Campground%20(5).jpg")</x:f>
        <x:v>https://mywildalberta.ca/fishing/fish-stocking/fsm-images/Spring%20Coulee%20Park%20Pond/Spring%20Coulee%20Campground%20(5).jpg</x:v>
      </x:c>
    </x:row>
    <x:row r="612" ht="48" customHeight="1">
      <x:c r="A612" s="8" t="str">
        <x:v>Spring Coulee Park Pond</x:v>
      </x:c>
      <x:c r="B612" s="8" t="str">
        <x:v>6692</x:v>
      </x:c>
      <x:c r="C612" s="11" t="str">
        <x:v>Spring Coulee winter view</x:v>
      </x:c>
      <x:c r="D612" s="15" t="str">
        <x:f>IFERROR(HYPERLINK("https://mywildalberta.ca/fishing/fish-stocking/fsm-images/Spring%20Coulee%20Park%20Pond/Spring%20Coulee%20winter%20view.jpg","https://mywildalberta.ca/fishing/fish-stocking/fsm-images/Spring%20Coulee%20Park%20Pond/Spring%20Coulee%20winter%20view.jpg"),"https://mywildalberta.ca/fishing/fish-stocking/fsm-images/Spring%20Coulee%20Park%20Pond/Spring%20Coulee%20winter%20view.jpg")</x:f>
        <x:v>https://mywildalberta.ca/fishing/fish-stocking/fsm-images/Spring%20Coulee%20Park%20Pond/Spring%20Coulee%20winter%20view.jpg</x:v>
      </x:c>
    </x:row>
    <x:row r="613" ht="48" customHeight="1">
      <x:c r="A613" s="8" t="str">
        <x:v>Spruce Coulee Reservoir</x:v>
      </x:c>
      <x:c r="B613" s="8" t="str">
        <x:v>3534</x:v>
      </x:c>
      <x:c r="C613" s="11" t="str">
        <x:v>Spruce Coulee boat and fishing dock</x:v>
      </x:c>
      <x:c r="D613" s="15" t="str">
        <x:f>IFERROR(HYPERLINK("https://mywildalberta.ca/fishing/fish-stocking/fsm-images/Spruce%20Coulee%20Reservoir/Spruce%20Coulee%20boat%20and%20fishing%20dock.JPG","https://mywildalberta.ca/fishing/fish-stocking/fsm-images/Spruce%20Coulee%20Reservoir/Spruce%20Coulee%20boat%20and%20fishing%20dock.JPG"),"https://mywildalberta.ca/fishing/fish-stocking/fsm-images/Spruce%20Coulee%20Reservoir/Spruce%20Coulee%20boat%20and%20fishing%20dock.JPG")</x:f>
        <x:v>https://mywildalberta.ca/fishing/fish-stocking/fsm-images/Spruce%20Coulee%20Reservoir/Spruce%20Coulee%20boat%20and%20fishing%20dock.JPG</x:v>
      </x:c>
    </x:row>
    <x:row r="614" ht="48" customHeight="1">
      <x:c r="A614" s="8" t="str">
        <x:v>Spruce Coulee Reservoir</x:v>
      </x:c>
      <x:c r="B614" s="8" t="str">
        <x:v>3534</x:v>
      </x:c>
      <x:c r="C614" s="11" t="str">
        <x:v>Spruce Coulee view from the boat dock</x:v>
      </x:c>
      <x:c r="D614" s="15" t="str">
        <x:f>IFERROR(HYPERLINK("https://mywildalberta.ca/fishing/fish-stocking/fsm-images/Spruce%20Coulee%20Reservoir/Spruce%20Coulee%20view%20from%20the%20boat%20dock.jpg","https://mywildalberta.ca/fishing/fish-stocking/fsm-images/Spruce%20Coulee%20Reservoir/Spruce%20Coulee%20view%20from%20the%20boat%20dock.jpg"),"https://mywildalberta.ca/fishing/fish-stocking/fsm-images/Spruce%20Coulee%20Reservoir/Spruce%20Coulee%20view%20from%20the%20boat%20dock.jpg")</x:f>
        <x:v>https://mywildalberta.ca/fishing/fish-stocking/fsm-images/Spruce%20Coulee%20Reservoir/Spruce%20Coulee%20view%20from%20the%20boat%20dock.jpg</x:v>
      </x:c>
    </x:row>
    <x:row r="615" ht="48" customHeight="1">
      <x:c r="A615" s="8" t="str">
        <x:v>Spruce Coulee Reservoir</x:v>
      </x:c>
      <x:c r="B615" s="8" t="str">
        <x:v>3534</x:v>
      </x:c>
      <x:c r="C615" s="11" t="str">
        <x:v>Spruce Coulee</x:v>
      </x:c>
      <x:c r="D615" s="15" t="str">
        <x:f>IFERROR(HYPERLINK("https://mywildalberta.ca/fishing/fish-stocking/fsm-images/Spruce%20Coulee%20Reservoir/Spruce%20Coulee.jpg","https://mywildalberta.ca/fishing/fish-stocking/fsm-images/Spruce%20Coulee%20Reservoir/Spruce%20Coulee.jpg"),"https://mywildalberta.ca/fishing/fish-stocking/fsm-images/Spruce%20Coulee%20Reservoir/Spruce%20Coulee.jpg")</x:f>
        <x:v>https://mywildalberta.ca/fishing/fish-stocking/fsm-images/Spruce%20Coulee%20Reservoir/Spruce%20Coulee.jpg</x:v>
      </x:c>
    </x:row>
    <x:row r="616" ht="48" customHeight="1">
      <x:c r="A616" s="8" t="str">
        <x:v>St. Paul Fish Pond</x:v>
      </x:c>
      <x:c r="B616" s="8" t="str">
        <x:v>24702</x:v>
      </x:c>
      <x:c r="C616" s="11" t="str">
        <x:v>St Paul Fish Pond (1)</x:v>
      </x:c>
      <x:c r="D616" s="15" t="str">
        <x:f>IFERROR(HYPERLINK("https://mywildalberta.ca/fishing/fish-stocking/fsm-images/St.%20Paul%20Fish%20Pond/St%20Paul%20Fish%20Pond%20(1).JPG","https://mywildalberta.ca/fishing/fish-stocking/fsm-images/St.%20Paul%20Fish%20Pond/St%20Paul%20Fish%20Pond%20(1).JPG"),"https://mywildalberta.ca/fishing/fish-stocking/fsm-images/St.%20Paul%20Fish%20Pond/St%20Paul%20Fish%20Pond%20(1).JPG")</x:f>
        <x:v>https://mywildalberta.ca/fishing/fish-stocking/fsm-images/St.%20Paul%20Fish%20Pond/St%20Paul%20Fish%20Pond%20(1).JPG</x:v>
      </x:c>
    </x:row>
    <x:row r="617" ht="48" customHeight="1">
      <x:c r="A617" s="8" t="str">
        <x:v>Star Lake</x:v>
      </x:c>
      <x:c r="B617" s="8" t="str">
        <x:v>5895</x:v>
      </x:c>
      <x:c r="C617" s="11" t="str">
        <x:v>Star Lake lake overview photo</x:v>
      </x:c>
      <x:c r="D617" s="15" t="str">
        <x:f>IFERROR(HYPERLINK("https://mywildalberta.ca/fishing/fish-stocking/fsm-images/Star%20Lake/Star%20Lake%20lake%20overview%20photo.jpg","https://mywildalberta.ca/fishing/fish-stocking/fsm-images/Star%20Lake/Star%20Lake%20lake%20overview%20photo.jpg"),"https://mywildalberta.ca/fishing/fish-stocking/fsm-images/Star%20Lake/Star%20Lake%20lake%20overview%20photo.jpg")</x:f>
        <x:v>https://mywildalberta.ca/fishing/fish-stocking/fsm-images/Star%20Lake/Star%20Lake%20lake%20overview%20photo.jpg</x:v>
      </x:c>
    </x:row>
    <x:row r="618" ht="48" customHeight="1">
      <x:c r="A618" s="8" t="str">
        <x:v>Star Lake</x:v>
      </x:c>
      <x:c r="B618" s="8" t="str">
        <x:v>5895</x:v>
      </x:c>
      <x:c r="C618" s="11" t="str">
        <x:v>Star Lake photo from parking area</x:v>
      </x:c>
      <x:c r="D618" s="15" t="str">
        <x:f>IFERROR(HYPERLINK("https://mywildalberta.ca/fishing/fish-stocking/fsm-images/Star%20Lake/Star%20Lake%20photo%20from%20parking%20area.jpg","https://mywildalberta.ca/fishing/fish-stocking/fsm-images/Star%20Lake/Star%20Lake%20photo%20from%20parking%20area.jpg"),"https://mywildalberta.ca/fishing/fish-stocking/fsm-images/Star%20Lake/Star%20Lake%20photo%20from%20parking%20area.jpg")</x:f>
        <x:v>https://mywildalberta.ca/fishing/fish-stocking/fsm-images/Star%20Lake/Star%20Lake%20photo%20from%20parking%20area.jpg</x:v>
      </x:c>
    </x:row>
    <x:row r="619" ht="48" customHeight="1">
      <x:c r="A619" s="8" t="str">
        <x:v>Stenton Lake</x:v>
      </x:c>
      <x:c r="B619" s="8" t="str">
        <x:v>5901</x:v>
      </x:c>
      <x:c r="C619" s="11" t="str">
        <x:v>Stenton lake againt the mountain</x:v>
      </x:c>
      <x:c r="D619" s="15" t="str">
        <x:f>IFERROR(HYPERLINK("https://mywildalberta.ca/fishing/fish-stocking/fsm-images/Stenton%20Lake/Stenton%20lake%20againt%20the%20mountain.jpg","https://mywildalberta.ca/fishing/fish-stocking/fsm-images/Stenton%20Lake/Stenton%20lake%20againt%20the%20mountain.jpg"),"https://mywildalberta.ca/fishing/fish-stocking/fsm-images/Stenton%20Lake/Stenton%20lake%20againt%20the%20mountain.jpg")</x:f>
        <x:v>https://mywildalberta.ca/fishing/fish-stocking/fsm-images/Stenton%20Lake/Stenton%20lake%20againt%20the%20mountain.jpg</x:v>
      </x:c>
    </x:row>
    <x:row r="620" ht="48" customHeight="1">
      <x:c r="A620" s="8" t="str">
        <x:v>Stenton Lake</x:v>
      </x:c>
      <x:c r="B620" s="8" t="str">
        <x:v>5901</x:v>
      </x:c>
      <x:c r="C620" s="11" t="str">
        <x:v>Stenton Lake long view of lake</x:v>
      </x:c>
      <x:c r="D620" s="15" t="str">
        <x:f>IFERROR(HYPERLINK("https://mywildalberta.ca/fishing/fish-stocking/fsm-images/Stenton%20Lake/Stenton%20Lake%20long%20view%20of%20lake.jpg","https://mywildalberta.ca/fishing/fish-stocking/fsm-images/Stenton%20Lake/Stenton%20Lake%20long%20view%20of%20lake.jpg"),"https://mywildalberta.ca/fishing/fish-stocking/fsm-images/Stenton%20Lake/Stenton%20Lake%20long%20view%20of%20lake.jpg")</x:f>
        <x:v>https://mywildalberta.ca/fishing/fish-stocking/fsm-images/Stenton%20Lake/Stenton%20Lake%20long%20view%20of%20lake.jpg</x:v>
      </x:c>
    </x:row>
    <x:row r="621" ht="48" customHeight="1">
      <x:c r="A621" s="8" t="str">
        <x:v>Stenton Lake</x:v>
      </x:c>
      <x:c r="B621" s="8" t="str">
        <x:v>5901</x:v>
      </x:c>
      <x:c r="C621" s="11" t="str">
        <x:v>Stenton Lake</x:v>
      </x:c>
      <x:c r="D621" s="15" t="str">
        <x:f>IFERROR(HYPERLINK("https://mywildalberta.ca/fishing/fish-stocking/fsm-images/Stenton%20Lake/Stenton%20Lake.jpg","https://mywildalberta.ca/fishing/fish-stocking/fsm-images/Stenton%20Lake/Stenton%20Lake.jpg"),"https://mywildalberta.ca/fishing/fish-stocking/fsm-images/Stenton%20Lake/Stenton%20Lake.jpg")</x:f>
        <x:v>https://mywildalberta.ca/fishing/fish-stocking/fsm-images/Stenton%20Lake/Stenton%20Lake.jpg</x:v>
      </x:c>
    </x:row>
    <x:row r="622" ht="48" customHeight="1">
      <x:c r="A622" s="8" t="str">
        <x:v>Stoney Lake</x:v>
      </x:c>
      <x:c r="B622" s="8" t="str">
        <x:v>6684</x:v>
      </x:c>
      <x:c r="C622" s="11" t="str">
        <x:v>Montaganeusse lake</x:v>
      </x:c>
      <x:c r="D622" s="15" t="str">
        <x:f>IFERROR(HYPERLINK("https://mywildalberta.ca/fishing/fish-stocking/fsm-images/Stoney%20Lake/Montaganeusse%20lake.jpg","https://mywildalberta.ca/fishing/fish-stocking/fsm-images/Stoney%20Lake/Montaganeusse%20lake.jpg"),"https://mywildalberta.ca/fishing/fish-stocking/fsm-images/Stoney%20Lake/Montaganeusse%20lake.jpg")</x:f>
        <x:v>https://mywildalberta.ca/fishing/fish-stocking/fsm-images/Stoney%20Lake/Montaganeusse%20lake.jpg</x:v>
      </x:c>
    </x:row>
    <x:row r="623" ht="48" customHeight="1">
      <x:c r="A623" s="8" t="str">
        <x:v>Stoney Lake</x:v>
      </x:c>
      <x:c r="B623" s="8" t="str">
        <x:v>6684</x:v>
      </x:c>
      <x:c r="C623" s="11" t="str">
        <x:v>Montagneuse Lake</x:v>
      </x:c>
      <x:c r="D623" s="15" t="str">
        <x:f>IFERROR(HYPERLINK("https://mywildalberta.ca/fishing/fish-stocking/fsm-images/Stoney%20Lake/Montagneuse%20Lake.jpg","https://mywildalberta.ca/fishing/fish-stocking/fsm-images/Stoney%20Lake/Montagneuse%20Lake.jpg"),"https://mywildalberta.ca/fishing/fish-stocking/fsm-images/Stoney%20Lake/Montagneuse%20Lake.jpg")</x:f>
        <x:v>https://mywildalberta.ca/fishing/fish-stocking/fsm-images/Stoney%20Lake/Montagneuse%20Lake.jpg</x:v>
      </x:c>
    </x:row>
    <x:row r="624" ht="48" customHeight="1">
      <x:c r="A624" s="8" t="str">
        <x:v>Strubel Lake</x:v>
      </x:c>
      <x:c r="B624" s="8" t="str">
        <x:v>5919</x:v>
      </x:c>
      <x:c r="C624" s="11" t="str">
        <x:v>Boat Launch</x:v>
      </x:c>
      <x:c r="D624" s="15" t="str">
        <x:f>IFERROR(HYPERLINK("https://mywildalberta.ca/fishing/fish-stocking/fsm-images/Strubel%20Lake/Boat%20Launch.jpg","https://mywildalberta.ca/fishing/fish-stocking/fsm-images/Strubel%20Lake/Boat%20Launch.jpg"),"https://mywildalberta.ca/fishing/fish-stocking/fsm-images/Strubel%20Lake/Boat%20Launch.jpg")</x:f>
        <x:v>https://mywildalberta.ca/fishing/fish-stocking/fsm-images/Strubel%20Lake/Boat%20Launch.jpg</x:v>
      </x:c>
    </x:row>
    <x:row r="625" ht="48" customHeight="1">
      <x:c r="A625" s="8" t="str">
        <x:v>Strubel Lake</x:v>
      </x:c>
      <x:c r="B625" s="8" t="str">
        <x:v>5919</x:v>
      </x:c>
      <x:c r="C625" s="11" t="str">
        <x:v>Dock</x:v>
      </x:c>
      <x:c r="D625" s="15" t="str">
        <x:f>IFERROR(HYPERLINK("https://mywildalberta.ca/fishing/fish-stocking/fsm-images/Strubel%20Lake/Dock.jpg","https://mywildalberta.ca/fishing/fish-stocking/fsm-images/Strubel%20Lake/Dock.jpg"),"https://mywildalberta.ca/fishing/fish-stocking/fsm-images/Strubel%20Lake/Dock.jpg")</x:f>
        <x:v>https://mywildalberta.ca/fishing/fish-stocking/fsm-images/Strubel%20Lake/Dock.jpg</x:v>
      </x:c>
    </x:row>
    <x:row r="626" ht="48" customHeight="1">
      <x:c r="A626" s="8" t="str">
        <x:v>Strubel Lake</x:v>
      </x:c>
      <x:c r="B626" s="8" t="str">
        <x:v>5919</x:v>
      </x:c>
      <x:c r="C626" s="11" t="str">
        <x:v>Open Water View</x:v>
      </x:c>
      <x:c r="D626" s="15" t="str">
        <x:f>IFERROR(HYPERLINK("https://mywildalberta.ca/fishing/fish-stocking/fsm-images/Strubel%20Lake/Open%20Water%20View.jpg","https://mywildalberta.ca/fishing/fish-stocking/fsm-images/Strubel%20Lake/Open%20Water%20View.jpg"),"https://mywildalberta.ca/fishing/fish-stocking/fsm-images/Strubel%20Lake/Open%20Water%20View.jpg")</x:f>
        <x:v>https://mywildalberta.ca/fishing/fish-stocking/fsm-images/Strubel%20Lake/Open%20Water%20View.jpg</x:v>
      </x:c>
    </x:row>
    <x:row r="627" ht="48" customHeight="1">
      <x:c r="A627" s="8" t="str">
        <x:v>Strubel Lake</x:v>
      </x:c>
      <x:c r="B627" s="8" t="str">
        <x:v>5919</x:v>
      </x:c>
      <x:c r="C627" s="11" t="str">
        <x:v>View from Dock</x:v>
      </x:c>
      <x:c r="D627" s="15" t="str">
        <x:f>IFERROR(HYPERLINK("https://mywildalberta.ca/fishing/fish-stocking/fsm-images/Strubel%20Lake/View%20from%20Dock.jpg","https://mywildalberta.ca/fishing/fish-stocking/fsm-images/Strubel%20Lake/View%20from%20Dock.jpg"),"https://mywildalberta.ca/fishing/fish-stocking/fsm-images/Strubel%20Lake/View%20from%20Dock.jpg")</x:f>
        <x:v>https://mywildalberta.ca/fishing/fish-stocking/fsm-images/Strubel%20Lake/View%20from%20Dock.jpg</x:v>
      </x:c>
    </x:row>
    <x:row r="628" ht="48" customHeight="1">
      <x:c r="A628" s="8" t="str">
        <x:v>Strubel Lake</x:v>
      </x:c>
      <x:c r="B628" s="8" t="str">
        <x:v>5919</x:v>
      </x:c>
      <x:c r="C628" s="11" t="str">
        <x:v>View from shore</x:v>
      </x:c>
      <x:c r="D628" s="15" t="str">
        <x:f>IFERROR(HYPERLINK("https://mywildalberta.ca/fishing/fish-stocking/fsm-images/Strubel%20Lake/View%20from%20shore.jpg","https://mywildalberta.ca/fishing/fish-stocking/fsm-images/Strubel%20Lake/View%20from%20shore.jpg"),"https://mywildalberta.ca/fishing/fish-stocking/fsm-images/Strubel%20Lake/View%20from%20shore.jpg")</x:f>
        <x:v>https://mywildalberta.ca/fishing/fish-stocking/fsm-images/Strubel%20Lake/View%20from%20shore.jpg</x:v>
      </x:c>
    </x:row>
    <x:row r="629" ht="48" customHeight="1">
      <x:c r="A629" s="8" t="str">
        <x:v>Strubel Lake</x:v>
      </x:c>
      <x:c r="B629" s="8" t="str">
        <x:v>5919</x:v>
      </x:c>
      <x:c r="C629" s="11" t="str">
        <x:v>Washroom Facilities</x:v>
      </x:c>
      <x:c r="D629" s="15" t="str">
        <x:f>IFERROR(HYPERLINK("https://mywildalberta.ca/fishing/fish-stocking/fsm-images/Strubel%20Lake/Washroom%20Facilities.jpg","https://mywildalberta.ca/fishing/fish-stocking/fsm-images/Strubel%20Lake/Washroom%20Facilities.jpg"),"https://mywildalberta.ca/fishing/fish-stocking/fsm-images/Strubel%20Lake/Washroom%20Facilities.jpg")</x:f>
        <x:v>https://mywildalberta.ca/fishing/fish-stocking/fsm-images/Strubel%20Lake/Washroom%20Facilities.jpg</x:v>
      </x:c>
    </x:row>
    <x:row r="630" ht="48" customHeight="1">
      <x:c r="A630" s="8" t="str">
        <x:v>Sulphur Lake</x:v>
      </x:c>
      <x:c r="B630" s="8" t="str">
        <x:v>5929</x:v>
      </x:c>
      <x:c r="C630" s="11" t="str">
        <x:v>Sulphur (1)</x:v>
      </x:c>
      <x:c r="D630" s="15" t="str">
        <x:f>IFERROR(HYPERLINK("https://mywildalberta.ca/fishing/fish-stocking/fsm-images/Sulphur%20Lake/Sulphur%20(1).jpg","https://mywildalberta.ca/fishing/fish-stocking/fsm-images/Sulphur%20Lake/Sulphur%20(1).jpg"),"https://mywildalberta.ca/fishing/fish-stocking/fsm-images/Sulphur%20Lake/Sulphur%20(1).jpg")</x:f>
        <x:v>https://mywildalberta.ca/fishing/fish-stocking/fsm-images/Sulphur%20Lake/Sulphur%20(1).jpg</x:v>
      </x:c>
    </x:row>
    <x:row r="631" ht="48" customHeight="1">
      <x:c r="A631" s="8" t="str">
        <x:v>Swan Lake</x:v>
      </x:c>
      <x:c r="B631" s="8" t="str">
        <x:v>5944</x:v>
      </x:c>
      <x:c r="C631" s="11" t="str">
        <x:v>Swan Lake during dusk</x:v>
      </x:c>
      <x:c r="D631" s="15" t="str">
        <x:f>IFERROR(HYPERLINK("https://mywildalberta.ca/fishing/fish-stocking/fsm-images/Swan%20Lake/Swan%20Lake%20during%20dusk.JPG","https://mywildalberta.ca/fishing/fish-stocking/fsm-images/Swan%20Lake/Swan%20Lake%20during%20dusk.JPG"),"https://mywildalberta.ca/fishing/fish-stocking/fsm-images/Swan%20Lake/Swan%20Lake%20during%20dusk.JPG")</x:f>
        <x:v>https://mywildalberta.ca/fishing/fish-stocking/fsm-images/Swan%20Lake/Swan%20Lake%20during%20dusk.JPG</x:v>
      </x:c>
    </x:row>
    <x:row r="632" ht="48" customHeight="1">
      <x:c r="A632" s="8" t="str">
        <x:v>Swan Lake</x:v>
      </x:c>
      <x:c r="B632" s="8" t="str">
        <x:v>5944</x:v>
      </x:c>
      <x:c r="C632" s="11" t="str">
        <x:v>Swan Lake information sign</x:v>
      </x:c>
      <x:c r="D632" s="15" t="str">
        <x:f>IFERROR(HYPERLINK("https://mywildalberta.ca/fishing/fish-stocking/fsm-images/Swan%20Lake/Swan%20Lake%20information%20sign.JPG","https://mywildalberta.ca/fishing/fish-stocking/fsm-images/Swan%20Lake/Swan%20Lake%20information%20sign.JPG"),"https://mywildalberta.ca/fishing/fish-stocking/fsm-images/Swan%20Lake/Swan%20Lake%20information%20sign.JPG")</x:f>
        <x:v>https://mywildalberta.ca/fishing/fish-stocking/fsm-images/Swan%20Lake/Swan%20Lake%20information%20sign.JPG</x:v>
      </x:c>
    </x:row>
    <x:row r="633" ht="48" customHeight="1">
      <x:c r="A633" s="8" t="str">
        <x:v>Swan Lake</x:v>
      </x:c>
      <x:c r="B633" s="8" t="str">
        <x:v>5944</x:v>
      </x:c>
      <x:c r="C633" s="11" t="str">
        <x:v>Swan Lake on a cloudy day</x:v>
      </x:c>
      <x:c r="D633" s="15" t="str">
        <x:f>IFERROR(HYPERLINK("https://mywildalberta.ca/fishing/fish-stocking/fsm-images/Swan%20Lake/Swan%20Lake%20on%20a%20cloudy%20day.JPG","https://mywildalberta.ca/fishing/fish-stocking/fsm-images/Swan%20Lake/Swan%20Lake%20on%20a%20cloudy%20day.JPG"),"https://mywildalberta.ca/fishing/fish-stocking/fsm-images/Swan%20Lake/Swan%20Lake%20on%20a%20cloudy%20day.JPG")</x:f>
        <x:v>https://mywildalberta.ca/fishing/fish-stocking/fsm-images/Swan%20Lake/Swan%20Lake%20on%20a%20cloudy%20day.JPG</x:v>
      </x:c>
    </x:row>
    <x:row r="634" ht="48" customHeight="1">
      <x:c r="A634" s="8" t="str">
        <x:v>Swan Lake</x:v>
      </x:c>
      <x:c r="B634" s="8" t="str">
        <x:v>5944</x:v>
      </x:c>
      <x:c r="C634" s="11" t="str">
        <x:v>Swan Lake parking area and facilities</x:v>
      </x:c>
      <x:c r="D634" s="15" t="str">
        <x:f>IFERROR(HYPERLINK("https://mywildalberta.ca/fishing/fish-stocking/fsm-images/Swan%20Lake/Swan%20Lake%20parking%20area%20and%20facilities.JPG","https://mywildalberta.ca/fishing/fish-stocking/fsm-images/Swan%20Lake/Swan%20Lake%20parking%20area%20and%20facilities.JPG"),"https://mywildalberta.ca/fishing/fish-stocking/fsm-images/Swan%20Lake/Swan%20Lake%20parking%20area%20and%20facilities.JPG")</x:f>
        <x:v>https://mywildalberta.ca/fishing/fish-stocking/fsm-images/Swan%20Lake/Swan%20Lake%20parking%20area%20and%20facilities.JPG</x:v>
      </x:c>
    </x:row>
    <x:row r="635" ht="48" customHeight="1">
      <x:c r="A635" s="8" t="str">
        <x:v>Sylvan Lake</x:v>
      </x:c>
      <x:c r="B635" s="8" t="str">
        <x:v>5952</x:v>
      </x:c>
      <x:c r="C635" s="11" t="str">
        <x:v>Sylvan Lake peir</x:v>
      </x:c>
      <x:c r="D635" s="15" t="str">
        <x:f>IFERROR(HYPERLINK("https://mywildalberta.ca/fishing/fish-stocking/fsm-images/Sylvan%20Lake/Sylvan%20Lake%20peir.jpg","https://mywildalberta.ca/fishing/fish-stocking/fsm-images/Sylvan%20Lake/Sylvan%20Lake%20peir.jpg"),"https://mywildalberta.ca/fishing/fish-stocking/fsm-images/Sylvan%20Lake/Sylvan%20Lake%20peir.jpg")</x:f>
        <x:v>https://mywildalberta.ca/fishing/fish-stocking/fsm-images/Sylvan%20Lake/Sylvan%20Lake%20peir.jpg</x:v>
      </x:c>
    </x:row>
    <x:row r="636" ht="48" customHeight="1">
      <x:c r="A636" s="8" t="str">
        <x:v>Tay Lake</x:v>
      </x:c>
      <x:c r="B636" s="8" t="str">
        <x:v>5968</x:v>
      </x:c>
      <x:c r="C636" s="11" t="str">
        <x:v>Tay Lake (1)</x:v>
      </x:c>
      <x:c r="D636" s="15" t="str">
        <x:f>IFERROR(HYPERLINK("https://mywildalberta.ca/fishing/fish-stocking/fsm-images/Tay%20Lake/Tay%20Lake%20(1).jpg","https://mywildalberta.ca/fishing/fish-stocking/fsm-images/Tay%20Lake/Tay%20Lake%20(1).jpg"),"https://mywildalberta.ca/fishing/fish-stocking/fsm-images/Tay%20Lake/Tay%20Lake%20(1).jpg")</x:f>
        <x:v>https://mywildalberta.ca/fishing/fish-stocking/fsm-images/Tay%20Lake/Tay%20Lake%20(1).jpg</x:v>
      </x:c>
    </x:row>
    <x:row r="637" ht="48" customHeight="1">
      <x:c r="A637" s="8" t="str">
        <x:v>Texaco East Pond</x:v>
      </x:c>
      <x:c r="B637" s="8" t="str">
        <x:v>6636</x:v>
      </x:c>
      <x:c r="C637" s="11" t="str">
        <x:v>Texaco  East Pond from shore</x:v>
      </x:c>
      <x:c r="D637" s="15" t="str">
        <x:f>IFERROR(HYPERLINK("https://mywildalberta.ca/fishing/fish-stocking/fsm-images/Texaco%20East%20Pond/Texaco%20%20East%20Pond%20from%20shore.jpg","https://mywildalberta.ca/fishing/fish-stocking/fsm-images/Texaco%20East%20Pond/Texaco%20%20East%20Pond%20from%20shore.jpg"),"https://mywildalberta.ca/fishing/fish-stocking/fsm-images/Texaco%20East%20Pond/Texaco%20%20East%20Pond%20from%20shore.jpg")</x:f>
        <x:v>https://mywildalberta.ca/fishing/fish-stocking/fsm-images/Texaco%20East%20Pond/Texaco%20%20East%20Pond%20from%20shore.jpg</x:v>
      </x:c>
    </x:row>
    <x:row r="638" ht="48" customHeight="1">
      <x:c r="A638" s="8" t="str">
        <x:v>Texaco Pond</x:v>
      </x:c>
      <x:c r="B638" s="8" t="str">
        <x:v>6637</x:v>
      </x:c>
      <x:c r="C638" s="11" t="str">
        <x:v>Texaco Pond (1)</x:v>
      </x:c>
      <x:c r="D638" s="15" t="str">
        <x:f>IFERROR(HYPERLINK("https://mywildalberta.ca/fishing/fish-stocking/fsm-images/Texaco%20Pond/Texaco%20Pond%20(1).jpg","https://mywildalberta.ca/fishing/fish-stocking/fsm-images/Texaco%20Pond/Texaco%20Pond%20(1).jpg"),"https://mywildalberta.ca/fishing/fish-stocking/fsm-images/Texaco%20Pond/Texaco%20Pond%20(1).jpg")</x:f>
        <x:v>https://mywildalberta.ca/fishing/fish-stocking/fsm-images/Texaco%20Pond/Texaco%20Pond%20(1).jpg</x:v>
      </x:c>
    </x:row>
    <x:row r="639" ht="48" customHeight="1">
      <x:c r="A639" s="8" t="str">
        <x:v>Texaco Pond</x:v>
      </x:c>
      <x:c r="B639" s="8" t="str">
        <x:v>6637</x:v>
      </x:c>
      <x:c r="C639" s="11" t="str">
        <x:v>Texaco Pond (2)</x:v>
      </x:c>
      <x:c r="D639" s="15" t="str">
        <x:f>IFERROR(HYPERLINK("https://mywildalberta.ca/fishing/fish-stocking/fsm-images/Texaco%20Pond/Texaco%20Pond%20(2).jpg","https://mywildalberta.ca/fishing/fish-stocking/fsm-images/Texaco%20Pond/Texaco%20Pond%20(2).jpg"),"https://mywildalberta.ca/fishing/fish-stocking/fsm-images/Texaco%20Pond/Texaco%20Pond%20(2).jpg")</x:f>
        <x:v>https://mywildalberta.ca/fishing/fish-stocking/fsm-images/Texaco%20Pond/Texaco%20Pond%20(2).jpg</x:v>
      </x:c>
    </x:row>
    <x:row r="640" ht="48" customHeight="1">
      <x:c r="A640" s="8" t="str">
        <x:v>Three Isle Lake</x:v>
      </x:c>
      <x:c r="B640" s="8" t="str">
        <x:v>5990</x:v>
      </x:c>
      <x:c r="C640" s="11" t="str">
        <x:v>Three isle lake fom a distance</x:v>
      </x:c>
      <x:c r="D640" s="15" t="str">
        <x:f>IFERROR(HYPERLINK("https://mywildalberta.ca/fishing/fish-stocking/fsm-images/Three%20Isle%20Lake/Three%20isle%20lake%20fom%20a%20distance.jpg","https://mywildalberta.ca/fishing/fish-stocking/fsm-images/Three%20Isle%20Lake/Three%20isle%20lake%20fom%20a%20distance.jpg"),"https://mywildalberta.ca/fishing/fish-stocking/fsm-images/Three%20Isle%20Lake/Three%20isle%20lake%20fom%20a%20distance.jpg")</x:f>
        <x:v>https://mywildalberta.ca/fishing/fish-stocking/fsm-images/Three%20Isle%20Lake/Three%20isle%20lake%20fom%20a%20distance.jpg</x:v>
      </x:c>
    </x:row>
    <x:row r="641" ht="48" customHeight="1">
      <x:c r="A641" s="8" t="str">
        <x:v>Travers Reservoir</x:v>
      </x:c>
      <x:c r="B641" s="8" t="str">
        <x:v>3537</x:v>
      </x:c>
      <x:c r="C641" s="11" t="str">
        <x:v>Travers Reservoir</x:v>
      </x:c>
      <x:c r="D641" s="15" t="str">
        <x:f>IFERROR(HYPERLINK("https://mywildalberta.ca/fishing/fish-stocking/fsm-images/Travers%20Reservoir/Travers%20Reservoir.jpg","https://mywildalberta.ca/fishing/fish-stocking/fsm-images/Travers%20Reservoir/Travers%20Reservoir.jpg"),"https://mywildalberta.ca/fishing/fish-stocking/fsm-images/Travers%20Reservoir/Travers%20Reservoir.jpg")</x:f>
        <x:v>https://mywildalberta.ca/fishing/fish-stocking/fsm-images/Travers%20Reservoir/Travers%20Reservoir.jpg</x:v>
      </x:c>
    </x:row>
    <x:row r="642" ht="48" customHeight="1">
      <x:c r="A642" s="8" t="str">
        <x:v>Twin Lakes</x:v>
      </x:c>
      <x:c r="B642" s="8" t="str">
        <x:v>6039</x:v>
      </x:c>
      <x:c r="C642" s="11" t="str">
        <x:v>Twin Lakes boat dock and fishing peir</x:v>
      </x:c>
      <x:c r="D642" s="15" t="str">
        <x:f>IFERROR(HYPERLINK("https://mywildalberta.ca/fishing/fish-stocking/fsm-images/Twin%20Lakes/Twin%20Lakes%20boat%20dock%20and%20fishing%20peir.jpg","https://mywildalberta.ca/fishing/fish-stocking/fsm-images/Twin%20Lakes/Twin%20Lakes%20boat%20dock%20and%20fishing%20peir.jpg"),"https://mywildalberta.ca/fishing/fish-stocking/fsm-images/Twin%20Lakes/Twin%20Lakes%20boat%20dock%20and%20fishing%20peir.jpg")</x:f>
        <x:v>https://mywildalberta.ca/fishing/fish-stocking/fsm-images/Twin%20Lakes/Twin%20Lakes%20boat%20dock%20and%20fishing%20peir.jpg</x:v>
      </x:c>
    </x:row>
    <x:row r="643" ht="48" customHeight="1">
      <x:c r="A643" s="8" t="str">
        <x:v>Twin Lakes</x:v>
      </x:c>
      <x:c r="B643" s="8" t="str">
        <x:v>6039</x:v>
      </x:c>
      <x:c r="C643" s="11" t="str">
        <x:v>Twin Lakes lake scenery</x:v>
      </x:c>
      <x:c r="D643" s="15" t="str">
        <x:f>IFERROR(HYPERLINK("https://mywildalberta.ca/fishing/fish-stocking/fsm-images/Twin%20Lakes/Twin%20Lakes%20lake%20scenery.jpg","https://mywildalberta.ca/fishing/fish-stocking/fsm-images/Twin%20Lakes/Twin%20Lakes%20lake%20scenery.jpg"),"https://mywildalberta.ca/fishing/fish-stocking/fsm-images/Twin%20Lakes/Twin%20Lakes%20lake%20scenery.jpg")</x:f>
        <x:v>https://mywildalberta.ca/fishing/fish-stocking/fsm-images/Twin%20Lakes/Twin%20Lakes%20lake%20scenery.jpg</x:v>
      </x:c>
    </x:row>
    <x:row r="644" ht="48" customHeight="1">
      <x:c r="A644" s="8" t="str">
        <x:v>Upper Champion Lake</x:v>
      </x:c>
      <x:c r="B644" s="8" t="str">
        <x:v>6607</x:v>
      </x:c>
      <x:c r="C644" s="11" t="str">
        <x:v>Upper Champion (1)</x:v>
      </x:c>
      <x:c r="D644" s="15" t="str">
        <x:f>IFERROR(HYPERLINK("https://mywildalberta.ca/fishing/fish-stocking/fsm-images/Upper%20Champion%20Lake/Upper%20Champion%20(1).JPG","https://mywildalberta.ca/fishing/fish-stocking/fsm-images/Upper%20Champion%20Lake/Upper%20Champion%20(1).JPG"),"https://mywildalberta.ca/fishing/fish-stocking/fsm-images/Upper%20Champion%20Lake/Upper%20Champion%20(1).JPG")</x:f>
        <x:v>https://mywildalberta.ca/fishing/fish-stocking/fsm-images/Upper%20Champion%20Lake/Upper%20Champion%20(1).JPG</x:v>
      </x:c>
    </x:row>
    <x:row r="645" ht="48" customHeight="1">
      <x:c r="A645" s="8" t="str">
        <x:v>Upper Champion Lake</x:v>
      </x:c>
      <x:c r="B645" s="8" t="str">
        <x:v>6607</x:v>
      </x:c>
      <x:c r="C645" s="11" t="str">
        <x:v>Upper Champion (2)</x:v>
      </x:c>
      <x:c r="D645" s="15" t="str">
        <x:f>IFERROR(HYPERLINK("https://mywildalberta.ca/fishing/fish-stocking/fsm-images/Upper%20Champion%20Lake/Upper%20Champion%20(2).JPG","https://mywildalberta.ca/fishing/fish-stocking/fsm-images/Upper%20Champion%20Lake/Upper%20Champion%20(2).JPG"),"https://mywildalberta.ca/fishing/fish-stocking/fsm-images/Upper%20Champion%20Lake/Upper%20Champion%20(2).JPG")</x:f>
        <x:v>https://mywildalberta.ca/fishing/fish-stocking/fsm-images/Upper%20Champion%20Lake/Upper%20Champion%20(2).JPG</x:v>
      </x:c>
    </x:row>
    <x:row r="646" ht="48" customHeight="1">
      <x:c r="A646" s="8" t="str">
        <x:v>Upper Kananaskis Lake</x:v>
      </x:c>
      <x:c r="B646" s="8" t="str">
        <x:v>6061</x:v>
      </x:c>
      <x:c r="C646" s="11" t="str">
        <x:v>UpperKan (1)</x:v>
      </x:c>
      <x:c r="D646" s="15" t="str">
        <x:f>IFERROR(HYPERLINK("https://mywildalberta.ca/fishing/fish-stocking/fsm-images/Upper%20Kananaskis%20Lake/UpperKan%20(1).jpg","https://mywildalberta.ca/fishing/fish-stocking/fsm-images/Upper%20Kananaskis%20Lake/UpperKan%20(1).jpg"),"https://mywildalberta.ca/fishing/fish-stocking/fsm-images/Upper%20Kananaskis%20Lake/UpperKan%20(1).jpg")</x:f>
        <x:v>https://mywildalberta.ca/fishing/fish-stocking/fsm-images/Upper%20Kananaskis%20Lake/UpperKan%20(1).jpg</x:v>
      </x:c>
    </x:row>
    <x:row r="647" ht="48" customHeight="1">
      <x:c r="A647" s="8" t="str">
        <x:v>Upper Kananaskis Lake</x:v>
      </x:c>
      <x:c r="B647" s="8" t="str">
        <x:v>6061</x:v>
      </x:c>
      <x:c r="C647" s="11" t="str">
        <x:v>UpperKan (2)</x:v>
      </x:c>
      <x:c r="D647" s="15" t="str">
        <x:f>IFERROR(HYPERLINK("https://mywildalberta.ca/fishing/fish-stocking/fsm-images/Upper%20Kananaskis%20Lake/UpperKan%20(2).jpg","https://mywildalberta.ca/fishing/fish-stocking/fsm-images/Upper%20Kananaskis%20Lake/UpperKan%20(2).jpg"),"https://mywildalberta.ca/fishing/fish-stocking/fsm-images/Upper%20Kananaskis%20Lake/UpperKan%20(2).jpg")</x:f>
        <x:v>https://mywildalberta.ca/fishing/fish-stocking/fsm-images/Upper%20Kananaskis%20Lake/UpperKan%20(2).jpg</x:v>
      </x:c>
    </x:row>
    <x:row r="648" ht="48" customHeight="1">
      <x:c r="A648" s="8" t="str">
        <x:v>Upper Smuts Lake</x:v>
      </x:c>
      <x:c r="B648" s="8" t="str">
        <x:v>6606</x:v>
      </x:c>
      <x:c r="C648" s="11" t="str">
        <x:v>Upper Smuts Lake (1)</x:v>
      </x:c>
      <x:c r="D648" s="15" t="str">
        <x:f>IFERROR(HYPERLINK("https://mywildalberta.ca/fishing/fish-stocking/fsm-images/Upper%20Smuts%20Lake/Upper%20Smuts%20Lake%20(1).jpg","https://mywildalberta.ca/fishing/fish-stocking/fsm-images/Upper%20Smuts%20Lake/Upper%20Smuts%20Lake%20(1).jpg"),"https://mywildalberta.ca/fishing/fish-stocking/fsm-images/Upper%20Smuts%20Lake/Upper%20Smuts%20Lake%20(1).jpg")</x:f>
        <x:v>https://mywildalberta.ca/fishing/fish-stocking/fsm-images/Upper%20Smuts%20Lake/Upper%20Smuts%20Lake%20(1).jpg</x:v>
      </x:c>
    </x:row>
    <x:row r="649" ht="48" customHeight="1">
      <x:c r="A649" s="8" t="str">
        <x:v>Victor Lake</x:v>
      </x:c>
      <x:c r="B649" s="8" t="str">
        <x:v>6086</x:v>
      </x:c>
      <x:c r="C649" s="11" t="str">
        <x:v>Victor (1)</x:v>
      </x:c>
      <x:c r="D649" s="15" t="str">
        <x:f>IFERROR(HYPERLINK("https://mywildalberta.ca/fishing/fish-stocking/fsm-images/Victor%20Lake/Victor%20(1).jpg","https://mywildalberta.ca/fishing/fish-stocking/fsm-images/Victor%20Lake/Victor%20(1).jpg"),"https://mywildalberta.ca/fishing/fish-stocking/fsm-images/Victor%20Lake/Victor%20(1).jpg")</x:f>
        <x:v>https://mywildalberta.ca/fishing/fish-stocking/fsm-images/Victor%20Lake/Victor%20(1).jpg</x:v>
      </x:c>
    </x:row>
    <x:row r="650" ht="48" customHeight="1">
      <x:c r="A650" s="8" t="str">
        <x:v>Victor Lake</x:v>
      </x:c>
      <x:c r="B650" s="8" t="str">
        <x:v>6086</x:v>
      </x:c>
      <x:c r="C650" s="11" t="str">
        <x:v>Victor Lake winter</x:v>
      </x:c>
      <x:c r="D650" s="15" t="str">
        <x:f>IFERROR(HYPERLINK("https://mywildalberta.ca/fishing/fish-stocking/fsm-images/Victor%20Lake/Victor%20Lake%20winter.jpg","https://mywildalberta.ca/fishing/fish-stocking/fsm-images/Victor%20Lake/Victor%20Lake%20winter.jpg"),"https://mywildalberta.ca/fishing/fish-stocking/fsm-images/Victor%20Lake/Victor%20Lake%20winter.jpg")</x:f>
        <x:v>https://mywildalberta.ca/fishing/fish-stocking/fsm-images/Victor%20Lake/Victor%20Lake%20winter.jpg</x:v>
      </x:c>
    </x:row>
    <x:row r="651" ht="48" customHeight="1">
      <x:c r="A651" s="8" t="str">
        <x:v>Weberville Pond</x:v>
      </x:c>
      <x:c r="B651" s="8" t="str">
        <x:v>6609</x:v>
      </x:c>
      <x:c r="C651" s="11" t="str">
        <x:v>Weberville (2)</x:v>
      </x:c>
      <x:c r="D651" s="15" t="str">
        <x:f>IFERROR(HYPERLINK("https://mywildalberta.ca/fishing/fish-stocking/fsm-images/Weberville%20Pond/Weberville%20(2).jpg","https://mywildalberta.ca/fishing/fish-stocking/fsm-images/Weberville%20Pond/Weberville%20(2).jpg"),"https://mywildalberta.ca/fishing/fish-stocking/fsm-images/Weberville%20Pond/Weberville%20(2).jpg")</x:f>
        <x:v>https://mywildalberta.ca/fishing/fish-stocking/fsm-images/Weberville%20Pond/Weberville%20(2).jpg</x:v>
      </x:c>
    </x:row>
    <x:row r="652" ht="48" customHeight="1">
      <x:c r="A652" s="8" t="str">
        <x:v>Weberville Pond</x:v>
      </x:c>
      <x:c r="B652" s="8" t="str">
        <x:v>6609</x:v>
      </x:c>
      <x:c r="C652" s="11" t="str">
        <x:v>Weberville picnic area</x:v>
      </x:c>
      <x:c r="D652" s="15" t="str">
        <x:f>IFERROR(HYPERLINK("https://mywildalberta.ca/fishing/fish-stocking/fsm-images/Weberville%20Pond/Weberville%20picnic%20area.jpg","https://mywildalberta.ca/fishing/fish-stocking/fsm-images/Weberville%20Pond/Weberville%20picnic%20area.jpg"),"https://mywildalberta.ca/fishing/fish-stocking/fsm-images/Weberville%20Pond/Weberville%20picnic%20area.jpg")</x:f>
        <x:v>https://mywildalberta.ca/fishing/fish-stocking/fsm-images/Weberville%20Pond/Weberville%20picnic%20area.jpg</x:v>
      </x:c>
    </x:row>
    <x:row r="653" ht="48" customHeight="1">
      <x:c r="A653" s="8" t="str">
        <x:v>West Dollar Lake</x:v>
      </x:c>
      <x:c r="B653" s="8" t="str">
        <x:v>6524</x:v>
      </x:c>
      <x:c r="C653" s="11" t="str">
        <x:v>Bank View (2)</x:v>
      </x:c>
      <x:c r="D653" s="15" t="str">
        <x:f>IFERROR(HYPERLINK("https://mywildalberta.ca/fishing/fish-stocking/fsm-images/West%20Dollar%20Lake/Bank%20View%20(2).jpg","https://mywildalberta.ca/fishing/fish-stocking/fsm-images/West%20Dollar%20Lake/Bank%20View%20(2).jpg"),"https://mywildalberta.ca/fishing/fish-stocking/fsm-images/West%20Dollar%20Lake/Bank%20View%20(2).jpg")</x:f>
        <x:v>https://mywildalberta.ca/fishing/fish-stocking/fsm-images/West%20Dollar%20Lake/Bank%20View%20(2).jpg</x:v>
      </x:c>
    </x:row>
    <x:row r="654" ht="48" customHeight="1">
      <x:c r="A654" s="8" t="str">
        <x:v>West Dollar Lake</x:v>
      </x:c>
      <x:c r="B654" s="8" t="str">
        <x:v>6524</x:v>
      </x:c>
      <x:c r="C654" s="11" t="str">
        <x:v>Bank View (3)</x:v>
      </x:c>
      <x:c r="D654" s="15" t="str">
        <x:f>IFERROR(HYPERLINK("https://mywildalberta.ca/fishing/fish-stocking/fsm-images/West%20Dollar%20Lake/Bank%20View%20(3).jpg","https://mywildalberta.ca/fishing/fish-stocking/fsm-images/West%20Dollar%20Lake/Bank%20View%20(3).jpg"),"https://mywildalberta.ca/fishing/fish-stocking/fsm-images/West%20Dollar%20Lake/Bank%20View%20(3).jpg")</x:f>
        <x:v>https://mywildalberta.ca/fishing/fish-stocking/fsm-images/West%20Dollar%20Lake/Bank%20View%20(3).jpg</x:v>
      </x:c>
    </x:row>
    <x:row r="655" ht="48" customHeight="1">
      <x:c r="A655" s="8" t="str">
        <x:v>West Dollar Lake</x:v>
      </x:c>
      <x:c r="B655" s="8" t="str">
        <x:v>6524</x:v>
      </x:c>
      <x:c r="C655" s="11" t="str">
        <x:v>Bank View</x:v>
      </x:c>
      <x:c r="D655" s="15" t="str">
        <x:f>IFERROR(HYPERLINK("https://mywildalberta.ca/fishing/fish-stocking/fsm-images/West%20Dollar%20Lake/Bank%20View.jpg","https://mywildalberta.ca/fishing/fish-stocking/fsm-images/West%20Dollar%20Lake/Bank%20View.jpg"),"https://mywildalberta.ca/fishing/fish-stocking/fsm-images/West%20Dollar%20Lake/Bank%20View.jpg")</x:f>
        <x:v>https://mywildalberta.ca/fishing/fish-stocking/fsm-images/West%20Dollar%20Lake/Bank%20View.jpg</x:v>
      </x:c>
    </x:row>
    <x:row r="656" ht="48" customHeight="1">
      <x:c r="A656" s="8" t="str">
        <x:v>West Dollar Lake</x:v>
      </x:c>
      <x:c r="B656" s="8" t="str">
        <x:v>6524</x:v>
      </x:c>
      <x:c r="C656" s="11" t="str">
        <x:v>Dock and Lake View</x:v>
      </x:c>
      <x:c r="D656" s="15" t="str">
        <x:f>IFERROR(HYPERLINK("https://mywildalberta.ca/fishing/fish-stocking/fsm-images/West%20Dollar%20Lake/Dock%20and%20Lake%20View.jpg","https://mywildalberta.ca/fishing/fish-stocking/fsm-images/West%20Dollar%20Lake/Dock%20and%20Lake%20View.jpg"),"https://mywildalberta.ca/fishing/fish-stocking/fsm-images/West%20Dollar%20Lake/Dock%20and%20Lake%20View.jpg")</x:f>
        <x:v>https://mywildalberta.ca/fishing/fish-stocking/fsm-images/West%20Dollar%20Lake/Dock%20and%20Lake%20View.jpg</x:v>
      </x:c>
    </x:row>
    <x:row r="657" ht="48" customHeight="1">
      <x:c r="A657" s="8" t="str">
        <x:v>West Dollar Lake</x:v>
      </x:c>
      <x:c r="B657" s="8" t="str">
        <x:v>6524</x:v>
      </x:c>
      <x:c r="C657" s="11" t="str">
        <x:v>Dollar Lake Information Sign</x:v>
      </x:c>
      <x:c r="D657" s="15" t="str">
        <x:f>IFERROR(HYPERLINK("https://mywildalberta.ca/fishing/fish-stocking/fsm-images/West%20Dollar%20Lake/Dollar%20Lake%20Information%20Sign.jpg","https://mywildalberta.ca/fishing/fish-stocking/fsm-images/West%20Dollar%20Lake/Dollar%20Lake%20Information%20Sign.jpg"),"https://mywildalberta.ca/fishing/fish-stocking/fsm-images/West%20Dollar%20Lake/Dollar%20Lake%20Information%20Sign.jpg")</x:f>
        <x:v>https://mywildalberta.ca/fishing/fish-stocking/fsm-images/West%20Dollar%20Lake/Dollar%20Lake%20Information%20Sign.jpg</x:v>
      </x:c>
    </x:row>
    <x:row r="658" ht="48" customHeight="1">
      <x:c r="A658" s="8" t="str">
        <x:v>West Dollar Lake</x:v>
      </x:c>
      <x:c r="B658" s="8" t="str">
        <x:v>6524</x:v>
      </x:c>
      <x:c r="C658" s="11" t="str">
        <x:v>Foot Access Trails</x:v>
      </x:c>
      <x:c r="D658" s="15" t="str">
        <x:f>IFERROR(HYPERLINK("https://mywildalberta.ca/fishing/fish-stocking/fsm-images/West%20Dollar%20Lake/Foot%20Access%20Trails.jpg","https://mywildalberta.ca/fishing/fish-stocking/fsm-images/West%20Dollar%20Lake/Foot%20Access%20Trails.jpg"),"https://mywildalberta.ca/fishing/fish-stocking/fsm-images/West%20Dollar%20Lake/Foot%20Access%20Trails.jpg")</x:f>
        <x:v>https://mywildalberta.ca/fishing/fish-stocking/fsm-images/West%20Dollar%20Lake/Foot%20Access%20Trails.jpg</x:v>
      </x:c>
    </x:row>
    <x:row r="659" ht="48" customHeight="1">
      <x:c r="A659" s="8" t="str">
        <x:v>West Dollar Lake</x:v>
      </x:c>
      <x:c r="B659" s="8" t="str">
        <x:v>6524</x:v>
      </x:c>
      <x:c r="C659" s="11" t="str">
        <x:v>lake View</x:v>
      </x:c>
      <x:c r="D659" s="15" t="str">
        <x:f>IFERROR(HYPERLINK("https://mywildalberta.ca/fishing/fish-stocking/fsm-images/West%20Dollar%20Lake/lake%20View.jpg","https://mywildalberta.ca/fishing/fish-stocking/fsm-images/West%20Dollar%20Lake/lake%20View.jpg"),"https://mywildalberta.ca/fishing/fish-stocking/fsm-images/West%20Dollar%20Lake/lake%20View.jpg")</x:f>
        <x:v>https://mywildalberta.ca/fishing/fish-stocking/fsm-images/West%20Dollar%20Lake/lake%20View.jpg</x:v>
      </x:c>
    </x:row>
    <x:row r="660" ht="48" customHeight="1">
      <x:c r="A660" s="8" t="str">
        <x:v>West Dollar Lake</x:v>
      </x:c>
      <x:c r="B660" s="8" t="str">
        <x:v>6524</x:v>
      </x:c>
      <x:c r="C660" s="11" t="str">
        <x:v>Open water view</x:v>
      </x:c>
      <x:c r="D660" s="15" t="str">
        <x:f>IFERROR(HYPERLINK("https://mywildalberta.ca/fishing/fish-stocking/fsm-images/West%20Dollar%20Lake/Open%20water%20view.jpg","https://mywildalberta.ca/fishing/fish-stocking/fsm-images/West%20Dollar%20Lake/Open%20water%20view.jpg"),"https://mywildalberta.ca/fishing/fish-stocking/fsm-images/West%20Dollar%20Lake/Open%20water%20view.jpg")</x:f>
        <x:v>https://mywildalberta.ca/fishing/fish-stocking/fsm-images/West%20Dollar%20Lake/Open%20water%20view.jpg</x:v>
      </x:c>
    </x:row>
    <x:row r="661" ht="48" customHeight="1">
      <x:c r="A661" s="8" t="str">
        <x:v>West Dollar Lake</x:v>
      </x:c>
      <x:c r="B661" s="8" t="str">
        <x:v>6524</x:v>
      </x:c>
      <x:c r="C661" s="11" t="str">
        <x:v>Picnic Table</x:v>
      </x:c>
      <x:c r="D661" s="15" t="str">
        <x:f>IFERROR(HYPERLINK("https://mywildalberta.ca/fishing/fish-stocking/fsm-images/West%20Dollar%20Lake/Picnic%20Table.jpg","https://mywildalberta.ca/fishing/fish-stocking/fsm-images/West%20Dollar%20Lake/Picnic%20Table.jpg"),"https://mywildalberta.ca/fishing/fish-stocking/fsm-images/West%20Dollar%20Lake/Picnic%20Table.jpg")</x:f>
        <x:v>https://mywildalberta.ca/fishing/fish-stocking/fsm-images/West%20Dollar%20Lake/Picnic%20Table.jpg</x:v>
      </x:c>
    </x:row>
    <x:row r="662" ht="48" customHeight="1">
      <x:c r="A662" s="8" t="str">
        <x:v>West Dollar Lake</x:v>
      </x:c>
      <x:c r="B662" s="8" t="str">
        <x:v>6524</x:v>
      </x:c>
      <x:c r="C662" s="11" t="str">
        <x:v>Walking Trail</x:v>
      </x:c>
      <x:c r="D662" s="15" t="str">
        <x:f>IFERROR(HYPERLINK("https://mywildalberta.ca/fishing/fish-stocking/fsm-images/West%20Dollar%20Lake/Walking%20Trail.jpg","https://mywildalberta.ca/fishing/fish-stocking/fsm-images/West%20Dollar%20Lake/Walking%20Trail.jpg"),"https://mywildalberta.ca/fishing/fish-stocking/fsm-images/West%20Dollar%20Lake/Walking%20Trail.jpg")</x:f>
        <x:v>https://mywildalberta.ca/fishing/fish-stocking/fsm-images/West%20Dollar%20Lake/Walking%20Trail.jpg</x:v>
      </x:c>
    </x:row>
    <x:row r="663" ht="48" customHeight="1">
      <x:c r="A663" s="8" t="str">
        <x:v>West Dollar Lake</x:v>
      </x:c>
      <x:c r="B663" s="8" t="str">
        <x:v>6524</x:v>
      </x:c>
      <x:c r="C663" s="11" t="str">
        <x:v>Washroom Facilites (2)</x:v>
      </x:c>
      <x:c r="D663" s="15" t="str">
        <x:f>IFERROR(HYPERLINK("https://mywildalberta.ca/fishing/fish-stocking/fsm-images/West%20Dollar%20Lake/Washroom%20Facilites%20(2).jpg","https://mywildalberta.ca/fishing/fish-stocking/fsm-images/West%20Dollar%20Lake/Washroom%20Facilites%20(2).jpg"),"https://mywildalberta.ca/fishing/fish-stocking/fsm-images/West%20Dollar%20Lake/Washroom%20Facilites%20(2).jpg")</x:f>
        <x:v>https://mywildalberta.ca/fishing/fish-stocking/fsm-images/West%20Dollar%20Lake/Washroom%20Facilites%20(2).jpg</x:v>
      </x:c>
    </x:row>
    <x:row r="664" ht="48" customHeight="1">
      <x:c r="A664" s="8" t="str">
        <x:v>Wildwood Pond</x:v>
      </x:c>
      <x:c r="B664" s="8" t="str">
        <x:v>6625</x:v>
      </x:c>
      <x:c r="C664" s="11" t="str">
        <x:v>Wildwood (1)</x:v>
      </x:c>
      <x:c r="D664" s="15" t="str">
        <x:f>IFERROR(HYPERLINK("https://mywildalberta.ca/fishing/fish-stocking/fsm-images/Wildwood%20Pond/Wildwood%20(1).jpg","https://mywildalberta.ca/fishing/fish-stocking/fsm-images/Wildwood%20Pond/Wildwood%20(1).jpg"),"https://mywildalberta.ca/fishing/fish-stocking/fsm-images/Wildwood%20Pond/Wildwood%20(1).jpg")</x:f>
        <x:v>https://mywildalberta.ca/fishing/fish-stocking/fsm-images/Wildwood%20Pond/Wildwood%20(1).jpg</x:v>
      </x:c>
    </x:row>
    <x:row r="665" ht="48" customHeight="1">
      <x:c r="A665" s="8" t="str">
        <x:v>Winchell Lake</x:v>
      </x:c>
      <x:c r="B665" s="8" t="str">
        <x:v>6617</x:v>
      </x:c>
      <x:c r="C665" s="11" t="str">
        <x:v>Bathroom Facilites</x:v>
      </x:c>
      <x:c r="D665" s="15" t="str">
        <x:f>IFERROR(HYPERLINK("https://mywildalberta.ca/fishing/fish-stocking/fsm-images/Winchell%20Lake/Bathroom%20Facilites.jpg","https://mywildalberta.ca/fishing/fish-stocking/fsm-images/Winchell%20Lake/Bathroom%20Facilites.jpg"),"https://mywildalberta.ca/fishing/fish-stocking/fsm-images/Winchell%20Lake/Bathroom%20Facilites.jpg")</x:f>
        <x:v>https://mywildalberta.ca/fishing/fish-stocking/fsm-images/Winchell%20Lake/Bathroom%20Facilites.jpg</x:v>
      </x:c>
    </x:row>
    <x:row r="666" ht="48" customHeight="1">
      <x:c r="A666" s="8" t="str">
        <x:v>Winchell Lake</x:v>
      </x:c>
      <x:c r="B666" s="8" t="str">
        <x:v>6617</x:v>
      </x:c>
      <x:c r="C666" s="11" t="str">
        <x:v>Lake Sign</x:v>
      </x:c>
      <x:c r="D666" s="15" t="str">
        <x:f>IFERROR(HYPERLINK("https://mywildalberta.ca/fishing/fish-stocking/fsm-images/Winchell%20Lake/Lake%20Sign.jpg","https://mywildalberta.ca/fishing/fish-stocking/fsm-images/Winchell%20Lake/Lake%20Sign.jpg"),"https://mywildalberta.ca/fishing/fish-stocking/fsm-images/Winchell%20Lake/Lake%20Sign.jpg")</x:f>
        <x:v>https://mywildalberta.ca/fishing/fish-stocking/fsm-images/Winchell%20Lake/Lake%20Sign.jpg</x:v>
      </x:c>
    </x:row>
    <x:row r="667" ht="48" customHeight="1">
      <x:c r="A667" s="8" t="str">
        <x:v>Winchell Lake</x:v>
      </x:c>
      <x:c r="B667" s="8" t="str">
        <x:v>6617</x:v>
      </x:c>
      <x:c r="C667" s="11" t="str">
        <x:v>Picnic Bench Spot</x:v>
      </x:c>
      <x:c r="D667" s="15" t="str">
        <x:f>IFERROR(HYPERLINK("https://mywildalberta.ca/fishing/fish-stocking/fsm-images/Winchell%20Lake/Picnic%20Bench%20Spot.jpg","https://mywildalberta.ca/fishing/fish-stocking/fsm-images/Winchell%20Lake/Picnic%20Bench%20Spot.jpg"),"https://mywildalberta.ca/fishing/fish-stocking/fsm-images/Winchell%20Lake/Picnic%20Bench%20Spot.jpg")</x:f>
        <x:v>https://mywildalberta.ca/fishing/fish-stocking/fsm-images/Winchell%20Lake/Picnic%20Bench%20Spot.jpg</x:v>
      </x:c>
    </x:row>
    <x:row r="668" ht="48" customHeight="1">
      <x:c r="A668" s="8" t="str">
        <x:v>Winchell Lake</x:v>
      </x:c>
      <x:c r="B668" s="8" t="str">
        <x:v>6617</x:v>
      </x:c>
      <x:c r="C668" s="11" t="str">
        <x:v>Tributary</x:v>
      </x:c>
      <x:c r="D668" s="15" t="str">
        <x:f>IFERROR(HYPERLINK("https://mywildalberta.ca/fishing/fish-stocking/fsm-images/Winchell%20Lake/Tributary.jpg","https://mywildalberta.ca/fishing/fish-stocking/fsm-images/Winchell%20Lake/Tributary.jpg"),"https://mywildalberta.ca/fishing/fish-stocking/fsm-images/Winchell%20Lake/Tributary.jpg")</x:f>
        <x:v>https://mywildalberta.ca/fishing/fish-stocking/fsm-images/Winchell%20Lake/Tributary.jpg</x:v>
      </x:c>
    </x:row>
    <x:row r="669" ht="48" customHeight="1">
      <x:c r="A669" s="8" t="str">
        <x:v>Winchell Lake</x:v>
      </x:c>
      <x:c r="B669" s="8" t="str">
        <x:v>6617</x:v>
      </x:c>
      <x:c r="C669" s="11" t="str">
        <x:v>View from Shore (2)</x:v>
      </x:c>
      <x:c r="D669" s="15" t="str">
        <x:f>IFERROR(HYPERLINK("https://mywildalberta.ca/fishing/fish-stocking/fsm-images/Winchell%20Lake/View%20from%20Shore%20(2).jpg","https://mywildalberta.ca/fishing/fish-stocking/fsm-images/Winchell%20Lake/View%20from%20Shore%20(2).jpg"),"https://mywildalberta.ca/fishing/fish-stocking/fsm-images/Winchell%20Lake/View%20from%20Shore%20(2).jpg")</x:f>
        <x:v>https://mywildalberta.ca/fishing/fish-stocking/fsm-images/Winchell%20Lake/View%20from%20Shore%20(2).jpg</x:v>
      </x:c>
    </x:row>
    <x:row r="670" ht="48" customHeight="1">
      <x:c r="A670" s="8" t="str">
        <x:v>Winchell Lake</x:v>
      </x:c>
      <x:c r="B670" s="8" t="str">
        <x:v>6617</x:v>
      </x:c>
      <x:c r="C670" s="11" t="str">
        <x:v>View from Shore (3)</x:v>
      </x:c>
      <x:c r="D670" s="15" t="str">
        <x:f>IFERROR(HYPERLINK("https://mywildalberta.ca/fishing/fish-stocking/fsm-images/Winchell%20Lake/View%20from%20Shore%20(3).jpg","https://mywildalberta.ca/fishing/fish-stocking/fsm-images/Winchell%20Lake/View%20from%20Shore%20(3).jpg"),"https://mywildalberta.ca/fishing/fish-stocking/fsm-images/Winchell%20Lake/View%20from%20Shore%20(3).jpg")</x:f>
        <x:v>https://mywildalberta.ca/fishing/fish-stocking/fsm-images/Winchell%20Lake/View%20from%20Shore%20(3).jpg</x:v>
      </x:c>
    </x:row>
    <x:row r="671" ht="48" customHeight="1">
      <x:c r="A671" s="8" t="str">
        <x:v>Winchell Lake</x:v>
      </x:c>
      <x:c r="B671" s="8" t="str">
        <x:v>6617</x:v>
      </x:c>
      <x:c r="C671" s="11" t="str">
        <x:v>View from Shore</x:v>
      </x:c>
      <x:c r="D671" s="15" t="str">
        <x:f>IFERROR(HYPERLINK("https://mywildalberta.ca/fishing/fish-stocking/fsm-images/Winchell%20Lake/View%20from%20Shore.jpg","https://mywildalberta.ca/fishing/fish-stocking/fsm-images/Winchell%20Lake/View%20from%20Shore.jpg"),"https://mywildalberta.ca/fishing/fish-stocking/fsm-images/Winchell%20Lake/View%20from%20Shore.jpg")</x:f>
        <x:v>https://mywildalberta.ca/fishing/fish-stocking/fsm-images/Winchell%20Lake/View%20from%20Shore.jpg</x:v>
      </x:c>
    </x:row>
    <x:row r="672" ht="48" customHeight="1">
      <x:c r="A672" s="8" t="str">
        <x:v>Winchell Lake</x:v>
      </x:c>
      <x:c r="B672" s="8" t="str">
        <x:v>6617</x:v>
      </x:c>
      <x:c r="C672" s="11" t="str">
        <x:v>Wildlife Information sign</x:v>
      </x:c>
      <x:c r="D672" s="15" t="str">
        <x:f>IFERROR(HYPERLINK("https://mywildalberta.ca/fishing/fish-stocking/fsm-images/Winchell%20Lake/Wildlife%20Information%20sign.jpg","https://mywildalberta.ca/fishing/fish-stocking/fsm-images/Winchell%20Lake/Wildlife%20Information%20sign.jpg"),"https://mywildalberta.ca/fishing/fish-stocking/fsm-images/Winchell%20Lake/Wildlife%20Information%20sign.jpg")</x:f>
        <x:v>https://mywildalberta.ca/fishing/fish-stocking/fsm-images/Winchell%20Lake/Wildlife%20Information%20sign.jpg</x:v>
      </x:c>
    </x:row>
    <x:row r="673" ht="48" customHeight="1">
      <x:c r="A673" s="8" t="str">
        <x:v>Wolf Creek Pond</x:v>
      </x:c>
      <x:c r="B673" s="8" t="str">
        <x:v>6626</x:v>
      </x:c>
      <x:c r="C673" s="11" t="str">
        <x:v>Wolf Creek (1)</x:v>
      </x:c>
      <x:c r="D673" s="15" t="str">
        <x:f>IFERROR(HYPERLINK("https://mywildalberta.ca/fishing/fish-stocking/fsm-images/Wolf%20Creek%20Pond/Wolf%20Creek%20(1).JPG","https://mywildalberta.ca/fishing/fish-stocking/fsm-images/Wolf%20Creek%20Pond/Wolf%20Creek%20(1).JPG"),"https://mywildalberta.ca/fishing/fish-stocking/fsm-images/Wolf%20Creek%20Pond/Wolf%20Creek%20(1).JPG")</x:f>
        <x:v>https://mywildalberta.ca/fishing/fish-stocking/fsm-images/Wolf%20Creek%20Pond/Wolf%20Creek%20(1).JPG</x:v>
      </x:c>
    </x:row>
    <x:row r="674" ht="48" customHeight="1">
      <x:c r="A674" s="8" t="str">
        <x:v>Yellowhead Lake</x:v>
      </x:c>
      <x:c r="B674" s="8" t="str">
        <x:v>6601</x:v>
      </x:c>
      <x:c r="C674" s="11" t="str">
        <x:v>Yellowhead (1)</x:v>
      </x:c>
      <x:c r="D674" s="15" t="str">
        <x:f>IFERROR(HYPERLINK("https://mywildalberta.ca/fishing/fish-stocking/fsm-images/Yellowhead%20Lake/Yellowhead%20(1).JPG","https://mywildalberta.ca/fishing/fish-stocking/fsm-images/Yellowhead%20Lake/Yellowhead%20(1).JPG"),"https://mywildalberta.ca/fishing/fish-stocking/fsm-images/Yellowhead%20Lake/Yellowhead%20(1).JPG")</x:f>
        <x:v>https://mywildalberta.ca/fishing/fish-stocking/fsm-images/Yellowhead%20Lake/Yellowhead%20(1).JPG</x:v>
      </x:c>
    </x:row>
  </x:sheetData>
  <x:pageMargins left="0.7" right="0.7" top="0.75" bottom="0.75" header="0.3" footer="0.3"/>
  <x:tableParts count="1">
    <x:tablePart xmlns:r="http://schemas.openxmlformats.org/officeDocument/2006/relationships" r:id="R949bbef3e2ca439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5" hidden="0" customWidth="1"/>
    <x:col min="2" max="2" width="112" hidden="0" customWidth="1"/>
  </x:cols>
  <x:sheetData>
    <x:row r="1">
      <x:c r="A1" s="1"/>
      <x:c r="B1" s="1"/>
    </x:row>
    <x:row r="2">
      <x:c r="A2" s="2" t="str">
        <x:v>Export notes and source</x:v>
      </x:c>
      <x:c r="B2" s="1"/>
    </x:row>
    <x:row r="3">
      <x:c r="A3" s="1"/>
      <x:c r="B3" s="1"/>
    </x:row>
    <x:row r="4">
      <x:c r="A4" s="1"/>
      <x:c r="B4" s="1"/>
    </x:row>
    <x:row r="5" ht="48" customHeight="1">
      <x:c r="A5" s="21" t="str">
        <x:v>Source</x:v>
      </x:c>
      <x:c r="B5" s="11" t="str">
        <x:v>https://mywildalberta.ca/fishing/fish-stocking/stocking-map.aspx</x:v>
      </x:c>
    </x:row>
    <x:row r="6" ht="48" customHeight="1">
      <x:c r="A6" s="21" t="str">
        <x:v>Retrieved</x:v>
      </x:c>
      <x:c r="B6" s="11" t="str">
        <x:v>September 11, 2026</x:v>
      </x:c>
    </x:row>
    <x:row r="7" ht="48" customHeight="1">
      <x:c r="A7" s="21" t="str">
        <x:v>Coverage</x:v>
      </x:c>
      <x:c r="B7" s="11" t="str">
        <x:v>346 waterbodies, 3,302 individual stocking records, years 2021–2026. This is the history shown on the map, not a claim of complete historical coverage.</x:v>
      </x:c>
    </x:row>
    <x:row r="8" ht="48" customHeight="1">
      <x:c r="A8" s="21" t="str">
        <x:v>Year grouping</x:v>
      </x:c>
      <x:c r="B8" s="11" t="str">
        <x:v>Annual stocking has one row per lake ID, calendar year and species. Totals and event counts are formulas linked to Stocking details.</x:v>
      </x:c>
    </x:row>
    <x:row r="9" ht="48" customHeight="1">
      <x:c r="A9" s="21" t="str">
        <x:v>2026 data</x:v>
      </x:c>
      <x:c r="B9" s="11" t="str">
        <x:v>2026 is partial-year data as available at extraction. No records in a year does not prove no stocking occurred.</x:v>
      </x:c>
    </x:row>
    <x:row r="10" ht="48" customHeight="1">
      <x:c r="A10" s="21" t="str">
        <x:v>Aeration</x:v>
      </x:c>
      <x:c r="B10" s="11" t="str">
        <x:v>Yes means the map description explicitly mentions aeration or the ACA Lake Aeration Program. Not stated does not mean No. None explicitly stated No. Operating status was not independently verified.</x:v>
      </x:c>
    </x:row>
    <x:row r="11" ht="48" customHeight="1">
      <x:c r="A11" s="21" t="str">
        <x:v>Aeration coverage</x:v>
      </x:c>
      <x:c r="B11" s="11" t="str">
        <x:v>12 descriptions explicitly mention aeration. Castaway Trout Pond and Lara Fish Pond have aeration-related photo captions only; their status remains Not stated with the caption evidence recorded.</x:v>
      </x:c>
    </x:row>
    <x:row r="12" ht="48" customHeight="1">
      <x:c r="A12" s="21" t="str">
        <x:v>Photos</x:v>
      </x:c>
      <x:c r="B12" s="11" t="str">
        <x:v>669 original photo URLs and captions, covering 188 waterbodies. 158 waterbodies had no gallery photos. Embedded thumbnails could not be downloaded through the available connection.</x:v>
      </x:c>
    </x:row>
    <x:row r="13" ht="48" customHeight="1">
      <x:c r="A13" s="21" t="str">
        <x:v>Missing measurements</x:v>
      </x:c>
      <x:c r="B13" s="11" t="str">
        <x:v>Unknown is preserved as text, never converted to zero. Known areas and depths are numeric with units in headers.</x:v>
      </x:c>
    </x:row>
    <x:row r="14" ht="48" customHeight="1">
      <x:c r="A14" s="21" t="str">
        <x:v>Identifiers</x:v>
      </x:c>
      <x:c r="B14" s="11" t="str">
        <x:v>Lake IDs are stored as text to preserve their identifier meaning. District is the source label, not an inferred nearest town.</x:v>
      </x:c>
    </x:row>
    <x:row r="15" ht="48" customHeight="1">
      <x:c r="A15" s="21" t="str">
        <x:v>Source discrepancies</x:v>
      </x:c>
      <x:c r="B15" s="11" t="str">
        <x:v>Source entries are retained without deduplication or corrections. Similar records on different dates remain separate and contribute to annual totals.</x:v>
      </x:c>
    </x:row>
    <x:row r="16" ht="48" customHeight="1">
      <x:c r="A16" s="21" t="str">
        <x:v>Page update label</x:v>
      </x:c>
      <x:c r="B16" s="11" t="str">
        <x:v>The page footer says Updated: Jul 22, 2025, but its records include 2026. Retrieval date is the export snapshot date.</x:v>
      </x:c>
    </x:row>
    <x:row r="17" ht="48" customHeight="1">
      <x:c r="A17" s="21" t="str">
        <x:v>Use</x:v>
      </x:c>
      <x:c r="B17" s="11" t="str">
        <x:v>Use table header filters for lake, year, species or aeration. Rows with long descriptions can be expanded in Excel. Photo URLs open the original site.</x:v>
      </x:c>
    </x:row>
    <x:row r="18" ht="48" customHeight="1">
      <x:c r="A18" s="21" t="str">
        <x:v>Refresh</x:v>
      </x:c>
      <x:c r="B18" s="11" t="str">
        <x:v>This file is a static export, not a live connection. Formulas update totals if existing detail values are edited; new records require extending summary groups and formula ranges.</x:v>
      </x:c>
    </x:row>
    <x:row r="19">
      <x:c r="A19" s="1"/>
      <x:c r="B19" s="1"/>
    </x:row>
    <x:row r="20" ht="70" customHeight="1">
      <x:c r="A20" s="36" t="str">
        <x:v>Species enrichment</x:v>
      </x:c>
      <x:c r="B20" s="30" t="str">
        <x:v>Angler’s Atlas was searched for all 346 names, with broader name variants where available. 238 candidate pages were checked.</x:v>
      </x:c>
    </x:row>
    <x:row r="21" ht="70" customHeight="1">
      <x:c r="A21" s="36" t="str">
        <x:v>Coverage</x:v>
      </x:c>
      <x:c r="B21" s="30" t="str">
        <x:v>176 waterbodies matched. 106 matched waterbodies have community-listed species. 70 matched pages have no species listed. 28 matches remain uncertain. 142 have no verified match.</x:v>
      </x:c>
    </x:row>
    <x:row r="22" ht="70" customHeight="1">
      <x:c r="A22" s="36" t="str">
        <x:v>Using the new tabs</x:v>
      </x:c>
      <x:c r="B22" s="30" t="str">
        <x:v>Species overview contains one row per Alberta waterbody. Filter Additional Atlas listings or Match status. Species evidence gives one row per matched lake and species, including disputed entries.</x:v>
      </x:c>
    </x:row>
    <x:row r="23" ht="70" customHeight="1">
      <x:c r="A23" s="36" t="str">
        <x:v>What confirmed means</x:v>
      </x:c>
      <x:c r="B23" s="30" t="str">
        <x:v>Atlas listings are community reports, not an official fish survey or proof of current presence. Disagreement counts are retained. Listings explicitly marked Disputed are excluded from the overview species and additional-species columns.</x:v>
      </x:c>
    </x:row>
    <x:row r="24" ht="70" customHeight="1">
      <x:c r="A24" s="36" t="str">
        <x:v>Additional species</x:v>
      </x:c>
      <x:c r="B24" s="30" t="str">
        <x:v>Additional Atlas listings are not found in that lake’s exported 2021–2026 stocking history. This does not establish that they were never stocked. Cutthroat Trout and Westslope Cutthroat Trout are treated as equivalent for this comparison only.</x:v>
      </x:c>
    </x:row>
    <x:row r="25" ht="70" customHeight="1">
      <x:c r="A25" s="36" t="str">
        <x:v>Lake matching</x:v>
      </x:c>
      <x:c r="B25" s="30" t="str">
        <x:v>Names, name variants and map coordinates were compared. Larger lake points can differ by kilometres. Grouped lakes and nearby ponds without a verified individual match are not assigned species. Candidate links and distances remain available for review.</x:v>
      </x:c>
    </x:row>
    <x:row r="26" ht="70" customHeight="1">
      <x:c r="A26" s="36" t="str">
        <x:v>Missing evidence</x:v>
      </x:c>
      <x:c r="B26" s="30" t="str">
        <x:v>Not listed means a matched page provides no usable species listing. Not assigned means the lake match is uncertain or missing. Neither means that fish are absent. Searches can miss alternate names or incomplete site entries.</x:v>
      </x:c>
    </x:row>
    <x:row r="27" ht="70" customHeight="1">
      <x:c r="A27" s="36" t="str">
        <x:v>Dates and source</x:v>
      </x:c>
      <x:c r="B27" s="30" t="str">
        <x:v>Angler’s Atlas pages were checked September 12–13, 2026. A confirmation date is the latest dated species-confirmation post captured in the displayed feed, not a complete record of sightings. Source lake links appear in the new tabs.</x:v>
      </x:c>
    </x:row>
    <x:row r="28" ht="70" customHeight="1">
      <x:c r="A28" s="36" t="str">
        <x:v>Cow Lake example</x:v>
      </x:c>
      <x:c r="B28" s="30" t="str">
        <x:v>Atlas lists Brown Trout, Rainbow Trout, Northern Pike and Yellow Perch. Northern Pike and Yellow Perch are additional to Cow Lake’s exported stocking history.</x:v>
      </x:c>
    </x:row>
  </x:sheetData>
  <x:pageMargins left="0.7" right="0.7" top="0.75" bottom="0.75" header="0.3" footer="0.3"/>
</x:worksheet>
</file>

<file path=xl/worksheets/sheet6.xml><?xml version="1.0" encoding="utf-8"?>
<x:worksheet xmlns:x="http://schemas.openxmlformats.org/spreadsheetml/2006/main">
  <x:sheetPr>
    <x:tabColor rgb="FF244C69"/>
  </x:sheetPr>
  <x:sheetViews>
    <x:sheetView showGridLines="0" workbookViewId="0">
      <x:pane ySplit="5" topLeftCell="A6" activePane="bottomLeft" state="frozen"/>
    </x:sheetView>
  </x:sheetViews>
  <x:sheetFormatPr defaultRowHeight="15"/>
  <x:cols>
    <x:col min="1" max="1" width="30" hidden="0" customWidth="1"/>
    <x:col min="2" max="2" width="12" hidden="0" customWidth="1"/>
    <x:col min="3" max="3" width="37" hidden="0" customWidth="1"/>
    <x:col min="4" max="4" width="48" hidden="0" customWidth="1"/>
    <x:col min="5" max="5" width="36" hidden="0" customWidth="1"/>
    <x:col min="6" max="6" width="30" hidden="0" customWidth="1"/>
    <x:col min="7" max="7" width="30" hidden="0" customWidth="1"/>
    <x:col min="8" max="8" width="30" hidden="0" customWidth="1"/>
    <x:col min="9" max="9" width="19" hidden="0" customWidth="1"/>
    <x:col min="10" max="10" width="65" hidden="0" customWidth="1"/>
    <x:col min="11" max="11" width="66" hidden="0" customWidth="1"/>
    <x:col min="12" max="12" width="44" hidden="0" customWidth="1"/>
  </x:cols>
  <x:sheetData>
    <x:row r="1">
      <x:c r="A1" s="23"/>
      <x:c r="B1" s="23"/>
      <x:c r="C1" s="23"/>
      <x:c r="D1" s="23"/>
      <x:c r="E1" s="23"/>
      <x:c r="F1" s="23"/>
      <x:c r="G1" s="23"/>
      <x:c r="H1" s="23"/>
      <x:c r="I1" s="23"/>
      <x:c r="J1" s="23"/>
      <x:c r="K1" s="23"/>
      <x:c r="L1" s="23"/>
    </x:row>
    <x:row r="2">
      <x:c r="A2" s="24" t="str">
        <x:v>Species in Alberta stocked waterbodies</x:v>
      </x:c>
      <x:c r="B2" s="23"/>
      <x:c r="C2" s="23"/>
      <x:c r="D2" s="23"/>
      <x:c r="E2" s="23"/>
      <x:c r="F2" s="23"/>
      <x:c r="G2" s="23"/>
      <x:c r="H2" s="23"/>
      <x:c r="I2" s="23"/>
      <x:c r="J2" s="23"/>
      <x:c r="K2" s="23"/>
      <x:c r="L2" s="23"/>
    </x:row>
    <x:row r="3">
      <x:c r="A3" s="25" t="str">
        <x:v>Angler’s Atlas community listings, checked September 12–13, 2026. Disputed listings are excluded from the species columns.</x:v>
      </x:c>
      <x:c r="B3" s="23"/>
      <x:c r="C3" s="23"/>
      <x:c r="D3" s="23"/>
      <x:c r="E3" s="23"/>
      <x:c r="F3" s="23"/>
      <x:c r="G3" s="23"/>
      <x:c r="H3" s="23"/>
      <x:c r="I3" s="23"/>
      <x:c r="J3" s="23"/>
      <x:c r="K3" s="23"/>
      <x:c r="L3" s="23"/>
    </x:row>
    <x:row r="4">
      <x:c r="A4" s="23"/>
      <x:c r="B4" s="23"/>
      <x:c r="C4" s="23"/>
      <x:c r="D4" s="23"/>
      <x:c r="E4" s="23"/>
      <x:c r="F4" s="23"/>
      <x:c r="G4" s="23"/>
      <x:c r="H4" s="23"/>
      <x:c r="I4" s="23"/>
      <x:c r="J4" s="23"/>
      <x:c r="K4" s="23"/>
      <x:c r="L4" s="23"/>
    </x:row>
    <x:row r="5" ht="38" customHeight="1">
      <x:c r="A5" s="29" t="str">
        <x:v>Waterbody name</x:v>
      </x:c>
      <x:c r="B5" s="29" t="str">
        <x:v>Lake ID</x:v>
      </x:c>
      <x:c r="C5" s="29" t="str">
        <x:v>Stocked species (2021–2026)</x:v>
      </x:c>
      <x:c r="D5" s="29" t="str">
        <x:v>Atlas community-listed species</x:v>
      </x:c>
      <x:c r="E5" s="29" t="str">
        <x:v>Additional Atlas listings</x:v>
      </x:c>
      <x:c r="F5" s="29" t="str">
        <x:v>Match status</x:v>
      </x:c>
      <x:c r="G5" s="29" t="str">
        <x:v>Site-disputed species</x:v>
      </x:c>
      <x:c r="H5" s="29" t="str">
        <x:v>Atlas waterbody name</x:v>
      </x:c>
      <x:c r="I5" s="29" t="str">
        <x:v>Map-point distance (km)</x:v>
      </x:c>
      <x:c r="J5" s="29" t="str">
        <x:v>Angler’s Atlas page / candidate</x:v>
      </x:c>
      <x:c r="K5" s="29" t="str">
        <x:v>Match notes</x:v>
      </x:c>
      <x:c r="L5" s="29" t="str">
        <x:v>Search names used</x:v>
      </x:c>
    </x:row>
    <x:row r="6" ht="40" customHeight="1">
      <x:c r="A6" s="30" t="str">
        <x:v>Acadia Valley Reservoir</x:v>
      </x:c>
      <x:c r="B6" s="30" t="str">
        <x:v>6900</x:v>
      </x:c>
      <x:c r="C6" s="30" t="str">
        <x:v>Brook Trout; Rainbow Trout</x:v>
      </x:c>
      <x:c r="D6" s="30" t="str">
        <x:v>Not assigned</x:v>
      </x:c>
      <x:c r="E6" s="30" t="str">
        <x:v>Not assigned</x:v>
      </x:c>
      <x:c r="F6" s="30" t="str">
        <x:v>No verified match found</x:v>
      </x:c>
      <x:c r="G6" s="30" t="str"/>
      <x:c r="H6" s="30" t="str"/>
      <x:c r="I6" s="31"/>
      <x:c r="J6" s="30" t="str"/>
      <x:c r="K6" s="30" t="str">
        <x:v>Exact-name and available broader-name searches did not establish a matching page.</x:v>
      </x:c>
      <x:c r="L6" s="30" t="str">
        <x:v>Acadia Valley Reservoir; Acadia Valley</x:v>
      </x:c>
    </x:row>
    <x:row r="7" ht="40" customHeight="1">
      <x:c r="A7" s="30" t="str">
        <x:v>Alexander Hamilton Pond</x:v>
      </x:c>
      <x:c r="B7" s="30" t="str">
        <x:v>19760</x:v>
      </x:c>
      <x:c r="C7" s="30" t="str">
        <x:v>Rainbow Trout</x:v>
      </x:c>
      <x:c r="D7" s="30" t="str">
        <x:v>Not assigned</x:v>
      </x:c>
      <x:c r="E7" s="30" t="str">
        <x:v>Not assigned</x:v>
      </x:c>
      <x:c r="F7" s="30" t="str">
        <x:v>No verified match found</x:v>
      </x:c>
      <x:c r="G7" s="30" t="str"/>
      <x:c r="H7" s="30" t="str"/>
      <x:c r="I7" s="31"/>
      <x:c r="J7" s="30" t="str"/>
      <x:c r="K7" s="30" t="str">
        <x:v>Exact-name and available broader-name searches did not establish a matching page.</x:v>
      </x:c>
      <x:c r="L7" s="30" t="str">
        <x:v>Alexander Hamilton Pond; Alexander Hamilton</x:v>
      </x:c>
    </x:row>
    <x:row r="8" ht="40" customHeight="1">
      <x:c r="A8" s="30" t="str">
        <x:v>Alford Lake</x:v>
      </x:c>
      <x:c r="B8" s="30" t="str">
        <x:v>3899</x:v>
      </x:c>
      <x:c r="C8" s="30" t="str">
        <x:v>Rainbow Trout</x:v>
      </x:c>
      <x:c r="D8" s="30" t="str">
        <x:v>Not listed</x:v>
      </x:c>
      <x:c r="E8" s="30" t="str">
        <x:v>None listed</x:v>
      </x:c>
      <x:c r="F8" s="30" t="str">
        <x:v>Matched — no species listed</x:v>
      </x:c>
      <x:c r="G8" s="30" t="str"/>
      <x:c r="H8" s="30" t="str">
        <x:v>Alford Lake</x:v>
      </x:c>
      <x:c r="I8" s="31" t="n">
        <x:v>0.011</x:v>
      </x:c>
      <x:c r="J8" s="30" t="str">
        <x:v>https://www.anglersatlas.com/place/129411/alford-lake</x:v>
      </x:c>
      <x:c r="K8" s="30" t="str">
        <x:v>Name and coordinates agree.</x:v>
      </x:c>
      <x:c r="L8" s="30" t="str">
        <x:v>Alford Lake</x:v>
      </x:c>
    </x:row>
    <x:row r="9" ht="40" customHeight="1">
      <x:c r="A9" s="30" t="str">
        <x:v>Allison Lake</x:v>
      </x:c>
      <x:c r="B9" s="30" t="str">
        <x:v>6902</x:v>
      </x:c>
      <x:c r="C9" s="30" t="str">
        <x:v>Cutthroat Trout; Rainbow Trout; Westslope Cutthroat Trout</x:v>
      </x:c>
      <x:c r="D9" s="30" t="str">
        <x:v>Brook Trout; Cutthroat Trout; Mountain Sucker; Rainbow Trout; Westslope Cutthroat</x:v>
      </x:c>
      <x:c r="E9" s="30" t="str">
        <x:v>Brook Trout; Mountain Sucker</x:v>
      </x:c>
      <x:c r="F9" s="30" t="str">
        <x:v>Matched — species listed</x:v>
      </x:c>
      <x:c r="G9" s="30" t="str"/>
      <x:c r="H9" s="30" t="str">
        <x:v>ALLISON LAKE</x:v>
      </x:c>
      <x:c r="I9" s="31" t="n">
        <x:v>0.073</x:v>
      </x:c>
      <x:c r="J9" s="30" t="str">
        <x:v>https://www.anglersatlas.com/place/102602/allison-lake</x:v>
      </x:c>
      <x:c r="K9" s="30" t="str">
        <x:v>Name and coordinates agree.</x:v>
      </x:c>
      <x:c r="L9" s="30" t="str">
        <x:v>Allison Lake</x:v>
      </x:c>
    </x:row>
    <x:row r="10" ht="40" customHeight="1">
      <x:c r="A10" s="30" t="str">
        <x:v>Allstones Lake</x:v>
      </x:c>
      <x:c r="B10" s="30" t="str">
        <x:v>3909</x:v>
      </x:c>
      <x:c r="C10" s="30" t="str">
        <x:v>Brook Trout</x:v>
      </x:c>
      <x:c r="D10" s="30" t="str">
        <x:v>Not listed</x:v>
      </x:c>
      <x:c r="E10" s="30" t="str">
        <x:v>None listed</x:v>
      </x:c>
      <x:c r="F10" s="30" t="str">
        <x:v>Matched — no species listed</x:v>
      </x:c>
      <x:c r="G10" s="30" t="str"/>
      <x:c r="H10" s="30" t="str">
        <x:v>Allstones Lake</x:v>
      </x:c>
      <x:c r="I10" s="31" t="n">
        <x:v>0.036</x:v>
      </x:c>
      <x:c r="J10" s="30" t="str">
        <x:v>https://www.anglersatlas.com/place/930400/allstones-lake</x:v>
      </x:c>
      <x:c r="K10" s="30" t="str">
        <x:v>Name and coordinates agree.</x:v>
      </x:c>
      <x:c r="L10" s="30" t="str">
        <x:v>Allstones Lake</x:v>
      </x:c>
    </x:row>
    <x:row r="11" ht="40" customHeight="1">
      <x:c r="A11" s="30" t="str">
        <x:v>Anderson Dam</x:v>
      </x:c>
      <x:c r="B11" s="30" t="str">
        <x:v>17894</x:v>
      </x:c>
      <x:c r="C11" s="30" t="str">
        <x:v>Rainbow Trout</x:v>
      </x:c>
      <x:c r="D11" s="30" t="str">
        <x:v>Rainbow Trout</x:v>
      </x:c>
      <x:c r="E11" s="30" t="str">
        <x:v>None listed</x:v>
      </x:c>
      <x:c r="F11" s="30" t="str">
        <x:v>Matched — species listed</x:v>
      </x:c>
      <x:c r="G11" s="30" t="str"/>
      <x:c r="H11" s="30" t="str">
        <x:v>Anderson Dam</x:v>
      </x:c>
      <x:c r="I11" s="31" t="n">
        <x:v>0.059</x:v>
      </x:c>
      <x:c r="J11" s="30" t="str">
        <x:v>https://www.anglersatlas.com/place/916170/anderson-dam</x:v>
      </x:c>
      <x:c r="K11" s="30" t="str">
        <x:v>Name and coordinates agree.</x:v>
      </x:c>
      <x:c r="L11" s="30" t="str">
        <x:v>Anderson Dam</x:v>
      </x:c>
    </x:row>
    <x:row r="12" ht="40" customHeight="1">
      <x:c r="A12" s="30" t="str">
        <x:v>Ardmore Community Pond</x:v>
      </x:c>
      <x:c r="B12" s="30" t="str">
        <x:v>21353</x:v>
      </x:c>
      <x:c r="C12" s="30" t="str">
        <x:v>Rainbow Trout</x:v>
      </x:c>
      <x:c r="D12" s="30" t="str">
        <x:v>Not assigned</x:v>
      </x:c>
      <x:c r="E12" s="30" t="str">
        <x:v>Not assigned</x:v>
      </x:c>
      <x:c r="F12" s="30" t="str">
        <x:v>No verified match found</x:v>
      </x:c>
      <x:c r="G12" s="30" t="str"/>
      <x:c r="H12" s="30" t="str"/>
      <x:c r="I12" s="31"/>
      <x:c r="J12" s="30" t="str"/>
      <x:c r="K12" s="30" t="str">
        <x:v>Exact-name and available broader-name searches did not establish a matching page.</x:v>
      </x:c>
      <x:c r="L12" s="30" t="str">
        <x:v>Ardmore Community Pond; Ardmore</x:v>
      </x:c>
    </x:row>
    <x:row r="13" ht="40" customHeight="1">
      <x:c r="A13" s="30" t="str">
        <x:v>Ashland Reservoir</x:v>
      </x:c>
      <x:c r="B13" s="30" t="str">
        <x:v>6903</x:v>
      </x:c>
      <x:c r="C13" s="30" t="str">
        <x:v>Rainbow Trout</x:v>
      </x:c>
      <x:c r="D13" s="30" t="str">
        <x:v>Not assigned</x:v>
      </x:c>
      <x:c r="E13" s="30" t="str">
        <x:v>Not assigned</x:v>
      </x:c>
      <x:c r="F13" s="30" t="str">
        <x:v>No verified match found</x:v>
      </x:c>
      <x:c r="G13" s="30" t="str"/>
      <x:c r="H13" s="30" t="str"/>
      <x:c r="I13" s="31"/>
      <x:c r="J13" s="30" t="str"/>
      <x:c r="K13" s="30" t="str">
        <x:v>Exact-name and available broader-name searches did not establish a matching page.</x:v>
      </x:c>
      <x:c r="L13" s="30" t="str">
        <x:v>Ashland Reservoir; Ashland</x:v>
      </x:c>
    </x:row>
    <x:row r="14" ht="40" customHeight="1">
      <x:c r="A14" s="30" t="str">
        <x:v>Aster Lake</x:v>
      </x:c>
      <x:c r="B14" s="30" t="str">
        <x:v>3948</x:v>
      </x:c>
      <x:c r="C14" s="30" t="str">
        <x:v>Cutthroat Trout</x:v>
      </x:c>
      <x:c r="D14" s="30" t="str">
        <x:v>Not listed</x:v>
      </x:c>
      <x:c r="E14" s="30" t="str">
        <x:v>None listed</x:v>
      </x:c>
      <x:c r="F14" s="30" t="str">
        <x:v>Matched — no species listed</x:v>
      </x:c>
      <x:c r="G14" s="30" t="str"/>
      <x:c r="H14" s="30" t="str">
        <x:v>Aster Lake</x:v>
      </x:c>
      <x:c r="I14" s="31" t="n">
        <x:v>0.115</x:v>
      </x:c>
      <x:c r="J14" s="30" t="str">
        <x:v>https://www.anglersatlas.com/place/129502/aster-lake</x:v>
      </x:c>
      <x:c r="K14" s="30" t="str">
        <x:v>Name and coordinates agree.</x:v>
      </x:c>
      <x:c r="L14" s="30" t="str">
        <x:v>Aster Lake</x:v>
      </x:c>
    </x:row>
    <x:row r="15" ht="40" customHeight="1">
      <x:c r="A15" s="30" t="str">
        <x:v>Atlantic Richfield Reservoir</x:v>
      </x:c>
      <x:c r="B15" s="30" t="str">
        <x:v>6904</x:v>
      </x:c>
      <x:c r="C15" s="30" t="str">
        <x:v>Rainbow Trout</x:v>
      </x:c>
      <x:c r="D15" s="30" t="str">
        <x:v>Not assigned</x:v>
      </x:c>
      <x:c r="E15" s="30" t="str">
        <x:v>Not assigned</x:v>
      </x:c>
      <x:c r="F15" s="30" t="str">
        <x:v>No verified match found</x:v>
      </x:c>
      <x:c r="G15" s="30" t="str"/>
      <x:c r="H15" s="30" t="str"/>
      <x:c r="I15" s="31"/>
      <x:c r="J15" s="30" t="str"/>
      <x:c r="K15" s="30" t="str">
        <x:v>Exact-name and available broader-name searches did not establish a matching page.</x:v>
      </x:c>
      <x:c r="L15" s="30" t="str">
        <x:v>Atlantic Richfield Reservoir; Atlantic Richfield</x:v>
      </x:c>
    </x:row>
    <x:row r="16" ht="40" customHeight="1">
      <x:c r="A16" s="30" t="str">
        <x:v>Badger Lake Reservoir</x:v>
      </x:c>
      <x:c r="B16" s="30" t="str">
        <x:v>3959</x:v>
      </x:c>
      <x:c r="C16" s="30" t="str">
        <x:v>Walleye</x:v>
      </x:c>
      <x:c r="D16" s="30" t="str">
        <x:v>Not listed</x:v>
      </x:c>
      <x:c r="E16" s="30" t="str">
        <x:v>None listed</x:v>
      </x:c>
      <x:c r="F16" s="30" t="str">
        <x:v>Matched — no species listed</x:v>
      </x:c>
      <x:c r="G16" s="30" t="str"/>
      <x:c r="H16" s="30" t="str">
        <x:v>Badger Lake</x:v>
      </x:c>
      <x:c r="I16" s="31" t="n">
        <x:v>0.452</x:v>
      </x:c>
      <x:c r="J16" s="30" t="str">
        <x:v>https://www.anglersatlas.com/place/129593/badger-lake</x:v>
      </x:c>
      <x:c r="K16" s="30" t="str">
        <x:v>Name variant and coordinates agree.</x:v>
      </x:c>
      <x:c r="L16" s="30" t="str">
        <x:v>Badger Lake Reservoir; Badger</x:v>
      </x:c>
    </x:row>
    <x:row r="17" ht="40" customHeight="1">
      <x:c r="A17" s="30" t="str">
        <x:v>Bashaw Pond</x:v>
      </x:c>
      <x:c r="B17" s="30" t="str">
        <x:v>6905</x:v>
      </x:c>
      <x:c r="C17" s="30" t="str">
        <x:v>Brook Trout; Rainbow Trout</x:v>
      </x:c>
      <x:c r="D17" s="30" t="str">
        <x:v>Not assigned</x:v>
      </x:c>
      <x:c r="E17" s="30" t="str">
        <x:v>Not assigned</x:v>
      </x:c>
      <x:c r="F17" s="30" t="str">
        <x:v>No verified match found</x:v>
      </x:c>
      <x:c r="G17" s="30" t="str"/>
      <x:c r="H17" s="30" t="str"/>
      <x:c r="I17" s="31"/>
      <x:c r="J17" s="30" t="str"/>
      <x:c r="K17" s="30" t="str">
        <x:v>Exact-name and available broader-name searches did not establish a matching page.</x:v>
      </x:c>
      <x:c r="L17" s="30" t="str">
        <x:v>Bashaw Pond; Bashaw</x:v>
      </x:c>
    </x:row>
    <x:row r="18" ht="40" customHeight="1">
      <x:c r="A18" s="30" t="str">
        <x:v>Bathing Lake</x:v>
      </x:c>
      <x:c r="B18" s="30" t="str">
        <x:v>6892</x:v>
      </x:c>
      <x:c r="C18" s="30" t="str">
        <x:v>Cutthroat Trout; Rainbow Trout; Westslope Cutthroat Trout</x:v>
      </x:c>
      <x:c r="D18" s="30" t="str">
        <x:v>Not listed</x:v>
      </x:c>
      <x:c r="E18" s="30" t="str">
        <x:v>None listed</x:v>
      </x:c>
      <x:c r="F18" s="30" t="str">
        <x:v>Matched — no species listed</x:v>
      </x:c>
      <x:c r="G18" s="30" t="str"/>
      <x:c r="H18" s="30" t="str">
        <x:v>BATHING LAKE</x:v>
      </x:c>
      <x:c r="I18" s="31" t="n">
        <x:v>0.011</x:v>
      </x:c>
      <x:c r="J18" s="30" t="str">
        <x:v>https://www.anglersatlas.com/place/102600/bathing-lake</x:v>
      </x:c>
      <x:c r="K18" s="30" t="str">
        <x:v>Name and coordinates agree.</x:v>
      </x:c>
      <x:c r="L18" s="30" t="str">
        <x:v>Bathing Lake</x:v>
      </x:c>
    </x:row>
    <x:row r="19" ht="40" customHeight="1">
      <x:c r="A19" s="30" t="str">
        <x:v>Bear Pond</x:v>
      </x:c>
      <x:c r="B19" s="30" t="str">
        <x:v>4005</x:v>
      </x:c>
      <x:c r="C19" s="30" t="str">
        <x:v>Tiger Trout</x:v>
      </x:c>
      <x:c r="D19" s="30" t="str">
        <x:v>Not listed</x:v>
      </x:c>
      <x:c r="E19" s="30" t="str">
        <x:v>None listed</x:v>
      </x:c>
      <x:c r="F19" s="30" t="str">
        <x:v>Matched — no species listed</x:v>
      </x:c>
      <x:c r="G19" s="30" t="str"/>
      <x:c r="H19" s="30" t="str">
        <x:v>Bear Pond</x:v>
      </x:c>
      <x:c r="I19" s="31" t="n">
        <x:v>0.007</x:v>
      </x:c>
      <x:c r="J19" s="30" t="str">
        <x:v>https://www.anglersatlas.com/place/1107803/bear-pond</x:v>
      </x:c>
      <x:c r="K19" s="30" t="str">
        <x:v>Name and coordinates agree.</x:v>
      </x:c>
      <x:c r="L19" s="30" t="str">
        <x:v>Bear Pond</x:v>
      </x:c>
    </x:row>
    <x:row r="20" ht="40" customHeight="1">
      <x:c r="A20" s="30" t="str">
        <x:v>Beaumont Pond</x:v>
      </x:c>
      <x:c r="B20" s="30" t="str">
        <x:v>6893</x:v>
      </x:c>
      <x:c r="C20" s="30" t="str">
        <x:v>Brown Trout; Rainbow Trout; Tiger Trout</x:v>
      </x:c>
      <x:c r="D20" s="30" t="str">
        <x:v>Rainbow Trout</x:v>
      </x:c>
      <x:c r="E20" s="30" t="str">
        <x:v>None listed</x:v>
      </x:c>
      <x:c r="F20" s="30" t="str">
        <x:v>Matched — species listed</x:v>
      </x:c>
      <x:c r="G20" s="30" t="str"/>
      <x:c r="H20" s="30" t="str">
        <x:v>Beaumont Fish Pond</x:v>
      </x:c>
      <x:c r="I20" s="31" t="n">
        <x:v>0</x:v>
      </x:c>
      <x:c r="J20" s="30" t="str">
        <x:v>https://www.anglersatlas.com/place/990888/beaumont-fish-pond</x:v>
      </x:c>
      <x:c r="K20" s="30" t="str">
        <x:v>Name variant and coordinates agree.</x:v>
      </x:c>
      <x:c r="L20" s="30" t="str">
        <x:v>Beaumont Pond; Beaumont</x:v>
      </x:c>
    </x:row>
    <x:row r="21" ht="40" customHeight="1">
      <x:c r="A21" s="30" t="str">
        <x:v>Beauvais Lake</x:v>
      </x:c>
      <x:c r="B21" s="30" t="str">
        <x:v>4011</x:v>
      </x:c>
      <x:c r="C21" s="30" t="str">
        <x:v>Cutthroat Trout; Rainbow Trout; Westslope Cutthroat Trout</x:v>
      </x:c>
      <x:c r="D21" s="30" t="str">
        <x:v>Brown Trout; Rainbow Trout; White Sucker</x:v>
      </x:c>
      <x:c r="E21" s="30" t="str">
        <x:v>Brown Trout; White Sucker</x:v>
      </x:c>
      <x:c r="F21" s="30" t="str">
        <x:v>Matched — species listed</x:v>
      </x:c>
      <x:c r="G21" s="30" t="str"/>
      <x:c r="H21" s="30" t="str">
        <x:v>Beauvais Lake</x:v>
      </x:c>
      <x:c r="I21" s="31" t="n">
        <x:v>0.291</x:v>
      </x:c>
      <x:c r="J21" s="30" t="str">
        <x:v>https://www.anglersatlas.com/place/129635/beauvais-lake</x:v>
      </x:c>
      <x:c r="K21" s="30" t="str">
        <x:v>Name and coordinates agree.</x:v>
      </x:c>
      <x:c r="L21" s="30" t="str">
        <x:v>Beauvais Lake</x:v>
      </x:c>
    </x:row>
    <x:row r="22" ht="40" customHeight="1">
      <x:c r="A22" s="30" t="str">
        <x:v>Beaver Lake</x:v>
      </x:c>
      <x:c r="B22" s="30" t="str">
        <x:v>4014</x:v>
      </x:c>
      <x:c r="C22" s="30" t="str">
        <x:v>Rainbow Trout; Tiger Trout</x:v>
      </x:c>
      <x:c r="D22" s="30" t="str">
        <x:v>Brook Trout; Rainbow Trout; Tiger Trout</x:v>
      </x:c>
      <x:c r="E22" s="30" t="str">
        <x:v>Brook Trout</x:v>
      </x:c>
      <x:c r="F22" s="30" t="str">
        <x:v>Matched — species listed</x:v>
      </x:c>
      <x:c r="G22" s="30" t="str"/>
      <x:c r="H22" s="30" t="str">
        <x:v>Beaver Lake</x:v>
      </x:c>
      <x:c r="I22" s="31" t="n">
        <x:v>0.013</x:v>
      </x:c>
      <x:c r="J22" s="30" t="str">
        <x:v>https://www.anglersatlas.com/place/129637/beaver-lake</x:v>
      </x:c>
      <x:c r="K22" s="30" t="str">
        <x:v>Name and coordinates agree.</x:v>
      </x:c>
      <x:c r="L22" s="30" t="str">
        <x:v>Beaver Lake</x:v>
      </x:c>
    </x:row>
    <x:row r="23" ht="40" customHeight="1">
      <x:c r="A23" s="30" t="str">
        <x:v>Beaver Mines Lake</x:v>
      </x:c>
      <x:c r="B23" s="30" t="str">
        <x:v>4018</x:v>
      </x:c>
      <x:c r="C23" s="30" t="str">
        <x:v>Cutthroat Trout; Rainbow Trout; Westslope Cutthroat Trout</x:v>
      </x:c>
      <x:c r="D23" s="30" t="str">
        <x:v>Brown Trout; Bull Trout; Cutthroat Trout; Rainbow Trout</x:v>
      </x:c>
      <x:c r="E23" s="30" t="str">
        <x:v>Brown Trout; Bull Trout</x:v>
      </x:c>
      <x:c r="F23" s="30" t="str">
        <x:v>Matched — species listed</x:v>
      </x:c>
      <x:c r="G23" s="30" t="str">
        <x:v>Golden Trout; White Sucker</x:v>
      </x:c>
      <x:c r="H23" s="30" t="str">
        <x:v>BEAVER MINES LAKE</x:v>
      </x:c>
      <x:c r="I23" s="31" t="n">
        <x:v>0.044</x:v>
      </x:c>
      <x:c r="J23" s="30" t="str">
        <x:v>https://www.anglersatlas.com/place/101807/beaver-mines-lake</x:v>
      </x:c>
      <x:c r="K23" s="30" t="str">
        <x:v>Name and coordinates agree.</x:v>
      </x:c>
      <x:c r="L23" s="30" t="str">
        <x:v>Beaver Mines Lake</x:v>
      </x:c>
    </x:row>
    <x:row r="24" ht="40" customHeight="1">
      <x:c r="A24" s="30" t="str">
        <x:v>Bellis Beach Lake</x:v>
      </x:c>
      <x:c r="B24" s="30" t="str">
        <x:v>6894</x:v>
      </x:c>
      <x:c r="C24" s="30" t="str">
        <x:v>Rainbow Trout</x:v>
      </x:c>
      <x:c r="D24" s="30" t="str">
        <x:v>Rainbow Trout</x:v>
      </x:c>
      <x:c r="E24" s="30" t="str">
        <x:v>None listed</x:v>
      </x:c>
      <x:c r="F24" s="30" t="str">
        <x:v>Matched — species listed</x:v>
      </x:c>
      <x:c r="G24" s="30" t="str"/>
      <x:c r="H24" s="30" t="str">
        <x:v>BELLIS BEACH LAKE</x:v>
      </x:c>
      <x:c r="I24" s="31" t="n">
        <x:v>0.034</x:v>
      </x:c>
      <x:c r="J24" s="30" t="str">
        <x:v>https://www.anglersatlas.com/place/102601/bellis-beach-lake</x:v>
      </x:c>
      <x:c r="K24" s="30" t="str">
        <x:v>Name and coordinates agree.</x:v>
      </x:c>
      <x:c r="L24" s="30" t="str">
        <x:v>Bellis Beach Lake</x:v>
      </x:c>
    </x:row>
    <x:row r="25" ht="40" customHeight="1">
      <x:c r="A25" s="30" t="str">
        <x:v>Big Iron Lake</x:v>
      </x:c>
      <x:c r="B25" s="30" t="str">
        <x:v>6897</x:v>
      </x:c>
      <x:c r="C25" s="30" t="str">
        <x:v>Tiger Trout</x:v>
      </x:c>
      <x:c r="D25" s="30" t="str">
        <x:v>Not listed</x:v>
      </x:c>
      <x:c r="E25" s="30" t="str">
        <x:v>None listed</x:v>
      </x:c>
      <x:c r="F25" s="30" t="str">
        <x:v>Matched — no species listed</x:v>
      </x:c>
      <x:c r="G25" s="30" t="str"/>
      <x:c r="H25" s="30" t="str">
        <x:v>Big Iron Lake</x:v>
      </x:c>
      <x:c r="I25" s="31" t="n">
        <x:v>0.018</x:v>
      </x:c>
      <x:c r="J25" s="30" t="str">
        <x:v>https://www.anglersatlas.com/place/1107808/big-iron-lake</x:v>
      </x:c>
      <x:c r="K25" s="30" t="str">
        <x:v>Name and coordinates agree.</x:v>
      </x:c>
      <x:c r="L25" s="30" t="str">
        <x:v>Big Iron Lake</x:v>
      </x:c>
    </x:row>
    <x:row r="26" ht="40" customHeight="1">
      <x:c r="A26" s="30" t="str">
        <x:v>Birch Lake</x:v>
      </x:c>
      <x:c r="B26" s="30" t="str">
        <x:v>4061</x:v>
      </x:c>
      <x:c r="C26" s="30" t="str">
        <x:v>Brook Trout; Brown Trout; Rainbow Trout</x:v>
      </x:c>
      <x:c r="D26" s="30" t="str">
        <x:v>Brook Trout; Brown Trout; Rainbow Trout</x:v>
      </x:c>
      <x:c r="E26" s="30" t="str">
        <x:v>None listed</x:v>
      </x:c>
      <x:c r="F26" s="30" t="str">
        <x:v>Matched — species listed</x:v>
      </x:c>
      <x:c r="G26" s="30" t="str"/>
      <x:c r="H26" s="30" t="str">
        <x:v>BIRCH LAKE</x:v>
      </x:c>
      <x:c r="I26" s="31" t="n">
        <x:v>0.072</x:v>
      </x:c>
      <x:c r="J26" s="30" t="str">
        <x:v>https://www.anglersatlas.com/place/101813/birch-lake</x:v>
      </x:c>
      <x:c r="K26" s="30" t="str">
        <x:v>Name and coordinates agree.</x:v>
      </x:c>
      <x:c r="L26" s="30" t="str">
        <x:v>Birch Lake</x:v>
      </x:c>
    </x:row>
    <x:row r="27" ht="40" customHeight="1">
      <x:c r="A27" s="30" t="str">
        <x:v>Birdwood Lake</x:v>
      </x:c>
      <x:c r="B27" s="30" t="str">
        <x:v>4318</x:v>
      </x:c>
      <x:c r="C27" s="30" t="str">
        <x:v>Cutthroat Trout</x:v>
      </x:c>
      <x:c r="D27" s="30" t="str">
        <x:v>Not assigned</x:v>
      </x:c>
      <x:c r="E27" s="30" t="str">
        <x:v>Not assigned</x:v>
      </x:c>
      <x:c r="F27" s="30" t="str">
        <x:v>No verified match found</x:v>
      </x:c>
      <x:c r="G27" s="30" t="str"/>
      <x:c r="H27" s="30" t="str"/>
      <x:c r="I27" s="31"/>
      <x:c r="J27" s="30" t="str"/>
      <x:c r="K27" s="30" t="str">
        <x:v>Exact-name and available broader-name searches did not establish a matching page.</x:v>
      </x:c>
      <x:c r="L27" s="30" t="str">
        <x:v>Birdwood Lake; Birdwood</x:v>
      </x:c>
    </x:row>
    <x:row r="28" ht="40" customHeight="1">
      <x:c r="A28" s="30" t="str">
        <x:v>Black Nugget Mine Pit</x:v>
      </x:c>
      <x:c r="B28" s="30" t="str">
        <x:v>6923</x:v>
      </x:c>
      <x:c r="C28" s="30" t="str">
        <x:v>Rainbow Trout; Tiger Trout</x:v>
      </x:c>
      <x:c r="D28" s="30" t="str">
        <x:v>Rainbow Trout; Tiger Trout</x:v>
      </x:c>
      <x:c r="E28" s="30" t="str">
        <x:v>None listed</x:v>
      </x:c>
      <x:c r="F28" s="30" t="str">
        <x:v>Matched — species listed</x:v>
      </x:c>
      <x:c r="G28" s="30" t="str"/>
      <x:c r="H28" s="30" t="str">
        <x:v>Black Nugget Mine Pit</x:v>
      </x:c>
      <x:c r="I28" s="31" t="n">
        <x:v>0.201</x:v>
      </x:c>
      <x:c r="J28" s="30" t="str">
        <x:v>https://www.anglersatlas.com/place/712623/black-nugget-mine-pit</x:v>
      </x:c>
      <x:c r="K28" s="30" t="str">
        <x:v>Name and coordinates agree.</x:v>
      </x:c>
      <x:c r="L28" s="30" t="str">
        <x:v>Black Nugget Mine Pit</x:v>
      </x:c>
    </x:row>
    <x:row r="29" ht="40" customHeight="1">
      <x:c r="A29" s="30" t="str">
        <x:v>Blood Indian Creek Reservoir</x:v>
      </x:c>
      <x:c r="B29" s="30" t="str">
        <x:v>3494</x:v>
      </x:c>
      <x:c r="C29" s="30" t="str">
        <x:v>Brown Trout; Rainbow Trout; Tiger Trout; Walleye</x:v>
      </x:c>
      <x:c r="D29" s="30" t="str">
        <x:v>Not assigned</x:v>
      </x:c>
      <x:c r="E29" s="30" t="str">
        <x:v>Not assigned</x:v>
      </x:c>
      <x:c r="F29" s="30" t="str">
        <x:v>No verified match found</x:v>
      </x:c>
      <x:c r="G29" s="30" t="str"/>
      <x:c r="H29" s="30" t="str"/>
      <x:c r="I29" s="31"/>
      <x:c r="J29" s="30" t="str"/>
      <x:c r="K29" s="30" t="str">
        <x:v>Exact-name and available broader-name searches did not establish a matching page.</x:v>
      </x:c>
      <x:c r="L29" s="30" t="str">
        <x:v>Blood Indian Creek Reservoir</x:v>
      </x:c>
    </x:row>
    <x:row r="30" ht="40" customHeight="1">
      <x:c r="A30" s="30" t="str">
        <x:v>Blueridge Pit</x:v>
      </x:c>
      <x:c r="B30" s="30" t="str">
        <x:v>26033</x:v>
      </x:c>
      <x:c r="C30" s="30" t="str">
        <x:v>Rainbow Trout</x:v>
      </x:c>
      <x:c r="D30" s="30" t="str">
        <x:v>Not assigned</x:v>
      </x:c>
      <x:c r="E30" s="30" t="str">
        <x:v>Not assigned</x:v>
      </x:c>
      <x:c r="F30" s="30" t="str">
        <x:v>No verified match found</x:v>
      </x:c>
      <x:c r="G30" s="30" t="str"/>
      <x:c r="H30" s="30" t="str"/>
      <x:c r="I30" s="31"/>
      <x:c r="J30" s="30" t="str"/>
      <x:c r="K30" s="30" t="str">
        <x:v>Exact-name and available broader-name searches did not establish a matching page.</x:v>
      </x:c>
      <x:c r="L30" s="30" t="str">
        <x:v>Blueridge Pit; Blueridge</x:v>
      </x:c>
    </x:row>
    <x:row r="31" ht="40" customHeight="1">
      <x:c r="A31" s="30" t="str">
        <x:v>Boulder Lake</x:v>
      </x:c>
      <x:c r="B31" s="30" t="str">
        <x:v>417506</x:v>
      </x:c>
      <x:c r="C31" s="30" t="str">
        <x:v>Rainbow Trout; Tiger Trout</x:v>
      </x:c>
      <x:c r="D31" s="30" t="str">
        <x:v>Not listed</x:v>
      </x:c>
      <x:c r="E31" s="30" t="str">
        <x:v>None listed</x:v>
      </x:c>
      <x:c r="F31" s="30" t="str">
        <x:v>Matched — no species listed</x:v>
      </x:c>
      <x:c r="G31" s="30" t="str"/>
      <x:c r="H31" s="30" t="str">
        <x:v>Boulder Lake</x:v>
      </x:c>
      <x:c r="I31" s="31" t="n">
        <x:v>0</x:v>
      </x:c>
      <x:c r="J31" s="30" t="str">
        <x:v>https://www.anglersatlas.com/place/2207594/boulder-lake</x:v>
      </x:c>
      <x:c r="K31" s="30" t="str">
        <x:v>Name and coordinates agree.</x:v>
      </x:c>
      <x:c r="L31" s="30" t="str">
        <x:v>Boulder Lake</x:v>
      </x:c>
    </x:row>
    <x:row r="32" ht="40" customHeight="1">
      <x:c r="A32" s="30" t="str">
        <x:v>Bow City East Ponds</x:v>
      </x:c>
      <x:c r="B32" s="30" t="str">
        <x:v>6882</x:v>
      </x:c>
      <x:c r="C32" s="30" t="str">
        <x:v>Rainbow Trout</x:v>
      </x:c>
      <x:c r="D32" s="30" t="str">
        <x:v>Not assigned</x:v>
      </x:c>
      <x:c r="E32" s="30" t="str">
        <x:v>Not assigned</x:v>
      </x:c>
      <x:c r="F32" s="30" t="str">
        <x:v>No verified match found</x:v>
      </x:c>
      <x:c r="G32" s="30" t="str"/>
      <x:c r="H32" s="30" t="str"/>
      <x:c r="I32" s="31"/>
      <x:c r="J32" s="30" t="str"/>
      <x:c r="K32" s="30" t="str">
        <x:v>Exact-name and available broader-name searches did not establish a matching page.</x:v>
      </x:c>
      <x:c r="L32" s="30" t="str">
        <x:v>Bow City East Ponds; Bow City</x:v>
      </x:c>
    </x:row>
    <x:row r="33" ht="40" customHeight="1">
      <x:c r="A33" s="30" t="str">
        <x:v>Boyle Pond</x:v>
      </x:c>
      <x:c r="B33" s="30" t="str">
        <x:v>6884</x:v>
      </x:c>
      <x:c r="C33" s="30" t="str">
        <x:v>Rainbow Trout</x:v>
      </x:c>
      <x:c r="D33" s="30" t="str">
        <x:v>Not listed</x:v>
      </x:c>
      <x:c r="E33" s="30" t="str">
        <x:v>None listed</x:v>
      </x:c>
      <x:c r="F33" s="30" t="str">
        <x:v>Matched — no species listed</x:v>
      </x:c>
      <x:c r="G33" s="30" t="str"/>
      <x:c r="H33" s="30" t="str">
        <x:v>Boyle Fish Pond</x:v>
      </x:c>
      <x:c r="I33" s="31" t="n">
        <x:v>0.069</x:v>
      </x:c>
      <x:c r="J33" s="30" t="str">
        <x:v>https://www.anglersatlas.com/place/884916/boyle-fish-pond</x:v>
      </x:c>
      <x:c r="K33" s="30" t="str">
        <x:v>Name variant and coordinates agree.</x:v>
      </x:c>
      <x:c r="L33" s="30" t="str">
        <x:v>Boyle Pond; Boyle</x:v>
      </x:c>
    </x:row>
    <x:row r="34" ht="40" customHeight="1">
      <x:c r="A34" s="30" t="str">
        <x:v>Brazeau Borrow Pit #1</x:v>
      </x:c>
      <x:c r="B34" s="30" t="str">
        <x:v>6921</x:v>
      </x:c>
      <x:c r="C34" s="30" t="str">
        <x:v>Rainbow Trout</x:v>
      </x:c>
      <x:c r="D34" s="30" t="str">
        <x:v>Not assigned</x:v>
      </x:c>
      <x:c r="E34" s="30" t="str">
        <x:v>Not assigned</x:v>
      </x:c>
      <x:c r="F34" s="30" t="str">
        <x:v>Uncertain lake match</x:v>
      </x:c>
      <x:c r="G34" s="30" t="str"/>
      <x:c r="H34" s="30" t="str">
        <x:v>Brazeau Canal</x:v>
      </x:c>
      <x:c r="I34" s="31" t="n">
        <x:v>3.528</x:v>
      </x:c>
      <x:c r="J34" s="30" t="str">
        <x:v>https://www.anglersatlas.com/place/726192/brazeau-canal</x:v>
      </x:c>
      <x:c r="K34" s="30" t="str">
        <x:v>Candidate is nearby, but the individual lake or pond is not established. Species not assigned.</x:v>
      </x:c>
      <x:c r="L34" s="30" t="str">
        <x:v>Brazeau Borrow Pit #1; Brazeau</x:v>
      </x:c>
    </x:row>
    <x:row r="35" ht="40" customHeight="1">
      <x:c r="A35" s="30" t="str">
        <x:v>Brazeau Borrow Pit #2</x:v>
      </x:c>
      <x:c r="B35" s="30" t="str">
        <x:v>6922</x:v>
      </x:c>
      <x:c r="C35" s="30" t="str">
        <x:v>Rainbow Trout</x:v>
      </x:c>
      <x:c r="D35" s="30" t="str">
        <x:v>Not assigned</x:v>
      </x:c>
      <x:c r="E35" s="30" t="str">
        <x:v>Not assigned</x:v>
      </x:c>
      <x:c r="F35" s="30" t="str">
        <x:v>Uncertain lake match</x:v>
      </x:c>
      <x:c r="G35" s="30" t="str"/>
      <x:c r="H35" s="30" t="str">
        <x:v>Brazeau Canal</x:v>
      </x:c>
      <x:c r="I35" s="31" t="n">
        <x:v>2.352</x:v>
      </x:c>
      <x:c r="J35" s="30" t="str">
        <x:v>https://www.anglersatlas.com/place/726192/brazeau-canal</x:v>
      </x:c>
      <x:c r="K35" s="30" t="str">
        <x:v>Candidate is nearby, but the individual lake or pond is not established. Species not assigned.</x:v>
      </x:c>
      <x:c r="L35" s="30" t="str">
        <x:v>Brazeau Borrow Pit #2; Brazeau</x:v>
      </x:c>
    </x:row>
    <x:row r="36" ht="40" customHeight="1">
      <x:c r="A36" s="30" t="str">
        <x:v>Brazeau Canal</x:v>
      </x:c>
      <x:c r="B36" s="30" t="str">
        <x:v>24236</x:v>
      </x:c>
      <x:c r="C36" s="30" t="str">
        <x:v>Walleye</x:v>
      </x:c>
      <x:c r="D36" s="30" t="str">
        <x:v>Not assigned</x:v>
      </x:c>
      <x:c r="E36" s="30" t="str">
        <x:v>Not assigned</x:v>
      </x:c>
      <x:c r="F36" s="30" t="str">
        <x:v>Uncertain lake match</x:v>
      </x:c>
      <x:c r="G36" s="30" t="str"/>
      <x:c r="H36" s="30" t="str">
        <x:v>Brazeau Canal</x:v>
      </x:c>
      <x:c r="I36" s="31" t="n">
        <x:v>3.127</x:v>
      </x:c>
      <x:c r="J36" s="30" t="str">
        <x:v>https://www.anglersatlas.com/place/726192/brazeau-canal</x:v>
      </x:c>
      <x:c r="K36" s="30" t="str">
        <x:v>Atlas identifies the canal. Alberta describes a pond along the canal. Individual pond match is uncertain.</x:v>
      </x:c>
      <x:c r="L36" s="30" t="str">
        <x:v>Brazeau Canal</x:v>
      </x:c>
    </x:row>
    <x:row r="37" ht="40" customHeight="1">
      <x:c r="A37" s="30" t="str">
        <x:v>Brooks Aqueduct Pond</x:v>
      </x:c>
      <x:c r="B37" s="30" t="str">
        <x:v>6873</x:v>
      </x:c>
      <x:c r="C37" s="30" t="str">
        <x:v>Rainbow Trout</x:v>
      </x:c>
      <x:c r="D37" s="30" t="str">
        <x:v>Not assigned</x:v>
      </x:c>
      <x:c r="E37" s="30" t="str">
        <x:v>Not assigned</x:v>
      </x:c>
      <x:c r="F37" s="30" t="str">
        <x:v>No verified match found</x:v>
      </x:c>
      <x:c r="G37" s="30" t="str"/>
      <x:c r="H37" s="30" t="str"/>
      <x:c r="I37" s="31"/>
      <x:c r="J37" s="30" t="str"/>
      <x:c r="K37" s="30" t="str">
        <x:v>Exact-name and available broader-name searches did not establish a matching page.</x:v>
      </x:c>
      <x:c r="L37" s="30" t="str">
        <x:v>Brooks Aqueduct Pond; Brooks Aqueduct</x:v>
      </x:c>
    </x:row>
    <x:row r="38" ht="40" customHeight="1">
      <x:c r="A38" s="30" t="str">
        <x:v>Bud Miller Park Pond</x:v>
      </x:c>
      <x:c r="B38" s="30" t="str">
        <x:v>6876</x:v>
      </x:c>
      <x:c r="C38" s="30" t="str">
        <x:v>Rainbow Trout</x:v>
      </x:c>
      <x:c r="D38" s="30" t="str">
        <x:v>Not assigned</x:v>
      </x:c>
      <x:c r="E38" s="30" t="str">
        <x:v>Not assigned</x:v>
      </x:c>
      <x:c r="F38" s="30" t="str">
        <x:v>No verified match found</x:v>
      </x:c>
      <x:c r="G38" s="30" t="str"/>
      <x:c r="H38" s="30" t="str"/>
      <x:c r="I38" s="31"/>
      <x:c r="J38" s="30" t="str"/>
      <x:c r="K38" s="30" t="str">
        <x:v>Exact-name and available broader-name searches did not establish a matching page.</x:v>
      </x:c>
      <x:c r="L38" s="30" t="str">
        <x:v>Bud Miller Park Pond; Bud Miller</x:v>
      </x:c>
    </x:row>
    <x:row r="39" ht="40" customHeight="1">
      <x:c r="A39" s="30" t="str">
        <x:v>Bullshead Creek Reservoir</x:v>
      </x:c>
      <x:c r="B39" s="30" t="str">
        <x:v>6878</x:v>
      </x:c>
      <x:c r="C39" s="30" t="str">
        <x:v>Rainbow Trout</x:v>
      </x:c>
      <x:c r="D39" s="30" t="str">
        <x:v>Not assigned</x:v>
      </x:c>
      <x:c r="E39" s="30" t="str">
        <x:v>Not assigned</x:v>
      </x:c>
      <x:c r="F39" s="30" t="str">
        <x:v>No verified match found</x:v>
      </x:c>
      <x:c r="G39" s="30" t="str"/>
      <x:c r="H39" s="30" t="str"/>
      <x:c r="I39" s="31"/>
      <x:c r="J39" s="30" t="str"/>
      <x:c r="K39" s="30" t="str">
        <x:v>Exact-name and available broader-name searches did not establish a matching page.</x:v>
      </x:c>
      <x:c r="L39" s="30" t="str">
        <x:v>Bullshead Creek Reservoir; Bullshead Creek</x:v>
      </x:c>
    </x:row>
    <x:row r="40" ht="40" customHeight="1">
      <x:c r="A40" s="30" t="str">
        <x:v>Burmis Lake</x:v>
      </x:c>
      <x:c r="B40" s="30" t="str">
        <x:v>6879</x:v>
      </x:c>
      <x:c r="C40" s="30" t="str">
        <x:v>Cutthroat Trout; Rainbow Trout; Westslope Cutthroat Trout</x:v>
      </x:c>
      <x:c r="D40" s="30" t="str">
        <x:v>Not listed</x:v>
      </x:c>
      <x:c r="E40" s="30" t="str">
        <x:v>None listed</x:v>
      </x:c>
      <x:c r="F40" s="30" t="str">
        <x:v>Matched — no species listed</x:v>
      </x:c>
      <x:c r="G40" s="30" t="str"/>
      <x:c r="H40" s="30" t="str">
        <x:v>BURMIS LAKE</x:v>
      </x:c>
      <x:c r="I40" s="31" t="n">
        <x:v>0.022</x:v>
      </x:c>
      <x:c r="J40" s="30" t="str">
        <x:v>https://www.anglersatlas.com/place/102597/burmis-lake</x:v>
      </x:c>
      <x:c r="K40" s="30" t="str">
        <x:v>Name and coordinates agree.</x:v>
      </x:c>
      <x:c r="L40" s="30" t="str">
        <x:v>Burmis Lake</x:v>
      </x:c>
    </x:row>
    <x:row r="41" ht="40" customHeight="1">
      <x:c r="A41" s="30" t="str">
        <x:v>Burn's Reservoir</x:v>
      </x:c>
      <x:c r="B41" s="30" t="str">
        <x:v>6880</x:v>
      </x:c>
      <x:c r="C41" s="30" t="str">
        <x:v>Cutthroat Trout; Rainbow Trout; Westslope Cutthroat Trout</x:v>
      </x:c>
      <x:c r="D41" s="30" t="str">
        <x:v>Not assigned</x:v>
      </x:c>
      <x:c r="E41" s="30" t="str">
        <x:v>Not assigned</x:v>
      </x:c>
      <x:c r="F41" s="30" t="str">
        <x:v>No verified match found</x:v>
      </x:c>
      <x:c r="G41" s="30" t="str"/>
      <x:c r="H41" s="30" t="str">
        <x:v>Burns Lake</x:v>
      </x:c>
      <x:c r="I41" s="31" t="n">
        <x:v>143.163</x:v>
      </x:c>
      <x:c r="J41" s="30" t="str">
        <x:v>https://www.anglersatlas.com/place/1107815/burns-lake</x:v>
      </x:c>
      <x:c r="K41" s="30" t="str">
        <x:v>Named candidate coordinates do not agree. Species not assigned.</x:v>
      </x:c>
      <x:c r="L41" s="30" t="str">
        <x:v>Burn's Reservoir; Burn</x:v>
      </x:c>
    </x:row>
    <x:row r="42" ht="40" customHeight="1">
      <x:c r="A42" s="30" t="str">
        <x:v>Burns Lake</x:v>
      </x:c>
      <x:c r="B42" s="30" t="str">
        <x:v>4159</x:v>
      </x:c>
      <x:c r="C42" s="30" t="str">
        <x:v>Cutthroat Trout</x:v>
      </x:c>
      <x:c r="D42" s="30" t="str">
        <x:v>Not listed</x:v>
      </x:c>
      <x:c r="E42" s="30" t="str">
        <x:v>None listed</x:v>
      </x:c>
      <x:c r="F42" s="30" t="str">
        <x:v>Matched — no species listed</x:v>
      </x:c>
      <x:c r="G42" s="30" t="str"/>
      <x:c r="H42" s="30" t="str">
        <x:v>Burns Lake</x:v>
      </x:c>
      <x:c r="I42" s="31" t="n">
        <x:v>0.011</x:v>
      </x:c>
      <x:c r="J42" s="30" t="str">
        <x:v>https://www.anglersatlas.com/place/1107815/burns-lake</x:v>
      </x:c>
      <x:c r="K42" s="30" t="str">
        <x:v>Name and coordinates agree.</x:v>
      </x:c>
      <x:c r="L42" s="30" t="str">
        <x:v>Burns Lake</x:v>
      </x:c>
    </x:row>
    <x:row r="43" ht="40" customHeight="1">
      <x:c r="A43" s="30" t="str">
        <x:v>Burnstick Lake</x:v>
      </x:c>
      <x:c r="B43" s="30" t="str">
        <x:v>4161</x:v>
      </x:c>
      <x:c r="C43" s="30" t="str">
        <x:v>Walleye</x:v>
      </x:c>
      <x:c r="D43" s="30" t="str">
        <x:v>Lake Whitefish; Northern Pike; Walleye; Yellow Perch</x:v>
      </x:c>
      <x:c r="E43" s="30" t="str">
        <x:v>Lake Whitefish; Northern Pike; Yellow Perch</x:v>
      </x:c>
      <x:c r="F43" s="30" t="str">
        <x:v>Matched — species listed</x:v>
      </x:c>
      <x:c r="G43" s="30" t="str"/>
      <x:c r="H43" s="30" t="str">
        <x:v>Burnstick Lake</x:v>
      </x:c>
      <x:c r="I43" s="31" t="n">
        <x:v>1.528</x:v>
      </x:c>
      <x:c r="J43" s="30" t="str">
        <x:v>https://www.anglersatlas.com/place/723940/burnstick-lake</x:v>
      </x:c>
      <x:c r="K43" s="30" t="str">
        <x:v>Same named large lake. Map points differ within the lake vicinity.</x:v>
      </x:c>
      <x:c r="L43" s="30" t="str">
        <x:v>Burnstick Lake</x:v>
      </x:c>
    </x:row>
    <x:row r="44" ht="40" customHeight="1">
      <x:c r="A44" s="30" t="str">
        <x:v>Butcher's Lake</x:v>
      </x:c>
      <x:c r="B44" s="30" t="str">
        <x:v>4171</x:v>
      </x:c>
      <x:c r="C44" s="30" t="str">
        <x:v>Brook Trout</x:v>
      </x:c>
      <x:c r="D44" s="30" t="str">
        <x:v>Not assigned</x:v>
      </x:c>
      <x:c r="E44" s="30" t="str">
        <x:v>Not assigned</x:v>
      </x:c>
      <x:c r="F44" s="30" t="str">
        <x:v>No verified match found</x:v>
      </x:c>
      <x:c r="G44" s="30" t="str"/>
      <x:c r="H44" s="30" t="str"/>
      <x:c r="I44" s="31"/>
      <x:c r="J44" s="30" t="str"/>
      <x:c r="K44" s="30" t="str">
        <x:v>Exact-name and available broader-name searches did not establish a matching page.</x:v>
      </x:c>
      <x:c r="L44" s="30" t="str">
        <x:v>Butcher's Lake; Butcher</x:v>
      </x:c>
    </x:row>
    <x:row r="45" ht="40" customHeight="1">
      <x:c r="A45" s="30" t="str">
        <x:v>By the Lake Park</x:v>
      </x:c>
      <x:c r="B45" s="30" t="str">
        <x:v>6614</x:v>
      </x:c>
      <x:c r="C45" s="30" t="str">
        <x:v>Rainbow Trout</x:v>
      </x:c>
      <x:c r="D45" s="30" t="str">
        <x:v>Not assigned</x:v>
      </x:c>
      <x:c r="E45" s="30" t="str">
        <x:v>Not assigned</x:v>
      </x:c>
      <x:c r="F45" s="30" t="str">
        <x:v>No verified match found</x:v>
      </x:c>
      <x:c r="G45" s="30" t="str"/>
      <x:c r="H45" s="30" t="str"/>
      <x:c r="I45" s="31"/>
      <x:c r="J45" s="30" t="str"/>
      <x:c r="K45" s="30" t="str">
        <x:v>Exact-name and available broader-name searches did not establish a matching page.</x:v>
      </x:c>
      <x:c r="L45" s="30" t="str">
        <x:v>By the Lake Park</x:v>
      </x:c>
    </x:row>
    <x:row r="46" ht="40" customHeight="1">
      <x:c r="A46" s="30" t="str">
        <x:v>Camp 9 Trout Pond</x:v>
      </x:c>
      <x:c r="B46" s="30" t="str">
        <x:v>21332</x:v>
      </x:c>
      <x:c r="C46" s="30" t="str">
        <x:v>Rainbow Trout</x:v>
      </x:c>
      <x:c r="D46" s="30" t="str">
        <x:v>Not assigned</x:v>
      </x:c>
      <x:c r="E46" s="30" t="str">
        <x:v>Not assigned</x:v>
      </x:c>
      <x:c r="F46" s="30" t="str">
        <x:v>No verified match found</x:v>
      </x:c>
      <x:c r="G46" s="30" t="str"/>
      <x:c r="H46" s="30" t="str"/>
      <x:c r="I46" s="31"/>
      <x:c r="J46" s="30" t="str"/>
      <x:c r="K46" s="30" t="str">
        <x:v>Exact-name and available broader-name searches did not establish a matching page.</x:v>
      </x:c>
      <x:c r="L46" s="30" t="str">
        <x:v>Camp 9 Trout Pond; Camp 9</x:v>
      </x:c>
    </x:row>
    <x:row r="47" ht="40" customHeight="1">
      <x:c r="A47" s="30" t="str">
        <x:v>Capt Ayre</x:v>
      </x:c>
      <x:c r="B47" s="30" t="str">
        <x:v>4208</x:v>
      </x:c>
      <x:c r="C47" s="30" t="str">
        <x:v>Rainbow Trout; Tiger Trout</x:v>
      </x:c>
      <x:c r="D47" s="30" t="str">
        <x:v>Not assigned</x:v>
      </x:c>
      <x:c r="E47" s="30" t="str">
        <x:v>Not assigned</x:v>
      </x:c>
      <x:c r="F47" s="30" t="str">
        <x:v>No verified match found</x:v>
      </x:c>
      <x:c r="G47" s="30" t="str"/>
      <x:c r="H47" s="30" t="str"/>
      <x:c r="I47" s="31"/>
      <x:c r="J47" s="30" t="str"/>
      <x:c r="K47" s="30" t="str">
        <x:v>Exact-name and available broader-name searches did not establish a matching page.</x:v>
      </x:c>
      <x:c r="L47" s="30" t="str">
        <x:v>Capt Ayre</x:v>
      </x:c>
    </x:row>
    <x:row r="48" ht="40" customHeight="1">
      <x:c r="A48" s="30" t="str">
        <x:v>Cardiff Park Pond</x:v>
      </x:c>
      <x:c r="B48" s="30" t="str">
        <x:v>6868</x:v>
      </x:c>
      <x:c r="C48" s="30" t="str">
        <x:v>Brown Trout; Rainbow Trout; Tiger Trout</x:v>
      </x:c>
      <x:c r="D48" s="30" t="str">
        <x:v>Brown Trout; Prussian Carp; Rainbow Trout; Tiger Trout</x:v>
      </x:c>
      <x:c r="E48" s="30" t="str">
        <x:v>Prussian Carp</x:v>
      </x:c>
      <x:c r="F48" s="30" t="str">
        <x:v>Matched — species listed</x:v>
      </x:c>
      <x:c r="G48" s="30" t="str"/>
      <x:c r="H48" s="30" t="str">
        <x:v>Cardiff Pond</x:v>
      </x:c>
      <x:c r="I48" s="31" t="n">
        <x:v>0.081</x:v>
      </x:c>
      <x:c r="J48" s="30" t="str">
        <x:v>https://www.anglersatlas.com/place/875900/cardiff-pond</x:v>
      </x:c>
      <x:c r="K48" s="30" t="str">
        <x:v>Name variant and coordinates agree.</x:v>
      </x:c>
      <x:c r="L48" s="30" t="str">
        <x:v>Cardiff Park Pond; Cardiff</x:v>
      </x:c>
    </x:row>
    <x:row r="49" ht="40" customHeight="1">
      <x:c r="A49" s="30" t="str">
        <x:v>Carnarvon Lake</x:v>
      </x:c>
      <x:c r="B49" s="30" t="str">
        <x:v>4221</x:v>
      </x:c>
      <x:c r="C49" s="30" t="str">
        <x:v>Cutthroat Trout</x:v>
      </x:c>
      <x:c r="D49" s="30" t="str">
        <x:v>Not listed</x:v>
      </x:c>
      <x:c r="E49" s="30" t="str">
        <x:v>None listed</x:v>
      </x:c>
      <x:c r="F49" s="30" t="str">
        <x:v>Matched — no species listed</x:v>
      </x:c>
      <x:c r="G49" s="30" t="str"/>
      <x:c r="H49" s="30" t="str">
        <x:v>Carnarvon Lake</x:v>
      </x:c>
      <x:c r="I49" s="31" t="n">
        <x:v>0.037</x:v>
      </x:c>
      <x:c r="J49" s="30" t="str">
        <x:v>https://www.anglersatlas.com/place/726218/carnarvon-lake</x:v>
      </x:c>
      <x:c r="K49" s="30" t="str">
        <x:v>Name and coordinates agree.</x:v>
      </x:c>
      <x:c r="L49" s="30" t="str">
        <x:v>Carnarvon Lake</x:v>
      </x:c>
    </x:row>
    <x:row r="50" ht="40" customHeight="1">
      <x:c r="A50" s="30" t="str">
        <x:v>Carson Lake</x:v>
      </x:c>
      <x:c r="B50" s="30" t="str">
        <x:v>5286</x:v>
      </x:c>
      <x:c r="C50" s="30" t="str">
        <x:v>Rainbow Trout</x:v>
      </x:c>
      <x:c r="D50" s="30" t="str">
        <x:v>Not assigned</x:v>
      </x:c>
      <x:c r="E50" s="30" t="str">
        <x:v>Not assigned</x:v>
      </x:c>
      <x:c r="F50" s="30" t="str">
        <x:v>No verified match found</x:v>
      </x:c>
      <x:c r="G50" s="30" t="str"/>
      <x:c r="H50" s="30" t="str"/>
      <x:c r="I50" s="31"/>
      <x:c r="J50" s="30" t="str"/>
      <x:c r="K50" s="30" t="str">
        <x:v>Exact-name and available broader-name searches did not establish a matching page.</x:v>
      </x:c>
      <x:c r="L50" s="30" t="str">
        <x:v>Carson Lake; Carson</x:v>
      </x:c>
    </x:row>
    <x:row r="51" ht="40" customHeight="1">
      <x:c r="A51" s="30" t="str">
        <x:v>Castaway Trout Pond</x:v>
      </x:c>
      <x:c r="B51" s="30" t="str">
        <x:v>20258</x:v>
      </x:c>
      <x:c r="C51" s="30" t="str">
        <x:v>Rainbow Trout; Tiger Trout</x:v>
      </x:c>
      <x:c r="D51" s="30" t="str">
        <x:v>Not assigned</x:v>
      </x:c>
      <x:c r="E51" s="30" t="str">
        <x:v>Not assigned</x:v>
      </x:c>
      <x:c r="F51" s="30" t="str">
        <x:v>No verified match found</x:v>
      </x:c>
      <x:c r="G51" s="30" t="str"/>
      <x:c r="H51" s="30" t="str"/>
      <x:c r="I51" s="31"/>
      <x:c r="J51" s="30" t="str"/>
      <x:c r="K51" s="30" t="str">
        <x:v>Exact-name and available broader-name searches did not establish a matching page.</x:v>
      </x:c>
      <x:c r="L51" s="30" t="str">
        <x:v>Castaway Trout Pond; Castaway</x:v>
      </x:c>
    </x:row>
    <x:row r="52" ht="40" customHeight="1">
      <x:c r="A52" s="30" t="str">
        <x:v>Castor Eastside Trout Pond</x:v>
      </x:c>
      <x:c r="B52" s="30" t="str">
        <x:v>18022</x:v>
      </x:c>
      <x:c r="C52" s="30" t="str">
        <x:v>Rainbow Trout</x:v>
      </x:c>
      <x:c r="D52" s="30" t="str">
        <x:v>Not assigned</x:v>
      </x:c>
      <x:c r="E52" s="30" t="str">
        <x:v>Not assigned</x:v>
      </x:c>
      <x:c r="F52" s="30" t="str">
        <x:v>No verified match found</x:v>
      </x:c>
      <x:c r="G52" s="30" t="str"/>
      <x:c r="H52" s="30" t="str"/>
      <x:c r="I52" s="31"/>
      <x:c r="J52" s="30" t="str"/>
      <x:c r="K52" s="30" t="str">
        <x:v>Exact-name and available broader-name searches did not establish a matching page.</x:v>
      </x:c>
      <x:c r="L52" s="30" t="str">
        <x:v>Castor Eastside Trout Pond; Castor Eastside</x:v>
      </x:c>
    </x:row>
    <x:row r="53" ht="40" customHeight="1">
      <x:c r="A53" s="30" t="str">
        <x:v>Cavan Lake</x:v>
      </x:c>
      <x:c r="B53" s="30" t="str">
        <x:v>4231</x:v>
      </x:c>
      <x:c r="C53" s="30" t="str">
        <x:v>Rainbow Trout</x:v>
      </x:c>
      <x:c r="D53" s="30" t="str">
        <x:v>Not listed</x:v>
      </x:c>
      <x:c r="E53" s="30" t="str">
        <x:v>None listed</x:v>
      </x:c>
      <x:c r="F53" s="30" t="str">
        <x:v>Matched — no species listed</x:v>
      </x:c>
      <x:c r="G53" s="30" t="str"/>
      <x:c r="H53" s="30" t="str">
        <x:v>CAVAN LAKE</x:v>
      </x:c>
      <x:c r="I53" s="31" t="n">
        <x:v>0.34</x:v>
      </x:c>
      <x:c r="J53" s="30" t="str">
        <x:v>https://www.anglersatlas.com/place/101833/cavan-lake</x:v>
      </x:c>
      <x:c r="K53" s="30" t="str">
        <x:v>Name and coordinates agree.</x:v>
      </x:c>
      <x:c r="L53" s="30" t="str">
        <x:v>Cavan Lake</x:v>
      </x:c>
    </x:row>
    <x:row r="54" ht="40" customHeight="1">
      <x:c r="A54" s="30" t="str">
        <x:v>Cecil Thompson Pond</x:v>
      </x:c>
      <x:c r="B54" s="30" t="str">
        <x:v>6778</x:v>
      </x:c>
      <x:c r="C54" s="30" t="str">
        <x:v>Rainbow Trout</x:v>
      </x:c>
      <x:c r="D54" s="30" t="str">
        <x:v>Not assigned</x:v>
      </x:c>
      <x:c r="E54" s="30" t="str">
        <x:v>Not assigned</x:v>
      </x:c>
      <x:c r="F54" s="30" t="str">
        <x:v>No verified match found</x:v>
      </x:c>
      <x:c r="G54" s="30" t="str"/>
      <x:c r="H54" s="30" t="str"/>
      <x:c r="I54" s="31"/>
      <x:c r="J54" s="30" t="str"/>
      <x:c r="K54" s="30" t="str">
        <x:v>Exact-name and available broader-name searches did not establish a matching page.</x:v>
      </x:c>
      <x:c r="L54" s="30" t="str">
        <x:v>Cecil Thompson Pond; Cecil Thompson</x:v>
      </x:c>
    </x:row>
    <x:row r="55" ht="52" customHeight="1">
      <x:c r="A55" s="30" t="str">
        <x:v>Chain Lakes Reservoir</x:v>
      </x:c>
      <x:c r="B55" s="30" t="str">
        <x:v>3499</x:v>
      </x:c>
      <x:c r="C55" s="30" t="str">
        <x:v>Cutthroat Trout; Rainbow Trout; Westslope Cutthroat Trout</x:v>
      </x:c>
      <x:c r="D55" s="30" t="str">
        <x:v>Brook Trout; Bull Trout; Cutthroat Trout; Golden Trout; Mountain Whitefish; Rainbow Trout; White Sucker</x:v>
      </x:c>
      <x:c r="E55" s="30" t="str">
        <x:v>Brook Trout; Bull Trout; Golden Trout; Mountain Whitefish; White Sucker</x:v>
      </x:c>
      <x:c r="F55" s="30" t="str">
        <x:v>Matched — species listed</x:v>
      </x:c>
      <x:c r="G55" s="30" t="str"/>
      <x:c r="H55" s="30" t="str">
        <x:v>CHAIN LAKES RESERVOIR</x:v>
      </x:c>
      <x:c r="I55" s="31" t="n">
        <x:v>0.423</x:v>
      </x:c>
      <x:c r="J55" s="30" t="str">
        <x:v>https://www.anglersatlas.com/place/101834/chain-lakes-reservoir</x:v>
      </x:c>
      <x:c r="K55" s="30" t="str">
        <x:v>Name and coordinates agree.</x:v>
      </x:c>
      <x:c r="L55" s="30" t="str">
        <x:v>Chain Lakes Reservoir</x:v>
      </x:c>
    </x:row>
    <x:row r="56" ht="52" customHeight="1">
      <x:c r="A56" s="30" t="str">
        <x:v>Chatwin Lake</x:v>
      </x:c>
      <x:c r="B56" s="30" t="str">
        <x:v>4252</x:v>
      </x:c>
      <x:c r="C56" s="30" t="str">
        <x:v>Rainbow Trout; Tiger Trout</x:v>
      </x:c>
      <x:c r="D56" s="30" t="str">
        <x:v>Brook Stickleback; Emerald Shiner; Fathead Minnow; Nine Spine Stickleback; Rainbow Trout; Yellow Perch</x:v>
      </x:c>
      <x:c r="E56" s="30" t="str">
        <x:v>Brook Stickleback; Emerald Shiner; Fathead Minnow; Nine Spine Stickleback; Yellow Perch</x:v>
      </x:c>
      <x:c r="F56" s="30" t="str">
        <x:v>Matched — species listed</x:v>
      </x:c>
      <x:c r="G56" s="30" t="str"/>
      <x:c r="H56" s="30" t="str">
        <x:v>CHATWIN LAKE</x:v>
      </x:c>
      <x:c r="I56" s="31" t="n">
        <x:v>0.034</x:v>
      </x:c>
      <x:c r="J56" s="30" t="str">
        <x:v>https://www.anglersatlas.com/place/101838/chatwin-lake</x:v>
      </x:c>
      <x:c r="K56" s="30" t="str">
        <x:v>Name and coordinates agree.</x:v>
      </x:c>
      <x:c r="L56" s="30" t="str">
        <x:v>Chatwin Lake</x:v>
      </x:c>
    </x:row>
    <x:row r="57" ht="40" customHeight="1">
      <x:c r="A57" s="30" t="str">
        <x:v>Chickako Lake</x:v>
      </x:c>
      <x:c r="B57" s="30" t="str">
        <x:v>4261</x:v>
      </x:c>
      <x:c r="C57" s="30" t="str">
        <x:v>Rainbow Trout</x:v>
      </x:c>
      <x:c r="D57" s="30" t="str">
        <x:v>Brook Trout; Rainbow Trout</x:v>
      </x:c>
      <x:c r="E57" s="30" t="str">
        <x:v>Brook Trout</x:v>
      </x:c>
      <x:c r="F57" s="30" t="str">
        <x:v>Matched — species listed</x:v>
      </x:c>
      <x:c r="G57" s="30" t="str"/>
      <x:c r="H57" s="30" t="str">
        <x:v>CHICKAKOO LAKE</x:v>
      </x:c>
      <x:c r="I57" s="31" t="n">
        <x:v>0.16</x:v>
      </x:c>
      <x:c r="J57" s="30" t="str">
        <x:v>https://www.anglersatlas.com/place/101840/chickakoo-lake</x:v>
      </x:c>
      <x:c r="K57" s="30" t="str">
        <x:v>Name variant and coordinates agree.</x:v>
      </x:c>
      <x:c r="L57" s="30" t="str">
        <x:v>Chickako Lake; Chickako</x:v>
      </x:c>
    </x:row>
    <x:row r="58" ht="40" customHeight="1">
      <x:c r="A58" s="30" t="str">
        <x:v>Chin Reservoir</x:v>
      </x:c>
      <x:c r="B58" s="30" t="str">
        <x:v>4265</x:v>
      </x:c>
      <x:c r="C58" s="30" t="str">
        <x:v>Walleye</x:v>
      </x:c>
      <x:c r="D58" s="30" t="str">
        <x:v>Lake Whitefish; Northern Pike; Walleye</x:v>
      </x:c>
      <x:c r="E58" s="30" t="str">
        <x:v>Lake Whitefish; Northern Pike</x:v>
      </x:c>
      <x:c r="F58" s="30" t="str">
        <x:v>Matched — species listed</x:v>
      </x:c>
      <x:c r="G58" s="30" t="str"/>
      <x:c r="H58" s="30" t="str">
        <x:v>CHIN LAKE</x:v>
      </x:c>
      <x:c r="I58" s="31" t="n">
        <x:v>2.497</x:v>
      </x:c>
      <x:c r="J58" s="30" t="str">
        <x:v>https://www.anglersatlas.com/place/102603/chin-lake</x:v>
      </x:c>
      <x:c r="K58" s="30" t="str">
        <x:v>Name variant and coordinates agree.</x:v>
      </x:c>
      <x:c r="L58" s="30" t="str">
        <x:v>Chin Reservoir; Chin</x:v>
      </x:c>
    </x:row>
    <x:row r="59" ht="40" customHeight="1">
      <x:c r="A59" s="30" t="str">
        <x:v>Chrystina Lake</x:v>
      </x:c>
      <x:c r="B59" s="30" t="str">
        <x:v>6860</x:v>
      </x:c>
      <x:c r="C59" s="30" t="str">
        <x:v>Brook Trout</x:v>
      </x:c>
      <x:c r="D59" s="30" t="str">
        <x:v>Not assigned</x:v>
      </x:c>
      <x:c r="E59" s="30" t="str">
        <x:v>Not assigned</x:v>
      </x:c>
      <x:c r="F59" s="30" t="str">
        <x:v>No verified match found</x:v>
      </x:c>
      <x:c r="G59" s="30" t="str"/>
      <x:c r="H59" s="30" t="str"/>
      <x:c r="I59" s="31"/>
      <x:c r="J59" s="30" t="str"/>
      <x:c r="K59" s="30" t="str">
        <x:v>Exact-name and available broader-name searches did not establish a matching page.</x:v>
      </x:c>
      <x:c r="L59" s="30" t="str">
        <x:v>Chrystina Lake; Chrystina</x:v>
      </x:c>
    </x:row>
    <x:row r="60" ht="40" customHeight="1">
      <x:c r="A60" s="30" t="str">
        <x:v>Cipperley's Reservoir</x:v>
      </x:c>
      <x:c r="B60" s="30" t="str">
        <x:v>6861</x:v>
      </x:c>
      <x:c r="C60" s="30" t="str">
        <x:v>Rainbow Trout; Tiger Trout</x:v>
      </x:c>
      <x:c r="D60" s="30" t="str">
        <x:v>Not assigned</x:v>
      </x:c>
      <x:c r="E60" s="30" t="str">
        <x:v>Not assigned</x:v>
      </x:c>
      <x:c r="F60" s="30" t="str">
        <x:v>No verified match found</x:v>
      </x:c>
      <x:c r="G60" s="30" t="str"/>
      <x:c r="H60" s="30" t="str"/>
      <x:c r="I60" s="31"/>
      <x:c r="J60" s="30" t="str"/>
      <x:c r="K60" s="30" t="str">
        <x:v>Exact-name and available broader-name searches did not establish a matching page.</x:v>
      </x:c>
      <x:c r="L60" s="30" t="str">
        <x:v>Cipperley's Reservoir; Cipperley</x:v>
      </x:c>
    </x:row>
    <x:row r="61" ht="40" customHeight="1">
      <x:c r="A61" s="30" t="str">
        <x:v>Coleman Fish and Game Pond</x:v>
      </x:c>
      <x:c r="B61" s="30" t="str">
        <x:v>6858</x:v>
      </x:c>
      <x:c r="C61" s="30" t="str">
        <x:v>Cutthroat Trout; Rainbow Trout</x:v>
      </x:c>
      <x:c r="D61" s="30" t="str">
        <x:v>Not listed</x:v>
      </x:c>
      <x:c r="E61" s="30" t="str">
        <x:v>None listed</x:v>
      </x:c>
      <x:c r="F61" s="30" t="str">
        <x:v>Matched — no species listed</x:v>
      </x:c>
      <x:c r="G61" s="30" t="str"/>
      <x:c r="H61" s="30" t="str">
        <x:v>Coleman Fish and Game Pond</x:v>
      </x:c>
      <x:c r="I61" s="31" t="n">
        <x:v>0.031</x:v>
      </x:c>
      <x:c r="J61" s="30" t="str">
        <x:v>https://www.anglersatlas.com/place/884232/coleman-fish-and-game-pond</x:v>
      </x:c>
      <x:c r="K61" s="30" t="str">
        <x:v>Name and coordinates agree.</x:v>
      </x:c>
      <x:c r="L61" s="30" t="str">
        <x:v>Coleman Fish and Game Pond</x:v>
      </x:c>
    </x:row>
    <x:row r="62" ht="40" customHeight="1">
      <x:c r="A62" s="30" t="str">
        <x:v>Corner Lake</x:v>
      </x:c>
      <x:c r="B62" s="30" t="str">
        <x:v>6859</x:v>
      </x:c>
      <x:c r="C62" s="30" t="str">
        <x:v>Brown Trout; Rainbow Trout</x:v>
      </x:c>
      <x:c r="D62" s="30" t="str">
        <x:v>Not listed</x:v>
      </x:c>
      <x:c r="E62" s="30" t="str">
        <x:v>None listed</x:v>
      </x:c>
      <x:c r="F62" s="30" t="str">
        <x:v>Matched — no species listed</x:v>
      </x:c>
      <x:c r="G62" s="30" t="str"/>
      <x:c r="H62" s="30" t="str">
        <x:v>CORNER LAKE</x:v>
      </x:c>
      <x:c r="I62" s="31" t="n">
        <x:v>0.172</x:v>
      </x:c>
      <x:c r="J62" s="30" t="str">
        <x:v>https://www.anglersatlas.com/place/1107823/corner-lake</x:v>
      </x:c>
      <x:c r="K62" s="30" t="str">
        <x:v>Name and coordinates agree.</x:v>
      </x:c>
      <x:c r="L62" s="30" t="str">
        <x:v>Corner Lake</x:v>
      </x:c>
    </x:row>
    <x:row r="63" ht="40" customHeight="1">
      <x:c r="A63" s="30" t="str">
        <x:v>Coronation Reservoir</x:v>
      </x:c>
      <x:c r="B63" s="30" t="str">
        <x:v>6845</x:v>
      </x:c>
      <x:c r="C63" s="30" t="str">
        <x:v>Brown Trout; Rainbow Trout; Tiger Trout</x:v>
      </x:c>
      <x:c r="D63" s="30" t="str">
        <x:v>Not listed</x:v>
      </x:c>
      <x:c r="E63" s="30" t="str">
        <x:v>None listed</x:v>
      </x:c>
      <x:c r="F63" s="30" t="str">
        <x:v>Matched — no species listed</x:v>
      </x:c>
      <x:c r="G63" s="30" t="str"/>
      <x:c r="H63" s="30" t="str">
        <x:v>Coronation Dam</x:v>
      </x:c>
      <x:c r="I63" s="31" t="n">
        <x:v>0.407</x:v>
      </x:c>
      <x:c r="J63" s="30" t="str">
        <x:v>https://www.anglersatlas.com/place/2578061/coronation-dam</x:v>
      </x:c>
      <x:c r="K63" s="30" t="str">
        <x:v>Name variant and coordinates agree.</x:v>
      </x:c>
      <x:c r="L63" s="30" t="str">
        <x:v>Coronation Reservoir; Coronation</x:v>
      </x:c>
    </x:row>
    <x:row r="64" ht="40" customHeight="1">
      <x:c r="A64" s="30" t="str">
        <x:v>Cottage</x:v>
      </x:c>
      <x:c r="B64" s="30" t="str">
        <x:v>5874</x:v>
      </x:c>
      <x:c r="C64" s="30" t="str">
        <x:v>Brown Trout; Rainbow Trout; Tiger Trout</x:v>
      </x:c>
      <x:c r="D64" s="30" t="str">
        <x:v>Not assigned</x:v>
      </x:c>
      <x:c r="E64" s="30" t="str">
        <x:v>Not assigned</x:v>
      </x:c>
      <x:c r="F64" s="30" t="str">
        <x:v>Uncertain lake match</x:v>
      </x:c>
      <x:c r="G64" s="30" t="str"/>
      <x:c r="H64" s="30" t="str">
        <x:v>COTTAGE LAKE</x:v>
      </x:c>
      <x:c r="I64" s="31" t="n">
        <x:v>2.602</x:v>
      </x:c>
      <x:c r="J64" s="30" t="str">
        <x:v>https://www.anglersatlas.com/place/101852/cottage-lake</x:v>
      </x:c>
      <x:c r="K64" s="30" t="str">
        <x:v>Candidate is nearby, but the individual lake or pond is not established. Species not assigned.</x:v>
      </x:c>
      <x:c r="L64" s="30" t="str">
        <x:v>Cottage</x:v>
      </x:c>
    </x:row>
    <x:row r="65" ht="40" customHeight="1">
      <x:c r="A65" s="30" t="str">
        <x:v>Cottonwood Lake</x:v>
      </x:c>
      <x:c r="B65" s="30" t="str">
        <x:v>6846</x:v>
      </x:c>
      <x:c r="C65" s="30" t="str"/>
      <x:c r="D65" s="30" t="str">
        <x:v>Not assigned</x:v>
      </x:c>
      <x:c r="E65" s="30" t="str">
        <x:v>Not assigned</x:v>
      </x:c>
      <x:c r="F65" s="30" t="str">
        <x:v>No verified match found</x:v>
      </x:c>
      <x:c r="G65" s="30" t="str"/>
      <x:c r="H65" s="30" t="str"/>
      <x:c r="I65" s="31"/>
      <x:c r="J65" s="30" t="str"/>
      <x:c r="K65" s="30" t="str">
        <x:v>Exact-name and available broader-name searches did not establish a matching page.</x:v>
      </x:c>
      <x:c r="L65" s="30" t="str">
        <x:v>Cottonwood Lake; Cottonwood</x:v>
      </x:c>
    </x:row>
    <x:row r="66" ht="40" customHeight="1">
      <x:c r="A66" s="30" t="str">
        <x:v>County Sportplex Pond</x:v>
      </x:c>
      <x:c r="B66" s="30" t="str">
        <x:v>417477</x:v>
      </x:c>
      <x:c r="C66" s="30" t="str">
        <x:v>Rainbow Trout; Tiger Trout</x:v>
      </x:c>
      <x:c r="D66" s="30" t="str">
        <x:v>Not assigned</x:v>
      </x:c>
      <x:c r="E66" s="30" t="str">
        <x:v>Not assigned</x:v>
      </x:c>
      <x:c r="F66" s="30" t="str">
        <x:v>No verified match found</x:v>
      </x:c>
      <x:c r="G66" s="30" t="str"/>
      <x:c r="H66" s="30" t="str"/>
      <x:c r="I66" s="31"/>
      <x:c r="J66" s="30" t="str"/>
      <x:c r="K66" s="30" t="str">
        <x:v>Exact-name and available broader-name searches did not establish a matching page.</x:v>
      </x:c>
      <x:c r="L66" s="30" t="str">
        <x:v>County Sportplex Pond; County Sportplex</x:v>
      </x:c>
    </x:row>
    <x:row r="67" ht="40" customHeight="1">
      <x:c r="A67" s="30" t="str">
        <x:v>Cow Lake</x:v>
      </x:c>
      <x:c r="B67" s="30" t="str">
        <x:v>4340</x:v>
      </x:c>
      <x:c r="C67" s="30" t="str">
        <x:v>Brown Trout; Rainbow Trout</x:v>
      </x:c>
      <x:c r="D67" s="30" t="str">
        <x:v>Brown Trout; Northern Pike; Rainbow Trout; Yellow Perch</x:v>
      </x:c>
      <x:c r="E67" s="30" t="str">
        <x:v>Northern Pike; Yellow Perch</x:v>
      </x:c>
      <x:c r="F67" s="30" t="str">
        <x:v>Matched — species listed</x:v>
      </x:c>
      <x:c r="G67" s="30" t="str"/>
      <x:c r="H67" s="30" t="str">
        <x:v>COW LAKE</x:v>
      </x:c>
      <x:c r="I67" s="31" t="n">
        <x:v>1.315</x:v>
      </x:c>
      <x:c r="J67" s="30" t="str">
        <x:v>https://www.anglersatlas.com/place/101853/cow-lake</x:v>
      </x:c>
      <x:c r="K67" s="30" t="str">
        <x:v>Same named large lake. Map points differ within the lake vicinity.</x:v>
      </x:c>
      <x:c r="L67" s="30" t="str">
        <x:v>Cow Lake</x:v>
      </x:c>
    </x:row>
    <x:row r="68" ht="40" customHeight="1">
      <x:c r="A68" s="30" t="str">
        <x:v>Crossfield Trout Pond</x:v>
      </x:c>
      <x:c r="B68" s="30" t="str">
        <x:v>23293</x:v>
      </x:c>
      <x:c r="C68" s="30" t="str">
        <x:v>Rainbow Trout</x:v>
      </x:c>
      <x:c r="D68" s="30" t="str">
        <x:v>Not assigned</x:v>
      </x:c>
      <x:c r="E68" s="30" t="str">
        <x:v>Not assigned</x:v>
      </x:c>
      <x:c r="F68" s="30" t="str">
        <x:v>No verified match found</x:v>
      </x:c>
      <x:c r="G68" s="30" t="str"/>
      <x:c r="H68" s="30" t="str"/>
      <x:c r="I68" s="31"/>
      <x:c r="J68" s="30" t="str"/>
      <x:c r="K68" s="30" t="str">
        <x:v>Exact-name and available broader-name searches did not establish a matching page.</x:v>
      </x:c>
      <x:c r="L68" s="30" t="str">
        <x:v>Crossfield Trout Pond; Crossfield</x:v>
      </x:c>
    </x:row>
    <x:row r="69" ht="40" customHeight="1">
      <x:c r="A69" s="30" t="str">
        <x:v>Crowsnest Lake</x:v>
      </x:c>
      <x:c r="B69" s="30" t="str">
        <x:v>4374</x:v>
      </x:c>
      <x:c r="C69" s="30" t="str">
        <x:v>Cutthroat Trout; Rainbow Trout; Westslope Cutthroat Trout</x:v>
      </x:c>
      <x:c r="D69" s="30" t="str">
        <x:v>Brown Trout; Cutthroat Trout; Lake Trout; Lake Whitefish; Mountain Whitefish; Rainbow Trout</x:v>
      </x:c>
      <x:c r="E69" s="30" t="str">
        <x:v>Brown Trout; Lake Trout; Lake Whitefish; Mountain Whitefish</x:v>
      </x:c>
      <x:c r="F69" s="30" t="str">
        <x:v>Matched — species listed</x:v>
      </x:c>
      <x:c r="G69" s="30" t="str"/>
      <x:c r="H69" s="30" t="str">
        <x:v>CROWSNEST LAKE</x:v>
      </x:c>
      <x:c r="I69" s="31" t="n">
        <x:v>0.212</x:v>
      </x:c>
      <x:c r="J69" s="30" t="str">
        <x:v>https://www.anglersatlas.com/place/101858/crowsnest-lake</x:v>
      </x:c>
      <x:c r="K69" s="30" t="str">
        <x:v>Name and coordinates agree.</x:v>
      </x:c>
      <x:c r="L69" s="30" t="str">
        <x:v>Crowsnest Lake</x:v>
      </x:c>
    </x:row>
    <x:row r="70" ht="40" customHeight="1">
      <x:c r="A70" s="30" t="str">
        <x:v>Cummings Lake</x:v>
      </x:c>
      <x:c r="B70" s="30" t="str">
        <x:v>6850</x:v>
      </x:c>
      <x:c r="C70" s="30" t="str">
        <x:v>Rainbow Trout; Westslope Cutthroat Trout</x:v>
      </x:c>
      <x:c r="D70" s="30" t="str">
        <x:v>Not listed</x:v>
      </x:c>
      <x:c r="E70" s="30" t="str">
        <x:v>None listed</x:v>
      </x:c>
      <x:c r="F70" s="30" t="str">
        <x:v>Matched — no species listed</x:v>
      </x:c>
      <x:c r="G70" s="30" t="str"/>
      <x:c r="H70" s="30" t="str">
        <x:v>Cummings Lake</x:v>
      </x:c>
      <x:c r="I70" s="31" t="n">
        <x:v>0.043</x:v>
      </x:c>
      <x:c r="J70" s="30" t="str">
        <x:v>https://www.anglersatlas.com/place/726114/cummings-lake</x:v>
      </x:c>
      <x:c r="K70" s="30" t="str">
        <x:v>Name and coordinates agree.</x:v>
      </x:c>
      <x:c r="L70" s="30" t="str">
        <x:v>Cummings Lake</x:v>
      </x:c>
    </x:row>
    <x:row r="71" ht="40" customHeight="1">
      <x:c r="A71" s="30" t="str">
        <x:v>Dandurand Lake</x:v>
      </x:c>
      <x:c r="B71" s="30" t="str">
        <x:v>6659</x:v>
      </x:c>
      <x:c r="C71" s="30" t="str">
        <x:v>Rainbow Trout</x:v>
      </x:c>
      <x:c r="D71" s="30" t="str">
        <x:v>Not assigned</x:v>
      </x:c>
      <x:c r="E71" s="30" t="str">
        <x:v>Not assigned</x:v>
      </x:c>
      <x:c r="F71" s="30" t="str">
        <x:v>No verified match found</x:v>
      </x:c>
      <x:c r="G71" s="30" t="str"/>
      <x:c r="H71" s="30" t="str"/>
      <x:c r="I71" s="31"/>
      <x:c r="J71" s="30" t="str"/>
      <x:c r="K71" s="30" t="str">
        <x:v>Exact-name and available broader-name searches did not establish a matching page.</x:v>
      </x:c>
      <x:c r="L71" s="30" t="str">
        <x:v>Dandurand Lake; Dandurand</x:v>
      </x:c>
    </x:row>
    <x:row r="72" ht="40" customHeight="1">
      <x:c r="A72" s="30" t="str">
        <x:v>Daysland Pond</x:v>
      </x:c>
      <x:c r="B72" s="30" t="str">
        <x:v>6852</x:v>
      </x:c>
      <x:c r="C72" s="30" t="str">
        <x:v>Rainbow Trout</x:v>
      </x:c>
      <x:c r="D72" s="30" t="str">
        <x:v>Not assigned</x:v>
      </x:c>
      <x:c r="E72" s="30" t="str">
        <x:v>Not assigned</x:v>
      </x:c>
      <x:c r="F72" s="30" t="str">
        <x:v>No verified match found</x:v>
      </x:c>
      <x:c r="G72" s="30" t="str"/>
      <x:c r="H72" s="30" t="str"/>
      <x:c r="I72" s="31"/>
      <x:c r="J72" s="30" t="str"/>
      <x:c r="K72" s="30" t="str">
        <x:v>Exact-name and available broader-name searches did not establish a matching page.</x:v>
      </x:c>
      <x:c r="L72" s="30" t="str">
        <x:v>Daysland Pond; Daysland</x:v>
      </x:c>
    </x:row>
    <x:row r="73" ht="40" customHeight="1">
      <x:c r="A73" s="30" t="str">
        <x:v>Dewitt's Pond</x:v>
      </x:c>
      <x:c r="B73" s="30" t="str">
        <x:v>6853</x:v>
      </x:c>
      <x:c r="C73" s="30" t="str">
        <x:v>Brown Trout; Rainbow Trout</x:v>
      </x:c>
      <x:c r="D73" s="30" t="str">
        <x:v>Not assigned</x:v>
      </x:c>
      <x:c r="E73" s="30" t="str">
        <x:v>Not assigned</x:v>
      </x:c>
      <x:c r="F73" s="30" t="str">
        <x:v>No verified match found</x:v>
      </x:c>
      <x:c r="G73" s="30" t="str"/>
      <x:c r="H73" s="30" t="str"/>
      <x:c r="I73" s="31"/>
      <x:c r="J73" s="30" t="str"/>
      <x:c r="K73" s="30" t="str">
        <x:v>Exact-name and available broader-name searches did not establish a matching page.</x:v>
      </x:c>
      <x:c r="L73" s="30" t="str">
        <x:v>Dewitt's Pond; Dewitt</x:v>
      </x:c>
    </x:row>
    <x:row r="74" ht="40" customHeight="1">
      <x:c r="A74" s="30" t="str">
        <x:v>Dickson Trout Pond</x:v>
      </x:c>
      <x:c r="B74" s="30" t="str">
        <x:v>6844</x:v>
      </x:c>
      <x:c r="C74" s="30" t="str">
        <x:v>Rainbow Trout; Tiger Trout</x:v>
      </x:c>
      <x:c r="D74" s="30" t="str">
        <x:v>Northern Pike; Rainbow Trout; Tiger Trout</x:v>
      </x:c>
      <x:c r="E74" s="30" t="str">
        <x:v>Northern Pike</x:v>
      </x:c>
      <x:c r="F74" s="30" t="str">
        <x:v>Matched — species listed</x:v>
      </x:c>
      <x:c r="G74" s="30" t="str"/>
      <x:c r="H74" s="30" t="str">
        <x:v>Dickson Trout Pond</x:v>
      </x:c>
      <x:c r="I74" s="31" t="n">
        <x:v>0.056</x:v>
      </x:c>
      <x:c r="J74" s="30" t="str">
        <x:v>https://www.anglersatlas.com/place/709164/dickson-trout-pond</x:v>
      </x:c>
      <x:c r="K74" s="30" t="str">
        <x:v>Name and coordinates agree.</x:v>
      </x:c>
      <x:c r="L74" s="30" t="str">
        <x:v>Dickson Trout Pond</x:v>
      </x:c>
    </x:row>
    <x:row r="75" ht="40" customHeight="1">
      <x:c r="A75" s="30" t="str">
        <x:v>Dillberry Lake</x:v>
      </x:c>
      <x:c r="B75" s="30" t="str">
        <x:v>4446</x:v>
      </x:c>
      <x:c r="C75" s="30" t="str">
        <x:v>Rainbow Trout; Tiger Trout</x:v>
      </x:c>
      <x:c r="D75" s="30" t="str">
        <x:v>Rainbow Trout; Tiger Trout; Yellow Perch</x:v>
      </x:c>
      <x:c r="E75" s="30" t="str">
        <x:v>Yellow Perch</x:v>
      </x:c>
      <x:c r="F75" s="30" t="str">
        <x:v>Matched — species listed</x:v>
      </x:c>
      <x:c r="G75" s="30" t="str"/>
      <x:c r="H75" s="30" t="str">
        <x:v>Dillberry Lake</x:v>
      </x:c>
      <x:c r="I75" s="31" t="n">
        <x:v>0.023</x:v>
      </x:c>
      <x:c r="J75" s="30" t="str">
        <x:v>https://www.anglersatlas.com/place/154692/dillberry-lake</x:v>
      </x:c>
      <x:c r="K75" s="30" t="str">
        <x:v>Name and coordinates agree.</x:v>
      </x:c>
      <x:c r="L75" s="30" t="str">
        <x:v>Dillberry Lake</x:v>
      </x:c>
    </x:row>
    <x:row r="76" ht="40" customHeight="1">
      <x:c r="A76" s="30" t="str">
        <x:v>Diplomat Mine Pond</x:v>
      </x:c>
      <x:c r="B76" s="30" t="str">
        <x:v>6833</x:v>
      </x:c>
      <x:c r="C76" s="30" t="str">
        <x:v>Rainbow Trout; Tiger Trout</x:v>
      </x:c>
      <x:c r="D76" s="30" t="str">
        <x:v>Not assigned</x:v>
      </x:c>
      <x:c r="E76" s="30" t="str">
        <x:v>Not assigned</x:v>
      </x:c>
      <x:c r="F76" s="30" t="str">
        <x:v>No verified match found</x:v>
      </x:c>
      <x:c r="G76" s="30" t="str"/>
      <x:c r="H76" s="30" t="str"/>
      <x:c r="I76" s="31"/>
      <x:c r="J76" s="30" t="str"/>
      <x:c r="K76" s="30" t="str">
        <x:v>Exact-name and available broader-name searches did not establish a matching page.</x:v>
      </x:c>
      <x:c r="L76" s="30" t="str">
        <x:v>Diplomat Mine Pond; Diplomat Mine</x:v>
      </x:c>
    </x:row>
    <x:row r="77" ht="40" customHeight="1">
      <x:c r="A77" s="30" t="str">
        <x:v>Dolberg Lake</x:v>
      </x:c>
      <x:c r="B77" s="30" t="str">
        <x:v>4458</x:v>
      </x:c>
      <x:c r="C77" s="30" t="str">
        <x:v>Brown Trout; Rainbow Trout; Tiger Trout</x:v>
      </x:c>
      <x:c r="D77" s="30" t="str">
        <x:v>Brown Trout; Rainbow Trout; Tiger Trout; Yellow Perch</x:v>
      </x:c>
      <x:c r="E77" s="30" t="str">
        <x:v>Yellow Perch</x:v>
      </x:c>
      <x:c r="F77" s="30" t="str">
        <x:v>Matched — species listed</x:v>
      </x:c>
      <x:c r="G77" s="30" t="str"/>
      <x:c r="H77" s="30" t="str">
        <x:v>DOLBERG LAKE</x:v>
      </x:c>
      <x:c r="I77" s="31" t="n">
        <x:v>0.017</x:v>
      </x:c>
      <x:c r="J77" s="30" t="str">
        <x:v>https://www.anglersatlas.com/place/101867/dolberg-lake</x:v>
      </x:c>
      <x:c r="K77" s="30" t="str">
        <x:v>Name and coordinates agree.</x:v>
      </x:c>
      <x:c r="L77" s="30" t="str">
        <x:v>Dolberg Lake</x:v>
      </x:c>
    </x:row>
    <x:row r="78" ht="40" customHeight="1">
      <x:c r="A78" s="30" t="str">
        <x:v>Dormer Lake</x:v>
      </x:c>
      <x:c r="B78" s="30" t="str">
        <x:v>6836</x:v>
      </x:c>
      <x:c r="C78" s="30" t="str">
        <x:v>Cutthroat Trout</x:v>
      </x:c>
      <x:c r="D78" s="30" t="str">
        <x:v>Not listed</x:v>
      </x:c>
      <x:c r="E78" s="30" t="str">
        <x:v>None listed</x:v>
      </x:c>
      <x:c r="F78" s="30" t="str">
        <x:v>Matched — no species listed</x:v>
      </x:c>
      <x:c r="G78" s="30" t="str"/>
      <x:c r="H78" s="30" t="str">
        <x:v>DORMER LAKE</x:v>
      </x:c>
      <x:c r="I78" s="31" t="n">
        <x:v>0.013</x:v>
      </x:c>
      <x:c r="J78" s="30" t="str">
        <x:v>https://www.anglersatlas.com/place/1107831/dormer-lake</x:v>
      </x:c>
      <x:c r="K78" s="30" t="str">
        <x:v>Name and coordinates agree.</x:v>
      </x:c>
      <x:c r="L78" s="30" t="str">
        <x:v>Dormer Lake</x:v>
      </x:c>
    </x:row>
    <x:row r="79" ht="40" customHeight="1">
      <x:c r="A79" s="30" t="str">
        <x:v>Dunn Lake</x:v>
      </x:c>
      <x:c r="B79" s="30" t="str">
        <x:v>4488</x:v>
      </x:c>
      <x:c r="C79" s="30" t="str">
        <x:v>Brook Trout</x:v>
      </x:c>
      <x:c r="D79" s="30" t="str">
        <x:v>Not listed</x:v>
      </x:c>
      <x:c r="E79" s="30" t="str">
        <x:v>None listed</x:v>
      </x:c>
      <x:c r="F79" s="30" t="str">
        <x:v>Matched — no species listed</x:v>
      </x:c>
      <x:c r="G79" s="30" t="str"/>
      <x:c r="H79" s="30" t="str">
        <x:v>DUNN LAKE</x:v>
      </x:c>
      <x:c r="I79" s="31" t="n">
        <x:v>0.017</x:v>
      </x:c>
      <x:c r="J79" s="30" t="str">
        <x:v>https://www.anglersatlas.com/place/101868/dunn-lake</x:v>
      </x:c>
      <x:c r="K79" s="30" t="str">
        <x:v>Name and coordinates agree.</x:v>
      </x:c>
      <x:c r="L79" s="30" t="str">
        <x:v>Dunn Lake</x:v>
      </x:c>
    </x:row>
    <x:row r="80" ht="40" customHeight="1">
      <x:c r="A80" s="30" t="str">
        <x:v>Eagle Lake</x:v>
      </x:c>
      <x:c r="B80" s="30" t="str">
        <x:v>4495</x:v>
      </x:c>
      <x:c r="C80" s="30" t="str">
        <x:v>Cutthroat Trout</x:v>
      </x:c>
      <x:c r="D80" s="30" t="str">
        <x:v>Cutthroat Trout</x:v>
      </x:c>
      <x:c r="E80" s="30" t="str">
        <x:v>None listed</x:v>
      </x:c>
      <x:c r="F80" s="30" t="str">
        <x:v>Matched — species listed</x:v>
      </x:c>
      <x:c r="G80" s="30" t="str"/>
      <x:c r="H80" s="30" t="str">
        <x:v>Eagle Lake</x:v>
      </x:c>
      <x:c r="I80" s="31" t="n">
        <x:v>0.061</x:v>
      </x:c>
      <x:c r="J80" s="30" t="str">
        <x:v>https://www.anglersatlas.com/place/129482/eagle-lake</x:v>
      </x:c>
      <x:c r="K80" s="30" t="str">
        <x:v>Name and coordinates agree.</x:v>
      </x:c>
      <x:c r="L80" s="30" t="str">
        <x:v>Eagle Lake</x:v>
      </x:c>
    </x:row>
    <x:row r="81" ht="40" customHeight="1">
      <x:c r="A81" s="30" t="str">
        <x:v>East Dollar Lake</x:v>
      </x:c>
      <x:c r="B81" s="30" t="str">
        <x:v>4460</x:v>
      </x:c>
      <x:c r="C81" s="30" t="str">
        <x:v>Brown Trout; Rainbow Trout; Tiger Trout</x:v>
      </x:c>
      <x:c r="D81" s="30" t="str">
        <x:v>Not assigned</x:v>
      </x:c>
      <x:c r="E81" s="30" t="str">
        <x:v>Not assigned</x:v>
      </x:c>
      <x:c r="F81" s="30" t="str">
        <x:v>Uncertain lake match</x:v>
      </x:c>
      <x:c r="G81" s="30" t="str"/>
      <x:c r="H81" s="30" t="str">
        <x:v>Dollar Lakes</x:v>
      </x:c>
      <x:c r="I81" s="31" t="n">
        <x:v>0.205</x:v>
      </x:c>
      <x:c r="J81" s="30" t="str">
        <x:v>https://www.anglersatlas.com/place/2578066/dollar-lakes</x:v>
      </x:c>
      <x:c r="K81" s="30" t="str">
        <x:v>Atlas page covers another or a group of lakes. Individual lake match is uncertain. Species not assigned.</x:v>
      </x:c>
      <x:c r="L81" s="30" t="str">
        <x:v>East Dollar Lake; Dollar</x:v>
      </x:c>
    </x:row>
    <x:row r="82" ht="40" customHeight="1">
      <x:c r="A82" s="30" t="str">
        <x:v>East Pit Lake</x:v>
      </x:c>
      <x:c r="B82" s="30" t="str">
        <x:v>6840</x:v>
      </x:c>
      <x:c r="C82" s="30" t="str">
        <x:v>Rainbow Trout</x:v>
      </x:c>
      <x:c r="D82" s="30" t="str">
        <x:v>Rainbow Trout</x:v>
      </x:c>
      <x:c r="E82" s="30" t="str">
        <x:v>None listed</x:v>
      </x:c>
      <x:c r="F82" s="30" t="str">
        <x:v>Matched — species listed</x:v>
      </x:c>
      <x:c r="G82" s="30" t="str"/>
      <x:c r="H82" s="30" t="str">
        <x:v>East Pit Lake</x:v>
      </x:c>
      <x:c r="I82" s="31" t="n">
        <x:v>0.007</x:v>
      </x:c>
      <x:c r="J82" s="30" t="str">
        <x:v>https://www.anglersatlas.com/place/726224/east-pit-lake</x:v>
      </x:c>
      <x:c r="K82" s="30" t="str">
        <x:v>Name and coordinates agree.</x:v>
      </x:c>
      <x:c r="L82" s="30" t="str">
        <x:v>East Pit Lake</x:v>
      </x:c>
    </x:row>
    <x:row r="83" ht="40" customHeight="1">
      <x:c r="A83" s="30" t="str">
        <x:v>East Stormwater Pond</x:v>
      </x:c>
      <x:c r="B83" s="30" t="str">
        <x:v>22993</x:v>
      </x:c>
      <x:c r="C83" s="30" t="str">
        <x:v>Brown Trout; Rainbow Trout</x:v>
      </x:c>
      <x:c r="D83" s="30" t="str">
        <x:v>Not assigned</x:v>
      </x:c>
      <x:c r="E83" s="30" t="str">
        <x:v>Not assigned</x:v>
      </x:c>
      <x:c r="F83" s="30" t="str">
        <x:v>No verified match found</x:v>
      </x:c>
      <x:c r="G83" s="30" t="str"/>
      <x:c r="H83" s="30" t="str"/>
      <x:c r="I83" s="31"/>
      <x:c r="J83" s="30" t="str"/>
      <x:c r="K83" s="30" t="str">
        <x:v>Exact-name and available broader-name searches did not establish a matching page.</x:v>
      </x:c>
      <x:c r="L83" s="30" t="str">
        <x:v>East Stormwater Pond; Stormwater</x:v>
      </x:c>
    </x:row>
    <x:row r="84" ht="40" customHeight="1">
      <x:c r="A84" s="30" t="str">
        <x:v>East Twin Lake</x:v>
      </x:c>
      <x:c r="B84" s="30" t="str">
        <x:v>6044</x:v>
      </x:c>
      <x:c r="C84" s="30" t="str">
        <x:v>Rainbow Trout; Tiger Trout</x:v>
      </x:c>
      <x:c r="D84" s="30" t="str">
        <x:v>Not assigned</x:v>
      </x:c>
      <x:c r="E84" s="30" t="str">
        <x:v>Not assigned</x:v>
      </x:c>
      <x:c r="F84" s="30" t="str">
        <x:v>No verified match found</x:v>
      </x:c>
      <x:c r="G84" s="30" t="str"/>
      <x:c r="H84" s="30" t="str">
        <x:v>East Twin Lake</x:v>
      </x:c>
      <x:c r="I84" s="31" t="n">
        <x:v>193.676</x:v>
      </x:c>
      <x:c r="J84" s="30" t="str">
        <x:v>https://www.anglersatlas.com/place/2574389/east-twin-lake</x:v>
      </x:c>
      <x:c r="K84" s="30" t="str">
        <x:v>Named candidate coordinates do not agree. Species not assigned.</x:v>
      </x:c>
      <x:c r="L84" s="30" t="str">
        <x:v>East Twin Lake</x:v>
      </x:c>
    </x:row>
    <x:row r="85" ht="40" customHeight="1">
      <x:c r="A85" s="30" t="str">
        <x:v>Echo Dale Regional Park Pond</x:v>
      </x:c>
      <x:c r="B85" s="30" t="str">
        <x:v>6842</x:v>
      </x:c>
      <x:c r="C85" s="30" t="str">
        <x:v>Rainbow Trout</x:v>
      </x:c>
      <x:c r="D85" s="30" t="str">
        <x:v>Not assigned</x:v>
      </x:c>
      <x:c r="E85" s="30" t="str">
        <x:v>Not assigned</x:v>
      </x:c>
      <x:c r="F85" s="30" t="str">
        <x:v>No verified match found</x:v>
      </x:c>
      <x:c r="G85" s="30" t="str"/>
      <x:c r="H85" s="30" t="str"/>
      <x:c r="I85" s="31"/>
      <x:c r="J85" s="30" t="str"/>
      <x:c r="K85" s="30" t="str">
        <x:v>Exact-name and available broader-name searches did not establish a matching page.</x:v>
      </x:c>
      <x:c r="L85" s="30" t="str">
        <x:v>Echo Dale Regional Park Pond; Echo Dale</x:v>
      </x:c>
    </x:row>
    <x:row r="86" ht="40" customHeight="1">
      <x:c r="A86" s="30" t="str">
        <x:v>Edith Lake</x:v>
      </x:c>
      <x:c r="B86" s="30" t="str">
        <x:v>4505</x:v>
      </x:c>
      <x:c r="C86" s="30" t="str">
        <x:v>Brook Trout</x:v>
      </x:c>
      <x:c r="D86" s="30" t="str">
        <x:v>Brook Trout; Yellow Perch</x:v>
      </x:c>
      <x:c r="E86" s="30" t="str">
        <x:v>Yellow Perch</x:v>
      </x:c>
      <x:c r="F86" s="30" t="str">
        <x:v>Matched — species listed</x:v>
      </x:c>
      <x:c r="G86" s="30" t="str"/>
      <x:c r="H86" s="30" t="str">
        <x:v>EDITH LAKE</x:v>
      </x:c>
      <x:c r="I86" s="31" t="n">
        <x:v>0.068</x:v>
      </x:c>
      <x:c r="J86" s="30" t="str">
        <x:v>https://www.anglersatlas.com/place/101874/edith-lake</x:v>
      </x:c>
      <x:c r="K86" s="30" t="str">
        <x:v>Name and coordinates agree.</x:v>
      </x:c>
      <x:c r="L86" s="30" t="str">
        <x:v>Edith Lake</x:v>
      </x:c>
    </x:row>
    <x:row r="87" ht="40" customHeight="1">
      <x:c r="A87" s="30" t="str">
        <x:v>Elk Creek Pond</x:v>
      </x:c>
      <x:c r="B87" s="30" t="str">
        <x:v>6820</x:v>
      </x:c>
      <x:c r="C87" s="30" t="str">
        <x:v>Rainbow Trout</x:v>
      </x:c>
      <x:c r="D87" s="30" t="str">
        <x:v>Not assigned</x:v>
      </x:c>
      <x:c r="E87" s="30" t="str">
        <x:v>Not assigned</x:v>
      </x:c>
      <x:c r="F87" s="30" t="str">
        <x:v>No verified match found</x:v>
      </x:c>
      <x:c r="G87" s="30" t="str"/>
      <x:c r="H87" s="30" t="str"/>
      <x:c r="I87" s="31"/>
      <x:c r="J87" s="30" t="str"/>
      <x:c r="K87" s="30" t="str">
        <x:v>Exact-name and available broader-name searches did not establish a matching page.</x:v>
      </x:c>
      <x:c r="L87" s="30" t="str">
        <x:v>Elk Creek Pond; Elk Creek</x:v>
      </x:c>
    </x:row>
    <x:row r="88" ht="40" customHeight="1">
      <x:c r="A88" s="30" t="str">
        <x:v>Elk Point Pond</x:v>
      </x:c>
      <x:c r="B88" s="30" t="str">
        <x:v>417505</x:v>
      </x:c>
      <x:c r="C88" s="30" t="str">
        <x:v>Brook Trout; Rainbow Trout; Tiger Trout</x:v>
      </x:c>
      <x:c r="D88" s="30" t="str">
        <x:v>Not assigned</x:v>
      </x:c>
      <x:c r="E88" s="30" t="str">
        <x:v>Not assigned</x:v>
      </x:c>
      <x:c r="F88" s="30" t="str">
        <x:v>No verified match found</x:v>
      </x:c>
      <x:c r="G88" s="30" t="str"/>
      <x:c r="H88" s="30" t="str"/>
      <x:c r="I88" s="31"/>
      <x:c r="J88" s="30" t="str"/>
      <x:c r="K88" s="30" t="str">
        <x:v>Exact-name and available broader-name searches did not establish a matching page.</x:v>
      </x:c>
      <x:c r="L88" s="30" t="str">
        <x:v>Elk Point Pond; Elk Point</x:v>
      </x:c>
    </x:row>
    <x:row r="89" ht="40" customHeight="1">
      <x:c r="A89" s="30" t="str">
        <x:v>Emerald Lake</x:v>
      </x:c>
      <x:c r="B89" s="30" t="str">
        <x:v>4532</x:v>
      </x:c>
      <x:c r="C89" s="30" t="str"/>
      <x:c r="D89" s="30" t="str">
        <x:v>Brook Trout; Lake Chub; Rainbow Trout</x:v>
      </x:c>
      <x:c r="E89" s="30" t="str">
        <x:v>Brook Trout; Lake Chub; Rainbow Trout</x:v>
      </x:c>
      <x:c r="F89" s="30" t="str">
        <x:v>Matched — species listed</x:v>
      </x:c>
      <x:c r="G89" s="30" t="str"/>
      <x:c r="H89" s="30" t="str">
        <x:v>Emerald Lake</x:v>
      </x:c>
      <x:c r="I89" s="31" t="n">
        <x:v>0.026</x:v>
      </x:c>
      <x:c r="J89" s="30" t="str">
        <x:v>https://www.anglersatlas.com/place/726188/emerald-lake</x:v>
      </x:c>
      <x:c r="K89" s="30" t="str">
        <x:v>Both Alberta Emerald Lake IDs share identical coordinates and match this Atlas page. Original IDs are retained.</x:v>
      </x:c>
      <x:c r="L89" s="30" t="str">
        <x:v>Emerald Lake</x:v>
      </x:c>
    </x:row>
    <x:row r="90" ht="40" customHeight="1">
      <x:c r="A90" s="30" t="str">
        <x:v>Emerald Lake</x:v>
      </x:c>
      <x:c r="B90" s="30" t="str">
        <x:v>6821</x:v>
      </x:c>
      <x:c r="C90" s="30" t="str">
        <x:v>Brook Trout</x:v>
      </x:c>
      <x:c r="D90" s="30" t="str">
        <x:v>Brook Trout; Lake Chub; Rainbow Trout</x:v>
      </x:c>
      <x:c r="E90" s="30" t="str">
        <x:v>Lake Chub; Rainbow Trout</x:v>
      </x:c>
      <x:c r="F90" s="30" t="str">
        <x:v>Matched — species listed</x:v>
      </x:c>
      <x:c r="G90" s="30" t="str"/>
      <x:c r="H90" s="30" t="str">
        <x:v>Emerald Lake</x:v>
      </x:c>
      <x:c r="I90" s="31" t="n">
        <x:v>0.026</x:v>
      </x:c>
      <x:c r="J90" s="30" t="str">
        <x:v>https://www.anglersatlas.com/place/726188/emerald-lake</x:v>
      </x:c>
      <x:c r="K90" s="30" t="str">
        <x:v>Both Alberta Emerald Lake IDs share identical coordinates and match this Atlas page. Original IDs are retained.</x:v>
      </x:c>
      <x:c r="L90" s="30" t="str">
        <x:v>Emerald Lake</x:v>
      </x:c>
    </x:row>
    <x:row r="91" ht="40" customHeight="1">
      <x:c r="A91" s="30" t="str">
        <x:v>Emerson Lake</x:v>
      </x:c>
      <x:c r="B91" s="30" t="str">
        <x:v>6822</x:v>
      </x:c>
      <x:c r="C91" s="30" t="str">
        <x:v>Brown Trout; Rainbow Trout</x:v>
      </x:c>
      <x:c r="D91" s="30" t="str">
        <x:v>Not listed</x:v>
      </x:c>
      <x:c r="E91" s="30" t="str">
        <x:v>None listed</x:v>
      </x:c>
      <x:c r="F91" s="30" t="str">
        <x:v>Matched — no species listed</x:v>
      </x:c>
      <x:c r="G91" s="30" t="str"/>
      <x:c r="H91" s="30" t="str">
        <x:v>Emerson Lake</x:v>
      </x:c>
      <x:c r="I91" s="31" t="n">
        <x:v>0.031</x:v>
      </x:c>
      <x:c r="J91" s="30" t="str">
        <x:v>https://www.anglersatlas.com/place/2185937/emerson-lake</x:v>
      </x:c>
      <x:c r="K91" s="30" t="str">
        <x:v>Name and coordinates agree.</x:v>
      </x:c>
      <x:c r="L91" s="30" t="str">
        <x:v>Emerson Lake</x:v>
      </x:c>
    </x:row>
    <x:row r="92" ht="40" customHeight="1">
      <x:c r="A92" s="30" t="str">
        <x:v>Emerson Lakes</x:v>
      </x:c>
      <x:c r="B92" s="30" t="str">
        <x:v>4535</x:v>
      </x:c>
      <x:c r="C92" s="30" t="str">
        <x:v>Rainbow Trout</x:v>
      </x:c>
      <x:c r="D92" s="30" t="str">
        <x:v>Brassy Minnow; Rainbow Trout</x:v>
      </x:c>
      <x:c r="E92" s="30" t="str">
        <x:v>Brassy Minnow</x:v>
      </x:c>
      <x:c r="F92" s="30" t="str">
        <x:v>Matched — species listed</x:v>
      </x:c>
      <x:c r="G92" s="30" t="str"/>
      <x:c r="H92" s="30" t="str">
        <x:v>Emerson Lakes</x:v>
      </x:c>
      <x:c r="I92" s="31" t="n">
        <x:v>0.931</x:v>
      </x:c>
      <x:c r="J92" s="30" t="str">
        <x:v>https://www.anglersatlas.com/place/726132/emerson-lakes</x:v>
      </x:c>
      <x:c r="K92" s="30" t="str">
        <x:v>Name and coordinates agree.</x:v>
      </x:c>
      <x:c r="L92" s="30" t="str">
        <x:v>Emerson Lakes</x:v>
      </x:c>
    </x:row>
    <x:row r="93" ht="40" customHeight="1">
      <x:c r="A93" s="30" t="str">
        <x:v>Enchant Pond</x:v>
      </x:c>
      <x:c r="B93" s="30" t="str">
        <x:v>6823</x:v>
      </x:c>
      <x:c r="C93" s="30" t="str">
        <x:v>Rainbow Trout; Tiger Trout</x:v>
      </x:c>
      <x:c r="D93" s="30" t="str">
        <x:v>Rainbow Trout; Tiger Trout; Yellow Perch</x:v>
      </x:c>
      <x:c r="E93" s="30" t="str">
        <x:v>Yellow Perch</x:v>
      </x:c>
      <x:c r="F93" s="30" t="str">
        <x:v>Matched — species listed</x:v>
      </x:c>
      <x:c r="G93" s="30" t="str"/>
      <x:c r="H93" s="30" t="str">
        <x:v>Enchant Pond</x:v>
      </x:c>
      <x:c r="I93" s="31" t="n">
        <x:v>0.098</x:v>
      </x:c>
      <x:c r="J93" s="30" t="str">
        <x:v>https://www.anglersatlas.com/place/875896/enchant-pond</x:v>
      </x:c>
      <x:c r="K93" s="30" t="str">
        <x:v>Name and coordinates agree.</x:v>
      </x:c>
      <x:c r="L93" s="30" t="str">
        <x:v>Enchant Pond</x:v>
      </x:c>
    </x:row>
    <x:row r="94" ht="40" customHeight="1">
      <x:c r="A94" s="30" t="str">
        <x:v>Engstrom Lake</x:v>
      </x:c>
      <x:c r="B94" s="30" t="str">
        <x:v>4539</x:v>
      </x:c>
      <x:c r="C94" s="30" t="str">
        <x:v>Rainbow Trout</x:v>
      </x:c>
      <x:c r="D94" s="30" t="str">
        <x:v>Rainbow Trout; White Sucker</x:v>
      </x:c>
      <x:c r="E94" s="30" t="str">
        <x:v>White Sucker</x:v>
      </x:c>
      <x:c r="F94" s="30" t="str">
        <x:v>Matched — species listed</x:v>
      </x:c>
      <x:c r="G94" s="30" t="str"/>
      <x:c r="H94" s="30" t="str">
        <x:v>Engstrom Lake</x:v>
      </x:c>
      <x:c r="I94" s="31" t="n">
        <x:v>0.725</x:v>
      </x:c>
      <x:c r="J94" s="30" t="str">
        <x:v>https://www.anglersatlas.com/place/726299/engstrom-lake</x:v>
      </x:c>
      <x:c r="K94" s="30" t="str">
        <x:v>Name and coordinates agree.</x:v>
      </x:c>
      <x:c r="L94" s="30" t="str">
        <x:v>Engstrom Lake</x:v>
      </x:c>
    </x:row>
    <x:row r="95" ht="40" customHeight="1">
      <x:c r="A95" s="30" t="str">
        <x:v>Entry Lake</x:v>
      </x:c>
      <x:c r="B95" s="30" t="str">
        <x:v>6662</x:v>
      </x:c>
      <x:c r="C95" s="30" t="str">
        <x:v>Cutthroat Trout</x:v>
      </x:c>
      <x:c r="D95" s="30" t="str">
        <x:v>Not listed</x:v>
      </x:c>
      <x:c r="E95" s="30" t="str">
        <x:v>None listed</x:v>
      </x:c>
      <x:c r="F95" s="30" t="str">
        <x:v>Matched — no species listed</x:v>
      </x:c>
      <x:c r="G95" s="30" t="str"/>
      <x:c r="H95" s="30" t="str">
        <x:v>Entry Lake</x:v>
      </x:c>
      <x:c r="I95" s="31" t="n">
        <x:v>0.007</x:v>
      </x:c>
      <x:c r="J95" s="30" t="str">
        <x:v>https://www.anglersatlas.com/place/1107833/entry-lake</x:v>
      </x:c>
      <x:c r="K95" s="30" t="str">
        <x:v>Name and coordinates agree.</x:v>
      </x:c>
      <x:c r="L95" s="30" t="str">
        <x:v>Entry Lake</x:v>
      </x:c>
    </x:row>
    <x:row r="96" ht="40" customHeight="1">
      <x:c r="A96" s="30" t="str">
        <x:v>Fairfax Lake</x:v>
      </x:c>
      <x:c r="B96" s="30" t="str">
        <x:v>4562</x:v>
      </x:c>
      <x:c r="C96" s="30" t="str">
        <x:v>Rainbow Trout</x:v>
      </x:c>
      <x:c r="D96" s="30" t="str">
        <x:v>Brook Trout; Rainbow Trout</x:v>
      </x:c>
      <x:c r="E96" s="30" t="str">
        <x:v>Brook Trout</x:v>
      </x:c>
      <x:c r="F96" s="30" t="str">
        <x:v>Matched — species listed</x:v>
      </x:c>
      <x:c r="G96" s="30" t="str"/>
      <x:c r="H96" s="30" t="str">
        <x:v>FAIRFAX LAKE</x:v>
      </x:c>
      <x:c r="I96" s="31" t="n">
        <x:v>0.063</x:v>
      </x:c>
      <x:c r="J96" s="30" t="str">
        <x:v>https://www.anglersatlas.com/place/101880/fairfax-lake</x:v>
      </x:c>
      <x:c r="K96" s="30" t="str">
        <x:v>Name and coordinates agree.</x:v>
      </x:c>
      <x:c r="L96" s="30" t="str">
        <x:v>Fairfax Lake</x:v>
      </x:c>
    </x:row>
    <x:row r="97" ht="40" customHeight="1">
      <x:c r="A97" s="30" t="str">
        <x:v>Fairview College Pond</x:v>
      </x:c>
      <x:c r="B97" s="30" t="str">
        <x:v>6825</x:v>
      </x:c>
      <x:c r="C97" s="30" t="str">
        <x:v>Rainbow Trout</x:v>
      </x:c>
      <x:c r="D97" s="30" t="str">
        <x:v>Not assigned</x:v>
      </x:c>
      <x:c r="E97" s="30" t="str">
        <x:v>Not assigned</x:v>
      </x:c>
      <x:c r="F97" s="30" t="str">
        <x:v>No verified match found</x:v>
      </x:c>
      <x:c r="G97" s="30" t="str"/>
      <x:c r="H97" s="30" t="str"/>
      <x:c r="I97" s="31"/>
      <x:c r="J97" s="30" t="str"/>
      <x:c r="K97" s="30" t="str">
        <x:v>Exact-name and available broader-name searches did not establish a matching page.</x:v>
      </x:c>
      <x:c r="L97" s="30" t="str">
        <x:v>Fairview College Pond; Fairview College</x:v>
      </x:c>
    </x:row>
    <x:row r="98" ht="40" customHeight="1">
      <x:c r="A98" s="30" t="str">
        <x:v>Fickle Lake</x:v>
      </x:c>
      <x:c r="B98" s="30" t="str">
        <x:v>4571</x:v>
      </x:c>
      <x:c r="C98" s="30" t="str">
        <x:v>Walleye</x:v>
      </x:c>
      <x:c r="D98" s="30" t="str">
        <x:v>Lake Whitefish; Northern Pike; Walleye; Yellow Perch</x:v>
      </x:c>
      <x:c r="E98" s="30" t="str">
        <x:v>Lake Whitefish; Northern Pike; Yellow Perch</x:v>
      </x:c>
      <x:c r="F98" s="30" t="str">
        <x:v>Matched — species listed</x:v>
      </x:c>
      <x:c r="G98" s="30" t="str"/>
      <x:c r="H98" s="30" t="str">
        <x:v>FICKLE LAKE</x:v>
      </x:c>
      <x:c r="I98" s="31" t="n">
        <x:v>0.877</x:v>
      </x:c>
      <x:c r="J98" s="30" t="str">
        <x:v>https://www.anglersatlas.com/place/101883/fickle-lake</x:v>
      </x:c>
      <x:c r="K98" s="30" t="str">
        <x:v>Name and coordinates agree.</x:v>
      </x:c>
      <x:c r="L98" s="30" t="str">
        <x:v>Fickle Lake</x:v>
      </x:c>
    </x:row>
    <x:row r="99" ht="40" customHeight="1">
      <x:c r="A99" s="30" t="str">
        <x:v>Fiesta Lake</x:v>
      </x:c>
      <x:c r="B99" s="30" t="str">
        <x:v>24364</x:v>
      </x:c>
      <x:c r="C99" s="30" t="str">
        <x:v>Rainbow Trout</x:v>
      </x:c>
      <x:c r="D99" s="30" t="str">
        <x:v>Rainbow Trout</x:v>
      </x:c>
      <x:c r="E99" s="30" t="str">
        <x:v>None listed</x:v>
      </x:c>
      <x:c r="F99" s="30" t="str">
        <x:v>Matched — species listed</x:v>
      </x:c>
      <x:c r="G99" s="30" t="str"/>
      <x:c r="H99" s="30" t="str">
        <x:v>Fiesta Lake</x:v>
      </x:c>
      <x:c r="I99" s="31" t="n">
        <x:v>0.035</x:v>
      </x:c>
      <x:c r="J99" s="30" t="str">
        <x:v>https://www.anglersatlas.com/place/884946/fiesta-lake</x:v>
      </x:c>
      <x:c r="K99" s="30" t="str">
        <x:v>Name and coordinates agree.</x:v>
      </x:c>
      <x:c r="L99" s="30" t="str">
        <x:v>Fiesta Lake</x:v>
      </x:c>
    </x:row>
    <x:row r="100" ht="40" customHeight="1">
      <x:c r="A100" s="30" t="str">
        <x:v>Figure Eight Lake</x:v>
      </x:c>
      <x:c r="B100" s="30" t="str">
        <x:v>6827</x:v>
      </x:c>
      <x:c r="C100" s="30" t="str">
        <x:v>Rainbow Trout</x:v>
      </x:c>
      <x:c r="D100" s="30" t="str">
        <x:v>Rainbow Trout</x:v>
      </x:c>
      <x:c r="E100" s="30" t="str">
        <x:v>None listed</x:v>
      </x:c>
      <x:c r="F100" s="30" t="str">
        <x:v>Matched — species listed</x:v>
      </x:c>
      <x:c r="G100" s="30" t="str"/>
      <x:c r="H100" s="30" t="str">
        <x:v>FIGURE EIGHT LAKE</x:v>
      </x:c>
      <x:c r="I100" s="31" t="n">
        <x:v>0.086</x:v>
      </x:c>
      <x:c r="J100" s="30" t="str">
        <x:v>https://www.anglersatlas.com/place/102594/figure-eight-lake</x:v>
      </x:c>
      <x:c r="K100" s="30" t="str">
        <x:v>Name and coordinates agree.</x:v>
      </x:c>
      <x:c r="L100" s="30" t="str">
        <x:v>Figure Eight Lake</x:v>
      </x:c>
    </x:row>
    <x:row r="101" ht="40" customHeight="1">
      <x:c r="A101" s="30" t="str">
        <x:v>Fish Lake</x:v>
      </x:c>
      <x:c r="B101" s="30" t="str">
        <x:v>5804</x:v>
      </x:c>
      <x:c r="C101" s="30" t="str">
        <x:v>Rainbow Trout</x:v>
      </x:c>
      <x:c r="D101" s="30" t="str">
        <x:v>Not assigned</x:v>
      </x:c>
      <x:c r="E101" s="30" t="str">
        <x:v>Not assigned</x:v>
      </x:c>
      <x:c r="F101" s="30" t="str">
        <x:v>No verified match found</x:v>
      </x:c>
      <x:c r="G101" s="30" t="str"/>
      <x:c r="H101" s="30" t="str">
        <x:v>Fish Lake</x:v>
      </x:c>
      <x:c r="I101" s="31" t="n">
        <x:v>204.055</x:v>
      </x:c>
      <x:c r="J101" s="30" t="str">
        <x:v>https://www.anglersatlas.com/place/129688/fish-lake</x:v>
      </x:c>
      <x:c r="K101" s="30" t="str">
        <x:v>Named candidate coordinates do not agree. Species not assigned.</x:v>
      </x:c>
      <x:c r="L101" s="30" t="str">
        <x:v>Fish Lake</x:v>
      </x:c>
    </x:row>
    <x:row r="102" ht="40" customHeight="1">
      <x:c r="A102" s="30" t="str">
        <x:v>Footner Pond</x:v>
      </x:c>
      <x:c r="B102" s="30" t="str">
        <x:v>6830</x:v>
      </x:c>
      <x:c r="C102" s="30" t="str">
        <x:v>Rainbow Trout</x:v>
      </x:c>
      <x:c r="D102" s="30" t="str">
        <x:v>Not assigned</x:v>
      </x:c>
      <x:c r="E102" s="30" t="str">
        <x:v>Not assigned</x:v>
      </x:c>
      <x:c r="F102" s="30" t="str">
        <x:v>Uncertain lake match</x:v>
      </x:c>
      <x:c r="G102" s="30" t="str"/>
      <x:c r="H102" s="30" t="str">
        <x:v>Footner Lake</x:v>
      </x:c>
      <x:c r="I102" s="31" t="n">
        <x:v>1.603</x:v>
      </x:c>
      <x:c r="J102" s="30" t="str">
        <x:v>https://www.anglersatlas.com/place/129733/footner-lake</x:v>
      </x:c>
      <x:c r="K102" s="30" t="str">
        <x:v>Candidate is nearby, but the individual lake or pond is not established. Species not assigned.</x:v>
      </x:c>
      <x:c r="L102" s="30" t="str">
        <x:v>Footner Pond; Footner</x:v>
      </x:c>
    </x:row>
    <x:row r="103" ht="40" customHeight="1">
      <x:c r="A103" s="30" t="str">
        <x:v>Foremost Reservoir</x:v>
      </x:c>
      <x:c r="B103" s="30" t="str">
        <x:v>6831</x:v>
      </x:c>
      <x:c r="C103" s="30" t="str">
        <x:v>Rainbow Trout</x:v>
      </x:c>
      <x:c r="D103" s="30" t="str">
        <x:v>Rainbow Trout</x:v>
      </x:c>
      <x:c r="E103" s="30" t="str">
        <x:v>None listed</x:v>
      </x:c>
      <x:c r="F103" s="30" t="str">
        <x:v>Matched — species listed</x:v>
      </x:c>
      <x:c r="G103" s="30" t="str"/>
      <x:c r="H103" s="30" t="str">
        <x:v>FOREMOST RESERVOIR</x:v>
      </x:c>
      <x:c r="I103" s="31" t="n">
        <x:v>0.067</x:v>
      </x:c>
      <x:c r="J103" s="30" t="str">
        <x:v>https://www.anglersatlas.com/place/102595/foremost-reservoir</x:v>
      </x:c>
      <x:c r="K103" s="30" t="str">
        <x:v>Name and coordinates agree.</x:v>
      </x:c>
      <x:c r="L103" s="30" t="str">
        <x:v>Foremost Reservoir</x:v>
      </x:c>
    </x:row>
    <x:row r="104" ht="40" customHeight="1">
      <x:c r="A104" s="30" t="str">
        <x:v>Fort Lions Park Pond</x:v>
      </x:c>
      <x:c r="B104" s="30" t="str">
        <x:v>26854</x:v>
      </x:c>
      <x:c r="C104" s="30" t="str">
        <x:v>Brown Trout; Rainbow Trout; Tiger Trout</x:v>
      </x:c>
      <x:c r="D104" s="30" t="str">
        <x:v>Not assigned</x:v>
      </x:c>
      <x:c r="E104" s="30" t="str">
        <x:v>Not assigned</x:v>
      </x:c>
      <x:c r="F104" s="30" t="str">
        <x:v>No verified match found</x:v>
      </x:c>
      <x:c r="G104" s="30" t="str"/>
      <x:c r="H104" s="30" t="str"/>
      <x:c r="I104" s="31"/>
      <x:c r="J104" s="30" t="str"/>
      <x:c r="K104" s="30" t="str">
        <x:v>Exact-name and available broader-name searches did not establish a matching page.</x:v>
      </x:c>
      <x:c r="L104" s="30" t="str">
        <x:v>Fort Lions Park Pond; Fort Lions</x:v>
      </x:c>
    </x:row>
    <x:row r="105" ht="40" customHeight="1">
      <x:c r="A105" s="30" t="str">
        <x:v>Fort Saskatchewan Fish &amp; Game Pond</x:v>
      </x:c>
      <x:c r="B105" s="30" t="str">
        <x:v>23094</x:v>
      </x:c>
      <x:c r="C105" s="30" t="str">
        <x:v>Rainbow Trout</x:v>
      </x:c>
      <x:c r="D105" s="30" t="str">
        <x:v>Not assigned</x:v>
      </x:c>
      <x:c r="E105" s="30" t="str">
        <x:v>Not assigned</x:v>
      </x:c>
      <x:c r="F105" s="30" t="str">
        <x:v>No verified match found</x:v>
      </x:c>
      <x:c r="G105" s="30" t="str"/>
      <x:c r="H105" s="30" t="str"/>
      <x:c r="I105" s="31"/>
      <x:c r="J105" s="30" t="str"/>
      <x:c r="K105" s="30" t="str">
        <x:v>Exact-name and available broader-name searches did not establish a matching page.</x:v>
      </x:c>
      <x:c r="L105" s="30" t="str">
        <x:v>Fort Saskatchewan Fish &amp; Game Pond; Fort Saskatchewan &amp;</x:v>
      </x:c>
    </x:row>
    <x:row r="106" ht="40" customHeight="1">
      <x:c r="A106" s="30" t="str">
        <x:v>Fortress Lake</x:v>
      </x:c>
      <x:c r="B106" s="30" t="str">
        <x:v>4614</x:v>
      </x:c>
      <x:c r="C106" s="30" t="str">
        <x:v>Cutthroat Trout</x:v>
      </x:c>
      <x:c r="D106" s="30" t="str">
        <x:v>Not listed</x:v>
      </x:c>
      <x:c r="E106" s="30" t="str">
        <x:v>None listed</x:v>
      </x:c>
      <x:c r="F106" s="30" t="str">
        <x:v>Matched — no species listed</x:v>
      </x:c>
      <x:c r="G106" s="30" t="str"/>
      <x:c r="H106" s="30" t="str">
        <x:v>Fortress Lake</x:v>
      </x:c>
      <x:c r="I106" s="31" t="n">
        <x:v>0.022</x:v>
      </x:c>
      <x:c r="J106" s="30" t="str">
        <x:v>https://www.anglersatlas.com/place/130684/fortress-lake</x:v>
      </x:c>
      <x:c r="K106" s="30" t="str">
        <x:v>Name and coordinates agree.</x:v>
      </x:c>
      <x:c r="L106" s="30" t="str">
        <x:v>Fortress Lake</x:v>
      </x:c>
    </x:row>
    <x:row r="107" ht="40" customHeight="1">
      <x:c r="A107" s="30" t="str">
        <x:v>Forty Mile Coulee Reservoir</x:v>
      </x:c>
      <x:c r="B107" s="30" t="str">
        <x:v>6813</x:v>
      </x:c>
      <x:c r="C107" s="30" t="str">
        <x:v>Walleye</x:v>
      </x:c>
      <x:c r="D107" s="30" t="str">
        <x:v>Not assigned</x:v>
      </x:c>
      <x:c r="E107" s="30" t="str">
        <x:v>Not assigned</x:v>
      </x:c>
      <x:c r="F107" s="30" t="str">
        <x:v>No verified match found</x:v>
      </x:c>
      <x:c r="G107" s="30" t="str"/>
      <x:c r="H107" s="30" t="str"/>
      <x:c r="I107" s="31"/>
      <x:c r="J107" s="30" t="str"/>
      <x:c r="K107" s="30" t="str">
        <x:v>Exact-name and available broader-name searches did not establish a matching page.</x:v>
      </x:c>
      <x:c r="L107" s="30" t="str">
        <x:v>Forty Mile Coulee Reservoir; Forty Mile Coulee</x:v>
      </x:c>
    </x:row>
    <x:row r="108" ht="40" customHeight="1">
      <x:c r="A108" s="30" t="str">
        <x:v>Fox Creek Trout Pond</x:v>
      </x:c>
      <x:c r="B108" s="30" t="str">
        <x:v>6815</x:v>
      </x:c>
      <x:c r="C108" s="30" t="str">
        <x:v>Rainbow Trout</x:v>
      </x:c>
      <x:c r="D108" s="30" t="str">
        <x:v>Not assigned</x:v>
      </x:c>
      <x:c r="E108" s="30" t="str">
        <x:v>Not assigned</x:v>
      </x:c>
      <x:c r="F108" s="30" t="str">
        <x:v>No verified match found</x:v>
      </x:c>
      <x:c r="G108" s="30" t="str"/>
      <x:c r="H108" s="30" t="str"/>
      <x:c r="I108" s="31"/>
      <x:c r="J108" s="30" t="str"/>
      <x:c r="K108" s="30" t="str">
        <x:v>Exact-name and available broader-name searches did not establish a matching page.</x:v>
      </x:c>
      <x:c r="L108" s="30" t="str">
        <x:v>Fox Creek Trout Pond; Fox Creek</x:v>
      </x:c>
    </x:row>
    <x:row r="109" ht="40" customHeight="1">
      <x:c r="A109" s="30" t="str">
        <x:v>Frog Lake</x:v>
      </x:c>
      <x:c r="B109" s="30" t="str">
        <x:v>4635</x:v>
      </x:c>
      <x:c r="C109" s="30" t="str">
        <x:v>Walleye</x:v>
      </x:c>
      <x:c r="D109" s="30" t="str">
        <x:v>Burbot; Lake Whitefish; Northern Pike; Yellow Perch</x:v>
      </x:c>
      <x:c r="E109" s="30" t="str">
        <x:v>Burbot; Lake Whitefish; Northern Pike; Yellow Perch</x:v>
      </x:c>
      <x:c r="F109" s="30" t="str">
        <x:v>Matched — species listed</x:v>
      </x:c>
      <x:c r="G109" s="30" t="str"/>
      <x:c r="H109" s="30" t="str">
        <x:v>FROG LAKE</x:v>
      </x:c>
      <x:c r="I109" s="31" t="n">
        <x:v>0.55</x:v>
      </x:c>
      <x:c r="J109" s="30" t="str">
        <x:v>https://www.anglersatlas.com/place/101895/frog-lake</x:v>
      </x:c>
      <x:c r="K109" s="30" t="str">
        <x:v>Name and coordinates agree.</x:v>
      </x:c>
      <x:c r="L109" s="30" t="str">
        <x:v>Frog Lake</x:v>
      </x:c>
    </x:row>
    <x:row r="110" ht="40" customHeight="1">
      <x:c r="A110" s="30" t="str">
        <x:v>Gap Lake</x:v>
      </x:c>
      <x:c r="B110" s="30" t="str">
        <x:v>4647</x:v>
      </x:c>
      <x:c r="C110" s="30" t="str">
        <x:v>Cutthroat Trout</x:v>
      </x:c>
      <x:c r="D110" s="30" t="str">
        <x:v>Brook Trout</x:v>
      </x:c>
      <x:c r="E110" s="30" t="str">
        <x:v>Brook Trout</x:v>
      </x:c>
      <x:c r="F110" s="30" t="str">
        <x:v>Matched — species listed</x:v>
      </x:c>
      <x:c r="G110" s="30" t="str"/>
      <x:c r="H110" s="30" t="str">
        <x:v>Gap Lake</x:v>
      </x:c>
      <x:c r="I110" s="31" t="n">
        <x:v>0.023</x:v>
      </x:c>
      <x:c r="J110" s="30" t="str">
        <x:v>https://www.anglersatlas.com/place/129793/gap-lake</x:v>
      </x:c>
      <x:c r="K110" s="30" t="str">
        <x:v>Name and coordinates agree.</x:v>
      </x:c>
      <x:c r="L110" s="30" t="str">
        <x:v>Gap Lake</x:v>
      </x:c>
    </x:row>
    <x:row r="111" ht="40" customHeight="1">
      <x:c r="A111" s="30" t="str">
        <x:v>Genesee Trout Pond</x:v>
      </x:c>
      <x:c r="B111" s="30" t="str">
        <x:v>23292</x:v>
      </x:c>
      <x:c r="C111" s="30" t="str">
        <x:v>Rainbow Trout</x:v>
      </x:c>
      <x:c r="D111" s="30" t="str">
        <x:v>Rainbow Trout</x:v>
      </x:c>
      <x:c r="E111" s="30" t="str">
        <x:v>None listed</x:v>
      </x:c>
      <x:c r="F111" s="30" t="str">
        <x:v>Matched — species listed</x:v>
      </x:c>
      <x:c r="G111" s="30" t="str"/>
      <x:c r="H111" s="30" t="str">
        <x:v>Genesee Fish Pond</x:v>
      </x:c>
      <x:c r="I111" s="31" t="n">
        <x:v>0.026</x:v>
      </x:c>
      <x:c r="J111" s="30" t="str">
        <x:v>https://www.anglersatlas.com/place/965708/genesee-fish-pond</x:v>
      </x:c>
      <x:c r="K111" s="30" t="str">
        <x:v>Name variant and coordinates agree.</x:v>
      </x:c>
      <x:c r="L111" s="30" t="str">
        <x:v>Genesee Trout Pond; Genesee</x:v>
      </x:c>
    </x:row>
    <x:row r="112" ht="40" customHeight="1">
      <x:c r="A112" s="30" t="str">
        <x:v>George's Lake</x:v>
      </x:c>
      <x:c r="B112" s="30" t="str">
        <x:v>4426</x:v>
      </x:c>
      <x:c r="C112" s="30" t="str"/>
      <x:c r="D112" s="30" t="str">
        <x:v>Not assigned</x:v>
      </x:c>
      <x:c r="E112" s="30" t="str">
        <x:v>Not assigned</x:v>
      </x:c>
      <x:c r="F112" s="30" t="str">
        <x:v>No verified match found</x:v>
      </x:c>
      <x:c r="G112" s="30" t="str"/>
      <x:c r="H112" s="30" t="str">
        <x:v>George Lake</x:v>
      </x:c>
      <x:c r="I112" s="31" t="n">
        <x:v>162.873</x:v>
      </x:c>
      <x:c r="J112" s="30" t="str">
        <x:v>https://www.anglersatlas.com/place/129801/george-lake</x:v>
      </x:c>
      <x:c r="K112" s="30" t="str">
        <x:v>Named candidate coordinates do not agree. Species not assigned.</x:v>
      </x:c>
      <x:c r="L112" s="30" t="str">
        <x:v>George's Lake; George</x:v>
      </x:c>
    </x:row>
    <x:row r="113" ht="40" customHeight="1">
      <x:c r="A113" s="30" t="str">
        <x:v>Gibbons Pond</x:v>
      </x:c>
      <x:c r="B113" s="30" t="str">
        <x:v>6816</x:v>
      </x:c>
      <x:c r="C113" s="30" t="str">
        <x:v>Rainbow Trout</x:v>
      </x:c>
      <x:c r="D113" s="30" t="str">
        <x:v>Not assigned</x:v>
      </x:c>
      <x:c r="E113" s="30" t="str">
        <x:v>Not assigned</x:v>
      </x:c>
      <x:c r="F113" s="30" t="str">
        <x:v>No verified match found</x:v>
      </x:c>
      <x:c r="G113" s="30" t="str"/>
      <x:c r="H113" s="30" t="str"/>
      <x:c r="I113" s="31"/>
      <x:c r="J113" s="30" t="str"/>
      <x:c r="K113" s="30" t="str">
        <x:v>Exact-name and available broader-name searches did not establish a matching page.</x:v>
      </x:c>
      <x:c r="L113" s="30" t="str">
        <x:v>Gibbons Pond; Gibbons</x:v>
      </x:c>
    </x:row>
    <x:row r="114" ht="40" customHeight="1">
      <x:c r="A114" s="30" t="str">
        <x:v>Goldeye Lake</x:v>
      </x:c>
      <x:c r="B114" s="30" t="str">
        <x:v>4697</x:v>
      </x:c>
      <x:c r="C114" s="30" t="str">
        <x:v>Rainbow Trout</x:v>
      </x:c>
      <x:c r="D114" s="30" t="str">
        <x:v>Not listed</x:v>
      </x:c>
      <x:c r="E114" s="30" t="str">
        <x:v>None listed</x:v>
      </x:c>
      <x:c r="F114" s="30" t="str">
        <x:v>Matched — no species listed</x:v>
      </x:c>
      <x:c r="G114" s="30" t="str"/>
      <x:c r="H114" s="30" t="str">
        <x:v>GOLDEYE LAKE</x:v>
      </x:c>
      <x:c r="I114" s="31" t="n">
        <x:v>0.057</x:v>
      </x:c>
      <x:c r="J114" s="30" t="str">
        <x:v>https://www.anglersatlas.com/place/101904/goldeye-lake</x:v>
      </x:c>
      <x:c r="K114" s="30" t="str">
        <x:v>Name and coordinates agree.</x:v>
      </x:c>
      <x:c r="L114" s="30" t="str">
        <x:v>Goldeye Lake</x:v>
      </x:c>
    </x:row>
    <x:row r="115" ht="40" customHeight="1">
      <x:c r="A115" s="30" t="str">
        <x:v>Goldspring Park Pond</x:v>
      </x:c>
      <x:c r="B115" s="30" t="str">
        <x:v>6818</x:v>
      </x:c>
      <x:c r="C115" s="30" t="str">
        <x:v>Rainbow Trout</x:v>
      </x:c>
      <x:c r="D115" s="30" t="str">
        <x:v>Rainbow Trout</x:v>
      </x:c>
      <x:c r="E115" s="30" t="str">
        <x:v>None listed</x:v>
      </x:c>
      <x:c r="F115" s="30" t="str">
        <x:v>Matched — species listed</x:v>
      </x:c>
      <x:c r="G115" s="30" t="str"/>
      <x:c r="H115" s="30" t="str">
        <x:v>GOLDSPRING PARK POND</x:v>
      </x:c>
      <x:c r="I115" s="31" t="n">
        <x:v>0.153</x:v>
      </x:c>
      <x:c r="J115" s="30" t="str">
        <x:v>https://www.anglersatlas.com/place/102593/goldspring-park-pond</x:v>
      </x:c>
      <x:c r="K115" s="30" t="str">
        <x:v>Name and coordinates agree.</x:v>
      </x:c>
      <x:c r="L115" s="30" t="str">
        <x:v>Goldspring Park Pond</x:v>
      </x:c>
    </x:row>
    <x:row r="116" ht="40" customHeight="1">
      <x:c r="A116" s="30" t="str">
        <x:v>Goodwin Reservoir</x:v>
      </x:c>
      <x:c r="B116" s="30" t="str">
        <x:v>317177</x:v>
      </x:c>
      <x:c r="C116" s="30" t="str">
        <x:v>Rainbow Trout</x:v>
      </x:c>
      <x:c r="D116" s="30" t="str">
        <x:v>Not assigned</x:v>
      </x:c>
      <x:c r="E116" s="30" t="str">
        <x:v>Not assigned</x:v>
      </x:c>
      <x:c r="F116" s="30" t="str">
        <x:v>No verified match found</x:v>
      </x:c>
      <x:c r="G116" s="30" t="str"/>
      <x:c r="H116" s="30" t="str">
        <x:v>Goodwin Lake</x:v>
      </x:c>
      <x:c r="I116" s="31" t="n">
        <x:v>377.47</x:v>
      </x:c>
      <x:c r="J116" s="30" t="str">
        <x:v>https://www.anglersatlas.com/place/129869/goodwin-lake</x:v>
      </x:c>
      <x:c r="K116" s="30" t="str">
        <x:v>Named candidate coordinates do not agree. Species not assigned.</x:v>
      </x:c>
      <x:c r="L116" s="30" t="str">
        <x:v>Goodwin Reservoir; Goodwin</x:v>
      </x:c>
    </x:row>
    <x:row r="117" ht="40" customHeight="1">
      <x:c r="A117" s="30" t="str">
        <x:v>Goose Lake</x:v>
      </x:c>
      <x:c r="B117" s="30" t="str">
        <x:v>4708</x:v>
      </x:c>
      <x:c r="C117" s="30" t="str">
        <x:v>Walleye</x:v>
      </x:c>
      <x:c r="D117" s="30" t="str">
        <x:v>Northern Pike; Yellow Perch</x:v>
      </x:c>
      <x:c r="E117" s="30" t="str">
        <x:v>Northern Pike; Yellow Perch</x:v>
      </x:c>
      <x:c r="F117" s="30" t="str">
        <x:v>Matched — species listed</x:v>
      </x:c>
      <x:c r="G117" s="30" t="str">
        <x:v>Rainbow Trout</x:v>
      </x:c>
      <x:c r="H117" s="30" t="str">
        <x:v>GOOSE LAKE</x:v>
      </x:c>
      <x:c r="I117" s="31" t="n">
        <x:v>0.128</x:v>
      </x:c>
      <x:c r="J117" s="30" t="str">
        <x:v>https://www.anglersatlas.com/place/102574/goose-lake</x:v>
      </x:c>
      <x:c r="K117" s="30" t="str">
        <x:v>Name and coordinates agree.</x:v>
      </x:c>
      <x:c r="L117" s="30" t="str">
        <x:v>Goose Lake</x:v>
      </x:c>
    </x:row>
    <x:row r="118" ht="40" customHeight="1">
      <x:c r="A118" s="30" t="str">
        <x:v>Gooseberry Park Pond</x:v>
      </x:c>
      <x:c r="B118" s="30" t="str">
        <x:v>6809</x:v>
      </x:c>
      <x:c r="C118" s="30" t="str">
        <x:v>Rainbow Trout</x:v>
      </x:c>
      <x:c r="D118" s="30" t="str">
        <x:v>Not assigned</x:v>
      </x:c>
      <x:c r="E118" s="30" t="str">
        <x:v>Not assigned</x:v>
      </x:c>
      <x:c r="F118" s="30" t="str">
        <x:v>Uncertain lake match</x:v>
      </x:c>
      <x:c r="G118" s="30" t="str"/>
      <x:c r="H118" s="30" t="str">
        <x:v>GOOSEBERRY LAKE</x:v>
      </x:c>
      <x:c r="I118" s="31" t="n">
        <x:v>2.409</x:v>
      </x:c>
      <x:c r="J118" s="30" t="str">
        <x:v>https://www.anglersatlas.com/place/101907/gooseberry-lake</x:v>
      </x:c>
      <x:c r="K118" s="30" t="str">
        <x:v>Candidate is nearby, but the individual lake or pond is not established. Species not assigned.</x:v>
      </x:c>
      <x:c r="L118" s="30" t="str">
        <x:v>Gooseberry Park Pond; Gooseberry</x:v>
      </x:c>
    </x:row>
    <x:row r="119" ht="40" customHeight="1">
      <x:c r="A119" s="30" t="str">
        <x:v>Grande Cache Lake</x:v>
      </x:c>
      <x:c r="B119" s="30" t="str">
        <x:v>4725</x:v>
      </x:c>
      <x:c r="C119" s="30" t="str">
        <x:v>Rainbow Trout</x:v>
      </x:c>
      <x:c r="D119" s="30" t="str">
        <x:v>Bull Trout; Burbot; Rainbow Trout</x:v>
      </x:c>
      <x:c r="E119" s="30" t="str">
        <x:v>Bull Trout; Burbot</x:v>
      </x:c>
      <x:c r="F119" s="30" t="str">
        <x:v>Matched — species listed</x:v>
      </x:c>
      <x:c r="G119" s="30" t="str"/>
      <x:c r="H119" s="30" t="str">
        <x:v>GRANDE CACHE LAKE</x:v>
      </x:c>
      <x:c r="I119" s="31" t="n">
        <x:v>0.462</x:v>
      </x:c>
      <x:c r="J119" s="30" t="str">
        <x:v>https://www.anglersatlas.com/place/101909/grande-cache-lake</x:v>
      </x:c>
      <x:c r="K119" s="30" t="str">
        <x:v>Name and coordinates agree.</x:v>
      </x:c>
      <x:c r="L119" s="30" t="str">
        <x:v>Grande Cache Lake</x:v>
      </x:c>
    </x:row>
    <x:row r="120" ht="40" customHeight="1">
      <x:c r="A120" s="30" t="str">
        <x:v>Granum Pond</x:v>
      </x:c>
      <x:c r="B120" s="30" t="str">
        <x:v>6810</x:v>
      </x:c>
      <x:c r="C120" s="30" t="str">
        <x:v>Rainbow Trout</x:v>
      </x:c>
      <x:c r="D120" s="30" t="str">
        <x:v>Not listed</x:v>
      </x:c>
      <x:c r="E120" s="30" t="str">
        <x:v>None listed</x:v>
      </x:c>
      <x:c r="F120" s="30" t="str">
        <x:v>Matched — no species listed</x:v>
      </x:c>
      <x:c r="G120" s="30" t="str"/>
      <x:c r="H120" s="30" t="str">
        <x:v>Granum Pond</x:v>
      </x:c>
      <x:c r="I120" s="31" t="n">
        <x:v>0</x:v>
      </x:c>
      <x:c r="J120" s="30" t="str">
        <x:v>https://www.anglersatlas.com/place/2185954/granum-pond</x:v>
      </x:c>
      <x:c r="K120" s="30" t="str">
        <x:v>Name and coordinates agree.</x:v>
      </x:c>
      <x:c r="L120" s="30" t="str">
        <x:v>Granum Pond</x:v>
      </x:c>
    </x:row>
    <x:row r="121" ht="40" customHeight="1">
      <x:c r="A121" s="30" t="str">
        <x:v>Grotto Mountain Pond</x:v>
      </x:c>
      <x:c r="B121" s="30" t="str">
        <x:v>3476</x:v>
      </x:c>
      <x:c r="C121" s="30" t="str">
        <x:v>Cutthroat Trout; Rainbow Trout; Westslope Cutthroat Trout</x:v>
      </x:c>
      <x:c r="D121" s="30" t="str">
        <x:v>Brown Trout; Rainbow Trout</x:v>
      </x:c>
      <x:c r="E121" s="30" t="str">
        <x:v>Brown Trout</x:v>
      </x:c>
      <x:c r="F121" s="30" t="str">
        <x:v>Matched — species listed</x:v>
      </x:c>
      <x:c r="G121" s="30" t="str"/>
      <x:c r="H121" s="30" t="str">
        <x:v>Grotto Mountain Pond</x:v>
      </x:c>
      <x:c r="I121" s="31" t="n">
        <x:v>0.011</x:v>
      </x:c>
      <x:c r="J121" s="30" t="str">
        <x:v>https://www.anglersatlas.com/place/137026/grotto-mountain-pond</x:v>
      </x:c>
      <x:c r="K121" s="30" t="str">
        <x:v>Name and coordinates agree.</x:v>
      </x:c>
      <x:c r="L121" s="30" t="str">
        <x:v>Grotto Mountain Pond</x:v>
      </x:c>
    </x:row>
    <x:row r="122" ht="40" customHeight="1">
      <x:c r="A122" s="30" t="str">
        <x:v>Hansen's Reservoir</x:v>
      </x:c>
      <x:c r="B122" s="30" t="str">
        <x:v>6806</x:v>
      </x:c>
      <x:c r="C122" s="30" t="str">
        <x:v>Rainbow Trout</x:v>
      </x:c>
      <x:c r="D122" s="30" t="str">
        <x:v>Not assigned</x:v>
      </x:c>
      <x:c r="E122" s="30" t="str">
        <x:v>Not assigned</x:v>
      </x:c>
      <x:c r="F122" s="30" t="str">
        <x:v>No verified match found</x:v>
      </x:c>
      <x:c r="G122" s="30" t="str"/>
      <x:c r="H122" s="30" t="str">
        <x:v>Hansen Lake</x:v>
      </x:c>
      <x:c r="I122" s="31" t="n">
        <x:v>401.275</x:v>
      </x:c>
      <x:c r="J122" s="30" t="str">
        <x:v>https://www.anglersatlas.com/place/130035/hansen-lake</x:v>
      </x:c>
      <x:c r="K122" s="30" t="str">
        <x:v>Named candidate coordinates do not agree. Species not assigned.</x:v>
      </x:c>
      <x:c r="L122" s="30" t="str">
        <x:v>Hansen's Reservoir; Hansen</x:v>
      </x:c>
    </x:row>
    <x:row r="123" ht="40" customHeight="1">
      <x:c r="A123" s="30" t="str">
        <x:v>Harleck Pond</x:v>
      </x:c>
      <x:c r="B123" s="30" t="str">
        <x:v>6808</x:v>
      </x:c>
      <x:c r="C123" s="30" t="str">
        <x:v>Rainbow Trout</x:v>
      </x:c>
      <x:c r="D123" s="30" t="str">
        <x:v>Not assigned</x:v>
      </x:c>
      <x:c r="E123" s="30" t="str">
        <x:v>Not assigned</x:v>
      </x:c>
      <x:c r="F123" s="30" t="str">
        <x:v>No verified match found</x:v>
      </x:c>
      <x:c r="G123" s="30" t="str"/>
      <x:c r="H123" s="30" t="str"/>
      <x:c r="I123" s="31"/>
      <x:c r="J123" s="30" t="str"/>
      <x:c r="K123" s="30" t="str">
        <x:v>Exact-name and available broader-name searches did not establish a matching page.</x:v>
      </x:c>
      <x:c r="L123" s="30" t="str">
        <x:v>Harleck Pond; Harleck</x:v>
      </x:c>
    </x:row>
    <x:row r="124" ht="40" customHeight="1">
      <x:c r="A124" s="30" t="str">
        <x:v>Hasse Lake</x:v>
      </x:c>
      <x:c r="B124" s="30" t="str">
        <x:v>4794</x:v>
      </x:c>
      <x:c r="C124" s="30" t="str">
        <x:v>Rainbow Trout; Tiger Trout</x:v>
      </x:c>
      <x:c r="D124" s="30" t="str">
        <x:v>Rainbow Trout; Tiger Trout</x:v>
      </x:c>
      <x:c r="E124" s="30" t="str">
        <x:v>None listed</x:v>
      </x:c>
      <x:c r="F124" s="30" t="str">
        <x:v>Matched — species listed</x:v>
      </x:c>
      <x:c r="G124" s="30" t="str"/>
      <x:c r="H124" s="30" t="str">
        <x:v>HASSE LAKE</x:v>
      </x:c>
      <x:c r="I124" s="31" t="n">
        <x:v>0.007</x:v>
      </x:c>
      <x:c r="J124" s="30" t="str">
        <x:v>https://www.anglersatlas.com/place/101919/hasse-lake</x:v>
      </x:c>
      <x:c r="K124" s="30" t="str">
        <x:v>Name and coordinates agree.</x:v>
      </x:c>
      <x:c r="L124" s="30" t="str">
        <x:v>Hasse Lake</x:v>
      </x:c>
    </x:row>
    <x:row r="125" ht="40" customHeight="1">
      <x:c r="A125" s="30" t="str">
        <x:v>Helmer Reservoir</x:v>
      </x:c>
      <x:c r="B125" s="30" t="str">
        <x:v>6803</x:v>
      </x:c>
      <x:c r="C125" s="30" t="str">
        <x:v>Rainbow Trout</x:v>
      </x:c>
      <x:c r="D125" s="30" t="str">
        <x:v>Not assigned</x:v>
      </x:c>
      <x:c r="E125" s="30" t="str">
        <x:v>Not assigned</x:v>
      </x:c>
      <x:c r="F125" s="30" t="str">
        <x:v>No verified match found</x:v>
      </x:c>
      <x:c r="G125" s="30" t="str"/>
      <x:c r="H125" s="30" t="str"/>
      <x:c r="I125" s="31"/>
      <x:c r="J125" s="30" t="str"/>
      <x:c r="K125" s="30" t="str">
        <x:v>Exact-name and available broader-name searches did not establish a matching page.</x:v>
      </x:c>
      <x:c r="L125" s="30" t="str">
        <x:v>Helmer Reservoir; Helmer</x:v>
      </x:c>
    </x:row>
    <x:row r="126" ht="40" customHeight="1">
      <x:c r="A126" s="30" t="str">
        <x:v>Heritage Lake</x:v>
      </x:c>
      <x:c r="B126" s="30" t="str">
        <x:v>6790</x:v>
      </x:c>
      <x:c r="C126" s="30" t="str">
        <x:v>Brook Trout; Brown Trout; Rainbow Trout</x:v>
      </x:c>
      <x:c r="D126" s="30" t="str">
        <x:v>Brown Trout</x:v>
      </x:c>
      <x:c r="E126" s="30" t="str">
        <x:v>None listed</x:v>
      </x:c>
      <x:c r="F126" s="30" t="str">
        <x:v>Matched — species listed</x:v>
      </x:c>
      <x:c r="G126" s="30" t="str"/>
      <x:c r="H126" s="30" t="str">
        <x:v>Heritage Lake</x:v>
      </x:c>
      <x:c r="I126" s="31" t="n">
        <x:v>0.057</x:v>
      </x:c>
      <x:c r="J126" s="30" t="str">
        <x:v>https://www.anglersatlas.com/place/2207558/heritage-lake</x:v>
      </x:c>
      <x:c r="K126" s="30" t="str">
        <x:v>Name and coordinates agree.</x:v>
      </x:c>
      <x:c r="L126" s="30" t="str">
        <x:v>Heritage Lake</x:v>
      </x:c>
    </x:row>
    <x:row r="127" ht="40" customHeight="1">
      <x:c r="A127" s="30" t="str">
        <x:v>Hermitage Park Pond</x:v>
      </x:c>
      <x:c r="B127" s="30" t="str">
        <x:v>6791</x:v>
      </x:c>
      <x:c r="C127" s="30" t="str">
        <x:v>Brown Trout; Rainbow Trout</x:v>
      </x:c>
      <x:c r="D127" s="30" t="str">
        <x:v>Not listed</x:v>
      </x:c>
      <x:c r="E127" s="30" t="str">
        <x:v>None listed</x:v>
      </x:c>
      <x:c r="F127" s="30" t="str">
        <x:v>Matched — no species listed</x:v>
      </x:c>
      <x:c r="G127" s="30" t="str"/>
      <x:c r="H127" s="30" t="str">
        <x:v>Hermitage Park Trout Pond</x:v>
      </x:c>
      <x:c r="I127" s="31" t="n">
        <x:v>0.013</x:v>
      </x:c>
      <x:c r="J127" s="30" t="str">
        <x:v>https://www.anglersatlas.com/place/2185865/hermitage-park-trout-pond</x:v>
      </x:c>
      <x:c r="K127" s="30" t="str">
        <x:v>Name variant and coordinates agree.</x:v>
      </x:c>
      <x:c r="L127" s="30" t="str">
        <x:v>Hermitage Park Pond; Hermitage</x:v>
      </x:c>
    </x:row>
    <x:row r="128" ht="40" customHeight="1">
      <x:c r="A128" s="30" t="str">
        <x:v>High Level Pond</x:v>
      </x:c>
      <x:c r="B128" s="30" t="str">
        <x:v>22996</x:v>
      </x:c>
      <x:c r="C128" s="30" t="str"/>
      <x:c r="D128" s="30" t="str">
        <x:v>Not assigned</x:v>
      </x:c>
      <x:c r="E128" s="30" t="str">
        <x:v>Not assigned</x:v>
      </x:c>
      <x:c r="F128" s="30" t="str">
        <x:v>No verified match found</x:v>
      </x:c>
      <x:c r="G128" s="30" t="str"/>
      <x:c r="H128" s="30" t="str"/>
      <x:c r="I128" s="31"/>
      <x:c r="J128" s="30" t="str"/>
      <x:c r="K128" s="30" t="str">
        <x:v>Exact-name and available broader-name searches did not establish a matching page.</x:v>
      </x:c>
      <x:c r="L128" s="30" t="str">
        <x:v>High Level Pond; High Level</x:v>
      </x:c>
    </x:row>
    <x:row r="129" ht="40" customHeight="1">
      <x:c r="A129" s="30" t="str">
        <x:v>High Level Town Pond</x:v>
      </x:c>
      <x:c r="B129" s="30" t="str">
        <x:v>26431</x:v>
      </x:c>
      <x:c r="C129" s="30" t="str">
        <x:v>Rainbow Trout</x:v>
      </x:c>
      <x:c r="D129" s="30" t="str">
        <x:v>Not assigned</x:v>
      </x:c>
      <x:c r="E129" s="30" t="str">
        <x:v>Not assigned</x:v>
      </x:c>
      <x:c r="F129" s="30" t="str">
        <x:v>No verified match found</x:v>
      </x:c>
      <x:c r="G129" s="30" t="str"/>
      <x:c r="H129" s="30" t="str"/>
      <x:c r="I129" s="31"/>
      <x:c r="J129" s="30" t="str"/>
      <x:c r="K129" s="30" t="str">
        <x:v>Exact-name and available broader-name searches did not establish a matching page.</x:v>
      </x:c>
      <x:c r="L129" s="30" t="str">
        <x:v>High Level Town Pond; High Level Town</x:v>
      </x:c>
    </x:row>
    <x:row r="130" ht="40" customHeight="1">
      <x:c r="A130" s="30" t="str">
        <x:v>Highway 40 Pond</x:v>
      </x:c>
      <x:c r="B130" s="30" t="str">
        <x:v>6794</x:v>
      </x:c>
      <x:c r="C130" s="30" t="str">
        <x:v>Rainbow Trout</x:v>
      </x:c>
      <x:c r="D130" s="30" t="str">
        <x:v>Not assigned</x:v>
      </x:c>
      <x:c r="E130" s="30" t="str">
        <x:v>Not assigned</x:v>
      </x:c>
      <x:c r="F130" s="30" t="str">
        <x:v>No verified match found</x:v>
      </x:c>
      <x:c r="G130" s="30" t="str"/>
      <x:c r="H130" s="30" t="str"/>
      <x:c r="I130" s="31"/>
      <x:c r="J130" s="30" t="str"/>
      <x:c r="K130" s="30" t="str">
        <x:v>Exact-name and available broader-name searches did not establish a matching page.</x:v>
      </x:c>
      <x:c r="L130" s="30" t="str">
        <x:v>Highway 40 Pond; Highway 40</x:v>
      </x:c>
    </x:row>
    <x:row r="131" ht="40" customHeight="1">
      <x:c r="A131" s="30" t="str">
        <x:v>Highway 63 Pond</x:v>
      </x:c>
      <x:c r="B131" s="30" t="str">
        <x:v>6668</x:v>
      </x:c>
      <x:c r="C131" s="30" t="str">
        <x:v>Rainbow Trout</x:v>
      </x:c>
      <x:c r="D131" s="30" t="str">
        <x:v>Not assigned</x:v>
      </x:c>
      <x:c r="E131" s="30" t="str">
        <x:v>Not assigned</x:v>
      </x:c>
      <x:c r="F131" s="30" t="str">
        <x:v>No verified match found</x:v>
      </x:c>
      <x:c r="G131" s="30" t="str"/>
      <x:c r="H131" s="30" t="str"/>
      <x:c r="I131" s="31"/>
      <x:c r="J131" s="30" t="str"/>
      <x:c r="K131" s="30" t="str">
        <x:v>Exact-name and available broader-name searches did not establish a matching page.</x:v>
      </x:c>
      <x:c r="L131" s="30" t="str">
        <x:v>Highway 63 Pond; Highway 63</x:v>
      </x:c>
    </x:row>
    <x:row r="132" ht="40" customHeight="1">
      <x:c r="A132" s="30" t="str">
        <x:v>Highway 686 Pond</x:v>
      </x:c>
      <x:c r="B132" s="30" t="str">
        <x:v>6795</x:v>
      </x:c>
      <x:c r="C132" s="30" t="str">
        <x:v>Rainbow Trout</x:v>
      </x:c>
      <x:c r="D132" s="30" t="str">
        <x:v>Not assigned</x:v>
      </x:c>
      <x:c r="E132" s="30" t="str">
        <x:v>Not assigned</x:v>
      </x:c>
      <x:c r="F132" s="30" t="str">
        <x:v>No verified match found</x:v>
      </x:c>
      <x:c r="G132" s="30" t="str"/>
      <x:c r="H132" s="30" t="str"/>
      <x:c r="I132" s="31"/>
      <x:c r="J132" s="30" t="str"/>
      <x:c r="K132" s="30" t="str">
        <x:v>Exact-name and available broader-name searches did not establish a matching page.</x:v>
      </x:c>
      <x:c r="L132" s="30" t="str">
        <x:v>Highway 686 Pond; Highway 686</x:v>
      </x:c>
    </x:row>
    <x:row r="133" ht="40" customHeight="1">
      <x:c r="A133" s="30" t="str">
        <x:v>Hiller's Reservoir</x:v>
      </x:c>
      <x:c r="B133" s="30" t="str">
        <x:v>6796</x:v>
      </x:c>
      <x:c r="C133" s="30" t="str">
        <x:v>Rainbow Trout</x:v>
      </x:c>
      <x:c r="D133" s="30" t="str">
        <x:v>Not assigned</x:v>
      </x:c>
      <x:c r="E133" s="30" t="str">
        <x:v>Not assigned</x:v>
      </x:c>
      <x:c r="F133" s="30" t="str">
        <x:v>No verified match found</x:v>
      </x:c>
      <x:c r="G133" s="30" t="str"/>
      <x:c r="H133" s="30" t="str"/>
      <x:c r="I133" s="31"/>
      <x:c r="J133" s="30" t="str"/>
      <x:c r="K133" s="30" t="str">
        <x:v>Exact-name and available broader-name searches did not establish a matching page.</x:v>
      </x:c>
      <x:c r="L133" s="30" t="str">
        <x:v>Hiller's Reservoir; Hiller</x:v>
      </x:c>
    </x:row>
    <x:row r="134" ht="40" customHeight="1">
      <x:c r="A134" s="30" t="str">
        <x:v>Hinton Borrow Pit</x:v>
      </x:c>
      <x:c r="B134" s="30" t="str">
        <x:v>6917</x:v>
      </x:c>
      <x:c r="C134" s="30" t="str">
        <x:v>Rainbow Trout</x:v>
      </x:c>
      <x:c r="D134" s="30" t="str">
        <x:v>Not assigned</x:v>
      </x:c>
      <x:c r="E134" s="30" t="str">
        <x:v>Not assigned</x:v>
      </x:c>
      <x:c r="F134" s="30" t="str">
        <x:v>No verified match found</x:v>
      </x:c>
      <x:c r="G134" s="30" t="str"/>
      <x:c r="H134" s="30" t="str"/>
      <x:c r="I134" s="31"/>
      <x:c r="J134" s="30" t="str"/>
      <x:c r="K134" s="30" t="str">
        <x:v>Exact-name and available broader-name searches did not establish a matching page.</x:v>
      </x:c>
      <x:c r="L134" s="30" t="str">
        <x:v>Hinton Borrow Pit; Hinton</x:v>
      </x:c>
    </x:row>
    <x:row r="135" ht="40" customHeight="1">
      <x:c r="A135" s="30" t="str">
        <x:v>Horseshoe Lake</x:v>
      </x:c>
      <x:c r="B135" s="30" t="str">
        <x:v>6669</x:v>
      </x:c>
      <x:c r="C135" s="30" t="str">
        <x:v>Brook Trout</x:v>
      </x:c>
      <x:c r="D135" s="30" t="str">
        <x:v>Not listed</x:v>
      </x:c>
      <x:c r="E135" s="30" t="str">
        <x:v>None listed</x:v>
      </x:c>
      <x:c r="F135" s="30" t="str">
        <x:v>Matched — no species listed</x:v>
      </x:c>
      <x:c r="G135" s="30" t="str"/>
      <x:c r="H135" s="30" t="str">
        <x:v>Horseshoe Lake</x:v>
      </x:c>
      <x:c r="I135" s="31" t="n">
        <x:v>0.1</x:v>
      </x:c>
      <x:c r="J135" s="30" t="str">
        <x:v>https://www.anglersatlas.com/place/130206/horseshoe-lake</x:v>
      </x:c>
      <x:c r="K135" s="30" t="str">
        <x:v>Name and coordinates agree.</x:v>
      </x:c>
      <x:c r="L135" s="30" t="str">
        <x:v>Horseshoe Lake</x:v>
      </x:c>
    </x:row>
    <x:row r="136" ht="40" customHeight="1">
      <x:c r="A136" s="30" t="str">
        <x:v>Huber Reservoir</x:v>
      </x:c>
      <x:c r="B136" s="30" t="str">
        <x:v>6780</x:v>
      </x:c>
      <x:c r="C136" s="30" t="str">
        <x:v>Rainbow Trout; Tiger Trout</x:v>
      </x:c>
      <x:c r="D136" s="30" t="str">
        <x:v>Not assigned</x:v>
      </x:c>
      <x:c r="E136" s="30" t="str">
        <x:v>Not assigned</x:v>
      </x:c>
      <x:c r="F136" s="30" t="str">
        <x:v>No verified match found</x:v>
      </x:c>
      <x:c r="G136" s="30" t="str"/>
      <x:c r="H136" s="30" t="str">
        <x:v>Hubert Lake</x:v>
      </x:c>
      <x:c r="I136" s="31" t="n">
        <x:v>305.206</x:v>
      </x:c>
      <x:c r="J136" s="30" t="str">
        <x:v>https://www.anglersatlas.com/place/130213/hubert-lake</x:v>
      </x:c>
      <x:c r="K136" s="30" t="str">
        <x:v>Named candidate coordinates do not agree. Species not assigned.</x:v>
      </x:c>
      <x:c r="L136" s="30" t="str">
        <x:v>Huber Reservoir; Huber</x:v>
      </x:c>
    </x:row>
    <x:row r="137" ht="40" customHeight="1">
      <x:c r="A137" s="30" t="str">
        <x:v>Ice Lake</x:v>
      </x:c>
      <x:c r="B137" s="30" t="str">
        <x:v>4888</x:v>
      </x:c>
      <x:c r="C137" s="30" t="str">
        <x:v>Cutthroat Trout</x:v>
      </x:c>
      <x:c r="D137" s="30" t="str">
        <x:v>Not listed</x:v>
      </x:c>
      <x:c r="E137" s="30" t="str">
        <x:v>None listed</x:v>
      </x:c>
      <x:c r="F137" s="30" t="str">
        <x:v>Matched — no species listed</x:v>
      </x:c>
      <x:c r="G137" s="30" t="str"/>
      <x:c r="H137" s="30" t="str">
        <x:v>ICE LAKE</x:v>
      </x:c>
      <x:c r="I137" s="31" t="n">
        <x:v>0.113</x:v>
      </x:c>
      <x:c r="J137" s="30" t="str">
        <x:v>https://www.anglersatlas.com/place/101928/ice-lake</x:v>
      </x:c>
      <x:c r="K137" s="30" t="str">
        <x:v>Name and coordinates agree.</x:v>
      </x:c>
      <x:c r="L137" s="30" t="str">
        <x:v>Ice Lake</x:v>
      </x:c>
    </x:row>
    <x:row r="138" ht="40" customHeight="1">
      <x:c r="A138" s="30" t="str">
        <x:v>Innisfree Trout Pond</x:v>
      </x:c>
      <x:c r="B138" s="30" t="str">
        <x:v>6784</x:v>
      </x:c>
      <x:c r="C138" s="30" t="str">
        <x:v>Brook Trout; Rainbow Trout</x:v>
      </x:c>
      <x:c r="D138" s="30" t="str">
        <x:v>Not assigned</x:v>
      </x:c>
      <x:c r="E138" s="30" t="str">
        <x:v>Not assigned</x:v>
      </x:c>
      <x:c r="F138" s="30" t="str">
        <x:v>No verified match found</x:v>
      </x:c>
      <x:c r="G138" s="30" t="str"/>
      <x:c r="H138" s="30" t="str"/>
      <x:c r="I138" s="31"/>
      <x:c r="J138" s="30" t="str"/>
      <x:c r="K138" s="30" t="str">
        <x:v>Exact-name and available broader-name searches did not establish a matching page.</x:v>
      </x:c>
      <x:c r="L138" s="30" t="str">
        <x:v>Innisfree Trout Pond; Innisfree</x:v>
      </x:c>
    </x:row>
    <x:row r="139" ht="40" customHeight="1">
      <x:c r="A139" s="30" t="str">
        <x:v>Invincible Lake</x:v>
      </x:c>
      <x:c r="B139" s="30" t="str">
        <x:v>4897</x:v>
      </x:c>
      <x:c r="C139" s="30" t="str">
        <x:v>Cutthroat Trout</x:v>
      </x:c>
      <x:c r="D139" s="30" t="str">
        <x:v>Not listed</x:v>
      </x:c>
      <x:c r="E139" s="30" t="str">
        <x:v>None listed</x:v>
      </x:c>
      <x:c r="F139" s="30" t="str">
        <x:v>Matched — no species listed</x:v>
      </x:c>
      <x:c r="G139" s="30" t="str"/>
      <x:c r="H139" s="30" t="str">
        <x:v>Invincible Lake</x:v>
      </x:c>
      <x:c r="I139" s="31" t="n">
        <x:v>0.047</x:v>
      </x:c>
      <x:c r="J139" s="30" t="str">
        <x:v>https://www.anglersatlas.com/place/130686/invincible-lake</x:v>
      </x:c>
      <x:c r="K139" s="30" t="str">
        <x:v>Name and coordinates agree.</x:v>
      </x:c>
      <x:c r="L139" s="30" t="str">
        <x:v>Invincible Lake</x:v>
      </x:c>
    </x:row>
    <x:row r="140" ht="40" customHeight="1">
      <x:c r="A140" s="30" t="str">
        <x:v>Irma Fish and Game Pond</x:v>
      </x:c>
      <x:c r="B140" s="30" t="str">
        <x:v>6785</x:v>
      </x:c>
      <x:c r="C140" s="30" t="str">
        <x:v>Brook Trout; Rainbow Trout</x:v>
      </x:c>
      <x:c r="D140" s="30" t="str">
        <x:v>Not assigned</x:v>
      </x:c>
      <x:c r="E140" s="30" t="str">
        <x:v>Not assigned</x:v>
      </x:c>
      <x:c r="F140" s="30" t="str">
        <x:v>No verified match found</x:v>
      </x:c>
      <x:c r="G140" s="30" t="str"/>
      <x:c r="H140" s="30" t="str"/>
      <x:c r="I140" s="31"/>
      <x:c r="J140" s="30" t="str"/>
      <x:c r="K140" s="30" t="str">
        <x:v>Exact-name and available broader-name searches did not establish a matching page.</x:v>
      </x:c>
      <x:c r="L140" s="30" t="str">
        <x:v>Irma Fish and Game Pond; Irma</x:v>
      </x:c>
    </x:row>
    <x:row r="141" ht="40" customHeight="1">
      <x:c r="A141" s="30" t="str">
        <x:v>Ironside Pond</x:v>
      </x:c>
      <x:c r="B141" s="30" t="str">
        <x:v>6786</x:v>
      </x:c>
      <x:c r="C141" s="30" t="str">
        <x:v>Rainbow Trout; Tiger Trout</x:v>
      </x:c>
      <x:c r="D141" s="30" t="str">
        <x:v>Rainbow Trout; Tiger Trout</x:v>
      </x:c>
      <x:c r="E141" s="30" t="str">
        <x:v>None listed</x:v>
      </x:c>
      <x:c r="F141" s="30" t="str">
        <x:v>Matched — species listed</x:v>
      </x:c>
      <x:c r="G141" s="30" t="str"/>
      <x:c r="H141" s="30" t="str">
        <x:v>Ironside Pond</x:v>
      </x:c>
      <x:c r="I141" s="31" t="n">
        <x:v>0.011</x:v>
      </x:c>
      <x:c r="J141" s="30" t="str">
        <x:v>https://www.anglersatlas.com/place/1107853/ironside-pond</x:v>
      </x:c>
      <x:c r="K141" s="30" t="str">
        <x:v>Name and coordinates agree.</x:v>
      </x:c>
      <x:c r="L141" s="30" t="str">
        <x:v>Ironside Pond</x:v>
      </x:c>
    </x:row>
    <x:row r="142" ht="40" customHeight="1">
      <x:c r="A142" s="30" t="str">
        <x:v>Island Lake</x:v>
      </x:c>
      <x:c r="B142" s="30" t="str">
        <x:v>4909</x:v>
      </x:c>
      <x:c r="C142" s="30" t="str">
        <x:v>Cutthroat Trout; Rainbow Trout; Westslope Cutthroat Trout</x:v>
      </x:c>
      <x:c r="D142" s="30" t="str">
        <x:v>Not listed</x:v>
      </x:c>
      <x:c r="E142" s="30" t="str">
        <x:v>None listed</x:v>
      </x:c>
      <x:c r="F142" s="30" t="str">
        <x:v>Matched — no species listed</x:v>
      </x:c>
      <x:c r="G142" s="30" t="str"/>
      <x:c r="H142" s="30" t="str">
        <x:v>ISLAND LAKE</x:v>
      </x:c>
      <x:c r="I142" s="31" t="n">
        <x:v>0.097</x:v>
      </x:c>
      <x:c r="J142" s="30" t="str">
        <x:v>https://www.anglersatlas.com/place/101932/island-lake</x:v>
      </x:c>
      <x:c r="K142" s="30" t="str">
        <x:v>Name and coordinates agree.</x:v>
      </x:c>
      <x:c r="L142" s="30" t="str">
        <x:v>Island Lake</x:v>
      </x:c>
    </x:row>
    <x:row r="143" ht="40" customHeight="1">
      <x:c r="A143" s="30" t="str">
        <x:v>Jackfish Lake</x:v>
      </x:c>
      <x:c r="B143" s="30" t="str">
        <x:v>4920</x:v>
      </x:c>
      <x:c r="C143" s="30" t="str">
        <x:v>Rainbow Trout; Tiger Trout</x:v>
      </x:c>
      <x:c r="D143" s="30" t="str">
        <x:v>Not assigned</x:v>
      </x:c>
      <x:c r="E143" s="30" t="str">
        <x:v>Not assigned</x:v>
      </x:c>
      <x:c r="F143" s="30" t="str">
        <x:v>No verified match found</x:v>
      </x:c>
      <x:c r="G143" s="30" t="str"/>
      <x:c r="H143" s="30" t="str">
        <x:v>Jackfish Lake</x:v>
      </x:c>
      <x:c r="I143" s="31" t="n">
        <x:v>178.758</x:v>
      </x:c>
      <x:c r="J143" s="30" t="str">
        <x:v>https://www.anglersatlas.com/place/130287/jackfish-lake</x:v>
      </x:c>
      <x:c r="K143" s="30" t="str">
        <x:v>Named candidate coordinates do not agree. Species not assigned.</x:v>
      </x:c>
      <x:c r="L143" s="30" t="str">
        <x:v>Jackfish Lake</x:v>
      </x:c>
    </x:row>
    <x:row r="144" ht="40" customHeight="1">
      <x:c r="A144" s="30" t="str">
        <x:v>Jane Lake</x:v>
      </x:c>
      <x:c r="B144" s="30" t="str">
        <x:v>4935</x:v>
      </x:c>
      <x:c r="C144" s="30" t="str">
        <x:v>Rainbow Trout</x:v>
      </x:c>
      <x:c r="D144" s="30" t="str">
        <x:v>Not listed</x:v>
      </x:c>
      <x:c r="E144" s="30" t="str">
        <x:v>None listed</x:v>
      </x:c>
      <x:c r="F144" s="30" t="str">
        <x:v>Matched — no species listed</x:v>
      </x:c>
      <x:c r="G144" s="30" t="str"/>
      <x:c r="H144" s="30" t="str">
        <x:v>Jane Lake</x:v>
      </x:c>
      <x:c r="I144" s="31" t="n">
        <x:v>0.083</x:v>
      </x:c>
      <x:c r="J144" s="30" t="str">
        <x:v>https://www.anglersatlas.com/place/130295/jane-lake</x:v>
      </x:c>
      <x:c r="K144" s="30" t="str">
        <x:v>Name and coordinates agree.</x:v>
      </x:c>
      <x:c r="L144" s="30" t="str">
        <x:v>Jane Lake</x:v>
      </x:c>
    </x:row>
    <x:row r="145" ht="40" customHeight="1">
      <x:c r="A145" s="30" t="str">
        <x:v>Jarvis Creek Pond</x:v>
      </x:c>
      <x:c r="B145" s="30" t="str">
        <x:v>6788</x:v>
      </x:c>
      <x:c r="C145" s="30" t="str">
        <x:v>Rainbow Trout</x:v>
      </x:c>
      <x:c r="D145" s="30" t="str">
        <x:v>Not assigned</x:v>
      </x:c>
      <x:c r="E145" s="30" t="str">
        <x:v>Not assigned</x:v>
      </x:c>
      <x:c r="F145" s="30" t="str">
        <x:v>No verified match found</x:v>
      </x:c>
      <x:c r="G145" s="30" t="str"/>
      <x:c r="H145" s="30" t="str"/>
      <x:c r="I145" s="31"/>
      <x:c r="J145" s="30" t="str"/>
      <x:c r="K145" s="30" t="str">
        <x:v>Exact-name and available broader-name searches did not establish a matching page.</x:v>
      </x:c>
      <x:c r="L145" s="30" t="str">
        <x:v>Jarvis Creek Pond</x:v>
      </x:c>
    </x:row>
    <x:row r="146" ht="40" customHeight="1">
      <x:c r="A146" s="30" t="str">
        <x:v>Jessie Lake</x:v>
      </x:c>
      <x:c r="B146" s="30" t="str">
        <x:v>4944</x:v>
      </x:c>
      <x:c r="C146" s="30" t="str">
        <x:v>Rainbow Trout</x:v>
      </x:c>
      <x:c r="D146" s="30" t="str">
        <x:v>Not listed</x:v>
      </x:c>
      <x:c r="E146" s="30" t="str">
        <x:v>None listed</x:v>
      </x:c>
      <x:c r="F146" s="30" t="str">
        <x:v>Matched — no species listed</x:v>
      </x:c>
      <x:c r="G146" s="30" t="str"/>
      <x:c r="H146" s="30" t="str">
        <x:v>JESSIE LAKE</x:v>
      </x:c>
      <x:c r="I146" s="31" t="n">
        <x:v>0.686</x:v>
      </x:c>
      <x:c r="J146" s="30" t="str">
        <x:v>https://www.anglersatlas.com/place/101937/jessie-lake</x:v>
      </x:c>
      <x:c r="K146" s="30" t="str">
        <x:v>Name and coordinates agree.</x:v>
      </x:c>
      <x:c r="L146" s="30" t="str">
        <x:v>Jessie Lake</x:v>
      </x:c>
    </x:row>
    <x:row r="147" ht="40" customHeight="1">
      <x:c r="A147" s="30" t="str">
        <x:v>Kakut Pond</x:v>
      </x:c>
      <x:c r="B147" s="30" t="str">
        <x:v>26729</x:v>
      </x:c>
      <x:c r="C147" s="30" t="str">
        <x:v>Rainbow Trout</x:v>
      </x:c>
      <x:c r="D147" s="30" t="str">
        <x:v>Not assigned</x:v>
      </x:c>
      <x:c r="E147" s="30" t="str">
        <x:v>Not assigned</x:v>
      </x:c>
      <x:c r="F147" s="30" t="str">
        <x:v>Uncertain lake match</x:v>
      </x:c>
      <x:c r="G147" s="30" t="str"/>
      <x:c r="H147" s="30" t="str">
        <x:v>Kakut Lake</x:v>
      </x:c>
      <x:c r="I147" s="31" t="n">
        <x:v>1.095</x:v>
      </x:c>
      <x:c r="J147" s="30" t="str">
        <x:v>https://www.anglersatlas.com/place/130602/kakut-lake</x:v>
      </x:c>
      <x:c r="K147" s="30" t="str">
        <x:v>Candidate is nearby, but the individual lake or pond is not established. Species not assigned.</x:v>
      </x:c>
      <x:c r="L147" s="30" t="str">
        <x:v>Kakut Pond; Kakut</x:v>
      </x:c>
    </x:row>
    <x:row r="148" ht="40" customHeight="1">
      <x:c r="A148" s="30" t="str">
        <x:v>Keenex Trout Pond</x:v>
      </x:c>
      <x:c r="B148" s="30" t="str">
        <x:v>417476</x:v>
      </x:c>
      <x:c r="C148" s="30" t="str">
        <x:v>Brook Trout; Rainbow Trout</x:v>
      </x:c>
      <x:c r="D148" s="30" t="str">
        <x:v>Not assigned</x:v>
      </x:c>
      <x:c r="E148" s="30" t="str">
        <x:v>Not assigned</x:v>
      </x:c>
      <x:c r="F148" s="30" t="str">
        <x:v>No verified match found</x:v>
      </x:c>
      <x:c r="G148" s="30" t="str"/>
      <x:c r="H148" s="30" t="str"/>
      <x:c r="I148" s="31"/>
      <x:c r="J148" s="30" t="str"/>
      <x:c r="K148" s="30" t="str">
        <x:v>Exact-name and available broader-name searches did not establish a matching page.</x:v>
      </x:c>
      <x:c r="L148" s="30" t="str">
        <x:v>Keenex Trout Pond; Keenex</x:v>
      </x:c>
    </x:row>
    <x:row r="149" ht="40" customHeight="1">
      <x:c r="A149" s="30" t="str">
        <x:v>Kehewin Lake</x:v>
      </x:c>
      <x:c r="B149" s="30" t="str">
        <x:v>4977</x:v>
      </x:c>
      <x:c r="C149" s="30" t="str">
        <x:v>Walleye</x:v>
      </x:c>
      <x:c r="D149" s="30" t="str">
        <x:v>Not assigned</x:v>
      </x:c>
      <x:c r="E149" s="30" t="str">
        <x:v>Not assigned</x:v>
      </x:c>
      <x:c r="F149" s="30" t="str">
        <x:v>No verified match found</x:v>
      </x:c>
      <x:c r="G149" s="30" t="str"/>
      <x:c r="H149" s="30" t="str"/>
      <x:c r="I149" s="31"/>
      <x:c r="J149" s="30" t="str"/>
      <x:c r="K149" s="30" t="str">
        <x:v>Exact-name and available broader-name searches did not establish a matching page.</x:v>
      </x:c>
      <x:c r="L149" s="30" t="str">
        <x:v>Kehewin Lake; Kehewin</x:v>
      </x:c>
    </x:row>
    <x:row r="150" ht="40" customHeight="1">
      <x:c r="A150" s="30" t="str">
        <x:v>Keho Lake</x:v>
      </x:c>
      <x:c r="B150" s="30" t="str">
        <x:v>4978</x:v>
      </x:c>
      <x:c r="C150" s="30" t="str">
        <x:v>Walleye</x:v>
      </x:c>
      <x:c r="D150" s="30" t="str">
        <x:v>Burbot; Lake Whitefish; Northern Pike; Walleye</x:v>
      </x:c>
      <x:c r="E150" s="30" t="str">
        <x:v>Burbot; Lake Whitefish; Northern Pike</x:v>
      </x:c>
      <x:c r="F150" s="30" t="str">
        <x:v>Matched — species listed</x:v>
      </x:c>
      <x:c r="G150" s="30" t="str"/>
      <x:c r="H150" s="30" t="str">
        <x:v>KEHO LAKE</x:v>
      </x:c>
      <x:c r="I150" s="31" t="n">
        <x:v>2.082</x:v>
      </x:c>
      <x:c r="J150" s="30" t="str">
        <x:v>https://www.anglersatlas.com/place/101941/keho-lake</x:v>
      </x:c>
      <x:c r="K150" s="30" t="str">
        <x:v>Same named large lake. Map points differ within the lake vicinity.</x:v>
      </x:c>
      <x:c r="L150" s="30" t="str">
        <x:v>Keho Lake</x:v>
      </x:c>
    </x:row>
    <x:row r="151" ht="40" customHeight="1">
      <x:c r="A151" s="30" t="str">
        <x:v>Kerbe's Pond</x:v>
      </x:c>
      <x:c r="B151" s="30" t="str">
        <x:v>6770</x:v>
      </x:c>
      <x:c r="C151" s="30" t="str">
        <x:v>Brown Trout; Rainbow Trout; Tiger Trout</x:v>
      </x:c>
      <x:c r="D151" s="30" t="str">
        <x:v>Tiger Trout</x:v>
      </x:c>
      <x:c r="E151" s="30" t="str">
        <x:v>None listed</x:v>
      </x:c>
      <x:c r="F151" s="30" t="str">
        <x:v>Matched — species listed</x:v>
      </x:c>
      <x:c r="G151" s="30" t="str"/>
      <x:c r="H151" s="30" t="str">
        <x:v>KERBE'S POND</x:v>
      </x:c>
      <x:c r="I151" s="31" t="n">
        <x:v>0.018</x:v>
      </x:c>
      <x:c r="J151" s="30" t="str">
        <x:v>https://www.anglersatlas.com/place/102592/kerbes-pond</x:v>
      </x:c>
      <x:c r="K151" s="30" t="str">
        <x:v>Name and coordinates agree.</x:v>
      </x:c>
      <x:c r="L151" s="30" t="str">
        <x:v>Kerbe's Pond</x:v>
      </x:c>
    </x:row>
    <x:row r="152" ht="40" customHeight="1">
      <x:c r="A152" s="30" t="str">
        <x:v>Kids Can Catch Pond</x:v>
      </x:c>
      <x:c r="B152" s="30" t="str">
        <x:v>26447</x:v>
      </x:c>
      <x:c r="C152" s="30" t="str">
        <x:v>Rainbow Trout</x:v>
      </x:c>
      <x:c r="D152" s="30" t="str">
        <x:v>Not listed</x:v>
      </x:c>
      <x:c r="E152" s="30" t="str">
        <x:v>None listed</x:v>
      </x:c>
      <x:c r="F152" s="30" t="str">
        <x:v>Matched — no species listed</x:v>
      </x:c>
      <x:c r="G152" s="30" t="str"/>
      <x:c r="H152" s="30" t="str">
        <x:v>Kids Can Catch Pond</x:v>
      </x:c>
      <x:c r="I152" s="31" t="n">
        <x:v>0</x:v>
      </x:c>
      <x:c r="J152" s="30" t="str">
        <x:v>https://www.anglersatlas.com/place/1107856/kids-can-catch-pond</x:v>
      </x:c>
      <x:c r="K152" s="30" t="str">
        <x:v>Name and coordinates agree.</x:v>
      </x:c>
      <x:c r="L152" s="30" t="str">
        <x:v>Kids Can Catch Pond</x:v>
      </x:c>
    </x:row>
    <x:row r="153" ht="40" customHeight="1">
      <x:c r="A153" s="30" t="str">
        <x:v>Kinglet Lake</x:v>
      </x:c>
      <x:c r="B153" s="30" t="str">
        <x:v>6654</x:v>
      </x:c>
      <x:c r="C153" s="30" t="str">
        <x:v>Cutthroat Trout</x:v>
      </x:c>
      <x:c r="D153" s="30" t="str">
        <x:v>Not listed</x:v>
      </x:c>
      <x:c r="E153" s="30" t="str">
        <x:v>None listed</x:v>
      </x:c>
      <x:c r="F153" s="30" t="str">
        <x:v>Matched — no species listed</x:v>
      </x:c>
      <x:c r="G153" s="30" t="str"/>
      <x:c r="H153" s="30" t="str">
        <x:v>Kinglet Lake</x:v>
      </x:c>
      <x:c r="I153" s="31" t="n">
        <x:v>0</x:v>
      </x:c>
      <x:c r="J153" s="30" t="str">
        <x:v>https://www.anglersatlas.com/place/1107857/kinglet-lake</x:v>
      </x:c>
      <x:c r="K153" s="30" t="str">
        <x:v>Name and coordinates agree.</x:v>
      </x:c>
      <x:c r="L153" s="30" t="str">
        <x:v>Kinglet Lake</x:v>
      </x:c>
    </x:row>
    <x:row r="154" ht="40" customHeight="1">
      <x:c r="A154" s="30" t="str">
        <x:v>Kinky Lake</x:v>
      </x:c>
      <x:c r="B154" s="30" t="str">
        <x:v>5002</x:v>
      </x:c>
      <x:c r="C154" s="30" t="str">
        <x:v>Brook Trout</x:v>
      </x:c>
      <x:c r="D154" s="30" t="str">
        <x:v>Brook Trout; Northern Pike; Rainbow Trout</x:v>
      </x:c>
      <x:c r="E154" s="30" t="str">
        <x:v>Northern Pike; Rainbow Trout</x:v>
      </x:c>
      <x:c r="F154" s="30" t="str">
        <x:v>Matched — species listed</x:v>
      </x:c>
      <x:c r="G154" s="30" t="str"/>
      <x:c r="H154" s="30" t="str">
        <x:v>KINKY LAKE</x:v>
      </x:c>
      <x:c r="I154" s="31" t="n">
        <x:v>0.013</x:v>
      </x:c>
      <x:c r="J154" s="30" t="str">
        <x:v>https://www.anglersatlas.com/place/102106/kinky-lake</x:v>
      </x:c>
      <x:c r="K154" s="30" t="str">
        <x:v>Name and coordinates agree.</x:v>
      </x:c>
      <x:c r="L154" s="30" t="str">
        <x:v>Kinky Lake</x:v>
      </x:c>
    </x:row>
    <x:row r="155" ht="40" customHeight="1">
      <x:c r="A155" s="30" t="str">
        <x:v>Kraft Wimborne Pond</x:v>
      </x:c>
      <x:c r="B155" s="30" t="str">
        <x:v>6773</x:v>
      </x:c>
      <x:c r="C155" s="30" t="str">
        <x:v>Brook Trout; Rainbow Trout; Tiger Trout</x:v>
      </x:c>
      <x:c r="D155" s="30" t="str">
        <x:v>Not assigned</x:v>
      </x:c>
      <x:c r="E155" s="30" t="str">
        <x:v>Not assigned</x:v>
      </x:c>
      <x:c r="F155" s="30" t="str">
        <x:v>No verified match found</x:v>
      </x:c>
      <x:c r="G155" s="30" t="str"/>
      <x:c r="H155" s="30" t="str"/>
      <x:c r="I155" s="31"/>
      <x:c r="J155" s="30" t="str"/>
      <x:c r="K155" s="30" t="str">
        <x:v>Exact-name and available broader-name searches did not establish a matching page.</x:v>
      </x:c>
      <x:c r="L155" s="30" t="str">
        <x:v>Kraft Wimborne Pond; Kraft Wimborne</x:v>
      </x:c>
    </x:row>
    <x:row r="156" ht="40" customHeight="1">
      <x:c r="A156" s="30" t="str">
        <x:v>Kramer Pond</x:v>
      </x:c>
      <x:c r="B156" s="30" t="str">
        <x:v>6774</x:v>
      </x:c>
      <x:c r="C156" s="30" t="str">
        <x:v>Rainbow Trout</x:v>
      </x:c>
      <x:c r="D156" s="30" t="str">
        <x:v>Not assigned</x:v>
      </x:c>
      <x:c r="E156" s="30" t="str">
        <x:v>Not assigned</x:v>
      </x:c>
      <x:c r="F156" s="30" t="str">
        <x:v>No verified match found</x:v>
      </x:c>
      <x:c r="G156" s="30" t="str"/>
      <x:c r="H156" s="30" t="str"/>
      <x:c r="I156" s="31"/>
      <x:c r="J156" s="30" t="str"/>
      <x:c r="K156" s="30" t="str">
        <x:v>Exact-name and available broader-name searches did not establish a matching page.</x:v>
      </x:c>
      <x:c r="L156" s="30" t="str">
        <x:v>Kramer Pond; Kramer</x:v>
      </x:c>
    </x:row>
    <x:row r="157" ht="40" customHeight="1">
      <x:c r="A157" s="30" t="str">
        <x:v>La Crete Pond</x:v>
      </x:c>
      <x:c r="B157" s="30" t="str">
        <x:v>20267</x:v>
      </x:c>
      <x:c r="C157" s="30" t="str">
        <x:v>Rainbow Trout</x:v>
      </x:c>
      <x:c r="D157" s="30" t="str">
        <x:v>Not assigned</x:v>
      </x:c>
      <x:c r="E157" s="30" t="str">
        <x:v>Not assigned</x:v>
      </x:c>
      <x:c r="F157" s="30" t="str">
        <x:v>No verified match found</x:v>
      </x:c>
      <x:c r="G157" s="30" t="str"/>
      <x:c r="H157" s="30" t="str"/>
      <x:c r="I157" s="31"/>
      <x:c r="J157" s="30" t="str"/>
      <x:c r="K157" s="30" t="str">
        <x:v>Exact-name and available broader-name searches did not establish a matching page.</x:v>
      </x:c>
      <x:c r="L157" s="30" t="str">
        <x:v>La Crete Pond; La Crete</x:v>
      </x:c>
    </x:row>
    <x:row r="158" ht="40" customHeight="1">
      <x:c r="A158" s="30" t="str">
        <x:v>Lac Bellevue</x:v>
      </x:c>
      <x:c r="B158" s="30" t="str">
        <x:v>4027</x:v>
      </x:c>
      <x:c r="C158" s="30" t="str">
        <x:v>Northern Pike; Walleye</x:v>
      </x:c>
      <x:c r="D158" s="30" t="str">
        <x:v>Northern Pike; Walleye; Yellow Perch</x:v>
      </x:c>
      <x:c r="E158" s="30" t="str">
        <x:v>Yellow Perch</x:v>
      </x:c>
      <x:c r="F158" s="30" t="str">
        <x:v>Matched — species listed</x:v>
      </x:c>
      <x:c r="G158" s="30" t="str"/>
      <x:c r="H158" s="30" t="str">
        <x:v>LAC BELLEVUE</x:v>
      </x:c>
      <x:c r="I158" s="31" t="n">
        <x:v>0.167</x:v>
      </x:c>
      <x:c r="J158" s="30" t="str">
        <x:v>https://www.anglersatlas.com/place/101943/lac-bellevue</x:v>
      </x:c>
      <x:c r="K158" s="30" t="str">
        <x:v>Name and coordinates agree.</x:v>
      </x:c>
      <x:c r="L158" s="30" t="str">
        <x:v>Lac Bellevue</x:v>
      </x:c>
    </x:row>
    <x:row r="159" ht="40" customHeight="1">
      <x:c r="A159" s="30" t="str">
        <x:v>Lacombe Park Pond</x:v>
      </x:c>
      <x:c r="B159" s="30" t="str">
        <x:v>6776</x:v>
      </x:c>
      <x:c r="C159" s="30" t="str">
        <x:v>Brook Trout; Rainbow Trout</x:v>
      </x:c>
      <x:c r="D159" s="30" t="str">
        <x:v>Not assigned</x:v>
      </x:c>
      <x:c r="E159" s="30" t="str">
        <x:v>Not assigned</x:v>
      </x:c>
      <x:c r="F159" s="30" t="str">
        <x:v>No verified match found</x:v>
      </x:c>
      <x:c r="G159" s="30" t="str"/>
      <x:c r="H159" s="30" t="str">
        <x:v>LACOMBE LAKE</x:v>
      </x:c>
      <x:c r="I159" s="31" t="n">
        <x:v>134.882</x:v>
      </x:c>
      <x:c r="J159" s="30" t="str">
        <x:v>https://www.anglersatlas.com/place/101949/lacombe-lake</x:v>
      </x:c>
      <x:c r="K159" s="30" t="str">
        <x:v>Named candidate coordinates do not agree. Species not assigned.</x:v>
      </x:c>
      <x:c r="L159" s="30" t="str">
        <x:v>Lacombe Park Pond; Lacombe</x:v>
      </x:c>
    </x:row>
    <x:row r="160" ht="52" customHeight="1">
      <x:c r="A160" s="30" t="str">
        <x:v>Lake Newell</x:v>
      </x:c>
      <x:c r="B160" s="30" t="str">
        <x:v>5434</x:v>
      </x:c>
      <x:c r="C160" s="30" t="str">
        <x:v>Walleye</x:v>
      </x:c>
      <x:c r="D160" s="30" t="str">
        <x:v>Burbot; Lake Whitefish; Mountain Whitefish; Northern Pike; Rainbow Trout; Walleye; Yellow Perch</x:v>
      </x:c>
      <x:c r="E160" s="30" t="str">
        <x:v>Burbot; Lake Whitefish; Mountain Whitefish; Northern Pike; Rainbow Trout; Yellow Perch</x:v>
      </x:c>
      <x:c r="F160" s="30" t="str">
        <x:v>Matched — species listed</x:v>
      </x:c>
      <x:c r="G160" s="30" t="str">
        <x:v>Brown Trout</x:v>
      </x:c>
      <x:c r="H160" s="30" t="str">
        <x:v>Lake Newell</x:v>
      </x:c>
      <x:c r="I160" s="31" t="n">
        <x:v>0.567</x:v>
      </x:c>
      <x:c r="J160" s="30" t="str">
        <x:v>https://www.anglersatlas.com/place/137018/lake-newell</x:v>
      </x:c>
      <x:c r="K160" s="30" t="str">
        <x:v>Name and coordinates agree.</x:v>
      </x:c>
      <x:c r="L160" s="30" t="str">
        <x:v>Lake Newell</x:v>
      </x:c>
    </x:row>
    <x:row r="161" ht="40" customHeight="1">
      <x:c r="A161" s="30" t="str">
        <x:v>Lake Of Falls</x:v>
      </x:c>
      <x:c r="B161" s="30" t="str">
        <x:v>4564</x:v>
      </x:c>
      <x:c r="C161" s="30" t="str">
        <x:v>Cutthroat Trout</x:v>
      </x:c>
      <x:c r="D161" s="30" t="str">
        <x:v>Not listed</x:v>
      </x:c>
      <x:c r="E161" s="30" t="str">
        <x:v>None listed</x:v>
      </x:c>
      <x:c r="F161" s="30" t="str">
        <x:v>Matched — no species listed</x:v>
      </x:c>
      <x:c r="G161" s="30" t="str"/>
      <x:c r="H161" s="30" t="str">
        <x:v>LAKE OF FALLS</x:v>
      </x:c>
      <x:c r="I161" s="31" t="n">
        <x:v>0.011</x:v>
      </x:c>
      <x:c r="J161" s="30" t="str">
        <x:v>https://www.anglersatlas.com/place/101950/lake-of-falls</x:v>
      </x:c>
      <x:c r="K161" s="30" t="str">
        <x:v>Name and coordinates agree.</x:v>
      </x:c>
      <x:c r="L161" s="30" t="str">
        <x:v>Lake Of Falls</x:v>
      </x:c>
    </x:row>
    <x:row r="162" ht="40" customHeight="1">
      <x:c r="A162" s="30" t="str">
        <x:v>Lake of the Horns</x:v>
      </x:c>
      <x:c r="B162" s="30" t="str">
        <x:v>4854</x:v>
      </x:c>
      <x:c r="C162" s="30" t="str">
        <x:v>Cutthroat Trout</x:v>
      </x:c>
      <x:c r="D162" s="30" t="str">
        <x:v>Not listed</x:v>
      </x:c>
      <x:c r="E162" s="30" t="str">
        <x:v>None listed</x:v>
      </x:c>
      <x:c r="F162" s="30" t="str">
        <x:v>Matched — no species listed</x:v>
      </x:c>
      <x:c r="G162" s="30" t="str"/>
      <x:c r="H162" s="30" t="str">
        <x:v>LAKE OF THE HORNS</x:v>
      </x:c>
      <x:c r="I162" s="31" t="n">
        <x:v>0.122</x:v>
      </x:c>
      <x:c r="J162" s="30" t="str">
        <x:v>https://www.anglersatlas.com/place/1107955/lake-of-the-horns</x:v>
      </x:c>
      <x:c r="K162" s="30" t="str">
        <x:v>Name and coordinates agree.</x:v>
      </x:c>
      <x:c r="L162" s="30" t="str">
        <x:v>Lake of the Horns</x:v>
      </x:c>
    </x:row>
    <x:row r="163" ht="40" customHeight="1">
      <x:c r="A163" s="30" t="str">
        <x:v>Lambert Pond</x:v>
      </x:c>
      <x:c r="B163" s="30" t="str">
        <x:v>3479</x:v>
      </x:c>
      <x:c r="C163" s="30" t="str">
        <x:v>Rainbow Trout</x:v>
      </x:c>
      <x:c r="D163" s="30" t="str">
        <x:v>Rainbow Trout</x:v>
      </x:c>
      <x:c r="E163" s="30" t="str">
        <x:v>None listed</x:v>
      </x:c>
      <x:c r="F163" s="30" t="str">
        <x:v>Matched — species listed</x:v>
      </x:c>
      <x:c r="G163" s="30" t="str"/>
      <x:c r="H163" s="30" t="str">
        <x:v>Lambert Pond</x:v>
      </x:c>
      <x:c r="I163" s="31" t="n">
        <x:v>0.045</x:v>
      </x:c>
      <x:c r="J163" s="30" t="str">
        <x:v>https://www.anglersatlas.com/place/137029/lambert-pond</x:v>
      </x:c>
      <x:c r="K163" s="30" t="str">
        <x:v>Name and coordinates agree.</x:v>
      </x:c>
      <x:c r="L163" s="30" t="str">
        <x:v>Lambert Pond</x:v>
      </x:c>
    </x:row>
    <x:row r="164" ht="40" customHeight="1">
      <x:c r="A164" s="30" t="str">
        <x:v>Lamont Pond</x:v>
      </x:c>
      <x:c r="B164" s="30" t="str">
        <x:v>6655</x:v>
      </x:c>
      <x:c r="C164" s="30" t="str">
        <x:v>Rainbow Trout</x:v>
      </x:c>
      <x:c r="D164" s="30" t="str">
        <x:v>Not assigned</x:v>
      </x:c>
      <x:c r="E164" s="30" t="str">
        <x:v>Not assigned</x:v>
      </x:c>
      <x:c r="F164" s="30" t="str">
        <x:v>No verified match found</x:v>
      </x:c>
      <x:c r="G164" s="30" t="str"/>
      <x:c r="H164" s="30" t="str"/>
      <x:c r="I164" s="31"/>
      <x:c r="J164" s="30" t="str"/>
      <x:c r="K164" s="30" t="str">
        <x:v>Exact-name and available broader-name searches did not establish a matching page.</x:v>
      </x:c>
      <x:c r="L164" s="30" t="str">
        <x:v>Lamont Pond; Lamont</x:v>
      </x:c>
    </x:row>
    <x:row r="165" ht="40" customHeight="1">
      <x:c r="A165" s="30" t="str">
        <x:v>Landslide Lake</x:v>
      </x:c>
      <x:c r="B165" s="30" t="str">
        <x:v>5029</x:v>
      </x:c>
      <x:c r="C165" s="30" t="str">
        <x:v>Cutthroat Trout</x:v>
      </x:c>
      <x:c r="D165" s="30" t="str">
        <x:v>Cutthroat Trout</x:v>
      </x:c>
      <x:c r="E165" s="30" t="str">
        <x:v>None listed</x:v>
      </x:c>
      <x:c r="F165" s="30" t="str">
        <x:v>Matched — species listed</x:v>
      </x:c>
      <x:c r="G165" s="30" t="str"/>
      <x:c r="H165" s="30" t="str">
        <x:v>Landslide Lake</x:v>
      </x:c>
      <x:c r="I165" s="31" t="n">
        <x:v>0.067</x:v>
      </x:c>
      <x:c r="J165" s="30" t="str">
        <x:v>https://www.anglersatlas.com/place/129606/landslide-lake</x:v>
      </x:c>
      <x:c r="K165" s="30" t="str">
        <x:v>Name and coordinates agree.</x:v>
      </x:c>
      <x:c r="L165" s="30" t="str">
        <x:v>Landslide Lake</x:v>
      </x:c>
    </x:row>
    <x:row r="166" ht="40" customHeight="1">
      <x:c r="A166" s="30" t="str">
        <x:v>Lara Fish Pond</x:v>
      </x:c>
      <x:c r="B166" s="30" t="str">
        <x:v>24053</x:v>
      </x:c>
      <x:c r="C166" s="30" t="str">
        <x:v>Rainbow Trout</x:v>
      </x:c>
      <x:c r="D166" s="30" t="str">
        <x:v>Not assigned</x:v>
      </x:c>
      <x:c r="E166" s="30" t="str">
        <x:v>Not assigned</x:v>
      </x:c>
      <x:c r="F166" s="30" t="str">
        <x:v>No verified match found</x:v>
      </x:c>
      <x:c r="G166" s="30" t="str"/>
      <x:c r="H166" s="30" t="str"/>
      <x:c r="I166" s="31"/>
      <x:c r="J166" s="30" t="str"/>
      <x:c r="K166" s="30" t="str">
        <x:v>Exact-name and available broader-name searches did not establish a matching page.</x:v>
      </x:c>
      <x:c r="L166" s="30" t="str">
        <x:v>Lara Fish Pond; Lara</x:v>
      </x:c>
    </x:row>
    <x:row r="167" ht="40" customHeight="1">
      <x:c r="A167" s="30" t="str">
        <x:v>Leduc Reservoir</x:v>
      </x:c>
      <x:c r="B167" s="30" t="str">
        <x:v>6764</x:v>
      </x:c>
      <x:c r="C167" s="30" t="str">
        <x:v>Rainbow Trout</x:v>
      </x:c>
      <x:c r="D167" s="30" t="str">
        <x:v>Rainbow Trout</x:v>
      </x:c>
      <x:c r="E167" s="30" t="str">
        <x:v>None listed</x:v>
      </x:c>
      <x:c r="F167" s="30" t="str">
        <x:v>Matched — species listed</x:v>
      </x:c>
      <x:c r="G167" s="30" t="str"/>
      <x:c r="H167" s="30" t="str">
        <x:v>Leduc Reservoir</x:v>
      </x:c>
      <x:c r="I167" s="31" t="n">
        <x:v>0.068</x:v>
      </x:c>
      <x:c r="J167" s="30" t="str">
        <x:v>https://www.anglersatlas.com/place/965722/leduc-reservoir</x:v>
      </x:c>
      <x:c r="K167" s="30" t="str">
        <x:v>Name and coordinates agree.</x:v>
      </x:c>
      <x:c r="L167" s="30" t="str">
        <x:v>Leduc Reservoir</x:v>
      </x:c>
    </x:row>
    <x:row r="168" ht="40" customHeight="1">
      <x:c r="A168" s="30" t="str">
        <x:v>Lees Lake</x:v>
      </x:c>
      <x:c r="B168" s="30" t="str">
        <x:v>5050</x:v>
      </x:c>
      <x:c r="C168" s="30" t="str">
        <x:v>Brown Trout; Rainbow Trout</x:v>
      </x:c>
      <x:c r="D168" s="30" t="str">
        <x:v>Not assigned</x:v>
      </x:c>
      <x:c r="E168" s="30" t="str">
        <x:v>Not assigned</x:v>
      </x:c>
      <x:c r="F168" s="30" t="str">
        <x:v>No verified match found</x:v>
      </x:c>
      <x:c r="G168" s="30" t="str"/>
      <x:c r="H168" s="30" t="str"/>
      <x:c r="I168" s="31"/>
      <x:c r="J168" s="30" t="str"/>
      <x:c r="K168" s="30" t="str">
        <x:v>Exact-name and available broader-name searches did not establish a matching page.</x:v>
      </x:c>
      <x:c r="L168" s="30" t="str">
        <x:v>Lees Lake; Lees</x:v>
      </x:c>
    </x:row>
    <x:row r="169" ht="40" customHeight="1">
      <x:c r="A169" s="30" t="str">
        <x:v>Legal Reservoir</x:v>
      </x:c>
      <x:c r="B169" s="30" t="str">
        <x:v>6765</x:v>
      </x:c>
      <x:c r="C169" s="30" t="str">
        <x:v>Rainbow Trout</x:v>
      </x:c>
      <x:c r="D169" s="30" t="str">
        <x:v>Not assigned</x:v>
      </x:c>
      <x:c r="E169" s="30" t="str">
        <x:v>Not assigned</x:v>
      </x:c>
      <x:c r="F169" s="30" t="str">
        <x:v>No verified match found</x:v>
      </x:c>
      <x:c r="G169" s="30" t="str"/>
      <x:c r="H169" s="30" t="str"/>
      <x:c r="I169" s="31"/>
      <x:c r="J169" s="30" t="str"/>
      <x:c r="K169" s="30" t="str">
        <x:v>Exact-name and available broader-name searches did not establish a matching page.</x:v>
      </x:c>
      <x:c r="L169" s="30" t="str">
        <x:v>Legal Reservoir; Legal</x:v>
      </x:c>
    </x:row>
    <x:row r="170" ht="40" customHeight="1">
      <x:c r="A170" s="30" t="str">
        <x:v>Len Thompson Pond</x:v>
      </x:c>
      <x:c r="B170" s="30" t="str">
        <x:v>26322</x:v>
      </x:c>
      <x:c r="C170" s="30" t="str">
        <x:v>Brown Trout; Rainbow Trout; Tiger Trout</x:v>
      </x:c>
      <x:c r="D170" s="30" t="str">
        <x:v>Not assigned</x:v>
      </x:c>
      <x:c r="E170" s="30" t="str">
        <x:v>Not assigned</x:v>
      </x:c>
      <x:c r="F170" s="30" t="str">
        <x:v>Uncertain lake match</x:v>
      </x:c>
      <x:c r="G170" s="30" t="str"/>
      <x:c r="H170" s="30" t="str">
        <x:v>Len Thompson Trout Ponds</x:v>
      </x:c>
      <x:c r="I170" s="31" t="n">
        <x:v>0.573</x:v>
      </x:c>
      <x:c r="J170" s="30" t="str">
        <x:v>https://www.anglersatlas.com/place/975799/len-thompson-trout-ponds</x:v>
      </x:c>
      <x:c r="K170" s="30" t="str">
        <x:v>Candidate is nearby, but the individual lake or pond is not established. Species not assigned.</x:v>
      </x:c>
      <x:c r="L170" s="30" t="str">
        <x:v>Len Thompson Pond; Len Thompson</x:v>
      </x:c>
    </x:row>
    <x:row r="171" ht="40" customHeight="1">
      <x:c r="A171" s="30" t="str">
        <x:v>Lillian Lake</x:v>
      </x:c>
      <x:c r="B171" s="30" t="str">
        <x:v>5074</x:v>
      </x:c>
      <x:c r="C171" s="30" t="str">
        <x:v>Cutthroat Trout</x:v>
      </x:c>
      <x:c r="D171" s="30" t="str">
        <x:v>Not listed</x:v>
      </x:c>
      <x:c r="E171" s="30" t="str">
        <x:v>None listed</x:v>
      </x:c>
      <x:c r="F171" s="30" t="str">
        <x:v>Matched — no species listed</x:v>
      </x:c>
      <x:c r="G171" s="30" t="str"/>
      <x:c r="H171" s="30" t="str">
        <x:v>Lillian Lake</x:v>
      </x:c>
      <x:c r="I171" s="31" t="n">
        <x:v>0.044</x:v>
      </x:c>
      <x:c r="J171" s="30" t="str">
        <x:v>https://www.anglersatlas.com/place/129567/lillian-lake</x:v>
      </x:c>
      <x:c r="K171" s="30" t="str">
        <x:v>Name and coordinates agree.</x:v>
      </x:c>
      <x:c r="L171" s="30" t="str">
        <x:v>Lillian Lake</x:v>
      </x:c>
    </x:row>
    <x:row r="172" ht="40" customHeight="1">
      <x:c r="A172" s="30" t="str">
        <x:v>Lily Lake</x:v>
      </x:c>
      <x:c r="B172" s="30" t="str">
        <x:v>5078</x:v>
      </x:c>
      <x:c r="C172" s="30" t="str">
        <x:v>Brook Trout; Tiger Trout</x:v>
      </x:c>
      <x:c r="D172" s="30" t="str">
        <x:v>Not listed</x:v>
      </x:c>
      <x:c r="E172" s="30" t="str">
        <x:v>None listed</x:v>
      </x:c>
      <x:c r="F172" s="30" t="str">
        <x:v>Matched — no species listed</x:v>
      </x:c>
      <x:c r="G172" s="30" t="str"/>
      <x:c r="H172" s="30" t="str">
        <x:v>Lily Lake</x:v>
      </x:c>
      <x:c r="I172" s="31" t="n">
        <x:v>0.107</x:v>
      </x:c>
      <x:c r="J172" s="30" t="str">
        <x:v>https://www.anglersatlas.com/place/129570/lily-lake</x:v>
      </x:c>
      <x:c r="K172" s="30" t="str">
        <x:v>Name and coordinates agree.</x:v>
      </x:c>
      <x:c r="L172" s="30" t="str">
        <x:v>Lily Lake</x:v>
      </x:c>
    </x:row>
    <x:row r="173" ht="40" customHeight="1">
      <x:c r="A173" s="30" t="str">
        <x:v>Little Bear Lake</x:v>
      </x:c>
      <x:c r="B173" s="30" t="str">
        <x:v>5093</x:v>
      </x:c>
      <x:c r="C173" s="30" t="str">
        <x:v>Brook Trout; Brown Trout; Rainbow Trout; Tiger Trout</x:v>
      </x:c>
      <x:c r="D173" s="30" t="str">
        <x:v>Brook Trout; Burbot; Rainbow Trout; Tiger Trout</x:v>
      </x:c>
      <x:c r="E173" s="30" t="str">
        <x:v>Burbot</x:v>
      </x:c>
      <x:c r="F173" s="30" t="str">
        <x:v>Matched — species listed</x:v>
      </x:c>
      <x:c r="G173" s="30" t="str"/>
      <x:c r="H173" s="30" t="str">
        <x:v>Little Bear Lake</x:v>
      </x:c>
      <x:c r="I173" s="31" t="n">
        <x:v>0.093</x:v>
      </x:c>
      <x:c r="J173" s="30" t="str">
        <x:v>https://www.anglersatlas.com/place/136994/little-bear-lake</x:v>
      </x:c>
      <x:c r="K173" s="30" t="str">
        <x:v>Name and coordinates agree.</x:v>
      </x:c>
      <x:c r="L173" s="30" t="str">
        <x:v>Little Bear Lake</x:v>
      </x:c>
    </x:row>
    <x:row r="174" ht="40" customHeight="1">
      <x:c r="A174" s="30" t="str">
        <x:v>Little Beaverdam Lake</x:v>
      </x:c>
      <x:c r="B174" s="30" t="str">
        <x:v>6767</x:v>
      </x:c>
      <x:c r="C174" s="30" t="str">
        <x:v>Tiger Trout</x:v>
      </x:c>
      <x:c r="D174" s="30" t="str">
        <x:v>Tiger Trout</x:v>
      </x:c>
      <x:c r="E174" s="30" t="str">
        <x:v>None listed</x:v>
      </x:c>
      <x:c r="F174" s="30" t="str">
        <x:v>Matched — species listed</x:v>
      </x:c>
      <x:c r="G174" s="30" t="str"/>
      <x:c r="H174" s="30" t="str">
        <x:v>LITTLE BEAVERDAM LAKE</x:v>
      </x:c>
      <x:c r="I174" s="31" t="n">
        <x:v>0.013</x:v>
      </x:c>
      <x:c r="J174" s="30" t="str">
        <x:v>https://www.anglersatlas.com/place/102591/little-beaverdam-lake</x:v>
      </x:c>
      <x:c r="K174" s="30" t="str">
        <x:v>Name and coordinates agree.</x:v>
      </x:c>
      <x:c r="L174" s="30" t="str">
        <x:v>Little Beaverdam Lake</x:v>
      </x:c>
    </x:row>
    <x:row r="175" ht="40" customHeight="1">
      <x:c r="A175" s="30" t="str">
        <x:v>Little Bow Lake Reservoir</x:v>
      </x:c>
      <x:c r="B175" s="30" t="str">
        <x:v>3515</x:v>
      </x:c>
      <x:c r="C175" s="30" t="str">
        <x:v>Walleye</x:v>
      </x:c>
      <x:c r="D175" s="30" t="str">
        <x:v>Burbot; Lake Whitefish; Northern Pike; Walleye; Yellow Perch</x:v>
      </x:c>
      <x:c r="E175" s="30" t="str">
        <x:v>Burbot; Lake Whitefish; Northern Pike; Yellow Perch</x:v>
      </x:c>
      <x:c r="F175" s="30" t="str">
        <x:v>Matched — species listed</x:v>
      </x:c>
      <x:c r="G175" s="30" t="str"/>
      <x:c r="H175" s="30" t="str">
        <x:v>Little Bow Reservoir</x:v>
      </x:c>
      <x:c r="I175" s="31" t="n">
        <x:v>0.14</x:v>
      </x:c>
      <x:c r="J175" s="30" t="str">
        <x:v>https://www.anglersatlas.com/place/101963/little-bow-reservoir</x:v>
      </x:c>
      <x:c r="K175" s="30" t="str">
        <x:v>Name variant and coordinates agree.</x:v>
      </x:c>
      <x:c r="L175" s="30" t="str">
        <x:v>Little Bow Lake Reservoir; Little Bow</x:v>
      </x:c>
    </x:row>
    <x:row r="176" ht="40" customHeight="1">
      <x:c r="A176" s="30" t="str">
        <x:v>Little Fish Lake</x:v>
      </x:c>
      <x:c r="B176" s="30" t="str">
        <x:v>5099</x:v>
      </x:c>
      <x:c r="C176" s="30" t="str">
        <x:v>Northern Pike</x:v>
      </x:c>
      <x:c r="D176" s="30" t="str">
        <x:v>Not listed</x:v>
      </x:c>
      <x:c r="E176" s="30" t="str">
        <x:v>None listed</x:v>
      </x:c>
      <x:c r="F176" s="30" t="str">
        <x:v>Matched — no species listed</x:v>
      </x:c>
      <x:c r="G176" s="30" t="str"/>
      <x:c r="H176" s="30" t="str">
        <x:v>Little Fish Lake</x:v>
      </x:c>
      <x:c r="I176" s="31" t="n">
        <x:v>2.147</x:v>
      </x:c>
      <x:c r="J176" s="30" t="str">
        <x:v>https://www.anglersatlas.com/place/129577/little-fish-lake</x:v>
      </x:c>
      <x:c r="K176" s="30" t="str">
        <x:v>Same named large lake. Map points differ within the lake vicinity.</x:v>
      </x:c>
      <x:c r="L176" s="30" t="str">
        <x:v>Little Fish Lake</x:v>
      </x:c>
    </x:row>
    <x:row r="177" ht="40" customHeight="1">
      <x:c r="A177" s="30" t="str">
        <x:v>Lloydminster Pond</x:v>
      </x:c>
      <x:c r="B177" s="30" t="str">
        <x:v>6760</x:v>
      </x:c>
      <x:c r="C177" s="30" t="str">
        <x:v>Rainbow Trout</x:v>
      </x:c>
      <x:c r="D177" s="30" t="str">
        <x:v>Not assigned</x:v>
      </x:c>
      <x:c r="E177" s="30" t="str">
        <x:v>Not assigned</x:v>
      </x:c>
      <x:c r="F177" s="30" t="str">
        <x:v>No verified match found</x:v>
      </x:c>
      <x:c r="G177" s="30" t="str"/>
      <x:c r="H177" s="30" t="str"/>
      <x:c r="I177" s="31"/>
      <x:c r="J177" s="30" t="str"/>
      <x:c r="K177" s="30" t="str">
        <x:v>Exact-name and available broader-name searches did not establish a matching page.</x:v>
      </x:c>
      <x:c r="L177" s="30" t="str">
        <x:v>Lloydminster Pond; Lloydminster</x:v>
      </x:c>
    </x:row>
    <x:row r="178" ht="40" customHeight="1">
      <x:c r="A178" s="30" t="str">
        <x:v>Lodgepole Pond</x:v>
      </x:c>
      <x:c r="B178" s="30" t="str">
        <x:v>395186</x:v>
      </x:c>
      <x:c r="C178" s="30" t="str">
        <x:v>Rainbow Trout</x:v>
      </x:c>
      <x:c r="D178" s="30" t="str">
        <x:v>Not listed</x:v>
      </x:c>
      <x:c r="E178" s="30" t="str">
        <x:v>None listed</x:v>
      </x:c>
      <x:c r="F178" s="30" t="str">
        <x:v>Matched — no species listed</x:v>
      </x:c>
      <x:c r="G178" s="30" t="str"/>
      <x:c r="H178" s="30" t="str">
        <x:v>LODGEPOLE POND</x:v>
      </x:c>
      <x:c r="I178" s="31" t="n">
        <x:v>0.013</x:v>
      </x:c>
      <x:c r="J178" s="30" t="str">
        <x:v>https://www.anglersatlas.com/place/1110230/lodgepole-pond</x:v>
      </x:c>
      <x:c r="K178" s="30" t="str">
        <x:v>Name and coordinates agree.</x:v>
      </x:c>
      <x:c r="L178" s="30" t="str">
        <x:v>Lodgepole Pond</x:v>
      </x:c>
    </x:row>
    <x:row r="179" ht="40" customHeight="1">
      <x:c r="A179" s="30" t="str">
        <x:v>Loomis Lake</x:v>
      </x:c>
      <x:c r="B179" s="30" t="str">
        <x:v>5149</x:v>
      </x:c>
      <x:c r="C179" s="30" t="str">
        <x:v>Cutthroat Trout</x:v>
      </x:c>
      <x:c r="D179" s="30" t="str">
        <x:v>Not listed</x:v>
      </x:c>
      <x:c r="E179" s="30" t="str">
        <x:v>None listed</x:v>
      </x:c>
      <x:c r="F179" s="30" t="str">
        <x:v>Matched — no species listed</x:v>
      </x:c>
      <x:c r="G179" s="30" t="str"/>
      <x:c r="H179" s="30" t="str">
        <x:v>Loomis Lake</x:v>
      </x:c>
      <x:c r="I179" s="31" t="n">
        <x:v>0.024</x:v>
      </x:c>
      <x:c r="J179" s="30" t="str">
        <x:v>https://www.anglersatlas.com/place/130669/loomis-lake</x:v>
      </x:c>
      <x:c r="K179" s="30" t="str">
        <x:v>Name and coordinates agree.</x:v>
      </x:c>
      <x:c r="L179" s="30" t="str">
        <x:v>Loomis Lake</x:v>
      </x:c>
    </x:row>
    <x:row r="180" ht="40" customHeight="1">
      <x:c r="A180" s="30" t="str">
        <x:v>Lost Guide Lake</x:v>
      </x:c>
      <x:c r="B180" s="30" t="str">
        <x:v>5158</x:v>
      </x:c>
      <x:c r="C180" s="30" t="str">
        <x:v>Cutthroat Trout</x:v>
      </x:c>
      <x:c r="D180" s="30" t="str">
        <x:v>Not listed</x:v>
      </x:c>
      <x:c r="E180" s="30" t="str">
        <x:v>None listed</x:v>
      </x:c>
      <x:c r="F180" s="30" t="str">
        <x:v>Matched — no species listed</x:v>
      </x:c>
      <x:c r="G180" s="30" t="str"/>
      <x:c r="H180" s="30" t="str">
        <x:v>Lost Guide Lake</x:v>
      </x:c>
      <x:c r="I180" s="31" t="n">
        <x:v>0.018</x:v>
      </x:c>
      <x:c r="J180" s="30" t="str">
        <x:v>https://www.anglersatlas.com/place/129706/lost-guide-lake</x:v>
      </x:c>
      <x:c r="K180" s="30" t="str">
        <x:v>Name and coordinates agree.</x:v>
      </x:c>
      <x:c r="L180" s="30" t="str">
        <x:v>Lost Guide Lake</x:v>
      </x:c>
    </x:row>
    <x:row r="181" ht="40" customHeight="1">
      <x:c r="A181" s="30" t="str">
        <x:v>Lougheed Trout Pond</x:v>
      </x:c>
      <x:c r="B181" s="30" t="str">
        <x:v>6761</x:v>
      </x:c>
      <x:c r="C181" s="30" t="str">
        <x:v>Rainbow Trout</x:v>
      </x:c>
      <x:c r="D181" s="30" t="str">
        <x:v>Not assigned</x:v>
      </x:c>
      <x:c r="E181" s="30" t="str">
        <x:v>Not assigned</x:v>
      </x:c>
      <x:c r="F181" s="30" t="str">
        <x:v>No verified match found</x:v>
      </x:c>
      <x:c r="G181" s="30" t="str"/>
      <x:c r="H181" s="30" t="str"/>
      <x:c r="I181" s="31"/>
      <x:c r="J181" s="30" t="str"/>
      <x:c r="K181" s="30" t="str">
        <x:v>Exact-name and available broader-name searches did not establish a matching page.</x:v>
      </x:c>
      <x:c r="L181" s="30" t="str">
        <x:v>Lougheed Trout Pond; Lougheed</x:v>
      </x:c>
    </x:row>
    <x:row r="182" ht="40" customHeight="1">
      <x:c r="A182" s="30" t="str">
        <x:v>Lovett Lake</x:v>
      </x:c>
      <x:c r="B182" s="30" t="str">
        <x:v>6658</x:v>
      </x:c>
      <x:c r="C182" s="30" t="str">
        <x:v>Rainbow Trout</x:v>
      </x:c>
      <x:c r="D182" s="30" t="str">
        <x:v>Not listed</x:v>
      </x:c>
      <x:c r="E182" s="30" t="str">
        <x:v>None listed</x:v>
      </x:c>
      <x:c r="F182" s="30" t="str">
        <x:v>Matched — no species listed</x:v>
      </x:c>
      <x:c r="G182" s="30" t="str"/>
      <x:c r="H182" s="30" t="str">
        <x:v>Lovett Lake</x:v>
      </x:c>
      <x:c r="I182" s="31" t="n">
        <x:v>0.029</x:v>
      </x:c>
      <x:c r="J182" s="30" t="str">
        <x:v>https://www.anglersatlas.com/place/1108007/lovett-lake</x:v>
      </x:c>
      <x:c r="K182" s="30" t="str">
        <x:v>Name and coordinates agree.</x:v>
      </x:c>
      <x:c r="L182" s="30" t="str">
        <x:v>Lovett Lake</x:v>
      </x:c>
    </x:row>
    <x:row r="183" ht="40" customHeight="1">
      <x:c r="A183" s="30" t="str">
        <x:v>Lower Burstall Lake</x:v>
      </x:c>
      <x:c r="B183" s="30" t="str">
        <x:v>6525</x:v>
      </x:c>
      <x:c r="C183" s="30" t="str">
        <x:v>Cutthroat Trout</x:v>
      </x:c>
      <x:c r="D183" s="30" t="str">
        <x:v>Not assigned</x:v>
      </x:c>
      <x:c r="E183" s="30" t="str">
        <x:v>Not assigned</x:v>
      </x:c>
      <x:c r="F183" s="30" t="str">
        <x:v>Uncertain lake match</x:v>
      </x:c>
      <x:c r="G183" s="30" t="str"/>
      <x:c r="H183" s="30" t="str">
        <x:v>BURSTALL LAKES [UPPER]</x:v>
      </x:c>
      <x:c r="I183" s="31" t="n">
        <x:v>0.798</x:v>
      </x:c>
      <x:c r="J183" s="30" t="str">
        <x:v>https://www.anglersatlas.com/place/1107816/burstall-lakes-upper</x:v>
      </x:c>
      <x:c r="K183" s="30" t="str">
        <x:v>Atlas page covers another or a group of lakes. Individual lake match is uncertain. Species not assigned.</x:v>
      </x:c>
      <x:c r="L183" s="30" t="str">
        <x:v>Lower Burstall Lake; Burstall</x:v>
      </x:c>
    </x:row>
    <x:row r="184" ht="40" customHeight="1">
      <x:c r="A184" s="30" t="str">
        <x:v>Lower Chain Lake</x:v>
      </x:c>
      <x:c r="B184" s="30" t="str">
        <x:v>6528</x:v>
      </x:c>
      <x:c r="C184" s="30" t="str">
        <x:v>Brown Trout; Rainbow Trout; Tiger Trout</x:v>
      </x:c>
      <x:c r="D184" s="30" t="str">
        <x:v>Brown Trout; Rainbow Trout; Tiger Trout</x:v>
      </x:c>
      <x:c r="E184" s="30" t="str">
        <x:v>None listed</x:v>
      </x:c>
      <x:c r="F184" s="30" t="str">
        <x:v>Matched — species listed</x:v>
      </x:c>
      <x:c r="G184" s="30" t="str"/>
      <x:c r="H184" s="30" t="str">
        <x:v>Lower Chain Lake</x:v>
      </x:c>
      <x:c r="I184" s="31" t="n">
        <x:v>0.116</x:v>
      </x:c>
      <x:c r="J184" s="30" t="str">
        <x:v>https://www.anglersatlas.com/place/893399/lower-chain-lake</x:v>
      </x:c>
      <x:c r="K184" s="30" t="str">
        <x:v>Name and coordinates agree.</x:v>
      </x:c>
      <x:c r="L184" s="30" t="str">
        <x:v>Lower Chain Lake</x:v>
      </x:c>
    </x:row>
    <x:row r="185" ht="40" customHeight="1">
      <x:c r="A185" s="30" t="str">
        <x:v>Lower Champion Lake</x:v>
      </x:c>
      <x:c r="B185" s="30" t="str">
        <x:v>6608</x:v>
      </x:c>
      <x:c r="C185" s="30" t="str">
        <x:v>Cutthroat Trout; Rainbow Trout; Westslope Cutthroat Trout</x:v>
      </x:c>
      <x:c r="D185" s="30" t="str">
        <x:v>Not assigned</x:v>
      </x:c>
      <x:c r="E185" s="30" t="str">
        <x:v>Not assigned</x:v>
      </x:c>
      <x:c r="F185" s="30" t="str">
        <x:v>Uncertain lake match</x:v>
      </x:c>
      <x:c r="G185" s="30" t="str"/>
      <x:c r="H185" s="30" t="str">
        <x:v>Champion Lakes</x:v>
      </x:c>
      <x:c r="I185" s="31" t="n">
        <x:v>0.022</x:v>
      </x:c>
      <x:c r="J185" s="30" t="str">
        <x:v>https://www.anglersatlas.com/place/965739/champion-lakes</x:v>
      </x:c>
      <x:c r="K185" s="30" t="str">
        <x:v>Atlas page covers another or a group of lakes. Individual lake match is uncertain. Species not assigned.</x:v>
      </x:c>
      <x:c r="L185" s="30" t="str">
        <x:v>Lower Champion Lake; Champion</x:v>
      </x:c>
    </x:row>
    <x:row r="186" ht="40" customHeight="1">
      <x:c r="A186" s="30" t="str">
        <x:v>Lower Galatea Lake</x:v>
      </x:c>
      <x:c r="B186" s="30" t="str">
        <x:v>4642</x:v>
      </x:c>
      <x:c r="C186" s="30" t="str">
        <x:v>Cutthroat Trout</x:v>
      </x:c>
      <x:c r="D186" s="30" t="str">
        <x:v>Not listed</x:v>
      </x:c>
      <x:c r="E186" s="30" t="str">
        <x:v>None listed</x:v>
      </x:c>
      <x:c r="F186" s="30" t="str">
        <x:v>Matched — no species listed</x:v>
      </x:c>
      <x:c r="G186" s="30" t="str"/>
      <x:c r="H186" s="30" t="str">
        <x:v>Lower Galatea Lake</x:v>
      </x:c>
      <x:c r="I186" s="31" t="n">
        <x:v>0.044</x:v>
      </x:c>
      <x:c r="J186" s="30" t="str">
        <x:v>https://www.anglersatlas.com/place/726205/lower-galatea-lake</x:v>
      </x:c>
      <x:c r="K186" s="30" t="str">
        <x:v>Name and coordinates agree.</x:v>
      </x:c>
      <x:c r="L186" s="30" t="str">
        <x:v>Lower Galatea Lake</x:v>
      </x:c>
    </x:row>
    <x:row r="187" ht="40" customHeight="1">
      <x:c r="A187" s="30" t="str">
        <x:v>Lower Headwall Lake</x:v>
      </x:c>
      <x:c r="B187" s="30" t="str">
        <x:v>6530</x:v>
      </x:c>
      <x:c r="C187" s="30" t="str">
        <x:v>Cutthroat Trout</x:v>
      </x:c>
      <x:c r="D187" s="30" t="str">
        <x:v>Not assigned</x:v>
      </x:c>
      <x:c r="E187" s="30" t="str">
        <x:v>Not assigned</x:v>
      </x:c>
      <x:c r="F187" s="30" t="str">
        <x:v>Uncertain lake match</x:v>
      </x:c>
      <x:c r="G187" s="30" t="str"/>
      <x:c r="H187" s="30" t="str">
        <x:v>Headwall Lakes</x:v>
      </x:c>
      <x:c r="I187" s="31" t="n">
        <x:v>0.538</x:v>
      </x:c>
      <x:c r="J187" s="30" t="str">
        <x:v>https://www.anglersatlas.com/place/1107849/headwall-lakes</x:v>
      </x:c>
      <x:c r="K187" s="30" t="str">
        <x:v>Atlas page covers another or a group of lakes. Individual lake match is uncertain. Species not assigned.</x:v>
      </x:c>
      <x:c r="L187" s="30" t="str">
        <x:v>Lower Headwall Lake; Headwall</x:v>
      </x:c>
    </x:row>
    <x:row r="188" ht="40" customHeight="1">
      <x:c r="A188" s="30" t="str">
        <x:v>Lower Hogarth Lake</x:v>
      </x:c>
      <x:c r="B188" s="30" t="str">
        <x:v>6541</x:v>
      </x:c>
      <x:c r="C188" s="30" t="str">
        <x:v>Cutthroat Trout</x:v>
      </x:c>
      <x:c r="D188" s="30" t="str">
        <x:v>Not assigned</x:v>
      </x:c>
      <x:c r="E188" s="30" t="str">
        <x:v>Not assigned</x:v>
      </x:c>
      <x:c r="F188" s="30" t="str">
        <x:v>Uncertain lake match</x:v>
      </x:c>
      <x:c r="G188" s="30" t="str"/>
      <x:c r="H188" s="30" t="str">
        <x:v>Hogarth Lakes</x:v>
      </x:c>
      <x:c r="I188" s="31" t="n">
        <x:v>0.532</x:v>
      </x:c>
      <x:c r="J188" s="30" t="str">
        <x:v>https://www.anglersatlas.com/place/1107850/hogarth-lakes</x:v>
      </x:c>
      <x:c r="K188" s="30" t="str">
        <x:v>Atlas page covers another or a group of lakes. Individual lake match is uncertain. Species not assigned.</x:v>
      </x:c>
      <x:c r="L188" s="30" t="str">
        <x:v>Lower Hogarth Lake; Hogarth</x:v>
      </x:c>
    </x:row>
    <x:row r="189" ht="40" customHeight="1">
      <x:c r="A189" s="30" t="str">
        <x:v>Lower Kananaskis Lake</x:v>
      </x:c>
      <x:c r="B189" s="30" t="str">
        <x:v>5179</x:v>
      </x:c>
      <x:c r="C189" s="30" t="str">
        <x:v>Cutthroat Trout; Westslope Cutthroat Trout</x:v>
      </x:c>
      <x:c r="D189" s="30" t="str">
        <x:v>Bull Trout; Cutthroat Trout; Rainbow Trout</x:v>
      </x:c>
      <x:c r="E189" s="30" t="str">
        <x:v>Bull Trout; Rainbow Trout</x:v>
      </x:c>
      <x:c r="F189" s="30" t="str">
        <x:v>Matched — species listed</x:v>
      </x:c>
      <x:c r="G189" s="30" t="str"/>
      <x:c r="H189" s="30" t="str">
        <x:v>Lower Kananaskis Lake</x:v>
      </x:c>
      <x:c r="I189" s="31" t="n">
        <x:v>2.08</x:v>
      </x:c>
      <x:c r="J189" s="30" t="str">
        <x:v>https://www.anglersatlas.com/place/129746/lower-kananaskis-lake</x:v>
      </x:c>
      <x:c r="K189" s="30" t="str">
        <x:v>Same named large lake. Map points differ within the lake vicinity.</x:v>
      </x:c>
      <x:c r="L189" s="30" t="str">
        <x:v>Lower Kananaskis Lake</x:v>
      </x:c>
    </x:row>
    <x:row r="190" ht="40" customHeight="1">
      <x:c r="A190" s="30" t="str">
        <x:v>Lower Pierre Greys Lake</x:v>
      </x:c>
      <x:c r="B190" s="30" t="str">
        <x:v>6534</x:v>
      </x:c>
      <x:c r="C190" s="30" t="str">
        <x:v>Rainbow Trout</x:v>
      </x:c>
      <x:c r="D190" s="30" t="str">
        <x:v>Not assigned</x:v>
      </x:c>
      <x:c r="E190" s="30" t="str">
        <x:v>Not assigned</x:v>
      </x:c>
      <x:c r="F190" s="30" t="str">
        <x:v>Uncertain lake match</x:v>
      </x:c>
      <x:c r="G190" s="30" t="str"/>
      <x:c r="H190" s="30" t="str">
        <x:v>Pierre Greys Lakes</x:v>
      </x:c>
      <x:c r="I190" s="31" t="n">
        <x:v>1.259</x:v>
      </x:c>
      <x:c r="J190" s="30" t="str">
        <x:v>https://www.anglersatlas.com/place/2050236/pierre-greys-lakes</x:v>
      </x:c>
      <x:c r="K190" s="30" t="str">
        <x:v>Atlas page covers another or a group of lakes. Individual lake match is uncertain. Species not assigned.</x:v>
      </x:c>
      <x:c r="L190" s="30" t="str">
        <x:v>Lower Pierre Greys Lake; Pierre Greys</x:v>
      </x:c>
    </x:row>
    <x:row r="191" ht="40" customHeight="1">
      <x:c r="A191" s="30" t="str">
        <x:v>Lower Smuts Lake</x:v>
      </x:c>
      <x:c r="B191" s="30" t="str">
        <x:v>6605</x:v>
      </x:c>
      <x:c r="C191" s="30" t="str">
        <x:v>Cutthroat Trout</x:v>
      </x:c>
      <x:c r="D191" s="30" t="str">
        <x:v>Not assigned</x:v>
      </x:c>
      <x:c r="E191" s="30" t="str">
        <x:v>Not assigned</x:v>
      </x:c>
      <x:c r="F191" s="30" t="str">
        <x:v>Uncertain lake match</x:v>
      </x:c>
      <x:c r="G191" s="30" t="str"/>
      <x:c r="H191" s="30" t="str">
        <x:v>Smuts Lakes</x:v>
      </x:c>
      <x:c r="I191" s="31" t="n">
        <x:v>0.165</x:v>
      </x:c>
      <x:c r="J191" s="30" t="str">
        <x:v>https://www.anglersatlas.com/place/1108080/smuts-lakes</x:v>
      </x:c>
      <x:c r="K191" s="30" t="str">
        <x:v>Atlas page covers another or a group of lakes. Individual lake match is uncertain. Species not assigned.</x:v>
      </x:c>
      <x:c r="L191" s="30" t="str">
        <x:v>Lower Smuts Lake; Smuts</x:v>
      </x:c>
    </x:row>
    <x:row r="192" ht="40" customHeight="1">
      <x:c r="A192" s="30" t="str">
        <x:v>Lower Wildhorse Lake</x:v>
      </x:c>
      <x:c r="B192" s="30" t="str">
        <x:v>6537</x:v>
      </x:c>
      <x:c r="C192" s="30" t="str">
        <x:v>Brook Trout; Rainbow Trout</x:v>
      </x:c>
      <x:c r="D192" s="30" t="str">
        <x:v>Not assigned</x:v>
      </x:c>
      <x:c r="E192" s="30" t="str">
        <x:v>Not assigned</x:v>
      </x:c>
      <x:c r="F192" s="30" t="str">
        <x:v>Uncertain lake match</x:v>
      </x:c>
      <x:c r="G192" s="30" t="str"/>
      <x:c r="H192" s="30" t="str">
        <x:v>WILDHORSE LAKES</x:v>
      </x:c>
      <x:c r="I192" s="31" t="n">
        <x:v>0.058</x:v>
      </x:c>
      <x:c r="J192" s="30" t="str">
        <x:v>https://www.anglersatlas.com/place/102581/wildhorse-lakes</x:v>
      </x:c>
      <x:c r="K192" s="30" t="str">
        <x:v>Atlas page covers another or a group of lakes. Individual lake match is uncertain. Species not assigned.</x:v>
      </x:c>
      <x:c r="L192" s="30" t="str">
        <x:v>Lower Wildhorse Lake; Wildhorse</x:v>
      </x:c>
    </x:row>
    <x:row r="193" ht="40" customHeight="1">
      <x:c r="A193" s="30" t="str">
        <x:v>Machesis Lake</x:v>
      </x:c>
      <x:c r="B193" s="30" t="str">
        <x:v>6750</x:v>
      </x:c>
      <x:c r="C193" s="30" t="str">
        <x:v>Rainbow Trout</x:v>
      </x:c>
      <x:c r="D193" s="30" t="str">
        <x:v>Not assigned</x:v>
      </x:c>
      <x:c r="E193" s="30" t="str">
        <x:v>Not assigned</x:v>
      </x:c>
      <x:c r="F193" s="30" t="str">
        <x:v>No verified match found</x:v>
      </x:c>
      <x:c r="G193" s="30" t="str"/>
      <x:c r="H193" s="30" t="str"/>
      <x:c r="I193" s="31"/>
      <x:c r="J193" s="30" t="str"/>
      <x:c r="K193" s="30" t="str">
        <x:v>Exact-name and available broader-name searches did not establish a matching page.</x:v>
      </x:c>
      <x:c r="L193" s="30" t="str">
        <x:v>Machesis Lake; Machesis</x:v>
      </x:c>
    </x:row>
    <x:row r="194" ht="40" customHeight="1">
      <x:c r="A194" s="30" t="str">
        <x:v>Magrath Childrens Pond</x:v>
      </x:c>
      <x:c r="B194" s="30" t="str">
        <x:v>317719</x:v>
      </x:c>
      <x:c r="C194" s="30" t="str">
        <x:v>Rainbow Trout</x:v>
      </x:c>
      <x:c r="D194" s="30" t="str">
        <x:v>Rainbow Trout</x:v>
      </x:c>
      <x:c r="E194" s="30" t="str">
        <x:v>None listed</x:v>
      </x:c>
      <x:c r="F194" s="30" t="str">
        <x:v>Matched — species listed</x:v>
      </x:c>
      <x:c r="G194" s="30" t="str"/>
      <x:c r="H194" s="30" t="str">
        <x:v>MAGRATH CHILDREN'S POND</x:v>
      </x:c>
      <x:c r="I194" s="31" t="n">
        <x:v>0.023</x:v>
      </x:c>
      <x:c r="J194" s="30" t="str">
        <x:v>https://www.anglersatlas.com/place/102589/magrath-childrens-pond</x:v>
      </x:c>
      <x:c r="K194" s="30" t="str">
        <x:v>Name and coordinates agree.</x:v>
      </x:c>
      <x:c r="L194" s="30" t="str">
        <x:v>Magrath Childrens Pond; Magrath</x:v>
      </x:c>
    </x:row>
    <x:row r="195" ht="40" customHeight="1">
      <x:c r="A195" s="30" t="str">
        <x:v>Mami Lake</x:v>
      </x:c>
      <x:c r="B195" s="30" t="str">
        <x:v>5513</x:v>
      </x:c>
      <x:c r="C195" s="30" t="str">
        <x:v>Rainbow Trout</x:v>
      </x:c>
      <x:c r="D195" s="30" t="str">
        <x:v>Not assigned</x:v>
      </x:c>
      <x:c r="E195" s="30" t="str">
        <x:v>Not assigned</x:v>
      </x:c>
      <x:c r="F195" s="30" t="str">
        <x:v>No verified match found</x:v>
      </x:c>
      <x:c r="G195" s="30" t="str"/>
      <x:c r="H195" s="30" t="str"/>
      <x:c r="I195" s="31"/>
      <x:c r="J195" s="30" t="str"/>
      <x:c r="K195" s="30" t="str">
        <x:v>Exact-name and available broader-name searches did not establish a matching page.</x:v>
      </x:c>
      <x:c r="L195" s="30" t="str">
        <x:v>Mami Lake; Mami</x:v>
      </x:c>
    </x:row>
    <x:row r="196" ht="40" customHeight="1">
      <x:c r="A196" s="30" t="str">
        <x:v>Margaret Lake</x:v>
      </x:c>
      <x:c r="B196" s="30" t="str">
        <x:v>5223</x:v>
      </x:c>
      <x:c r="C196" s="30" t="str">
        <x:v>Cutthroat Trout; Rainbow Trout</x:v>
      </x:c>
      <x:c r="D196" s="30" t="str">
        <x:v>Not assigned</x:v>
      </x:c>
      <x:c r="E196" s="30" t="str">
        <x:v>Not assigned</x:v>
      </x:c>
      <x:c r="F196" s="30" t="str">
        <x:v>No verified match found</x:v>
      </x:c>
      <x:c r="G196" s="30" t="str"/>
      <x:c r="H196" s="30" t="str">
        <x:v>Margaret Lake</x:v>
      </x:c>
      <x:c r="I196" s="31" t="n">
        <x:v>254.164</x:v>
      </x:c>
      <x:c r="J196" s="30" t="str">
        <x:v>https://www.anglersatlas.com/place/129876/margaret-lake</x:v>
      </x:c>
      <x:c r="K196" s="30" t="str">
        <x:v>Named candidate coordinates do not agree. Species not assigned.</x:v>
      </x:c>
      <x:c r="L196" s="30" t="str">
        <x:v>Margaret Lake</x:v>
      </x:c>
    </x:row>
    <x:row r="197" ht="40" customHeight="1">
      <x:c r="A197" s="30" t="str">
        <x:v>Marigold Lake</x:v>
      </x:c>
      <x:c r="B197" s="30" t="str">
        <x:v>5232</x:v>
      </x:c>
      <x:c r="C197" s="30" t="str">
        <x:v>Brook Trout</x:v>
      </x:c>
      <x:c r="D197" s="30" t="str">
        <x:v>Brook Trout</x:v>
      </x:c>
      <x:c r="E197" s="30" t="str">
        <x:v>None listed</x:v>
      </x:c>
      <x:c r="F197" s="30" t="str">
        <x:v>Matched — species listed</x:v>
      </x:c>
      <x:c r="G197" s="30" t="str"/>
      <x:c r="H197" s="30" t="str">
        <x:v>Marigold Lake</x:v>
      </x:c>
      <x:c r="I197" s="31" t="n">
        <x:v>0.059</x:v>
      </x:c>
      <x:c r="J197" s="30" t="str">
        <x:v>https://www.anglersatlas.com/place/129878/marigold-lake</x:v>
      </x:c>
      <x:c r="K197" s="30" t="str">
        <x:v>Name and coordinates agree.</x:v>
      </x:c>
      <x:c r="L197" s="30" t="str">
        <x:v>Marigold Lake</x:v>
      </x:c>
    </x:row>
    <x:row r="198" ht="40" customHeight="1">
      <x:c r="A198" s="30" t="str">
        <x:v>Mary Gregg Lake</x:v>
      </x:c>
      <x:c r="B198" s="30" t="str">
        <x:v>5245</x:v>
      </x:c>
      <x:c r="C198" s="30" t="str">
        <x:v>Rainbow Trout</x:v>
      </x:c>
      <x:c r="D198" s="30" t="str">
        <x:v>Not listed</x:v>
      </x:c>
      <x:c r="E198" s="30" t="str">
        <x:v>None listed</x:v>
      </x:c>
      <x:c r="F198" s="30" t="str">
        <x:v>Matched — no species listed</x:v>
      </x:c>
      <x:c r="G198" s="30" t="str"/>
      <x:c r="H198" s="30" t="str">
        <x:v>MARY GREGG LAKE</x:v>
      </x:c>
      <x:c r="I198" s="31" t="n">
        <x:v>0.093</x:v>
      </x:c>
      <x:c r="J198" s="30" t="str">
        <x:v>https://www.anglersatlas.com/place/101977/mary-gregg-lake</x:v>
      </x:c>
      <x:c r="K198" s="30" t="str">
        <x:v>Name and coordinates agree.</x:v>
      </x:c>
      <x:c r="L198" s="30" t="str">
        <x:v>Mary Gregg Lake</x:v>
      </x:c>
    </x:row>
    <x:row r="199" ht="40" customHeight="1">
      <x:c r="A199" s="30" t="str">
        <x:v>Maude Lake</x:v>
      </x:c>
      <x:c r="B199" s="30" t="str">
        <x:v>5253</x:v>
      </x:c>
      <x:c r="C199" s="30" t="str">
        <x:v>Cutthroat Trout</x:v>
      </x:c>
      <x:c r="D199" s="30" t="str">
        <x:v>Not listed</x:v>
      </x:c>
      <x:c r="E199" s="30" t="str">
        <x:v>None listed</x:v>
      </x:c>
      <x:c r="F199" s="30" t="str">
        <x:v>Matched — no species listed</x:v>
      </x:c>
      <x:c r="G199" s="30" t="str"/>
      <x:c r="H199" s="30" t="str">
        <x:v>Maude Lake</x:v>
      </x:c>
      <x:c r="I199" s="31" t="n">
        <x:v>0.036</x:v>
      </x:c>
      <x:c r="J199" s="30" t="str">
        <x:v>https://www.anglersatlas.com/place/726203/maude-lake</x:v>
      </x:c>
      <x:c r="K199" s="30" t="str">
        <x:v>Name and coordinates agree.</x:v>
      </x:c>
      <x:c r="L199" s="30" t="str">
        <x:v>Maude Lake</x:v>
      </x:c>
    </x:row>
    <x:row r="200" ht="40" customHeight="1">
      <x:c r="A200" s="30" t="str">
        <x:v>Mayan Lake</x:v>
      </x:c>
      <x:c r="B200" s="30" t="str">
        <x:v>19525</x:v>
      </x:c>
      <x:c r="C200" s="30" t="str">
        <x:v>Rainbow Trout</x:v>
      </x:c>
      <x:c r="D200" s="30" t="str">
        <x:v>Not assigned</x:v>
      </x:c>
      <x:c r="E200" s="30" t="str">
        <x:v>Not assigned</x:v>
      </x:c>
      <x:c r="F200" s="30" t="str">
        <x:v>No verified match found</x:v>
      </x:c>
      <x:c r="G200" s="30" t="str"/>
      <x:c r="H200" s="30" t="str"/>
      <x:c r="I200" s="31"/>
      <x:c r="J200" s="30" t="str"/>
      <x:c r="K200" s="30" t="str">
        <x:v>Exact-name and available broader-name searches did not establish a matching page.</x:v>
      </x:c>
      <x:c r="L200" s="30" t="str">
        <x:v>Mayan Lake; Mayan</x:v>
      </x:c>
    </x:row>
    <x:row r="201" ht="40" customHeight="1">
      <x:c r="A201" s="30" t="str">
        <x:v>Mcclennan Reservoir</x:v>
      </x:c>
      <x:c r="B201" s="30" t="str">
        <x:v>6753</x:v>
      </x:c>
      <x:c r="C201" s="30" t="str">
        <x:v>Rainbow Trout</x:v>
      </x:c>
      <x:c r="D201" s="30" t="str">
        <x:v>Not assigned</x:v>
      </x:c>
      <x:c r="E201" s="30" t="str">
        <x:v>Not assigned</x:v>
      </x:c>
      <x:c r="F201" s="30" t="str">
        <x:v>No verified match found</x:v>
      </x:c>
      <x:c r="G201" s="30" t="str"/>
      <x:c r="H201" s="30" t="str"/>
      <x:c r="I201" s="31"/>
      <x:c r="J201" s="30" t="str"/>
      <x:c r="K201" s="30" t="str">
        <x:v>Exact-name and available broader-name searches did not establish a matching page.</x:v>
      </x:c>
      <x:c r="L201" s="30" t="str">
        <x:v>Mcclennan Reservoir; Mcclennan</x:v>
      </x:c>
    </x:row>
    <x:row r="202" ht="40" customHeight="1">
      <x:c r="A202" s="30" t="str">
        <x:v>Mcgregor Reservoir</x:v>
      </x:c>
      <x:c r="B202" s="30" t="str">
        <x:v>5275</x:v>
      </x:c>
      <x:c r="C202" s="30" t="str">
        <x:v>Walleye</x:v>
      </x:c>
      <x:c r="D202" s="30" t="str">
        <x:v>Burbot; Lake Whitefish; Northern Pike; Walleye</x:v>
      </x:c>
      <x:c r="E202" s="30" t="str">
        <x:v>Burbot; Lake Whitefish; Northern Pike</x:v>
      </x:c>
      <x:c r="F202" s="30" t="str">
        <x:v>Matched — species listed</x:v>
      </x:c>
      <x:c r="G202" s="30" t="str"/>
      <x:c r="H202" s="30" t="str">
        <x:v>McGregor Lake</x:v>
      </x:c>
      <x:c r="I202" s="31" t="n">
        <x:v>0.776</x:v>
      </x:c>
      <x:c r="J202" s="30" t="str">
        <x:v>https://www.anglersatlas.com/place/990893/mcgregor-lake</x:v>
      </x:c>
      <x:c r="K202" s="30" t="str">
        <x:v>Name variant and coordinates agree.</x:v>
      </x:c>
      <x:c r="L202" s="30" t="str">
        <x:v>Mcgregor Reservoir; Mcgregor</x:v>
      </x:c>
    </x:row>
    <x:row r="203" ht="40" customHeight="1">
      <x:c r="A203" s="30" t="str">
        <x:v>McLaren's Reservoir</x:v>
      </x:c>
      <x:c r="B203" s="30" t="str">
        <x:v>6755</x:v>
      </x:c>
      <x:c r="C203" s="30" t="str">
        <x:v>Rainbow Trout</x:v>
      </x:c>
      <x:c r="D203" s="30" t="str">
        <x:v>Not assigned</x:v>
      </x:c>
      <x:c r="E203" s="30" t="str">
        <x:v>Not assigned</x:v>
      </x:c>
      <x:c r="F203" s="30" t="str">
        <x:v>No verified match found</x:v>
      </x:c>
      <x:c r="G203" s="30" t="str"/>
      <x:c r="H203" s="30" t="str"/>
      <x:c r="I203" s="31"/>
      <x:c r="J203" s="30" t="str"/>
      <x:c r="K203" s="30" t="str">
        <x:v>Exact-name and available broader-name searches did not establish a matching page.</x:v>
      </x:c>
      <x:c r="L203" s="30" t="str">
        <x:v>McLaren's Reservoir; McLaren</x:v>
      </x:c>
    </x:row>
    <x:row r="204" ht="40" customHeight="1">
      <x:c r="A204" s="30" t="str">
        <x:v>McLean Pond</x:v>
      </x:c>
      <x:c r="B204" s="30" t="str">
        <x:v>3522</x:v>
      </x:c>
      <x:c r="C204" s="30" t="str">
        <x:v>Cutthroat Trout; Rainbow Trout; Westslope Cutthroat Trout</x:v>
      </x:c>
      <x:c r="D204" s="30" t="str">
        <x:v>Not assigned</x:v>
      </x:c>
      <x:c r="E204" s="30" t="str">
        <x:v>Not assigned</x:v>
      </x:c>
      <x:c r="F204" s="30" t="str">
        <x:v>No verified match found</x:v>
      </x:c>
      <x:c r="G204" s="30" t="str"/>
      <x:c r="H204" s="30" t="str"/>
      <x:c r="I204" s="31"/>
      <x:c r="J204" s="30" t="str"/>
      <x:c r="K204" s="30" t="str">
        <x:v>Exact-name and available broader-name searches did not establish a matching page.</x:v>
      </x:c>
      <x:c r="L204" s="30" t="str">
        <x:v>McLean Pond; McLean</x:v>
      </x:c>
    </x:row>
    <x:row r="205" ht="40" customHeight="1">
      <x:c r="A205" s="30" t="str">
        <x:v>McQuillan Reservoir</x:v>
      </x:c>
      <x:c r="B205" s="30" t="str">
        <x:v>6757</x:v>
      </x:c>
      <x:c r="C205" s="30" t="str">
        <x:v>Rainbow Trout</x:v>
      </x:c>
      <x:c r="D205" s="30" t="str">
        <x:v>Rainbow Trout</x:v>
      </x:c>
      <x:c r="E205" s="30" t="str">
        <x:v>None listed</x:v>
      </x:c>
      <x:c r="F205" s="30" t="str">
        <x:v>Matched — species listed</x:v>
      </x:c>
      <x:c r="G205" s="30" t="str"/>
      <x:c r="H205" s="30" t="str">
        <x:v>MCQUILLAN RESERVOIR</x:v>
      </x:c>
      <x:c r="I205" s="31" t="n">
        <x:v>0.033</x:v>
      </x:c>
      <x:c r="J205" s="30" t="str">
        <x:v>https://www.anglersatlas.com/place/102590/mcquillan-reservoir</x:v>
      </x:c>
      <x:c r="K205" s="30" t="str">
        <x:v>Name and coordinates agree.</x:v>
      </x:c>
      <x:c r="L205" s="30" t="str">
        <x:v>McQuillan Reservoir</x:v>
      </x:c>
    </x:row>
    <x:row r="206" ht="40" customHeight="1">
      <x:c r="A206" s="30" t="str">
        <x:v>McVinnie Reservoir</x:v>
      </x:c>
      <x:c r="B206" s="30" t="str">
        <x:v>6758</x:v>
      </x:c>
      <x:c r="C206" s="30" t="str">
        <x:v>Rainbow Trout; Tiger Trout</x:v>
      </x:c>
      <x:c r="D206" s="30" t="str">
        <x:v>Not listed</x:v>
      </x:c>
      <x:c r="E206" s="30" t="str">
        <x:v>None listed</x:v>
      </x:c>
      <x:c r="F206" s="30" t="str">
        <x:v>Matched — no species listed</x:v>
      </x:c>
      <x:c r="G206" s="30" t="str"/>
      <x:c r="H206" s="30" t="str">
        <x:v>McVinnie Trout Pond</x:v>
      </x:c>
      <x:c r="I206" s="31" t="n">
        <x:v>0.018</x:v>
      </x:c>
      <x:c r="J206" s="30" t="str">
        <x:v>https://www.anglersatlas.com/place/2050049/mcvinnie-trout-pond</x:v>
      </x:c>
      <x:c r="K206" s="30" t="str">
        <x:v>Name variant and coordinates agree.</x:v>
      </x:c>
      <x:c r="L206" s="30" t="str">
        <x:v>McVinnie Reservoir; McVinnie</x:v>
      </x:c>
    </x:row>
    <x:row r="207" ht="40" customHeight="1">
      <x:c r="A207" s="30" t="str">
        <x:v>MD Peace Pond #1</x:v>
      </x:c>
      <x:c r="B207" s="30" t="str">
        <x:v>6721</x:v>
      </x:c>
      <x:c r="C207" s="30" t="str">
        <x:v>Rainbow Trout</x:v>
      </x:c>
      <x:c r="D207" s="30" t="str">
        <x:v>Not assigned</x:v>
      </x:c>
      <x:c r="E207" s="30" t="str">
        <x:v>Not assigned</x:v>
      </x:c>
      <x:c r="F207" s="30" t="str">
        <x:v>No verified match found</x:v>
      </x:c>
      <x:c r="G207" s="30" t="str"/>
      <x:c r="H207" s="30" t="str"/>
      <x:c r="I207" s="31"/>
      <x:c r="J207" s="30" t="str"/>
      <x:c r="K207" s="30" t="str">
        <x:v>Exact-name and available broader-name searches did not establish a matching page.</x:v>
      </x:c>
      <x:c r="L207" s="30" t="str">
        <x:v>MD Peace Pond #1; Peace</x:v>
      </x:c>
    </x:row>
    <x:row r="208" ht="40" customHeight="1">
      <x:c r="A208" s="30" t="str">
        <x:v>MD Peace Pond #2</x:v>
      </x:c>
      <x:c r="B208" s="30" t="str">
        <x:v>22995</x:v>
      </x:c>
      <x:c r="C208" s="30" t="str">
        <x:v>Rainbow Trout</x:v>
      </x:c>
      <x:c r="D208" s="30" t="str">
        <x:v>Not assigned</x:v>
      </x:c>
      <x:c r="E208" s="30" t="str">
        <x:v>Not assigned</x:v>
      </x:c>
      <x:c r="F208" s="30" t="str">
        <x:v>No verified match found</x:v>
      </x:c>
      <x:c r="G208" s="30" t="str"/>
      <x:c r="H208" s="30" t="str"/>
      <x:c r="I208" s="31"/>
      <x:c r="J208" s="30" t="str"/>
      <x:c r="K208" s="30" t="str">
        <x:v>Exact-name and available broader-name searches did not establish a matching page.</x:v>
      </x:c>
      <x:c r="L208" s="30" t="str">
        <x:v>MD Peace Pond #2; Peace</x:v>
      </x:c>
    </x:row>
    <x:row r="209" ht="40" customHeight="1">
      <x:c r="A209" s="30" t="str">
        <x:v>Medley River</x:v>
      </x:c>
      <x:c r="B209" s="30" t="str">
        <x:v>2129</x:v>
      </x:c>
      <x:c r="C209" s="30" t="str">
        <x:v>Rainbow Trout</x:v>
      </x:c>
      <x:c r="D209" s="30" t="str">
        <x:v>Not assigned</x:v>
      </x:c>
      <x:c r="E209" s="30" t="str">
        <x:v>Not assigned</x:v>
      </x:c>
      <x:c r="F209" s="30" t="str">
        <x:v>No verified match found</x:v>
      </x:c>
      <x:c r="G209" s="30" t="str"/>
      <x:c r="H209" s="30" t="str"/>
      <x:c r="I209" s="31"/>
      <x:c r="J209" s="30" t="str"/>
      <x:c r="K209" s="30" t="str">
        <x:v>Exact-name and available broader-name searches did not establish a matching page.</x:v>
      </x:c>
      <x:c r="L209" s="30" t="str">
        <x:v>Medley River</x:v>
      </x:c>
    </x:row>
    <x:row r="210" ht="40" customHeight="1">
      <x:c r="A210" s="30" t="str">
        <x:v>Michel Creek Reservoir</x:v>
      </x:c>
      <x:c r="B210" s="30" t="str">
        <x:v>3523</x:v>
      </x:c>
      <x:c r="C210" s="30" t="str">
        <x:v>Brown Trout; Rainbow Trout</x:v>
      </x:c>
      <x:c r="D210" s="30" t="str">
        <x:v>Not assigned</x:v>
      </x:c>
      <x:c r="E210" s="30" t="str">
        <x:v>Not assigned</x:v>
      </x:c>
      <x:c r="F210" s="30" t="str">
        <x:v>No verified match found</x:v>
      </x:c>
      <x:c r="G210" s="30" t="str"/>
      <x:c r="H210" s="30" t="str"/>
      <x:c r="I210" s="31"/>
      <x:c r="J210" s="30" t="str"/>
      <x:c r="K210" s="30" t="str">
        <x:v>Exact-name and available broader-name searches did not establish a matching page.</x:v>
      </x:c>
      <x:c r="L210" s="30" t="str">
        <x:v>Michel Creek Reservoir; Michel Creek</x:v>
      </x:c>
    </x:row>
    <x:row r="211" ht="40" customHeight="1">
      <x:c r="A211" s="30" t="str">
        <x:v>Michichi Reservoir</x:v>
      </x:c>
      <x:c r="B211" s="30" t="str">
        <x:v>3524</x:v>
      </x:c>
      <x:c r="C211" s="30" t="str">
        <x:v>Rainbow Trout</x:v>
      </x:c>
      <x:c r="D211" s="30" t="str">
        <x:v>Rainbow Trout</x:v>
      </x:c>
      <x:c r="E211" s="30" t="str">
        <x:v>None listed</x:v>
      </x:c>
      <x:c r="F211" s="30" t="str">
        <x:v>Matched — species listed</x:v>
      </x:c>
      <x:c r="G211" s="30" t="str"/>
      <x:c r="H211" s="30" t="str">
        <x:v>Michichi Reservoir</x:v>
      </x:c>
      <x:c r="I211" s="31" t="n">
        <x:v>0.047</x:v>
      </x:c>
      <x:c r="J211" s="30" t="str">
        <x:v>https://www.anglersatlas.com/place/130054/michichi-reservoir</x:v>
      </x:c>
      <x:c r="K211" s="30" t="str">
        <x:v>Name and coordinates agree.</x:v>
      </x:c>
      <x:c r="L211" s="30" t="str">
        <x:v>Michichi Reservoir</x:v>
      </x:c>
    </x:row>
    <x:row r="212" ht="40" customHeight="1">
      <x:c r="A212" s="30" t="str">
        <x:v>Middle Pierre Greys Lake</x:v>
      </x:c>
      <x:c r="B212" s="30" t="str">
        <x:v>6533</x:v>
      </x:c>
      <x:c r="C212" s="30" t="str">
        <x:v>Rainbow Trout</x:v>
      </x:c>
      <x:c r="D212" s="30" t="str">
        <x:v>Not assigned</x:v>
      </x:c>
      <x:c r="E212" s="30" t="str">
        <x:v>Not assigned</x:v>
      </x:c>
      <x:c r="F212" s="30" t="str">
        <x:v>Uncertain lake match</x:v>
      </x:c>
      <x:c r="G212" s="30" t="str"/>
      <x:c r="H212" s="30" t="str">
        <x:v>Pierre Greys Lakes</x:v>
      </x:c>
      <x:c r="I212" s="31" t="n">
        <x:v>0.406</x:v>
      </x:c>
      <x:c r="J212" s="30" t="str">
        <x:v>https://www.anglersatlas.com/place/2050236/pierre-greys-lakes</x:v>
      </x:c>
      <x:c r="K212" s="30" t="str">
        <x:v>Atlas page covers another or a group of lakes. Individual lake match is uncertain. Species not assigned.</x:v>
      </x:c>
      <x:c r="L212" s="30" t="str">
        <x:v>Middle Pierre Greys Lake; Pierre Greys</x:v>
      </x:c>
    </x:row>
    <x:row r="213" ht="40" customHeight="1">
      <x:c r="A213" s="30" t="str">
        <x:v>Midway Reservoir</x:v>
      </x:c>
      <x:c r="B213" s="30" t="str">
        <x:v>6741</x:v>
      </x:c>
      <x:c r="C213" s="30" t="str">
        <x:v>Rainbow Trout</x:v>
      </x:c>
      <x:c r="D213" s="30" t="str">
        <x:v>Not listed</x:v>
      </x:c>
      <x:c r="E213" s="30" t="str">
        <x:v>None listed</x:v>
      </x:c>
      <x:c r="F213" s="30" t="str">
        <x:v>Matched — no species listed</x:v>
      </x:c>
      <x:c r="G213" s="30" t="str"/>
      <x:c r="H213" s="30" t="str">
        <x:v>Midway Reservoir</x:v>
      </x:c>
      <x:c r="I213" s="31" t="n">
        <x:v>0.052</x:v>
      </x:c>
      <x:c r="J213" s="30" t="str">
        <x:v>https://www.anglersatlas.com/place/2185984/midway-reservoir</x:v>
      </x:c>
      <x:c r="K213" s="30" t="str">
        <x:v>Name and coordinates agree.</x:v>
      </x:c>
      <x:c r="L213" s="30" t="str">
        <x:v>Midway Reservoir</x:v>
      </x:c>
    </x:row>
    <x:row r="214" ht="40" customHeight="1">
      <x:c r="A214" s="30" t="str">
        <x:v>Mile 07 Lake</x:v>
      </x:c>
      <x:c r="B214" s="30" t="str">
        <x:v>6642</x:v>
      </x:c>
      <x:c r="C214" s="30" t="str">
        <x:v>Rainbow Trout</x:v>
      </x:c>
      <x:c r="D214" s="30" t="str">
        <x:v>Not assigned</x:v>
      </x:c>
      <x:c r="E214" s="30" t="str">
        <x:v>Not assigned</x:v>
      </x:c>
      <x:c r="F214" s="30" t="str">
        <x:v>No verified match found</x:v>
      </x:c>
      <x:c r="G214" s="30" t="str"/>
      <x:c r="H214" s="30" t="str"/>
      <x:c r="I214" s="31"/>
      <x:c r="J214" s="30" t="str"/>
      <x:c r="K214" s="30" t="str">
        <x:v>Exact-name and available broader-name searches did not establish a matching page.</x:v>
      </x:c>
      <x:c r="L214" s="30" t="str">
        <x:v>Mile 07 Lake; Mile 07</x:v>
      </x:c>
    </x:row>
    <x:row r="215" ht="40" customHeight="1">
      <x:c r="A215" s="30" t="str">
        <x:v>Milk River Ridge Reservoir</x:v>
      </x:c>
      <x:c r="B215" s="30" t="str">
        <x:v>3526</x:v>
      </x:c>
      <x:c r="C215" s="30" t="str">
        <x:v>Walleye</x:v>
      </x:c>
      <x:c r="D215" s="30" t="str">
        <x:v>Not assigned</x:v>
      </x:c>
      <x:c r="E215" s="30" t="str">
        <x:v>Not assigned</x:v>
      </x:c>
      <x:c r="F215" s="30" t="str">
        <x:v>No verified match found</x:v>
      </x:c>
      <x:c r="G215" s="30" t="str"/>
      <x:c r="H215" s="30" t="str"/>
      <x:c r="I215" s="31"/>
      <x:c r="J215" s="30" t="str"/>
      <x:c r="K215" s="30" t="str">
        <x:v>Exact-name and available broader-name searches did not establish a matching page.</x:v>
      </x:c>
      <x:c r="L215" s="30" t="str">
        <x:v>Milk River Ridge Reservoir</x:v>
      </x:c>
    </x:row>
    <x:row r="216" ht="40" customHeight="1">
      <x:c r="A216" s="30" t="str">
        <x:v>Millers Lake</x:v>
      </x:c>
      <x:c r="B216" s="30" t="str">
        <x:v>5324</x:v>
      </x:c>
      <x:c r="C216" s="30" t="str">
        <x:v>Brown Trout; Rainbow Trout; Tiger Trout</x:v>
      </x:c>
      <x:c r="D216" s="30" t="str">
        <x:v>Brown Trout; Rainbow Trout; Tiger Trout</x:v>
      </x:c>
      <x:c r="E216" s="30" t="str">
        <x:v>None listed</x:v>
      </x:c>
      <x:c r="F216" s="30" t="str">
        <x:v>Matched — species listed</x:v>
      </x:c>
      <x:c r="G216" s="30" t="str"/>
      <x:c r="H216" s="30" t="str">
        <x:v>MILLERS LAKE</x:v>
      </x:c>
      <x:c r="I216" s="31" t="n">
        <x:v>0.04</x:v>
      </x:c>
      <x:c r="J216" s="30" t="str">
        <x:v>https://www.anglersatlas.com/place/101994/millers-lake</x:v>
      </x:c>
      <x:c r="K216" s="30" t="str">
        <x:v>Name and coordinates agree.</x:v>
      </x:c>
      <x:c r="L216" s="30" t="str">
        <x:v>Millers Lake</x:v>
      </x:c>
    </x:row>
    <x:row r="217" ht="40" customHeight="1">
      <x:c r="A217" s="30" t="str">
        <x:v>Minnow Lake</x:v>
      </x:c>
      <x:c r="B217" s="30" t="str">
        <x:v>5336</x:v>
      </x:c>
      <x:c r="C217" s="30" t="str">
        <x:v>Walleye</x:v>
      </x:c>
      <x:c r="D217" s="30" t="str">
        <x:v>Walleye; Yellow Perch</x:v>
      </x:c>
      <x:c r="E217" s="30" t="str">
        <x:v>Yellow Perch</x:v>
      </x:c>
      <x:c r="F217" s="30" t="str">
        <x:v>Matched — species listed</x:v>
      </x:c>
      <x:c r="G217" s="30" t="str"/>
      <x:c r="H217" s="30" t="str">
        <x:v>Minnow Lake</x:v>
      </x:c>
      <x:c r="I217" s="31" t="n">
        <x:v>0.366</x:v>
      </x:c>
      <x:c r="J217" s="30" t="str">
        <x:v>https://www.anglersatlas.com/place/130141/minnow-lake</x:v>
      </x:c>
      <x:c r="K217" s="30" t="str">
        <x:v>Name and coordinates agree.</x:v>
      </x:c>
      <x:c r="L217" s="30" t="str">
        <x:v>Minnow Lake</x:v>
      </x:c>
    </x:row>
    <x:row r="218" ht="40" customHeight="1">
      <x:c r="A218" s="30" t="str">
        <x:v>Mirage Lake</x:v>
      </x:c>
      <x:c r="B218" s="30" t="str">
        <x:v>5360</x:v>
      </x:c>
      <x:c r="C218" s="30" t="str">
        <x:v>Brown Trout; Rainbow Trout; Tiger Trout</x:v>
      </x:c>
      <x:c r="D218" s="30" t="str">
        <x:v>Not assigned</x:v>
      </x:c>
      <x:c r="E218" s="30" t="str">
        <x:v>Not assigned</x:v>
      </x:c>
      <x:c r="F218" s="30" t="str">
        <x:v>No verified match found</x:v>
      </x:c>
      <x:c r="G218" s="30" t="str"/>
      <x:c r="H218" s="30" t="str"/>
      <x:c r="I218" s="31"/>
      <x:c r="J218" s="30" t="str"/>
      <x:c r="K218" s="30" t="str">
        <x:v>Exact-name and available broader-name searches did not establish a matching page.</x:v>
      </x:c>
      <x:c r="L218" s="30" t="str">
        <x:v>Mirage Lake; Mirage</x:v>
      </x:c>
    </x:row>
    <x:row r="219" ht="40" customHeight="1">
      <x:c r="A219" s="30" t="str">
        <x:v>Mirror Reservoir</x:v>
      </x:c>
      <x:c r="B219" s="30" t="str">
        <x:v>6746</x:v>
      </x:c>
      <x:c r="C219" s="30" t="str">
        <x:v>Brown Trout; Rainbow Trout</x:v>
      </x:c>
      <x:c r="D219" s="30" t="str">
        <x:v>Not assigned</x:v>
      </x:c>
      <x:c r="E219" s="30" t="str">
        <x:v>Not assigned</x:v>
      </x:c>
      <x:c r="F219" s="30" t="str">
        <x:v>No verified match found</x:v>
      </x:c>
      <x:c r="G219" s="30" t="str"/>
      <x:c r="H219" s="30" t="str">
        <x:v>Mirror Lake</x:v>
      </x:c>
      <x:c r="I219" s="31" t="n">
        <x:v>65.049</x:v>
      </x:c>
      <x:c r="J219" s="30" t="str">
        <x:v>https://www.anglersatlas.com/place/130142/mirror-lake</x:v>
      </x:c>
      <x:c r="K219" s="30" t="str">
        <x:v>Named candidate coordinates do not agree. Species not assigned.</x:v>
      </x:c>
      <x:c r="L219" s="30" t="str">
        <x:v>Mirror Reservoir; Mirror</x:v>
      </x:c>
    </x:row>
    <x:row r="220" ht="40" customHeight="1">
      <x:c r="A220" s="30" t="str">
        <x:v>Mitchell Lake</x:v>
      </x:c>
      <x:c r="B220" s="30" t="str">
        <x:v>5348</x:v>
      </x:c>
      <x:c r="C220" s="30" t="str">
        <x:v>Brown Trout; Rainbow Trout; Tiger Trout</x:v>
      </x:c>
      <x:c r="D220" s="30" t="str">
        <x:v>Brown Trout; Rainbow Trout; Tiger Trout</x:v>
      </x:c>
      <x:c r="E220" s="30" t="str">
        <x:v>None listed</x:v>
      </x:c>
      <x:c r="F220" s="30" t="str">
        <x:v>Matched — species listed</x:v>
      </x:c>
      <x:c r="G220" s="30" t="str"/>
      <x:c r="H220" s="30" t="str">
        <x:v>MITCHELL LAKE</x:v>
      </x:c>
      <x:c r="I220" s="31" t="n">
        <x:v>0.029</x:v>
      </x:c>
      <x:c r="J220" s="30" t="str">
        <x:v>https://www.anglersatlas.com/place/101997/mitchell-lake</x:v>
      </x:c>
      <x:c r="K220" s="30" t="str">
        <x:v>Name and coordinates agree.</x:v>
      </x:c>
      <x:c r="L220" s="30" t="str">
        <x:v>Mitchell Lake</x:v>
      </x:c>
    </x:row>
    <x:row r="221" ht="40" customHeight="1">
      <x:c r="A221" s="30" t="str">
        <x:v>Mitford Ponds</x:v>
      </x:c>
      <x:c r="B221" s="30" t="str">
        <x:v>395196</x:v>
      </x:c>
      <x:c r="C221" s="30" t="str">
        <x:v>Brown Trout; Rainbow Trout</x:v>
      </x:c>
      <x:c r="D221" s="30" t="str">
        <x:v>Brown Trout; Rainbow Trout</x:v>
      </x:c>
      <x:c r="E221" s="30" t="str">
        <x:v>None listed</x:v>
      </x:c>
      <x:c r="F221" s="30" t="str">
        <x:v>Matched — species listed</x:v>
      </x:c>
      <x:c r="G221" s="30" t="str"/>
      <x:c r="H221" s="30" t="str">
        <x:v>Mitford Pond</x:v>
      </x:c>
      <x:c r="I221" s="31" t="n">
        <x:v>0.084</x:v>
      </x:c>
      <x:c r="J221" s="30" t="str">
        <x:v>https://www.anglersatlas.com/place/990885/mitford-pond</x:v>
      </x:c>
      <x:c r="K221" s="30" t="str">
        <x:v>Name variant and coordinates agree.</x:v>
      </x:c>
      <x:c r="L221" s="30" t="str">
        <x:v>Mitford Ponds; Mitford</x:v>
      </x:c>
    </x:row>
    <x:row r="222" ht="40" customHeight="1">
      <x:c r="A222" s="30" t="str">
        <x:v>Moore Lake</x:v>
      </x:c>
      <x:c r="B222" s="30" t="str">
        <x:v>4351</x:v>
      </x:c>
      <x:c r="C222" s="30" t="str">
        <x:v>Walleye</x:v>
      </x:c>
      <x:c r="D222" s="30" t="str">
        <x:v>Not assigned</x:v>
      </x:c>
      <x:c r="E222" s="30" t="str">
        <x:v>Not assigned</x:v>
      </x:c>
      <x:c r="F222" s="30" t="str">
        <x:v>No verified match found</x:v>
      </x:c>
      <x:c r="G222" s="30" t="str"/>
      <x:c r="H222" s="30" t="str"/>
      <x:c r="I222" s="31"/>
      <x:c r="J222" s="30" t="str"/>
      <x:c r="K222" s="30" t="str">
        <x:v>Exact-name and available broader-name searches did not establish a matching page.</x:v>
      </x:c>
      <x:c r="L222" s="30" t="str">
        <x:v>Moore Lake; Moore</x:v>
      </x:c>
    </x:row>
    <x:row r="223" ht="40" customHeight="1">
      <x:c r="A223" s="30" t="str">
        <x:v>Morinville Fish and Game Pond</x:v>
      </x:c>
      <x:c r="B223" s="30" t="str">
        <x:v>6736</x:v>
      </x:c>
      <x:c r="C223" s="30" t="str">
        <x:v>Brown Trout; Rainbow Trout</x:v>
      </x:c>
      <x:c r="D223" s="30" t="str">
        <x:v>Rainbow Trout</x:v>
      </x:c>
      <x:c r="E223" s="30" t="str">
        <x:v>None listed</x:v>
      </x:c>
      <x:c r="F223" s="30" t="str">
        <x:v>Matched — species listed</x:v>
      </x:c>
      <x:c r="G223" s="30" t="str"/>
      <x:c r="H223" s="30" t="str">
        <x:v>Morinville Fish and Game Pond</x:v>
      </x:c>
      <x:c r="I223" s="31" t="n">
        <x:v>0.023</x:v>
      </x:c>
      <x:c r="J223" s="30" t="str">
        <x:v>https://www.anglersatlas.com/place/2049967/morinville-fish-and-game-pond</x:v>
      </x:c>
      <x:c r="K223" s="30" t="str">
        <x:v>Name and coordinates agree.</x:v>
      </x:c>
      <x:c r="L223" s="30" t="str">
        <x:v>Morinville Fish and Game Pond</x:v>
      </x:c>
    </x:row>
    <x:row r="224" ht="40" customHeight="1">
      <x:c r="A224" s="30" t="str">
        <x:v>Mound Red Reservoir</x:v>
      </x:c>
      <x:c r="B224" s="30" t="str">
        <x:v>6737</x:v>
      </x:c>
      <x:c r="C224" s="30" t="str">
        <x:v>Rainbow Trout</x:v>
      </x:c>
      <x:c r="D224" s="30" t="str">
        <x:v>Not assigned</x:v>
      </x:c>
      <x:c r="E224" s="30" t="str">
        <x:v>Not assigned</x:v>
      </x:c>
      <x:c r="F224" s="30" t="str">
        <x:v>No verified match found</x:v>
      </x:c>
      <x:c r="G224" s="30" t="str"/>
      <x:c r="H224" s="30" t="str"/>
      <x:c r="I224" s="31"/>
      <x:c r="J224" s="30" t="str"/>
      <x:c r="K224" s="30" t="str">
        <x:v>Exact-name and available broader-name searches did not establish a matching page.</x:v>
      </x:c>
      <x:c r="L224" s="30" t="str">
        <x:v>Mound Red Reservoir; Mound Red</x:v>
      </x:c>
    </x:row>
    <x:row r="225" ht="40" customHeight="1">
      <x:c r="A225" s="30" t="str">
        <x:v>Mount Lorette Ponds</x:v>
      </x:c>
      <x:c r="B225" s="30" t="str">
        <x:v>3482</x:v>
      </x:c>
      <x:c r="C225" s="30" t="str">
        <x:v>Cutthroat Trout; Rainbow Trout; Westslope Cutthroat Trout</x:v>
      </x:c>
      <x:c r="D225" s="30" t="str">
        <x:v>Brook Trout; Rainbow Trout</x:v>
      </x:c>
      <x:c r="E225" s="30" t="str">
        <x:v>Brook Trout</x:v>
      </x:c>
      <x:c r="F225" s="30" t="str">
        <x:v>Matched — species listed</x:v>
      </x:c>
      <x:c r="G225" s="30" t="str"/>
      <x:c r="H225" s="30" t="str">
        <x:v>Mount Lorette Ponds</x:v>
      </x:c>
      <x:c r="I225" s="31" t="n">
        <x:v>0.059</x:v>
      </x:c>
      <x:c r="J225" s="30" t="str">
        <x:v>https://www.anglersatlas.com/place/724129/mount-lorette-ponds</x:v>
      </x:c>
      <x:c r="K225" s="30" t="str">
        <x:v>Name and coordinates agree.</x:v>
      </x:c>
      <x:c r="L225" s="30" t="str">
        <x:v>Mount Lorette Ponds</x:v>
      </x:c>
    </x:row>
    <x:row r="226" ht="40" customHeight="1">
      <x:c r="A226" s="30" t="str">
        <x:v>Muir Lake</x:v>
      </x:c>
      <x:c r="B226" s="30" t="str">
        <x:v>5387</x:v>
      </x:c>
      <x:c r="C226" s="30" t="str">
        <x:v>Brown Trout; Rainbow Trout</x:v>
      </x:c>
      <x:c r="D226" s="30" t="str">
        <x:v>Brown Trout; Rainbow Trout</x:v>
      </x:c>
      <x:c r="E226" s="30" t="str">
        <x:v>None listed</x:v>
      </x:c>
      <x:c r="F226" s="30" t="str">
        <x:v>Matched — species listed</x:v>
      </x:c>
      <x:c r="G226" s="30" t="str"/>
      <x:c r="H226" s="30" t="str">
        <x:v>MUIR LAKE</x:v>
      </x:c>
      <x:c r="I226" s="31" t="n">
        <x:v>0.067</x:v>
      </x:c>
      <x:c r="J226" s="30" t="str">
        <x:v>https://www.anglersatlas.com/place/102000/muir-lake</x:v>
      </x:c>
      <x:c r="K226" s="30" t="str">
        <x:v>Name and coordinates agree.</x:v>
      </x:c>
      <x:c r="L226" s="30" t="str">
        <x:v>Muir Lake</x:v>
      </x:c>
    </x:row>
    <x:row r="227" ht="40" customHeight="1">
      <x:c r="A227" s="30" t="str">
        <x:v>Muskiki Lake</x:v>
      </x:c>
      <x:c r="B227" s="30" t="str">
        <x:v>5407</x:v>
      </x:c>
      <x:c r="C227" s="30" t="str">
        <x:v>Cutthroat Trout; Westslope Cutthroat Trout</x:v>
      </x:c>
      <x:c r="D227" s="30" t="str">
        <x:v>Brook Trout; Cutthroat Trout; Rainbow Trout</x:v>
      </x:c>
      <x:c r="E227" s="30" t="str">
        <x:v>Brook Trout; Rainbow Trout</x:v>
      </x:c>
      <x:c r="F227" s="30" t="str">
        <x:v>Matched — species listed</x:v>
      </x:c>
      <x:c r="G227" s="30" t="str"/>
      <x:c r="H227" s="30" t="str">
        <x:v>Muskiki Lake</x:v>
      </x:c>
      <x:c r="I227" s="31" t="n">
        <x:v>0.133</x:v>
      </x:c>
      <x:c r="J227" s="30" t="str">
        <x:v>https://www.anglersatlas.com/place/130318/muskiki-lake</x:v>
      </x:c>
      <x:c r="K227" s="30" t="str">
        <x:v>Name and coordinates agree.</x:v>
      </x:c>
      <x:c r="L227" s="30" t="str">
        <x:v>Muskiki Lake</x:v>
      </x:c>
    </x:row>
    <x:row r="228" ht="40" customHeight="1">
      <x:c r="A228" s="30" t="str">
        <x:v>Muskoseepi Pond</x:v>
      </x:c>
      <x:c r="B228" s="30" t="str">
        <x:v>6730</x:v>
      </x:c>
      <x:c r="C228" s="30" t="str">
        <x:v>Rainbow Trout</x:v>
      </x:c>
      <x:c r="D228" s="30" t="str">
        <x:v>Not assigned</x:v>
      </x:c>
      <x:c r="E228" s="30" t="str">
        <x:v>Not assigned</x:v>
      </x:c>
      <x:c r="F228" s="30" t="str">
        <x:v>No verified match found</x:v>
      </x:c>
      <x:c r="G228" s="30" t="str"/>
      <x:c r="H228" s="30" t="str"/>
      <x:c r="I228" s="31"/>
      <x:c r="J228" s="30" t="str"/>
      <x:c r="K228" s="30" t="str">
        <x:v>Exact-name and available broader-name searches did not establish a matching page.</x:v>
      </x:c>
      <x:c r="L228" s="30" t="str">
        <x:v>Muskoseepi Pond; Muskoseepi</x:v>
      </x:c>
    </x:row>
    <x:row r="229" ht="40" customHeight="1">
      <x:c r="A229" s="30" t="str">
        <x:v>Nardam Lake</x:v>
      </x:c>
      <x:c r="B229" s="30" t="str">
        <x:v>6732</x:v>
      </x:c>
      <x:c r="C229" s="30" t="str">
        <x:v>Brown Trout; Rainbow Trout</x:v>
      </x:c>
      <x:c r="D229" s="30" t="str">
        <x:v>Not assigned</x:v>
      </x:c>
      <x:c r="E229" s="30" t="str">
        <x:v>Not assigned</x:v>
      </x:c>
      <x:c r="F229" s="30" t="str">
        <x:v>No verified match found</x:v>
      </x:c>
      <x:c r="G229" s="30" t="str"/>
      <x:c r="H229" s="30" t="str"/>
      <x:c r="I229" s="31"/>
      <x:c r="J229" s="30" t="str"/>
      <x:c r="K229" s="30" t="str">
        <x:v>Exact-name and available broader-name searches did not establish a matching page.</x:v>
      </x:c>
      <x:c r="L229" s="30" t="str">
        <x:v>Nardam Lake; Nardam</x:v>
      </x:c>
    </x:row>
    <x:row r="230" ht="40" customHeight="1">
      <x:c r="A230" s="30" t="str">
        <x:v>Nicholas Sheran Park Pond</x:v>
      </x:c>
      <x:c r="B230" s="30" t="str">
        <x:v>6734</x:v>
      </x:c>
      <x:c r="C230" s="30" t="str">
        <x:v>Brook Trout; Brown Trout; Rainbow Trout</x:v>
      </x:c>
      <x:c r="D230" s="30" t="str">
        <x:v>Brook Trout; Brown Trout; Northern Pike; Rainbow Trout; Yellow Perch</x:v>
      </x:c>
      <x:c r="E230" s="30" t="str">
        <x:v>Northern Pike; Yellow Perch</x:v>
      </x:c>
      <x:c r="F230" s="30" t="str">
        <x:v>Matched — species listed</x:v>
      </x:c>
      <x:c r="G230" s="30" t="str"/>
      <x:c r="H230" s="30" t="str">
        <x:v>Nicholas Sheran Lake</x:v>
      </x:c>
      <x:c r="I230" s="31" t="n">
        <x:v>0.089</x:v>
      </x:c>
      <x:c r="J230" s="30" t="str">
        <x:v>https://www.anglersatlas.com/place/726273/nicholas-sheran-lake</x:v>
      </x:c>
      <x:c r="K230" s="30" t="str">
        <x:v>Name variant and coordinates agree.</x:v>
      </x:c>
      <x:c r="L230" s="30" t="str">
        <x:v>Nicholas Sheran Park Pond; Nicholas Sheran</x:v>
      </x:c>
    </x:row>
    <x:row r="231" ht="40" customHeight="1">
      <x:c r="A231" s="30" t="str">
        <x:v>Niton Lake</x:v>
      </x:c>
      <x:c r="B231" s="30" t="str">
        <x:v>6647</x:v>
      </x:c>
      <x:c r="C231" s="30" t="str">
        <x:v>Rainbow Trout</x:v>
      </x:c>
      <x:c r="D231" s="30" t="str">
        <x:v>Not assigned</x:v>
      </x:c>
      <x:c r="E231" s="30" t="str">
        <x:v>Not assigned</x:v>
      </x:c>
      <x:c r="F231" s="30" t="str">
        <x:v>No verified match found</x:v>
      </x:c>
      <x:c r="G231" s="30" t="str"/>
      <x:c r="H231" s="30" t="str"/>
      <x:c r="I231" s="31"/>
      <x:c r="J231" s="30" t="str"/>
      <x:c r="K231" s="30" t="str">
        <x:v>Exact-name and available broader-name searches did not establish a matching page.</x:v>
      </x:c>
      <x:c r="L231" s="30" t="str">
        <x:v>Niton Lake; Niton</x:v>
      </x:c>
    </x:row>
    <x:row r="232" ht="40" customHeight="1">
      <x:c r="A232" s="30" t="str">
        <x:v>Nordegg Borrow Pit (East)</x:v>
      </x:c>
      <x:c r="B232" s="30" t="str">
        <x:v>6914</x:v>
      </x:c>
      <x:c r="C232" s="30" t="str">
        <x:v>Rainbow Trout</x:v>
      </x:c>
      <x:c r="D232" s="30" t="str">
        <x:v>Not listed</x:v>
      </x:c>
      <x:c r="E232" s="30" t="str">
        <x:v>None listed</x:v>
      </x:c>
      <x:c r="F232" s="30" t="str">
        <x:v>Matched — no species listed</x:v>
      </x:c>
      <x:c r="G232" s="30" t="str"/>
      <x:c r="H232" s="30" t="str">
        <x:v>Nordegg Trout Pond</x:v>
      </x:c>
      <x:c r="I232" s="31" t="n">
        <x:v>0.022</x:v>
      </x:c>
      <x:c r="J232" s="30" t="str">
        <x:v>https://www.anglersatlas.com/place/884924/nordegg-trout-pond</x:v>
      </x:c>
      <x:c r="K232" s="30" t="str">
        <x:v>Name variant and coordinates agree.</x:v>
      </x:c>
      <x:c r="L232" s="30" t="str">
        <x:v>Nordegg Borrow Pit (East); Nordegg</x:v>
      </x:c>
    </x:row>
    <x:row r="233" ht="40" customHeight="1">
      <x:c r="A233" s="30" t="str">
        <x:v>Nordegg Borrow Pit (West)</x:v>
      </x:c>
      <x:c r="B233" s="30" t="str">
        <x:v>6915</x:v>
      </x:c>
      <x:c r="C233" s="30" t="str">
        <x:v>Rainbow Trout</x:v>
      </x:c>
      <x:c r="D233" s="30" t="str">
        <x:v>Not assigned</x:v>
      </x:c>
      <x:c r="E233" s="30" t="str">
        <x:v>Not assigned</x:v>
      </x:c>
      <x:c r="F233" s="30" t="str">
        <x:v>Uncertain lake match</x:v>
      </x:c>
      <x:c r="G233" s="30" t="str"/>
      <x:c r="H233" s="30" t="str">
        <x:v>Nordegg Trout Pond</x:v>
      </x:c>
      <x:c r="I233" s="31" t="n">
        <x:v>0.683</x:v>
      </x:c>
      <x:c r="J233" s="30" t="str">
        <x:v>https://www.anglersatlas.com/place/884924/nordegg-trout-pond</x:v>
      </x:c>
      <x:c r="K233" s="30" t="str">
        <x:v>Nearby Atlas page matches the eastern Nordegg pond. It does not establish species in the western pond.</x:v>
      </x:c>
      <x:c r="L233" s="30" t="str">
        <x:v>Nordegg Borrow Pit (West); Nordegg</x:v>
      </x:c>
    </x:row>
    <x:row r="234" ht="40" customHeight="1">
      <x:c r="A234" s="30" t="str">
        <x:v>North Two Lake</x:v>
      </x:c>
      <x:c r="B234" s="30" t="str">
        <x:v>6535</x:v>
      </x:c>
      <x:c r="C234" s="30" t="str">
        <x:v>Rainbow Trout</x:v>
      </x:c>
      <x:c r="D234" s="30" t="str">
        <x:v>Not assigned</x:v>
      </x:c>
      <x:c r="E234" s="30" t="str">
        <x:v>Not assigned</x:v>
      </x:c>
      <x:c r="F234" s="30" t="str">
        <x:v>No verified match found</x:v>
      </x:c>
      <x:c r="G234" s="30" t="str"/>
      <x:c r="H234" s="30" t="str"/>
      <x:c r="I234" s="31"/>
      <x:c r="J234" s="30" t="str"/>
      <x:c r="K234" s="30" t="str">
        <x:v>Exact-name and available broader-name searches did not establish a matching page.</x:v>
      </x:c>
      <x:c r="L234" s="30" t="str">
        <x:v>North Two Lake; North Two</x:v>
      </x:c>
    </x:row>
    <x:row r="235" ht="40" customHeight="1">
      <x:c r="A235" s="30" t="str">
        <x:v>Nose Creek Pond</x:v>
      </x:c>
      <x:c r="B235" s="30" t="str">
        <x:v>6671</x:v>
      </x:c>
      <x:c r="C235" s="30" t="str">
        <x:v>Rainbow Trout</x:v>
      </x:c>
      <x:c r="D235" s="30" t="str">
        <x:v>Not assigned</x:v>
      </x:c>
      <x:c r="E235" s="30" t="str">
        <x:v>Not assigned</x:v>
      </x:c>
      <x:c r="F235" s="30" t="str">
        <x:v>No verified match found</x:v>
      </x:c>
      <x:c r="G235" s="30" t="str"/>
      <x:c r="H235" s="30" t="str"/>
      <x:c r="I235" s="31"/>
      <x:c r="J235" s="30" t="str"/>
      <x:c r="K235" s="30" t="str">
        <x:v>Exact-name and available broader-name searches did not establish a matching page.</x:v>
      </x:c>
      <x:c r="L235" s="30" t="str">
        <x:v>Nose Creek Pond; Nose Creek</x:v>
      </x:c>
    </x:row>
    <x:row r="236" ht="40" customHeight="1">
      <x:c r="A236" s="30" t="str">
        <x:v>Nuggent Pond</x:v>
      </x:c>
      <x:c r="B236" s="30" t="str">
        <x:v>6724</x:v>
      </x:c>
      <x:c r="C236" s="30" t="str">
        <x:v>Rainbow Trout</x:v>
      </x:c>
      <x:c r="D236" s="30" t="str">
        <x:v>Not assigned</x:v>
      </x:c>
      <x:c r="E236" s="30" t="str">
        <x:v>Not assigned</x:v>
      </x:c>
      <x:c r="F236" s="30" t="str">
        <x:v>No verified match found</x:v>
      </x:c>
      <x:c r="G236" s="30" t="str"/>
      <x:c r="H236" s="30" t="str"/>
      <x:c r="I236" s="31"/>
      <x:c r="J236" s="30" t="str"/>
      <x:c r="K236" s="30" t="str">
        <x:v>Exact-name and available broader-name searches did not establish a matching page.</x:v>
      </x:c>
      <x:c r="L236" s="30" t="str">
        <x:v>Nuggent Pond; Nuggent</x:v>
      </x:c>
    </x:row>
    <x:row r="237" ht="40" customHeight="1">
      <x:c r="A237" s="30" t="str">
        <x:v>Obed Lake</x:v>
      </x:c>
      <x:c r="B237" s="30" t="str">
        <x:v>5466</x:v>
      </x:c>
      <x:c r="C237" s="30" t="str">
        <x:v>Brown Trout</x:v>
      </x:c>
      <x:c r="D237" s="30" t="str">
        <x:v>Brown Trout; Emerald Shiner; Lake Chub; Rainbow Trout; White Sucker; Yellow Perch</x:v>
      </x:c>
      <x:c r="E237" s="30" t="str">
        <x:v>Emerald Shiner; Lake Chub; Rainbow Trout; White Sucker; Yellow Perch</x:v>
      </x:c>
      <x:c r="F237" s="30" t="str">
        <x:v>Matched — species listed</x:v>
      </x:c>
      <x:c r="G237" s="30" t="str"/>
      <x:c r="H237" s="30" t="str">
        <x:v>OBED LAKE</x:v>
      </x:c>
      <x:c r="I237" s="31" t="n">
        <x:v>0.623</x:v>
      </x:c>
      <x:c r="J237" s="30" t="str">
        <x:v>https://www.anglersatlas.com/place/102577/obed-lake</x:v>
      </x:c>
      <x:c r="K237" s="30" t="str">
        <x:v>Name and coordinates agree.</x:v>
      </x:c>
      <x:c r="L237" s="30" t="str">
        <x:v>Obed Lake</x:v>
      </x:c>
    </x:row>
    <x:row r="238" ht="40" customHeight="1">
      <x:c r="A238" s="30" t="str">
        <x:v>Obstruction Lakes</x:v>
      </x:c>
      <x:c r="B238" s="30" t="str">
        <x:v>5467</x:v>
      </x:c>
      <x:c r="C238" s="30" t="str">
        <x:v>Cutthroat Trout</x:v>
      </x:c>
      <x:c r="D238" s="30" t="str">
        <x:v>Not listed</x:v>
      </x:c>
      <x:c r="E238" s="30" t="str">
        <x:v>None listed</x:v>
      </x:c>
      <x:c r="F238" s="30" t="str">
        <x:v>Matched — no species listed</x:v>
      </x:c>
      <x:c r="G238" s="30" t="str"/>
      <x:c r="H238" s="30" t="str">
        <x:v>Obstruction Lakes</x:v>
      </x:c>
      <x:c r="I238" s="31" t="n">
        <x:v>0.043</x:v>
      </x:c>
      <x:c r="J238" s="30" t="str">
        <x:v>https://www.anglersatlas.com/place/1108057/obstruction-lakes</x:v>
      </x:c>
      <x:c r="K238" s="30" t="str">
        <x:v>Name and coordinates agree.</x:v>
      </x:c>
      <x:c r="L238" s="30" t="str">
        <x:v>Obstruction Lakes</x:v>
      </x:c>
    </x:row>
    <x:row r="239" ht="40" customHeight="1">
      <x:c r="A239" s="30" t="str">
        <x:v>Odlum Lake</x:v>
      </x:c>
      <x:c r="B239" s="30" t="str">
        <x:v>18997</x:v>
      </x:c>
      <x:c r="C239" s="30" t="str">
        <x:v>Cutthroat Trout</x:v>
      </x:c>
      <x:c r="D239" s="30" t="str">
        <x:v>Not listed</x:v>
      </x:c>
      <x:c r="E239" s="30" t="str">
        <x:v>None listed</x:v>
      </x:c>
      <x:c r="F239" s="30" t="str">
        <x:v>Matched — no species listed</x:v>
      </x:c>
      <x:c r="G239" s="30" t="str"/>
      <x:c r="H239" s="30" t="str">
        <x:v>Odlum Lake</x:v>
      </x:c>
      <x:c r="I239" s="31" t="n">
        <x:v>0</x:v>
      </x:c>
      <x:c r="J239" s="30" t="str">
        <x:v>https://www.anglersatlas.com/place/1108058/odlum-lake</x:v>
      </x:c>
      <x:c r="K239" s="30" t="str">
        <x:v>Name and coordinates agree.</x:v>
      </x:c>
      <x:c r="L239" s="30" t="str">
        <x:v>Odlum Lake</x:v>
      </x:c>
    </x:row>
    <x:row r="240" ht="40" customHeight="1">
      <x:c r="A240" s="30" t="str">
        <x:v>Ole Lake</x:v>
      </x:c>
      <x:c r="B240" s="30" t="str">
        <x:v>5476</x:v>
      </x:c>
      <x:c r="C240" s="30" t="str">
        <x:v>Rainbow Trout</x:v>
      </x:c>
      <x:c r="D240" s="30" t="str">
        <x:v>Rainbow Trout</x:v>
      </x:c>
      <x:c r="E240" s="30" t="str">
        <x:v>None listed</x:v>
      </x:c>
      <x:c r="F240" s="30" t="str">
        <x:v>Matched — species listed</x:v>
      </x:c>
      <x:c r="G240" s="30" t="str"/>
      <x:c r="H240" s="30" t="str">
        <x:v>OLE LAKE</x:v>
      </x:c>
      <x:c r="I240" s="31" t="n">
        <x:v>0.022</x:v>
      </x:c>
      <x:c r="J240" s="30" t="str">
        <x:v>https://www.anglersatlas.com/place/102008/ole-lake</x:v>
      </x:c>
      <x:c r="K240" s="30" t="str">
        <x:v>Name and coordinates agree.</x:v>
      </x:c>
      <x:c r="L240" s="30" t="str">
        <x:v>Ole Lake</x:v>
      </x:c>
    </x:row>
    <x:row r="241" ht="40" customHeight="1">
      <x:c r="A241" s="30" t="str">
        <x:v>Open Creek Reservoir</x:v>
      </x:c>
      <x:c r="B241" s="30" t="str">
        <x:v>6726</x:v>
      </x:c>
      <x:c r="C241" s="30" t="str">
        <x:v>Rainbow Trout</x:v>
      </x:c>
      <x:c r="D241" s="30" t="str">
        <x:v>Not assigned</x:v>
      </x:c>
      <x:c r="E241" s="30" t="str">
        <x:v>Not assigned</x:v>
      </x:c>
      <x:c r="F241" s="30" t="str">
        <x:v>No verified match found</x:v>
      </x:c>
      <x:c r="G241" s="30" t="str"/>
      <x:c r="H241" s="30" t="str"/>
      <x:c r="I241" s="31"/>
      <x:c r="J241" s="30" t="str"/>
      <x:c r="K241" s="30" t="str">
        <x:v>Exact-name and available broader-name searches did not establish a matching page.</x:v>
      </x:c>
      <x:c r="L241" s="30" t="str">
        <x:v>Open Creek Reservoir; Open Creek</x:v>
      </x:c>
    </x:row>
    <x:row r="242" ht="40" customHeight="1">
      <x:c r="A242" s="30" t="str">
        <x:v>Oyen Pond</x:v>
      </x:c>
      <x:c r="B242" s="30" t="str">
        <x:v>18020</x:v>
      </x:c>
      <x:c r="C242" s="30" t="str">
        <x:v>Rainbow Trout</x:v>
      </x:c>
      <x:c r="D242" s="30" t="str">
        <x:v>Not assigned</x:v>
      </x:c>
      <x:c r="E242" s="30" t="str">
        <x:v>Not assigned</x:v>
      </x:c>
      <x:c r="F242" s="30" t="str">
        <x:v>No verified match found</x:v>
      </x:c>
      <x:c r="G242" s="30" t="str"/>
      <x:c r="H242" s="30" t="str"/>
      <x:c r="I242" s="31"/>
      <x:c r="J242" s="30" t="str"/>
      <x:c r="K242" s="30" t="str">
        <x:v>Exact-name and available broader-name searches did not establish a matching page.</x:v>
      </x:c>
      <x:c r="L242" s="30" t="str">
        <x:v>Oyen Pond; Oyen</x:v>
      </x:c>
    </x:row>
    <x:row r="243" ht="40" customHeight="1">
      <x:c r="A243" s="30" t="str">
        <x:v>Oyen Reservoir</x:v>
      </x:c>
      <x:c r="B243" s="30" t="str">
        <x:v>6714</x:v>
      </x:c>
      <x:c r="C243" s="30" t="str">
        <x:v>Rainbow Trout</x:v>
      </x:c>
      <x:c r="D243" s="30" t="str">
        <x:v>Not assigned</x:v>
      </x:c>
      <x:c r="E243" s="30" t="str">
        <x:v>Not assigned</x:v>
      </x:c>
      <x:c r="F243" s="30" t="str">
        <x:v>No verified match found</x:v>
      </x:c>
      <x:c r="G243" s="30" t="str"/>
      <x:c r="H243" s="30" t="str"/>
      <x:c r="I243" s="31"/>
      <x:c r="J243" s="30" t="str"/>
      <x:c r="K243" s="30" t="str">
        <x:v>Exact-name and available broader-name searches did not establish a matching page.</x:v>
      </x:c>
      <x:c r="L243" s="30" t="str">
        <x:v>Oyen Reservoir; Oyen</x:v>
      </x:c>
    </x:row>
    <x:row r="244" ht="40" customHeight="1">
      <x:c r="A244" s="30" t="str">
        <x:v>Parker Lake</x:v>
      </x:c>
      <x:c r="B244" s="30" t="str">
        <x:v>5521</x:v>
      </x:c>
      <x:c r="C244" s="30" t="str">
        <x:v>Brook Trout; Rainbow Trout</x:v>
      </x:c>
      <x:c r="D244" s="30" t="str">
        <x:v>Not listed</x:v>
      </x:c>
      <x:c r="E244" s="30" t="str">
        <x:v>None listed</x:v>
      </x:c>
      <x:c r="F244" s="30" t="str">
        <x:v>Matched — no species listed</x:v>
      </x:c>
      <x:c r="G244" s="30" t="str"/>
      <x:c r="H244" s="30" t="str">
        <x:v>Parker Lake</x:v>
      </x:c>
      <x:c r="I244" s="31" t="n">
        <x:v>0.085</x:v>
      </x:c>
      <x:c r="J244" s="30" t="str">
        <x:v>https://www.anglersatlas.com/place/130613/parker-lake</x:v>
      </x:c>
      <x:c r="K244" s="30" t="str">
        <x:v>Name and coordinates agree.</x:v>
      </x:c>
      <x:c r="L244" s="30" t="str">
        <x:v>Parker Lake</x:v>
      </x:c>
    </x:row>
    <x:row r="245" ht="40" customHeight="1">
      <x:c r="A245" s="30" t="str">
        <x:v>Peanut Lake</x:v>
      </x:c>
      <x:c r="B245" s="30" t="str">
        <x:v>5538</x:v>
      </x:c>
      <x:c r="C245" s="30" t="str">
        <x:v>Brook Trout; Rainbow Trout</x:v>
      </x:c>
      <x:c r="D245" s="30" t="str">
        <x:v>Rainbow Trout</x:v>
      </x:c>
      <x:c r="E245" s="30" t="str">
        <x:v>None listed</x:v>
      </x:c>
      <x:c r="F245" s="30" t="str">
        <x:v>Matched — species listed</x:v>
      </x:c>
      <x:c r="G245" s="30" t="str"/>
      <x:c r="H245" s="30" t="str">
        <x:v>PEANUT LAKE</x:v>
      </x:c>
      <x:c r="I245" s="31" t="n">
        <x:v>0.184</x:v>
      </x:c>
      <x:c r="J245" s="30" t="str">
        <x:v>https://www.anglersatlas.com/place/102015/peanut-lake</x:v>
      </x:c>
      <x:c r="K245" s="30" t="str">
        <x:v>Name and coordinates agree.</x:v>
      </x:c>
      <x:c r="L245" s="30" t="str">
        <x:v>Peanut Lake</x:v>
      </x:c>
    </x:row>
    <x:row r="246" ht="40" customHeight="1">
      <x:c r="A246" s="30" t="str">
        <x:v>Peppers Lake</x:v>
      </x:c>
      <x:c r="B246" s="30" t="str">
        <x:v>5555</x:v>
      </x:c>
      <x:c r="C246" s="30" t="str">
        <x:v>Brook Trout; Rainbow Trout</x:v>
      </x:c>
      <x:c r="D246" s="30" t="str">
        <x:v>Brook Trout; Rainbow Trout</x:v>
      </x:c>
      <x:c r="E246" s="30" t="str">
        <x:v>None listed</x:v>
      </x:c>
      <x:c r="F246" s="30" t="str">
        <x:v>Matched — species listed</x:v>
      </x:c>
      <x:c r="G246" s="30" t="str"/>
      <x:c r="H246" s="30" t="str">
        <x:v>Peppers Lake</x:v>
      </x:c>
      <x:c r="I246" s="31" t="n">
        <x:v>0.011</x:v>
      </x:c>
      <x:c r="J246" s="30" t="str">
        <x:v>https://www.anglersatlas.com/place/130659/peppers-lake</x:v>
      </x:c>
      <x:c r="K246" s="30" t="str">
        <x:v>Name and coordinates agree.</x:v>
      </x:c>
      <x:c r="L246" s="30" t="str">
        <x:v>Peppers Lake</x:v>
      </x:c>
    </x:row>
    <x:row r="247" ht="40" customHeight="1">
      <x:c r="A247" s="30" t="str">
        <x:v>Petite Lake</x:v>
      </x:c>
      <x:c r="B247" s="30" t="str">
        <x:v>5565</x:v>
      </x:c>
      <x:c r="C247" s="30" t="str">
        <x:v>Rainbow Trout</x:v>
      </x:c>
      <x:c r="D247" s="30" t="str">
        <x:v>Rainbow Trout</x:v>
      </x:c>
      <x:c r="E247" s="30" t="str">
        <x:v>None listed</x:v>
      </x:c>
      <x:c r="F247" s="30" t="str">
        <x:v>Matched — species listed</x:v>
      </x:c>
      <x:c r="G247" s="30" t="str"/>
      <x:c r="H247" s="30" t="str">
        <x:v>PETITE LAKE</x:v>
      </x:c>
      <x:c r="I247" s="31" t="n">
        <x:v>0.007</x:v>
      </x:c>
      <x:c r="J247" s="30" t="str">
        <x:v>https://www.anglersatlas.com/place/102016/petite-lake</x:v>
      </x:c>
      <x:c r="K247" s="30" t="str">
        <x:v>Name and coordinates agree.</x:v>
      </x:c>
      <x:c r="L247" s="30" t="str">
        <x:v>Petite Lake</x:v>
      </x:c>
    </x:row>
    <x:row r="248" ht="40" customHeight="1">
      <x:c r="A248" s="30" t="str">
        <x:v>Phillips Lake</x:v>
      </x:c>
      <x:c r="B248" s="30" t="str">
        <x:v>5568</x:v>
      </x:c>
      <x:c r="C248" s="30" t="str"/>
      <x:c r="D248" s="30" t="str">
        <x:v>Not assigned</x:v>
      </x:c>
      <x:c r="E248" s="30" t="str">
        <x:v>Not assigned</x:v>
      </x:c>
      <x:c r="F248" s="30" t="str">
        <x:v>No verified match found</x:v>
      </x:c>
      <x:c r="G248" s="30" t="str"/>
      <x:c r="H248" s="30" t="str"/>
      <x:c r="I248" s="31"/>
      <x:c r="J248" s="30" t="str"/>
      <x:c r="K248" s="30" t="str">
        <x:v>Exact-name and available broader-name searches did not establish a matching page.</x:v>
      </x:c>
      <x:c r="L248" s="30" t="str">
        <x:v>Phillips Lake; Phillips</x:v>
      </x:c>
    </x:row>
    <x:row r="249" ht="40" customHeight="1">
      <x:c r="A249" s="30" t="str">
        <x:v>Phyllis Lake</x:v>
      </x:c>
      <x:c r="B249" s="30" t="str">
        <x:v>5569</x:v>
      </x:c>
      <x:c r="C249" s="30" t="str">
        <x:v>Rainbow Trout</x:v>
      </x:c>
      <x:c r="D249" s="30" t="str">
        <x:v>Rainbow Trout; White Sucker; Yellow Perch</x:v>
      </x:c>
      <x:c r="E249" s="30" t="str">
        <x:v>White Sucker; Yellow Perch</x:v>
      </x:c>
      <x:c r="F249" s="30" t="str">
        <x:v>Matched — species listed</x:v>
      </x:c>
      <x:c r="G249" s="30" t="str"/>
      <x:c r="H249" s="30" t="str">
        <x:v>Phyllis Lake</x:v>
      </x:c>
      <x:c r="I249" s="31" t="n">
        <x:v>0.078</x:v>
      </x:c>
      <x:c r="J249" s="30" t="str">
        <x:v>https://www.anglersatlas.com/place/136982/phyllis-lake</x:v>
      </x:c>
      <x:c r="K249" s="30" t="str">
        <x:v>Name and coordinates agree.</x:v>
      </x:c>
      <x:c r="L249" s="30" t="str">
        <x:v>Phyllis Lake</x:v>
      </x:c>
    </x:row>
    <x:row r="250" ht="40" customHeight="1">
      <x:c r="A250" s="30" t="str">
        <x:v>Pine Coulee Reservoir</x:v>
      </x:c>
      <x:c r="B250" s="30" t="str">
        <x:v>18007</x:v>
      </x:c>
      <x:c r="C250" s="30" t="str">
        <x:v>Rainbow Trout</x:v>
      </x:c>
      <x:c r="D250" s="30" t="str">
        <x:v>Northern Pike; Rainbow Trout; Walleye</x:v>
      </x:c>
      <x:c r="E250" s="30" t="str">
        <x:v>Northern Pike; Walleye</x:v>
      </x:c>
      <x:c r="F250" s="30" t="str">
        <x:v>Matched — species listed</x:v>
      </x:c>
      <x:c r="G250" s="30" t="str"/>
      <x:c r="H250" s="30" t="str">
        <x:v>Pine Coulee Reservoir</x:v>
      </x:c>
      <x:c r="I250" s="31" t="n">
        <x:v>1.476</x:v>
      </x:c>
      <x:c r="J250" s="30" t="str">
        <x:v>https://www.anglersatlas.com/place/873848/pine-coulee-reservoir</x:v>
      </x:c>
      <x:c r="K250" s="30" t="str">
        <x:v>Same named large lake. Map points differ within the lake vicinity.</x:v>
      </x:c>
      <x:c r="L250" s="30" t="str">
        <x:v>Pine Coulee Reservoir</x:v>
      </x:c>
    </x:row>
    <x:row r="251" ht="40" customHeight="1">
      <x:c r="A251" s="30" t="str">
        <x:v>Pine Point Borrow Pit</x:v>
      </x:c>
      <x:c r="B251" s="30" t="str">
        <x:v>6910</x:v>
      </x:c>
      <x:c r="C251" s="30" t="str"/>
      <x:c r="D251" s="30" t="str">
        <x:v>Not assigned</x:v>
      </x:c>
      <x:c r="E251" s="30" t="str">
        <x:v>Not assigned</x:v>
      </x:c>
      <x:c r="F251" s="30" t="str">
        <x:v>No verified match found</x:v>
      </x:c>
      <x:c r="G251" s="30" t="str"/>
      <x:c r="H251" s="30" t="str"/>
      <x:c r="I251" s="31"/>
      <x:c r="J251" s="30" t="str"/>
      <x:c r="K251" s="30" t="str">
        <x:v>Exact-name and available broader-name searches did not establish a matching page.</x:v>
      </x:c>
      <x:c r="L251" s="30" t="str">
        <x:v>Pine Point Borrow Pit; Pine Point</x:v>
      </x:c>
    </x:row>
    <x:row r="252" ht="40" customHeight="1">
      <x:c r="A252" s="30" t="str">
        <x:v>Pinehurst Lake</x:v>
      </x:c>
      <x:c r="B252" s="30" t="str">
        <x:v>5581</x:v>
      </x:c>
      <x:c r="C252" s="30" t="str">
        <x:v>Walleye</x:v>
      </x:c>
      <x:c r="D252" s="30" t="str">
        <x:v>Burbot; Lake Whitefish; Northern Pike; Walleye; Yellow Perch</x:v>
      </x:c>
      <x:c r="E252" s="30" t="str">
        <x:v>Burbot; Lake Whitefish; Northern Pike; Yellow Perch</x:v>
      </x:c>
      <x:c r="F252" s="30" t="str">
        <x:v>Matched — species listed</x:v>
      </x:c>
      <x:c r="G252" s="30" t="str"/>
      <x:c r="H252" s="30" t="str">
        <x:v>PINEHURST LAKE</x:v>
      </x:c>
      <x:c r="I252" s="31" t="n">
        <x:v>0.813</x:v>
      </x:c>
      <x:c r="J252" s="30" t="str">
        <x:v>https://www.anglersatlas.com/place/102022/pinehurst-lake</x:v>
      </x:c>
      <x:c r="K252" s="30" t="str">
        <x:v>Name and coordinates agree.</x:v>
      </x:c>
      <x:c r="L252" s="30" t="str">
        <x:v>Pinehurst Lake</x:v>
      </x:c>
    </x:row>
    <x:row r="253" ht="40" customHeight="1">
      <x:c r="A253" s="30" t="str">
        <x:v>Pit 24</x:v>
      </x:c>
      <x:c r="B253" s="30" t="str">
        <x:v>23789</x:v>
      </x:c>
      <x:c r="C253" s="30" t="str">
        <x:v>Brown Trout; Rainbow Trout</x:v>
      </x:c>
      <x:c r="D253" s="30" t="str">
        <x:v>Not listed</x:v>
      </x:c>
      <x:c r="E253" s="30" t="str">
        <x:v>None listed</x:v>
      </x:c>
      <x:c r="F253" s="30" t="str">
        <x:v>Matched — no species listed</x:v>
      </x:c>
      <x:c r="G253" s="30" t="str"/>
      <x:c r="H253" s="30" t="str">
        <x:v>Pit 24 Lake</x:v>
      </x:c>
      <x:c r="I253" s="31" t="n">
        <x:v>0.052</x:v>
      </x:c>
      <x:c r="J253" s="30" t="str">
        <x:v>https://www.anglersatlas.com/place/1108063/pit-24-lake</x:v>
      </x:c>
      <x:c r="K253" s="30" t="str">
        <x:v>Name variant and coordinates agree.</x:v>
      </x:c>
      <x:c r="L253" s="30" t="str">
        <x:v>Pit 24</x:v>
      </x:c>
    </x:row>
    <x:row r="254" ht="40" customHeight="1">
      <x:c r="A254" s="30" t="str">
        <x:v>Pit 35</x:v>
      </x:c>
      <x:c r="B254" s="30" t="str">
        <x:v>23790</x:v>
      </x:c>
      <x:c r="C254" s="30" t="str">
        <x:v>Rainbow Trout</x:v>
      </x:c>
      <x:c r="D254" s="30" t="str">
        <x:v>Not listed</x:v>
      </x:c>
      <x:c r="E254" s="30" t="str">
        <x:v>None listed</x:v>
      </x:c>
      <x:c r="F254" s="30" t="str">
        <x:v>Matched — no species listed</x:v>
      </x:c>
      <x:c r="G254" s="30" t="str"/>
      <x:c r="H254" s="30" t="str">
        <x:v>Pit 35 Lake</x:v>
      </x:c>
      <x:c r="I254" s="31" t="n">
        <x:v>0.034</x:v>
      </x:c>
      <x:c r="J254" s="30" t="str">
        <x:v>https://www.anglersatlas.com/place/1108064/pit-35-lake</x:v>
      </x:c>
      <x:c r="K254" s="30" t="str">
        <x:v>Name variant and coordinates agree.</x:v>
      </x:c>
      <x:c r="L254" s="30" t="str">
        <x:v>Pit 35</x:v>
      </x:c>
    </x:row>
    <x:row r="255" ht="40" customHeight="1">
      <x:c r="A255" s="30" t="str">
        <x:v>Pit 44</x:v>
      </x:c>
      <x:c r="B255" s="30" t="str">
        <x:v>24312</x:v>
      </x:c>
      <x:c r="C255" s="30" t="str">
        <x:v>Rainbow Trout</x:v>
      </x:c>
      <x:c r="D255" s="30" t="str">
        <x:v>Not listed</x:v>
      </x:c>
      <x:c r="E255" s="30" t="str">
        <x:v>None listed</x:v>
      </x:c>
      <x:c r="F255" s="30" t="str">
        <x:v>Matched — no species listed</x:v>
      </x:c>
      <x:c r="G255" s="30" t="str"/>
      <x:c r="H255" s="30" t="str">
        <x:v>PIT 44 LAKE</x:v>
      </x:c>
      <x:c r="I255" s="31" t="n">
        <x:v>0.139</x:v>
      </x:c>
      <x:c r="J255" s="30" t="str">
        <x:v>https://www.anglersatlas.com/place/1108065/pit-44-lake</x:v>
      </x:c>
      <x:c r="K255" s="30" t="str">
        <x:v>Name variant and coordinates agree.</x:v>
      </x:c>
      <x:c r="L255" s="30" t="str">
        <x:v>Pit 44</x:v>
      </x:c>
    </x:row>
    <x:row r="256" ht="40" customHeight="1">
      <x:c r="A256" s="30" t="str">
        <x:v>Pit 45</x:v>
      </x:c>
      <x:c r="B256" s="30" t="str">
        <x:v>23791</x:v>
      </x:c>
      <x:c r="C256" s="30" t="str">
        <x:v>Rainbow Trout</x:v>
      </x:c>
      <x:c r="D256" s="30" t="str">
        <x:v>Not listed</x:v>
      </x:c>
      <x:c r="E256" s="30" t="str">
        <x:v>None listed</x:v>
      </x:c>
      <x:c r="F256" s="30" t="str">
        <x:v>Matched — no species listed</x:v>
      </x:c>
      <x:c r="G256" s="30" t="str"/>
      <x:c r="H256" s="30" t="str">
        <x:v>Pit 45 Lake</x:v>
      </x:c>
      <x:c r="I256" s="31" t="n">
        <x:v>0.067</x:v>
      </x:c>
      <x:c r="J256" s="30" t="str">
        <x:v>https://www.anglersatlas.com/place/1108066/pit-45-lake</x:v>
      </x:c>
      <x:c r="K256" s="30" t="str">
        <x:v>Name variant and coordinates agree.</x:v>
      </x:c>
      <x:c r="L256" s="30" t="str">
        <x:v>Pit 45</x:v>
      </x:c>
    </x:row>
    <x:row r="257" ht="40" customHeight="1">
      <x:c r="A257" s="30" t="str">
        <x:v>Pleasure Island Reservoir</x:v>
      </x:c>
      <x:c r="B257" s="30" t="str">
        <x:v>6706</x:v>
      </x:c>
      <x:c r="C257" s="30" t="str">
        <x:v>Brook Trout; Brown Trout; Rainbow Trout; Tiger Trout</x:v>
      </x:c>
      <x:c r="D257" s="30" t="str">
        <x:v>Not assigned</x:v>
      </x:c>
      <x:c r="E257" s="30" t="str">
        <x:v>Not assigned</x:v>
      </x:c>
      <x:c r="F257" s="30" t="str">
        <x:v>No verified match found</x:v>
      </x:c>
      <x:c r="G257" s="30" t="str"/>
      <x:c r="H257" s="30" t="str"/>
      <x:c r="I257" s="31"/>
      <x:c r="J257" s="30" t="str"/>
      <x:c r="K257" s="30" t="str">
        <x:v>Exact-name and available broader-name searches did not establish a matching page.</x:v>
      </x:c>
      <x:c r="L257" s="30" t="str">
        <x:v>Pleasure Island Reservoir; Pleasure Island</x:v>
      </x:c>
    </x:row>
    <x:row r="258" ht="40" customHeight="1">
      <x:c r="A258" s="30" t="str">
        <x:v>Police Lake</x:v>
      </x:c>
      <x:c r="B258" s="30" t="str">
        <x:v>5504</x:v>
      </x:c>
      <x:c r="C258" s="30" t="str">
        <x:v>Rainbow Trout</x:v>
      </x:c>
      <x:c r="D258" s="30" t="str">
        <x:v>Not assigned</x:v>
      </x:c>
      <x:c r="E258" s="30" t="str">
        <x:v>Not assigned</x:v>
      </x:c>
      <x:c r="F258" s="30" t="str">
        <x:v>No verified match found</x:v>
      </x:c>
      <x:c r="G258" s="30" t="str"/>
      <x:c r="H258" s="30" t="str">
        <x:v>Police Point Park</x:v>
      </x:c>
      <x:c r="I258" s="31" t="n">
        <x:v>233.125</x:v>
      </x:c>
      <x:c r="J258" s="30" t="str">
        <x:v>https://www.anglersatlas.com/place/709867/police-point-park</x:v>
      </x:c>
      <x:c r="K258" s="30" t="str">
        <x:v>Named candidate coordinates do not agree. Species not assigned.</x:v>
      </x:c>
      <x:c r="L258" s="30" t="str">
        <x:v>Police Lake; Police</x:v>
      </x:c>
    </x:row>
    <x:row r="259" ht="40" customHeight="1">
      <x:c r="A259" s="30" t="str">
        <x:v>Ponoka Centennial Park Pond</x:v>
      </x:c>
      <x:c r="B259" s="30" t="str">
        <x:v>6871</x:v>
      </x:c>
      <x:c r="C259" s="30" t="str">
        <x:v>Rainbow Trout; Tiger Trout</x:v>
      </x:c>
      <x:c r="D259" s="30" t="str">
        <x:v>Not assigned</x:v>
      </x:c>
      <x:c r="E259" s="30" t="str">
        <x:v>Not assigned</x:v>
      </x:c>
      <x:c r="F259" s="30" t="str">
        <x:v>No verified match found</x:v>
      </x:c>
      <x:c r="G259" s="30" t="str"/>
      <x:c r="H259" s="30" t="str"/>
      <x:c r="I259" s="31"/>
      <x:c r="J259" s="30" t="str"/>
      <x:c r="K259" s="30" t="str">
        <x:v>Exact-name and available broader-name searches did not establish a matching page.</x:v>
      </x:c>
      <x:c r="L259" s="30" t="str">
        <x:v>Ponoka Centennial Park Pond; Ponoka Centennial</x:v>
      </x:c>
    </x:row>
    <x:row r="260" ht="40" customHeight="1">
      <x:c r="A260" s="30" t="str">
        <x:v>Radway Fish Pond</x:v>
      </x:c>
      <x:c r="B260" s="30" t="str">
        <x:v>26047</x:v>
      </x:c>
      <x:c r="C260" s="30" t="str">
        <x:v>Rainbow Trout</x:v>
      </x:c>
      <x:c r="D260" s="30" t="str">
        <x:v>Not assigned</x:v>
      </x:c>
      <x:c r="E260" s="30" t="str">
        <x:v>Not assigned</x:v>
      </x:c>
      <x:c r="F260" s="30" t="str">
        <x:v>No verified match found</x:v>
      </x:c>
      <x:c r="G260" s="30" t="str"/>
      <x:c r="H260" s="30" t="str"/>
      <x:c r="I260" s="31"/>
      <x:c r="J260" s="30" t="str"/>
      <x:c r="K260" s="30" t="str">
        <x:v>Exact-name and available broader-name searches did not establish a matching page.</x:v>
      </x:c>
      <x:c r="L260" s="30" t="str">
        <x:v>Radway Fish Pond; Radway</x:v>
      </x:c>
    </x:row>
    <x:row r="261" ht="40" customHeight="1">
      <x:c r="A261" s="30" t="str">
        <x:v>Rainbow Lake Pond</x:v>
      </x:c>
      <x:c r="B261" s="30" t="str">
        <x:v>6705</x:v>
      </x:c>
      <x:c r="C261" s="30" t="str">
        <x:v>Rainbow Trout</x:v>
      </x:c>
      <x:c r="D261" s="30" t="str">
        <x:v>Not assigned</x:v>
      </x:c>
      <x:c r="E261" s="30" t="str">
        <x:v>Not assigned</x:v>
      </x:c>
      <x:c r="F261" s="30" t="str">
        <x:v>No verified match found</x:v>
      </x:c>
      <x:c r="G261" s="30" t="str"/>
      <x:c r="H261" s="30" t="str">
        <x:v>Rainbow Lake</x:v>
      </x:c>
      <x:c r="I261" s="31" t="n">
        <x:v>23.879</x:v>
      </x:c>
      <x:c r="J261" s="30" t="str">
        <x:v>https://www.anglersatlas.com/place/129655/rainbow-lake</x:v>
      </x:c>
      <x:c r="K261" s="30" t="str">
        <x:v>Named candidate coordinates do not agree. Species not assigned.</x:v>
      </x:c>
      <x:c r="L261" s="30" t="str">
        <x:v>Rainbow Lake Pond; Rainbow</x:v>
      </x:c>
    </x:row>
    <x:row r="262" ht="40" customHeight="1">
      <x:c r="A262" s="30" t="str">
        <x:v>Rat Lake</x:v>
      </x:c>
      <x:c r="B262" s="30" t="str">
        <x:v>6702</x:v>
      </x:c>
      <x:c r="C262" s="30" t="str">
        <x:v>Brook Trout; Tiger Trout</x:v>
      </x:c>
      <x:c r="D262" s="30" t="str">
        <x:v>Not listed</x:v>
      </x:c>
      <x:c r="E262" s="30" t="str">
        <x:v>None listed</x:v>
      </x:c>
      <x:c r="F262" s="30" t="str">
        <x:v>Matched — no species listed</x:v>
      </x:c>
      <x:c r="G262" s="30" t="str"/>
      <x:c r="H262" s="30" t="str">
        <x:v>Rat Lake</x:v>
      </x:c>
      <x:c r="I262" s="31" t="n">
        <x:v>0.011</x:v>
      </x:c>
      <x:c r="J262" s="30" t="str">
        <x:v>https://www.anglersatlas.com/place/2578064/rat-lake</x:v>
      </x:c>
      <x:c r="K262" s="30" t="str">
        <x:v>Name and coordinates agree.</x:v>
      </x:c>
      <x:c r="L262" s="30" t="str">
        <x:v>Rat Lake</x:v>
      </x:c>
    </x:row>
    <x:row r="263" ht="40" customHeight="1">
      <x:c r="A263" s="30" t="str">
        <x:v>Rawson Lake</x:v>
      </x:c>
      <x:c r="B263" s="30" t="str">
        <x:v>5649</x:v>
      </x:c>
      <x:c r="C263" s="30" t="str">
        <x:v>Westslope Cutthroat Trout</x:v>
      </x:c>
      <x:c r="D263" s="30" t="str">
        <x:v>Cutthroat Trout</x:v>
      </x:c>
      <x:c r="E263" s="30" t="str">
        <x:v>None listed</x:v>
      </x:c>
      <x:c r="F263" s="30" t="str">
        <x:v>Matched — species listed</x:v>
      </x:c>
      <x:c r="G263" s="30" t="str"/>
      <x:c r="H263" s="30" t="str">
        <x:v>Rawson Lake</x:v>
      </x:c>
      <x:c r="I263" s="31" t="n">
        <x:v>0.059</x:v>
      </x:c>
      <x:c r="J263" s="30" t="str">
        <x:v>https://www.anglersatlas.com/place/129665/rawson-lake</x:v>
      </x:c>
      <x:c r="K263" s="30" t="str">
        <x:v>Name and coordinates agree.</x:v>
      </x:c>
      <x:c r="L263" s="30" t="str">
        <x:v>Rawson Lake</x:v>
      </x:c>
    </x:row>
    <x:row r="264" ht="40" customHeight="1">
      <x:c r="A264" s="30" t="str">
        <x:v>Ray's Pond</x:v>
      </x:c>
      <x:c r="B264" s="30" t="str">
        <x:v>6735</x:v>
      </x:c>
      <x:c r="C264" s="30" t="str">
        <x:v>Rainbow Trout; Tiger Trout</x:v>
      </x:c>
      <x:c r="D264" s="30" t="str">
        <x:v>Not assigned</x:v>
      </x:c>
      <x:c r="E264" s="30" t="str">
        <x:v>Not assigned</x:v>
      </x:c>
      <x:c r="F264" s="30" t="str">
        <x:v>No verified match found</x:v>
      </x:c>
      <x:c r="G264" s="30" t="str"/>
      <x:c r="H264" s="30" t="str">
        <x:v>Bray Lake</x:v>
      </x:c>
      <x:c r="I264" s="31" t="n">
        <x:v>142.69</x:v>
      </x:c>
      <x:c r="J264" s="30" t="str">
        <x:v>https://www.anglersatlas.com/place/129993/bray-lake</x:v>
      </x:c>
      <x:c r="K264" s="30" t="str">
        <x:v>Named candidate coordinates do not agree. Species not assigned.</x:v>
      </x:c>
      <x:c r="L264" s="30" t="str">
        <x:v>Ray's Pond; Ray</x:v>
      </x:c>
    </x:row>
    <x:row r="265" ht="40" customHeight="1">
      <x:c r="A265" s="30" t="str">
        <x:v>Reesor Lake</x:v>
      </x:c>
      <x:c r="B265" s="30" t="str">
        <x:v>5661</x:v>
      </x:c>
      <x:c r="C265" s="30" t="str">
        <x:v>Rainbow Trout; Tiger Trout</x:v>
      </x:c>
      <x:c r="D265" s="30" t="str">
        <x:v>Rainbow Trout; Tiger Trout; White Sucker</x:v>
      </x:c>
      <x:c r="E265" s="30" t="str">
        <x:v>White Sucker</x:v>
      </x:c>
      <x:c r="F265" s="30" t="str">
        <x:v>Matched — species listed</x:v>
      </x:c>
      <x:c r="G265" s="30" t="str"/>
      <x:c r="H265" s="30" t="str">
        <x:v>REESOR LAKE</x:v>
      </x:c>
      <x:c r="I265" s="31" t="n">
        <x:v>0.049</x:v>
      </x:c>
      <x:c r="J265" s="30" t="str">
        <x:v>https://www.anglersatlas.com/place/102026/reesor-lake</x:v>
      </x:c>
      <x:c r="K265" s="30" t="str">
        <x:v>Name and coordinates agree.</x:v>
      </x:c>
      <x:c r="L265" s="30" t="str">
        <x:v>Reesor Lake</x:v>
      </x:c>
    </x:row>
    <x:row r="266" ht="40" customHeight="1">
      <x:c r="A266" s="30" t="str">
        <x:v>Ribbon Lake</x:v>
      </x:c>
      <x:c r="B266" s="30" t="str">
        <x:v>5667</x:v>
      </x:c>
      <x:c r="C266" s="30" t="str">
        <x:v>Cutthroat Trout</x:v>
      </x:c>
      <x:c r="D266" s="30" t="str">
        <x:v>Not listed</x:v>
      </x:c>
      <x:c r="E266" s="30" t="str">
        <x:v>None listed</x:v>
      </x:c>
      <x:c r="F266" s="30" t="str">
        <x:v>Matched — no species listed</x:v>
      </x:c>
      <x:c r="G266" s="30" t="str"/>
      <x:c r="H266" s="30" t="str">
        <x:v>Ribbon Lake</x:v>
      </x:c>
      <x:c r="I266" s="31" t="n">
        <x:v>0.042</x:v>
      </x:c>
      <x:c r="J266" s="30" t="str">
        <x:v>https://www.anglersatlas.com/place/130668/ribbon-lake</x:v>
      </x:c>
      <x:c r="K266" s="30" t="str">
        <x:v>Name and coordinates agree.</x:v>
      </x:c>
      <x:c r="L266" s="30" t="str">
        <x:v>Ribbon Lake</x:v>
      </x:c>
    </x:row>
    <x:row r="267" ht="40" customHeight="1">
      <x:c r="A267" s="30" t="str">
        <x:v>Riverstone Pond</x:v>
      </x:c>
      <x:c r="B267" s="30" t="str">
        <x:v>22504</x:v>
      </x:c>
      <x:c r="C267" s="30" t="str">
        <x:v>Rainbow Trout</x:v>
      </x:c>
      <x:c r="D267" s="30" t="str">
        <x:v>Northern Pike; Rainbow Trout</x:v>
      </x:c>
      <x:c r="E267" s="30" t="str">
        <x:v>Northern Pike</x:v>
      </x:c>
      <x:c r="F267" s="30" t="str">
        <x:v>Matched — species listed</x:v>
      </x:c>
      <x:c r="G267" s="30" t="str"/>
      <x:c r="H267" s="30" t="str">
        <x:v>Riverstone Pond</x:v>
      </x:c>
      <x:c r="I267" s="31" t="n">
        <x:v>0</x:v>
      </x:c>
      <x:c r="J267" s="30" t="str">
        <x:v>https://www.anglersatlas.com/place/2574272/riverstone-pond</x:v>
      </x:c>
      <x:c r="K267" s="30" t="str">
        <x:v>Name and coordinates agree.</x:v>
      </x:c>
      <x:c r="L267" s="30" t="str">
        <x:v>Riverstone Pond</x:v>
      </x:c>
    </x:row>
    <x:row r="268" ht="40" customHeight="1">
      <x:c r="A268" s="30" t="str">
        <x:v>Rocky Children's Pond</x:v>
      </x:c>
      <x:c r="B268" s="30" t="str">
        <x:v>3485</x:v>
      </x:c>
      <x:c r="C268" s="30" t="str">
        <x:v>Rainbow Trout</x:v>
      </x:c>
      <x:c r="D268" s="30" t="str">
        <x:v>Not assigned</x:v>
      </x:c>
      <x:c r="E268" s="30" t="str">
        <x:v>Not assigned</x:v>
      </x:c>
      <x:c r="F268" s="30" t="str">
        <x:v>No verified match found</x:v>
      </x:c>
      <x:c r="G268" s="30" t="str"/>
      <x:c r="H268" s="30" t="str">
        <x:v>Rocky Island Lake</x:v>
      </x:c>
      <x:c r="I268" s="31" t="n">
        <x:v>748.847</x:v>
      </x:c>
      <x:c r="J268" s="30" t="str">
        <x:v>https://www.anglersatlas.com/place/129767/rocky-island-lake</x:v>
      </x:c>
      <x:c r="K268" s="30" t="str">
        <x:v>Named candidate coordinates do not agree. Species not assigned.</x:v>
      </x:c>
      <x:c r="L268" s="30" t="str">
        <x:v>Rocky Children's Pond; Rocky</x:v>
      </x:c>
    </x:row>
    <x:row r="269" ht="40" customHeight="1">
      <x:c r="A269" s="30" t="str">
        <x:v>Running Lake</x:v>
      </x:c>
      <x:c r="B269" s="30" t="str">
        <x:v>5714</x:v>
      </x:c>
      <x:c r="C269" s="30" t="str">
        <x:v>Brook Trout; Rainbow Trout</x:v>
      </x:c>
      <x:c r="D269" s="30" t="str">
        <x:v>Brook Trout; Rainbow Trout</x:v>
      </x:c>
      <x:c r="E269" s="30" t="str">
        <x:v>None listed</x:v>
      </x:c>
      <x:c r="F269" s="30" t="str">
        <x:v>Matched — species listed</x:v>
      </x:c>
      <x:c r="G269" s="30" t="str"/>
      <x:c r="H269" s="30" t="str">
        <x:v>Running Lake</x:v>
      </x:c>
      <x:c r="I269" s="31" t="n">
        <x:v>0.046</x:v>
      </x:c>
      <x:c r="J269" s="30" t="str">
        <x:v>https://www.anglersatlas.com/place/154073/running-lake</x:v>
      </x:c>
      <x:c r="K269" s="30" t="str">
        <x:v>Name and coordinates agree.</x:v>
      </x:c>
      <x:c r="L269" s="30" t="str">
        <x:v>Running Lake</x:v>
      </x:c>
    </x:row>
    <x:row r="270" ht="40" customHeight="1">
      <x:c r="A270" s="30" t="str">
        <x:v>Salter's Lake</x:v>
      </x:c>
      <x:c r="B270" s="30" t="str">
        <x:v>5729</x:v>
      </x:c>
      <x:c r="C270" s="30" t="str">
        <x:v>Rainbow Trout; Tiger Trout</x:v>
      </x:c>
      <x:c r="D270" s="30" t="str">
        <x:v>Rainbow Trout; Tiger Trout</x:v>
      </x:c>
      <x:c r="E270" s="30" t="str">
        <x:v>None listed</x:v>
      </x:c>
      <x:c r="F270" s="30" t="str">
        <x:v>Matched — species listed</x:v>
      </x:c>
      <x:c r="G270" s="30" t="str"/>
      <x:c r="H270" s="30" t="str">
        <x:v>Salter's Lake</x:v>
      </x:c>
      <x:c r="I270" s="31" t="n">
        <x:v>0.034</x:v>
      </x:c>
      <x:c r="J270" s="30" t="str">
        <x:v>https://www.anglersatlas.com/place/137030/salters-lake</x:v>
      </x:c>
      <x:c r="K270" s="30" t="str">
        <x:v>Name and coordinates agree.</x:v>
      </x:c>
      <x:c r="L270" s="30" t="str">
        <x:v>Salter's Lake</x:v>
      </x:c>
    </x:row>
    <x:row r="271" ht="40" customHeight="1">
      <x:c r="A271" s="30" t="str">
        <x:v>Sandy Lake</x:v>
      </x:c>
      <x:c r="B271" s="30" t="str">
        <x:v>5743</x:v>
      </x:c>
      <x:c r="C271" s="30" t="str">
        <x:v>Walleye</x:v>
      </x:c>
      <x:c r="D271" s="30" t="str">
        <x:v>Northern Pike</x:v>
      </x:c>
      <x:c r="E271" s="30" t="str">
        <x:v>Northern Pike</x:v>
      </x:c>
      <x:c r="F271" s="30" t="str">
        <x:v>Matched — species listed</x:v>
      </x:c>
      <x:c r="G271" s="30" t="str"/>
      <x:c r="H271" s="30" t="str">
        <x:v>Sandy Lake</x:v>
      </x:c>
      <x:c r="I271" s="31" t="n">
        <x:v>0.254</x:v>
      </x:c>
      <x:c r="J271" s="30" t="str">
        <x:v>https://www.anglersatlas.com/place/129841/sandy-lake</x:v>
      </x:c>
      <x:c r="K271" s="30" t="str">
        <x:v>Name and coordinates agree.</x:v>
      </x:c>
      <x:c r="L271" s="30" t="str">
        <x:v>Sandy Lake</x:v>
      </x:c>
    </x:row>
    <x:row r="272" ht="40" customHeight="1">
      <x:c r="A272" s="30" t="str">
        <x:v>Sardine Lake</x:v>
      </x:c>
      <x:c r="B272" s="30" t="str">
        <x:v>6695</x:v>
      </x:c>
      <x:c r="C272" s="30" t="str">
        <x:v>Rainbow Trout</x:v>
      </x:c>
      <x:c r="D272" s="30" t="str">
        <x:v>Not assigned</x:v>
      </x:c>
      <x:c r="E272" s="30" t="str">
        <x:v>Not assigned</x:v>
      </x:c>
      <x:c r="F272" s="30" t="str">
        <x:v>No verified match found</x:v>
      </x:c>
      <x:c r="G272" s="30" t="str"/>
      <x:c r="H272" s="30" t="str"/>
      <x:c r="I272" s="31"/>
      <x:c r="J272" s="30" t="str"/>
      <x:c r="K272" s="30" t="str">
        <x:v>Exact-name and available broader-name searches did not establish a matching page.</x:v>
      </x:c>
      <x:c r="L272" s="30" t="str">
        <x:v>Sardine Lake; Sardine</x:v>
      </x:c>
    </x:row>
    <x:row r="273" ht="40" customHeight="1">
      <x:c r="A273" s="30" t="str">
        <x:v>Sauder (Rattlesnake) Reservoir</x:v>
      </x:c>
      <x:c r="B273" s="30" t="str">
        <x:v>5646</x:v>
      </x:c>
      <x:c r="C273" s="30" t="str">
        <x:v>Walleye</x:v>
      </x:c>
      <x:c r="D273" s="30" t="str">
        <x:v>Not assigned</x:v>
      </x:c>
      <x:c r="E273" s="30" t="str">
        <x:v>Not assigned</x:v>
      </x:c>
      <x:c r="F273" s="30" t="str">
        <x:v>No verified match found</x:v>
      </x:c>
      <x:c r="G273" s="30" t="str"/>
      <x:c r="H273" s="30" t="str"/>
      <x:c r="I273" s="31"/>
      <x:c r="J273" s="30" t="str"/>
      <x:c r="K273" s="30" t="str">
        <x:v>Exact-name and available broader-name searches did not establish a matching page.</x:v>
      </x:c>
      <x:c r="L273" s="30" t="str">
        <x:v>Sauder (Rattlesnake) Reservoir; Sauder</x:v>
      </x:c>
    </x:row>
    <x:row r="274" ht="40" customHeight="1">
      <x:c r="A274" s="30" t="str">
        <x:v>Sauer Lake</x:v>
      </x:c>
      <x:c r="B274" s="30" t="str">
        <x:v>5753</x:v>
      </x:c>
      <x:c r="C274" s="30" t="str">
        <x:v>Rainbow Trout</x:v>
      </x:c>
      <x:c r="D274" s="30" t="str">
        <x:v>Rainbow Trout</x:v>
      </x:c>
      <x:c r="E274" s="30" t="str">
        <x:v>None listed</x:v>
      </x:c>
      <x:c r="F274" s="30" t="str">
        <x:v>Matched — species listed</x:v>
      </x:c>
      <x:c r="G274" s="30" t="str"/>
      <x:c r="H274" s="30" t="str">
        <x:v>SAUER LAKE</x:v>
      </x:c>
      <x:c r="I274" s="31" t="n">
        <x:v>0.033</x:v>
      </x:c>
      <x:c r="J274" s="30" t="str">
        <x:v>https://www.anglersatlas.com/place/102578/sauer-lake</x:v>
      </x:c>
      <x:c r="K274" s="30" t="str">
        <x:v>Name and coordinates agree.</x:v>
      </x:c>
      <x:c r="L274" s="30" t="str">
        <x:v>Sauer Lake</x:v>
      </x:c>
    </x:row>
    <x:row r="275" ht="40" customHeight="1">
      <x:c r="A275" s="30" t="str">
        <x:v>Schuman Lake</x:v>
      </x:c>
      <x:c r="B275" s="30" t="str">
        <x:v>5766</x:v>
      </x:c>
      <x:c r="C275" s="30" t="str">
        <x:v>Rainbow Trout; Tiger Trout</x:v>
      </x:c>
      <x:c r="D275" s="30" t="str">
        <x:v>Rainbow Trout; Tiger Trout</x:v>
      </x:c>
      <x:c r="E275" s="30" t="str">
        <x:v>None listed</x:v>
      </x:c>
      <x:c r="F275" s="30" t="str">
        <x:v>Matched — species listed</x:v>
      </x:c>
      <x:c r="G275" s="30" t="str">
        <x:v>Yellow Perch</x:v>
      </x:c>
      <x:c r="H275" s="30" t="str">
        <x:v>Schuman Lake</x:v>
      </x:c>
      <x:c r="I275" s="31" t="n">
        <x:v>0.034</x:v>
      </x:c>
      <x:c r="J275" s="30" t="str">
        <x:v>https://www.anglersatlas.com/place/129921/schuman-lake</x:v>
      </x:c>
      <x:c r="K275" s="30" t="str">
        <x:v>Name and coordinates agree.</x:v>
      </x:c>
      <x:c r="L275" s="30" t="str">
        <x:v>Schuman Lake</x:v>
      </x:c>
    </x:row>
    <x:row r="276" ht="40" customHeight="1">
      <x:c r="A276" s="30" t="str">
        <x:v>Severn Creek Reservoir</x:v>
      </x:c>
      <x:c r="B276" s="30" t="str">
        <x:v>6697</x:v>
      </x:c>
      <x:c r="C276" s="30" t="str">
        <x:v>Rainbow Trout</x:v>
      </x:c>
      <x:c r="D276" s="30" t="str">
        <x:v>Not assigned</x:v>
      </x:c>
      <x:c r="E276" s="30" t="str">
        <x:v>Not assigned</x:v>
      </x:c>
      <x:c r="F276" s="30" t="str">
        <x:v>No verified match found</x:v>
      </x:c>
      <x:c r="G276" s="30" t="str"/>
      <x:c r="H276" s="30" t="str"/>
      <x:c r="I276" s="31"/>
      <x:c r="J276" s="30" t="str"/>
      <x:c r="K276" s="30" t="str">
        <x:v>Exact-name and available broader-name searches did not establish a matching page.</x:v>
      </x:c>
      <x:c r="L276" s="30" t="str">
        <x:v>Severn Creek Reservoir; Severn Creek</x:v>
      </x:c>
    </x:row>
    <x:row r="277" ht="40" customHeight="1">
      <x:c r="A277" s="30" t="str">
        <x:v>Shark Lake</x:v>
      </x:c>
      <x:c r="B277" s="30" t="str">
        <x:v>5788</x:v>
      </x:c>
      <x:c r="C277" s="30" t="str">
        <x:v>Cutthroat Trout</x:v>
      </x:c>
      <x:c r="D277" s="30" t="str">
        <x:v>Not listed</x:v>
      </x:c>
      <x:c r="E277" s="30" t="str">
        <x:v>None listed</x:v>
      </x:c>
      <x:c r="F277" s="30" t="str">
        <x:v>Matched — no species listed</x:v>
      </x:c>
      <x:c r="G277" s="30" t="str"/>
      <x:c r="H277" s="30" t="str">
        <x:v>Shark Lake</x:v>
      </x:c>
      <x:c r="I277" s="31" t="n">
        <x:v>0.06</x:v>
      </x:c>
      <x:c r="J277" s="30" t="str">
        <x:v>https://www.anglersatlas.com/place/131151/shark-lake</x:v>
      </x:c>
      <x:c r="K277" s="30" t="str">
        <x:v>Name and coordinates agree.</x:v>
      </x:c>
      <x:c r="L277" s="30" t="str">
        <x:v>Shark Lake</x:v>
      </x:c>
    </x:row>
    <x:row r="278" ht="40" customHeight="1">
      <x:c r="A278" s="30" t="str">
        <x:v>Shell True North Pond</x:v>
      </x:c>
      <x:c r="B278" s="30" t="str">
        <x:v>328085</x:v>
      </x:c>
      <x:c r="C278" s="30" t="str">
        <x:v>Brook Trout; Tiger Trout</x:v>
      </x:c>
      <x:c r="D278" s="30" t="str">
        <x:v>Not assigned</x:v>
      </x:c>
      <x:c r="E278" s="30" t="str">
        <x:v>Not assigned</x:v>
      </x:c>
      <x:c r="F278" s="30" t="str">
        <x:v>No verified match found</x:v>
      </x:c>
      <x:c r="G278" s="30" t="str"/>
      <x:c r="H278" s="30" t="str"/>
      <x:c r="I278" s="31"/>
      <x:c r="J278" s="30" t="str"/>
      <x:c r="K278" s="30" t="str">
        <x:v>Exact-name and available broader-name searches did not establish a matching page.</x:v>
      </x:c>
      <x:c r="L278" s="30" t="str">
        <x:v>Shell True North Pond; Shell True North</x:v>
      </x:c>
    </x:row>
    <x:row r="279" ht="40" customHeight="1">
      <x:c r="A279" s="30" t="str">
        <x:v>Shemeluk Lake</x:v>
      </x:c>
      <x:c r="B279" s="30" t="str">
        <x:v>6699</x:v>
      </x:c>
      <x:c r="C279" s="30" t="str">
        <x:v>Rainbow Trout</x:v>
      </x:c>
      <x:c r="D279" s="30" t="str">
        <x:v>Rainbow Trout</x:v>
      </x:c>
      <x:c r="E279" s="30" t="str">
        <x:v>None listed</x:v>
      </x:c>
      <x:c r="F279" s="30" t="str">
        <x:v>Matched — species listed</x:v>
      </x:c>
      <x:c r="G279" s="30" t="str"/>
      <x:c r="H279" s="30" t="str">
        <x:v>Shemeluk Lake</x:v>
      </x:c>
      <x:c r="I279" s="31" t="n">
        <x:v>0.074</x:v>
      </x:c>
      <x:c r="J279" s="30" t="str">
        <x:v>https://www.anglersatlas.com/place/2211091/shemeluk-lake</x:v>
      </x:c>
      <x:c r="K279" s="30" t="str">
        <x:v>Name and coordinates agree.</x:v>
      </x:c>
      <x:c r="L279" s="30" t="str">
        <x:v>Shemeluk Lake</x:v>
      </x:c>
    </x:row>
    <x:row r="280" ht="40" customHeight="1">
      <x:c r="A280" s="30" t="str">
        <x:v>Sherburne Reservoir</x:v>
      </x:c>
      <x:c r="B280" s="30" t="str">
        <x:v>5790</x:v>
      </x:c>
      <x:c r="C280" s="30" t="str">
        <x:v>Walleye</x:v>
      </x:c>
      <x:c r="D280" s="30" t="str">
        <x:v>Burbot; Lake Whitefish; Northern Pike; Walleye; Yellow Perch</x:v>
      </x:c>
      <x:c r="E280" s="30" t="str">
        <x:v>Burbot; Lake Whitefish; Northern Pike; Yellow Perch</x:v>
      </x:c>
      <x:c r="F280" s="30" t="str">
        <x:v>Matched — species listed</x:v>
      </x:c>
      <x:c r="G280" s="30" t="str"/>
      <x:c r="H280" s="30" t="str">
        <x:v>SHERBURNE LAKE</x:v>
      </x:c>
      <x:c r="I280" s="31" t="n">
        <x:v>0.289</x:v>
      </x:c>
      <x:c r="J280" s="30" t="str">
        <x:v>https://www.anglersatlas.com/place/102044/sherburne-lake</x:v>
      </x:c>
      <x:c r="K280" s="30" t="str">
        <x:v>Name variant and coordinates agree.</x:v>
      </x:c>
      <x:c r="L280" s="30" t="str">
        <x:v>Sherburne Reservoir; Sherburne</x:v>
      </x:c>
    </x:row>
    <x:row r="281" ht="40" customHeight="1">
      <x:c r="A281" s="30" t="str">
        <x:v>Shuster Lake</x:v>
      </x:c>
      <x:c r="B281" s="30" t="str">
        <x:v>6688</x:v>
      </x:c>
      <x:c r="C281" s="30" t="str">
        <x:v>Brook Trout</x:v>
      </x:c>
      <x:c r="D281" s="30" t="str">
        <x:v>Not listed</x:v>
      </x:c>
      <x:c r="E281" s="30" t="str">
        <x:v>None listed</x:v>
      </x:c>
      <x:c r="F281" s="30" t="str">
        <x:v>Matched — no species listed</x:v>
      </x:c>
      <x:c r="G281" s="30" t="str"/>
      <x:c r="H281" s="30" t="str">
        <x:v>Shuster Lake</x:v>
      </x:c>
      <x:c r="I281" s="31" t="n">
        <x:v>0.049</x:v>
      </x:c>
      <x:c r="J281" s="30" t="str">
        <x:v>https://www.anglersatlas.com/place/2211082/shuster-lake</x:v>
      </x:c>
      <x:c r="K281" s="30" t="str">
        <x:v>Name and coordinates agree.</x:v>
      </x:c>
      <x:c r="L281" s="30" t="str">
        <x:v>Shuster Lake</x:v>
      </x:c>
    </x:row>
    <x:row r="282" ht="40" customHeight="1">
      <x:c r="A282" s="30" t="str">
        <x:v>Sibbald Lake</x:v>
      </x:c>
      <x:c r="B282" s="30" t="str">
        <x:v>5805</x:v>
      </x:c>
      <x:c r="C282" s="30" t="str">
        <x:v>Rainbow Trout</x:v>
      </x:c>
      <x:c r="D282" s="30" t="str">
        <x:v>Not listed</x:v>
      </x:c>
      <x:c r="E282" s="30" t="str">
        <x:v>None listed</x:v>
      </x:c>
      <x:c r="F282" s="30" t="str">
        <x:v>Matched — no species listed</x:v>
      </x:c>
      <x:c r="G282" s="30" t="str"/>
      <x:c r="H282" s="30" t="str">
        <x:v>Sibbald Lake</x:v>
      </x:c>
      <x:c r="I282" s="31" t="n">
        <x:v>0.653</x:v>
      </x:c>
      <x:c r="J282" s="30" t="str">
        <x:v>https://www.anglersatlas.com/place/154174/sibbald-lake</x:v>
      </x:c>
      <x:c r="K282" s="30" t="str">
        <x:v>Name and coordinates agree.</x:v>
      </x:c>
      <x:c r="L282" s="30" t="str">
        <x:v>Sibbald Lake</x:v>
      </x:c>
    </x:row>
    <x:row r="283" ht="40" customHeight="1">
      <x:c r="A283" s="30" t="str">
        <x:v>Sibbald Meadows Pond</x:v>
      </x:c>
      <x:c r="B283" s="30" t="str">
        <x:v>3486</x:v>
      </x:c>
      <x:c r="C283" s="30" t="str">
        <x:v>Rainbow Trout</x:v>
      </x:c>
      <x:c r="D283" s="30" t="str">
        <x:v>Brook Trout; Cutthroat Trout; Rainbow Trout</x:v>
      </x:c>
      <x:c r="E283" s="30" t="str">
        <x:v>Brook Trout; Cutthroat Trout</x:v>
      </x:c>
      <x:c r="F283" s="30" t="str">
        <x:v>Matched — species listed</x:v>
      </x:c>
      <x:c r="G283" s="30" t="str"/>
      <x:c r="H283" s="30" t="str">
        <x:v>Sibbald Meadows Pond</x:v>
      </x:c>
      <x:c r="I283" s="31" t="n">
        <x:v>0.013</x:v>
      </x:c>
      <x:c r="J283" s="30" t="str">
        <x:v>https://www.anglersatlas.com/place/130667/sibbald-meadows-pond</x:v>
      </x:c>
      <x:c r="K283" s="30" t="str">
        <x:v>Name and coordinates agree.</x:v>
      </x:c>
      <x:c r="L283" s="30" t="str">
        <x:v>Sibbald Meadows Pond</x:v>
      </x:c>
    </x:row>
    <x:row r="284" ht="40" customHeight="1">
      <x:c r="A284" s="30" t="str">
        <x:v>Silkstone Lake</x:v>
      </x:c>
      <x:c r="B284" s="30" t="str">
        <x:v>6651</x:v>
      </x:c>
      <x:c r="C284" s="30" t="str">
        <x:v>Rainbow Trout</x:v>
      </x:c>
      <x:c r="D284" s="30" t="str">
        <x:v>Not listed</x:v>
      </x:c>
      <x:c r="E284" s="30" t="str">
        <x:v>None listed</x:v>
      </x:c>
      <x:c r="F284" s="30" t="str">
        <x:v>Matched — no species listed</x:v>
      </x:c>
      <x:c r="G284" s="30" t="str"/>
      <x:c r="H284" s="30" t="str">
        <x:v>Silkstone Lake</x:v>
      </x:c>
      <x:c r="I284" s="31" t="n">
        <x:v>0.103</x:v>
      </x:c>
      <x:c r="J284" s="30" t="str">
        <x:v>https://www.anglersatlas.com/place/884923/silkstone-lake</x:v>
      </x:c>
      <x:c r="K284" s="30" t="str">
        <x:v>Name and coordinates agree.</x:v>
      </x:c>
      <x:c r="L284" s="30" t="str">
        <x:v>Silkstone Lake</x:v>
      </x:c>
    </x:row>
    <x:row r="285" ht="40" customHeight="1">
      <x:c r="A285" s="30" t="str">
        <x:v>Skeleton Lake</x:v>
      </x:c>
      <x:c r="B285" s="30" t="str">
        <x:v>5820</x:v>
      </x:c>
      <x:c r="C285" s="30" t="str">
        <x:v>Walleye</x:v>
      </x:c>
      <x:c r="D285" s="30" t="str">
        <x:v>Burbot; Lake Whitefish; Northern Pike; Walleye; Yellow Perch</x:v>
      </x:c>
      <x:c r="E285" s="30" t="str">
        <x:v>Burbot; Lake Whitefish; Northern Pike; Yellow Perch</x:v>
      </x:c>
      <x:c r="F285" s="30" t="str">
        <x:v>Matched — species listed</x:v>
      </x:c>
      <x:c r="G285" s="30" t="str">
        <x:v>Mountain Whitefish; White Perch</x:v>
      </x:c>
      <x:c r="H285" s="30" t="str">
        <x:v>SKELETON LAKE</x:v>
      </x:c>
      <x:c r="I285" s="31" t="n">
        <x:v>0.704</x:v>
      </x:c>
      <x:c r="J285" s="30" t="str">
        <x:v>https://www.anglersatlas.com/place/102046/skeleton-lake</x:v>
      </x:c>
      <x:c r="K285" s="30" t="str">
        <x:v>Name and coordinates agree.</x:v>
      </x:c>
      <x:c r="L285" s="30" t="str">
        <x:v>Skeleton Lake</x:v>
      </x:c>
    </x:row>
    <x:row r="286" ht="40" customHeight="1">
      <x:c r="A286" s="30" t="str">
        <x:v>Slawuta Lake</x:v>
      </x:c>
      <x:c r="B286" s="30" t="str">
        <x:v>6890</x:v>
      </x:c>
      <x:c r="C286" s="30" t="str">
        <x:v>Rainbow Trout</x:v>
      </x:c>
      <x:c r="D286" s="30" t="str">
        <x:v>Not assigned</x:v>
      </x:c>
      <x:c r="E286" s="30" t="str">
        <x:v>Not assigned</x:v>
      </x:c>
      <x:c r="F286" s="30" t="str">
        <x:v>No verified match found</x:v>
      </x:c>
      <x:c r="G286" s="30" t="str"/>
      <x:c r="H286" s="30" t="str"/>
      <x:c r="I286" s="31"/>
      <x:c r="J286" s="30" t="str"/>
      <x:c r="K286" s="30" t="str">
        <x:v>Exact-name and available broader-name searches did not establish a matching page.</x:v>
      </x:c>
      <x:c r="L286" s="30" t="str">
        <x:v>Slawuta Lake; Slawuta</x:v>
      </x:c>
    </x:row>
    <x:row r="287" ht="40" customHeight="1">
      <x:c r="A287" s="30" t="str">
        <x:v>South Heart Reservoir</x:v>
      </x:c>
      <x:c r="B287" s="30" t="str">
        <x:v>18014</x:v>
      </x:c>
      <x:c r="C287" s="30" t="str">
        <x:v>Walleye</x:v>
      </x:c>
      <x:c r="D287" s="30" t="str">
        <x:v>Not assigned</x:v>
      </x:c>
      <x:c r="E287" s="30" t="str">
        <x:v>Not assigned</x:v>
      </x:c>
      <x:c r="F287" s="30" t="str">
        <x:v>No verified match found</x:v>
      </x:c>
      <x:c r="G287" s="30" t="str"/>
      <x:c r="H287" s="30" t="str"/>
      <x:c r="I287" s="31"/>
      <x:c r="J287" s="30" t="str"/>
      <x:c r="K287" s="30" t="str">
        <x:v>Exact-name and available broader-name searches did not establish a matching page.</x:v>
      </x:c>
      <x:c r="L287" s="30" t="str">
        <x:v>South Heart Reservoir; South Heart</x:v>
      </x:c>
    </x:row>
    <x:row r="288" ht="40" customHeight="1">
      <x:c r="A288" s="30" t="str">
        <x:v>South Sundance Lake</x:v>
      </x:c>
      <x:c r="B288" s="30" t="str">
        <x:v>6652</x:v>
      </x:c>
      <x:c r="C288" s="30" t="str">
        <x:v>Brook Trout</x:v>
      </x:c>
      <x:c r="D288" s="30" t="str">
        <x:v>Not assigned</x:v>
      </x:c>
      <x:c r="E288" s="30" t="str">
        <x:v>Not assigned</x:v>
      </x:c>
      <x:c r="F288" s="30" t="str">
        <x:v>No verified match found</x:v>
      </x:c>
      <x:c r="G288" s="30" t="str"/>
      <x:c r="H288" s="30" t="str"/>
      <x:c r="I288" s="31"/>
      <x:c r="J288" s="30" t="str"/>
      <x:c r="K288" s="30" t="str">
        <x:v>Exact-name and available broader-name searches did not establish a matching page.</x:v>
      </x:c>
      <x:c r="L288" s="30" t="str">
        <x:v>South Sundance Lake; South Sundance</x:v>
      </x:c>
    </x:row>
    <x:row r="289" ht="40" customHeight="1">
      <x:c r="A289" s="30" t="str">
        <x:v>South Two Lake</x:v>
      </x:c>
      <x:c r="B289" s="30" t="str">
        <x:v>6051</x:v>
      </x:c>
      <x:c r="C289" s="30" t="str">
        <x:v>Cutthroat Trout; Rainbow Trout; Westslope Cutthroat Trout</x:v>
      </x:c>
      <x:c r="D289" s="30" t="str">
        <x:v>Not assigned</x:v>
      </x:c>
      <x:c r="E289" s="30" t="str">
        <x:v>Not assigned</x:v>
      </x:c>
      <x:c r="F289" s="30" t="str">
        <x:v>No verified match found</x:v>
      </x:c>
      <x:c r="G289" s="30" t="str"/>
      <x:c r="H289" s="30" t="str"/>
      <x:c r="I289" s="31"/>
      <x:c r="J289" s="30" t="str"/>
      <x:c r="K289" s="30" t="str">
        <x:v>Exact-name and available broader-name searches did not establish a matching page.</x:v>
      </x:c>
      <x:c r="L289" s="30" t="str">
        <x:v>South Two Lake; South Two</x:v>
      </x:c>
    </x:row>
    <x:row r="290" ht="40" customHeight="1">
      <x:c r="A290" s="30" t="str">
        <x:v>Sparrow's Egg Lake</x:v>
      </x:c>
      <x:c r="B290" s="30" t="str">
        <x:v>5858</x:v>
      </x:c>
      <x:c r="C290" s="30" t="str">
        <x:v>Cutthroat Trout; Rainbow Trout; Westslope Cutthroat Trout</x:v>
      </x:c>
      <x:c r="D290" s="30" t="str">
        <x:v>Cutthroat Trout; Rainbow Trout</x:v>
      </x:c>
      <x:c r="E290" s="30" t="str">
        <x:v>None listed</x:v>
      </x:c>
      <x:c r="F290" s="30" t="str">
        <x:v>Matched — species listed</x:v>
      </x:c>
      <x:c r="G290" s="30" t="str"/>
      <x:c r="H290" s="30" t="str">
        <x:v>Sparrow's Egg Lake</x:v>
      </x:c>
      <x:c r="I290" s="31" t="n">
        <x:v>0.053</x:v>
      </x:c>
      <x:c r="J290" s="30" t="str">
        <x:v>https://www.anglersatlas.com/place/174451/sparrows-egg-lake</x:v>
      </x:c>
      <x:c r="K290" s="30" t="str">
        <x:v>Name and coordinates agree.</x:v>
      </x:c>
      <x:c r="L290" s="30" t="str">
        <x:v>Sparrow's Egg Lake</x:v>
      </x:c>
    </x:row>
    <x:row r="291" ht="40" customHeight="1">
      <x:c r="A291" s="30" t="str">
        <x:v>Spring Coulee Park Pond</x:v>
      </x:c>
      <x:c r="B291" s="30" t="str">
        <x:v>6692</x:v>
      </x:c>
      <x:c r="C291" s="30" t="str">
        <x:v>Rainbow Trout</x:v>
      </x:c>
      <x:c r="D291" s="30" t="str">
        <x:v>Not assigned</x:v>
      </x:c>
      <x:c r="E291" s="30" t="str">
        <x:v>Not assigned</x:v>
      </x:c>
      <x:c r="F291" s="30" t="str">
        <x:v>No verified match found</x:v>
      </x:c>
      <x:c r="G291" s="30" t="str"/>
      <x:c r="H291" s="30" t="str"/>
      <x:c r="I291" s="31"/>
      <x:c r="J291" s="30" t="str"/>
      <x:c r="K291" s="30" t="str">
        <x:v>Exact-name and available broader-name searches did not establish a matching page.</x:v>
      </x:c>
      <x:c r="L291" s="30" t="str">
        <x:v>Spring Coulee Park Pond; Spring Coulee</x:v>
      </x:c>
    </x:row>
    <x:row r="292" ht="40" customHeight="1">
      <x:c r="A292" s="30" t="str">
        <x:v>Spring Lake</x:v>
      </x:c>
      <x:c r="B292" s="30" t="str">
        <x:v>6693</x:v>
      </x:c>
      <x:c r="C292" s="30" t="str">
        <x:v>Brook Trout; Rainbow Trout</x:v>
      </x:c>
      <x:c r="D292" s="30" t="str">
        <x:v>Brown Trout; Prussian Carp; Rainbow Trout; Tiger Trout</x:v>
      </x:c>
      <x:c r="E292" s="30" t="str">
        <x:v>Brown Trout; Prussian Carp; Tiger Trout</x:v>
      </x:c>
      <x:c r="F292" s="30" t="str">
        <x:v>Matched — species listed</x:v>
      </x:c>
      <x:c r="G292" s="30" t="str"/>
      <x:c r="H292" s="30" t="str">
        <x:v>Spring Lake</x:v>
      </x:c>
      <x:c r="I292" s="31" t="n">
        <x:v>0</x:v>
      </x:c>
      <x:c r="J292" s="30" t="str">
        <x:v>https://www.anglersatlas.com/place/2061595/spring-lake</x:v>
      </x:c>
      <x:c r="K292" s="30" t="str">
        <x:v>Name and coordinates agree.</x:v>
      </x:c>
      <x:c r="L292" s="30" t="str">
        <x:v>Spring Lake</x:v>
      </x:c>
    </x:row>
    <x:row r="293" ht="40" customHeight="1">
      <x:c r="A293" s="30" t="str">
        <x:v>Spruce Coulee Reservoir</x:v>
      </x:c>
      <x:c r="B293" s="30" t="str">
        <x:v>3534</x:v>
      </x:c>
      <x:c r="C293" s="30" t="str">
        <x:v>Brook Trout; Brown Trout</x:v>
      </x:c>
      <x:c r="D293" s="30" t="str">
        <x:v>Arctic Grayling; Brook Trout; Brown Trout; Walleye</x:v>
      </x:c>
      <x:c r="E293" s="30" t="str">
        <x:v>Arctic Grayling; Walleye</x:v>
      </x:c>
      <x:c r="F293" s="30" t="str">
        <x:v>Matched — species listed</x:v>
      </x:c>
      <x:c r="G293" s="30" t="str"/>
      <x:c r="H293" s="30" t="str">
        <x:v>SPRUCE COULEE RESERVOIR</x:v>
      </x:c>
      <x:c r="I293" s="31" t="n">
        <x:v>0.011</x:v>
      </x:c>
      <x:c r="J293" s="30" t="str">
        <x:v>https://www.anglersatlas.com/place/102052/spruce-coulee-reservoir</x:v>
      </x:c>
      <x:c r="K293" s="30" t="str">
        <x:v>Name and coordinates agree.</x:v>
      </x:c>
      <x:c r="L293" s="30" t="str">
        <x:v>Spruce Coulee Reservoir</x:v>
      </x:c>
    </x:row>
    <x:row r="294" ht="40" customHeight="1">
      <x:c r="A294" s="30" t="str">
        <x:v>St. Paul Fish Pond</x:v>
      </x:c>
      <x:c r="B294" s="30" t="str">
        <x:v>24702</x:v>
      </x:c>
      <x:c r="C294" s="30" t="str">
        <x:v>Brown Trout; Rainbow Trout; Tiger Trout</x:v>
      </x:c>
      <x:c r="D294" s="30" t="str">
        <x:v>Not assigned</x:v>
      </x:c>
      <x:c r="E294" s="30" t="str">
        <x:v>Not assigned</x:v>
      </x:c>
      <x:c r="F294" s="30" t="str">
        <x:v>No verified match found</x:v>
      </x:c>
      <x:c r="G294" s="30" t="str"/>
      <x:c r="H294" s="30" t="str"/>
      <x:c r="I294" s="31"/>
      <x:c r="J294" s="30" t="str"/>
      <x:c r="K294" s="30" t="str">
        <x:v>Exact-name and available broader-name searches did not establish a matching page.</x:v>
      </x:c>
      <x:c r="L294" s="30" t="str">
        <x:v>St. Paul Fish Pond; St. Paul</x:v>
      </x:c>
    </x:row>
    <x:row r="295" ht="40" customHeight="1">
      <x:c r="A295" s="30" t="str">
        <x:v>Stafford Lake</x:v>
      </x:c>
      <x:c r="B295" s="30" t="str">
        <x:v>3536</x:v>
      </x:c>
      <x:c r="C295" s="30" t="str">
        <x:v>Walleye</x:v>
      </x:c>
      <x:c r="D295" s="30" t="str">
        <x:v>Not assigned</x:v>
      </x:c>
      <x:c r="E295" s="30" t="str">
        <x:v>Not assigned</x:v>
      </x:c>
      <x:c r="F295" s="30" t="str">
        <x:v>No verified match found</x:v>
      </x:c>
      <x:c r="G295" s="30" t="str"/>
      <x:c r="H295" s="30" t="str">
        <x:v>Stafford Lake</x:v>
      </x:c>
      <x:c r="I295" s="31" t="n">
        <x:v>105.305</x:v>
      </x:c>
      <x:c r="J295" s="30" t="str">
        <x:v>https://www.anglersatlas.com/place/130191/stafford-lake</x:v>
      </x:c>
      <x:c r="K295" s="30" t="str">
        <x:v>Named candidate coordinates do not agree. Species not assigned.</x:v>
      </x:c>
      <x:c r="L295" s="30" t="str">
        <x:v>Stafford Lake</x:v>
      </x:c>
    </x:row>
    <x:row r="296" ht="40" customHeight="1">
      <x:c r="A296" s="30" t="str">
        <x:v>Star Lake</x:v>
      </x:c>
      <x:c r="B296" s="30" t="str">
        <x:v>5895</x:v>
      </x:c>
      <x:c r="C296" s="30" t="str">
        <x:v>Brown Trout; Rainbow Trout; Tiger Trout</x:v>
      </x:c>
      <x:c r="D296" s="30" t="str">
        <x:v>Brown Trout; Northern Pike; Rainbow Trout; Tiger Trout; Yellow Perch</x:v>
      </x:c>
      <x:c r="E296" s="30" t="str">
        <x:v>Northern Pike; Yellow Perch</x:v>
      </x:c>
      <x:c r="F296" s="30" t="str">
        <x:v>Matched — species listed</x:v>
      </x:c>
      <x:c r="G296" s="30" t="str"/>
      <x:c r="H296" s="30" t="str">
        <x:v>STAR LAKE</x:v>
      </x:c>
      <x:c r="I296" s="31" t="n">
        <x:v>0.047</x:v>
      </x:c>
      <x:c r="J296" s="30" t="str">
        <x:v>https://www.anglersatlas.com/place/102057/star-lake</x:v>
      </x:c>
      <x:c r="K296" s="30" t="str">
        <x:v>Name and coordinates agree.</x:v>
      </x:c>
      <x:c r="L296" s="30" t="str">
        <x:v>Star Lake</x:v>
      </x:c>
    </x:row>
    <x:row r="297" ht="40" customHeight="1">
      <x:c r="A297" s="30" t="str">
        <x:v>Stenton Lake</x:v>
      </x:c>
      <x:c r="B297" s="30" t="str">
        <x:v>5901</x:v>
      </x:c>
      <x:c r="C297" s="30" t="str">
        <x:v>Cutthroat Trout; Rainbow Trout</x:v>
      </x:c>
      <x:c r="D297" s="30" t="str">
        <x:v>Not listed</x:v>
      </x:c>
      <x:c r="E297" s="30" t="str">
        <x:v>None listed</x:v>
      </x:c>
      <x:c r="F297" s="30" t="str">
        <x:v>Matched — no species listed</x:v>
      </x:c>
      <x:c r="G297" s="30" t="str"/>
      <x:c r="H297" s="30" t="str">
        <x:v>Stenton Lake</x:v>
      </x:c>
      <x:c r="I297" s="31" t="n">
        <x:v>0.026</x:v>
      </x:c>
      <x:c r="J297" s="30" t="str">
        <x:v>https://www.anglersatlas.com/place/130688/stenton-lake</x:v>
      </x:c>
      <x:c r="K297" s="30" t="str">
        <x:v>Name and coordinates agree.</x:v>
      </x:c>
      <x:c r="L297" s="30" t="str">
        <x:v>Stenton Lake</x:v>
      </x:c>
    </x:row>
    <x:row r="298" ht="40" customHeight="1">
      <x:c r="A298" s="30" t="str">
        <x:v>Stirling Children's Pond</x:v>
      </x:c>
      <x:c r="B298" s="30" t="str">
        <x:v>6682</x:v>
      </x:c>
      <x:c r="C298" s="30" t="str">
        <x:v>Rainbow Trout</x:v>
      </x:c>
      <x:c r="D298" s="30" t="str">
        <x:v>Not assigned</x:v>
      </x:c>
      <x:c r="E298" s="30" t="str">
        <x:v>Not assigned</x:v>
      </x:c>
      <x:c r="F298" s="30" t="str">
        <x:v>Uncertain lake match</x:v>
      </x:c>
      <x:c r="G298" s="30" t="str"/>
      <x:c r="H298" s="30" t="str">
        <x:v>Stirling Lake</x:v>
      </x:c>
      <x:c r="I298" s="31" t="n">
        <x:v>3.469</x:v>
      </x:c>
      <x:c r="J298" s="30" t="str">
        <x:v>https://www.anglersatlas.com/place/130267/stirling-lake</x:v>
      </x:c>
      <x:c r="K298" s="30" t="str">
        <x:v>Candidate is nearby, but the individual lake or pond is not established. Species not assigned.</x:v>
      </x:c>
      <x:c r="L298" s="30" t="str">
        <x:v>Stirling Children's Pond; Stirling</x:v>
      </x:c>
    </x:row>
    <x:row r="299" ht="40" customHeight="1">
      <x:c r="A299" s="30" t="str">
        <x:v>Stoney Lake</x:v>
      </x:c>
      <x:c r="B299" s="30" t="str">
        <x:v>6684</x:v>
      </x:c>
      <x:c r="C299" s="30" t="str">
        <x:v>Brook Trout; Rainbow Trout; Tiger Trout</x:v>
      </x:c>
      <x:c r="D299" s="30" t="str">
        <x:v>Not assigned</x:v>
      </x:c>
      <x:c r="E299" s="30" t="str">
        <x:v>Not assigned</x:v>
      </x:c>
      <x:c r="F299" s="30" t="str">
        <x:v>No verified match found</x:v>
      </x:c>
      <x:c r="G299" s="30" t="str"/>
      <x:c r="H299" s="30" t="str">
        <x:v>STONEY LAKE</x:v>
      </x:c>
      <x:c r="I299" s="31" t="n">
        <x:v>552.173</x:v>
      </x:c>
      <x:c r="J299" s="30" t="str">
        <x:v>https://www.anglersatlas.com/place/102059/stoney-lake</x:v>
      </x:c>
      <x:c r="K299" s="30" t="str">
        <x:v>Named candidate coordinates do not agree. Species not assigned.</x:v>
      </x:c>
      <x:c r="L299" s="30" t="str">
        <x:v>Stoney Lake</x:v>
      </x:c>
    </x:row>
    <x:row r="300" ht="40" customHeight="1">
      <x:c r="A300" s="30" t="str">
        <x:v>Strathmore Children's Pond</x:v>
      </x:c>
      <x:c r="B300" s="30" t="str">
        <x:v>6686</x:v>
      </x:c>
      <x:c r="C300" s="30" t="str">
        <x:v>Rainbow Trout; Tiger Trout</x:v>
      </x:c>
      <x:c r="D300" s="30" t="str">
        <x:v>Not assigned</x:v>
      </x:c>
      <x:c r="E300" s="30" t="str">
        <x:v>Not assigned</x:v>
      </x:c>
      <x:c r="F300" s="30" t="str">
        <x:v>No verified match found</x:v>
      </x:c>
      <x:c r="G300" s="30" t="str"/>
      <x:c r="H300" s="30" t="str"/>
      <x:c r="I300" s="31"/>
      <x:c r="J300" s="30" t="str"/>
      <x:c r="K300" s="30" t="str">
        <x:v>Exact-name and available broader-name searches did not establish a matching page.</x:v>
      </x:c>
      <x:c r="L300" s="30" t="str">
        <x:v>Strathmore Children's Pond; Strathmore</x:v>
      </x:c>
    </x:row>
    <x:row r="301" ht="40" customHeight="1">
      <x:c r="A301" s="30" t="str">
        <x:v>Strubel Lake</x:v>
      </x:c>
      <x:c r="B301" s="30" t="str">
        <x:v>5919</x:v>
      </x:c>
      <x:c r="C301" s="30" t="str">
        <x:v>Rainbow Trout</x:v>
      </x:c>
      <x:c r="D301" s="30" t="str">
        <x:v>Rainbow Trout; Yellow Perch</x:v>
      </x:c>
      <x:c r="E301" s="30" t="str">
        <x:v>Yellow Perch</x:v>
      </x:c>
      <x:c r="F301" s="30" t="str">
        <x:v>Matched — species listed</x:v>
      </x:c>
      <x:c r="G301" s="30" t="str"/>
      <x:c r="H301" s="30" t="str">
        <x:v>STRUBEL LAKE</x:v>
      </x:c>
      <x:c r="I301" s="31" t="n">
        <x:v>0.013</x:v>
      </x:c>
      <x:c r="J301" s="30" t="str">
        <x:v>https://www.anglersatlas.com/place/102060/strubel-lake</x:v>
      </x:c>
      <x:c r="K301" s="30" t="str">
        <x:v>Name and coordinates agree.</x:v>
      </x:c>
      <x:c r="L301" s="30" t="str">
        <x:v>Strubel Lake</x:v>
      </x:c>
    </x:row>
    <x:row r="302" ht="40" customHeight="1">
      <x:c r="A302" s="30" t="str">
        <x:v>Sulphur Lake</x:v>
      </x:c>
      <x:c r="B302" s="30" t="str">
        <x:v>5929</x:v>
      </x:c>
      <x:c r="C302" s="30" t="str">
        <x:v>Brook Trout; Rainbow Trout</x:v>
      </x:c>
      <x:c r="D302" s="30" t="str">
        <x:v>Brook Trout; Rainbow Trout</x:v>
      </x:c>
      <x:c r="E302" s="30" t="str">
        <x:v>None listed</x:v>
      </x:c>
      <x:c r="F302" s="30" t="str">
        <x:v>Matched — species listed</x:v>
      </x:c>
      <x:c r="G302" s="30" t="str"/>
      <x:c r="H302" s="30" t="str">
        <x:v>Sulphur Lake</x:v>
      </x:c>
      <x:c r="I302" s="31" t="n">
        <x:v>0.083</x:v>
      </x:c>
      <x:c r="J302" s="30" t="str">
        <x:v>https://www.anglersatlas.com/place/130278/sulphur-lake</x:v>
      </x:c>
      <x:c r="K302" s="30" t="str">
        <x:v>Name and coordinates agree.</x:v>
      </x:c>
      <x:c r="L302" s="30" t="str">
        <x:v>Sulphur Lake</x:v>
      </x:c>
    </x:row>
    <x:row r="303" ht="40" customHeight="1">
      <x:c r="A303" s="30" t="str">
        <x:v>Swan Lake</x:v>
      </x:c>
      <x:c r="B303" s="30" t="str">
        <x:v>5944</x:v>
      </x:c>
      <x:c r="C303" s="30" t="str">
        <x:v>Rainbow Trout</x:v>
      </x:c>
      <x:c r="D303" s="30" t="str">
        <x:v>Rainbow Trout</x:v>
      </x:c>
      <x:c r="E303" s="30" t="str">
        <x:v>None listed</x:v>
      </x:c>
      <x:c r="F303" s="30" t="str">
        <x:v>Matched — species listed</x:v>
      </x:c>
      <x:c r="G303" s="30" t="str">
        <x:v>Burbot</x:v>
      </x:c>
      <x:c r="H303" s="30" t="str">
        <x:v>Swan Lake</x:v>
      </x:c>
      <x:c r="I303" s="31" t="n">
        <x:v>0.074</x:v>
      </x:c>
      <x:c r="J303" s="30" t="str">
        <x:v>https://www.anglersatlas.com/place/130354/swan-lake</x:v>
      </x:c>
      <x:c r="K303" s="30" t="str">
        <x:v>Name and coordinates agree.</x:v>
      </x:c>
      <x:c r="L303" s="30" t="str">
        <x:v>Swan Lake</x:v>
      </x:c>
    </x:row>
    <x:row r="304" ht="40" customHeight="1">
      <x:c r="A304" s="30" t="str">
        <x:v>Swan Lake</x:v>
      </x:c>
      <x:c r="B304" s="30" t="str">
        <x:v>5758</x:v>
      </x:c>
      <x:c r="C304" s="30" t="str">
        <x:v>Walleye</x:v>
      </x:c>
      <x:c r="D304" s="30" t="str">
        <x:v>Not assigned</x:v>
      </x:c>
      <x:c r="E304" s="30" t="str">
        <x:v>Not assigned</x:v>
      </x:c>
      <x:c r="F304" s="30" t="str">
        <x:v>No verified match found</x:v>
      </x:c>
      <x:c r="G304" s="30" t="str"/>
      <x:c r="H304" s="30" t="str">
        <x:v>Swan Lake</x:v>
      </x:c>
      <x:c r="I304" s="31" t="n">
        <x:v>243.825</x:v>
      </x:c>
      <x:c r="J304" s="30" t="str">
        <x:v>https://www.anglersatlas.com/place/130354/swan-lake</x:v>
      </x:c>
      <x:c r="K304" s="30" t="str">
        <x:v>Named candidate coordinates do not agree. Species not assigned.</x:v>
      </x:c>
      <x:c r="L304" s="30" t="str">
        <x:v>Swan Lake</x:v>
      </x:c>
    </x:row>
    <x:row r="305" ht="40" customHeight="1">
      <x:c r="A305" s="30" t="str">
        <x:v>Sylvan Lake</x:v>
      </x:c>
      <x:c r="B305" s="30" t="str">
        <x:v>5952</x:v>
      </x:c>
      <x:c r="C305" s="30" t="str">
        <x:v>Walleye</x:v>
      </x:c>
      <x:c r="D305" s="30" t="str">
        <x:v>Burbot; Lake Whitefish; Northern Pike; Walleye; White Sucker; Yellow Perch</x:v>
      </x:c>
      <x:c r="E305" s="30" t="str">
        <x:v>Burbot; Lake Whitefish; Northern Pike; White Sucker; Yellow Perch</x:v>
      </x:c>
      <x:c r="F305" s="30" t="str">
        <x:v>Matched — species listed</x:v>
      </x:c>
      <x:c r="G305" s="30" t="str">
        <x:v>Prussian Carp</x:v>
      </x:c>
      <x:c r="H305" s="30" t="str">
        <x:v>SYLVAN LAKE</x:v>
      </x:c>
      <x:c r="I305" s="31" t="n">
        <x:v>2.691</x:v>
      </x:c>
      <x:c r="J305" s="30" t="str">
        <x:v>https://www.anglersatlas.com/place/102064/sylvan-lake</x:v>
      </x:c>
      <x:c r="K305" s="30" t="str">
        <x:v>Same named large lake. Map points differ within the lake vicinity.</x:v>
      </x:c>
      <x:c r="L305" s="30" t="str">
        <x:v>Sylvan Lake</x:v>
      </x:c>
    </x:row>
    <x:row r="306" ht="40" customHeight="1">
      <x:c r="A306" s="30" t="str">
        <x:v>Taber Trout Pond</x:v>
      </x:c>
      <x:c r="B306" s="30" t="str">
        <x:v>318138</x:v>
      </x:c>
      <x:c r="C306" s="30" t="str">
        <x:v>Rainbow Trout</x:v>
      </x:c>
      <x:c r="D306" s="30" t="str">
        <x:v>Rainbow Trout</x:v>
      </x:c>
      <x:c r="E306" s="30" t="str">
        <x:v>None listed</x:v>
      </x:c>
      <x:c r="F306" s="30" t="str">
        <x:v>Matched — species listed</x:v>
      </x:c>
      <x:c r="G306" s="30" t="str"/>
      <x:c r="H306" s="30" t="str">
        <x:v>TABER FISH AND GAME POND</x:v>
      </x:c>
      <x:c r="I306" s="31" t="n">
        <x:v>0.013</x:v>
      </x:c>
      <x:c r="J306" s="30" t="str">
        <x:v>https://www.anglersatlas.com/place/102584/taber-fish-and-game-pond</x:v>
      </x:c>
      <x:c r="K306" s="30" t="str">
        <x:v>Name variant and coordinates agree.</x:v>
      </x:c>
      <x:c r="L306" s="30" t="str">
        <x:v>Taber Trout Pond; Taber</x:v>
      </x:c>
    </x:row>
    <x:row r="307" ht="40" customHeight="1">
      <x:c r="A307" s="30" t="str">
        <x:v>Talus Lake</x:v>
      </x:c>
      <x:c r="B307" s="30" t="str">
        <x:v>6632</x:v>
      </x:c>
      <x:c r="C307" s="30" t="str">
        <x:v>Cutthroat Trout</x:v>
      </x:c>
      <x:c r="D307" s="30" t="str">
        <x:v>Not listed</x:v>
      </x:c>
      <x:c r="E307" s="30" t="str">
        <x:v>None listed</x:v>
      </x:c>
      <x:c r="F307" s="30" t="str">
        <x:v>Matched — no species listed</x:v>
      </x:c>
      <x:c r="G307" s="30" t="str"/>
      <x:c r="H307" s="30" t="str">
        <x:v>Talus Lake</x:v>
      </x:c>
      <x:c r="I307" s="31" t="n">
        <x:v>0.018</x:v>
      </x:c>
      <x:c r="J307" s="30" t="str">
        <x:v>https://www.anglersatlas.com/place/1108084/talus-lake</x:v>
      </x:c>
      <x:c r="K307" s="30" t="str">
        <x:v>Name and coordinates agree.</x:v>
      </x:c>
      <x:c r="L307" s="30" t="str">
        <x:v>Talus Lake</x:v>
      </x:c>
    </x:row>
    <x:row r="308" ht="40" customHeight="1">
      <x:c r="A308" s="30" t="str">
        <x:v>Tamarack Lake</x:v>
      </x:c>
      <x:c r="B308" s="30" t="str">
        <x:v>6635</x:v>
      </x:c>
      <x:c r="C308" s="30" t="str">
        <x:v>Rainbow Trout</x:v>
      </x:c>
      <x:c r="D308" s="30" t="str">
        <x:v>Not assigned</x:v>
      </x:c>
      <x:c r="E308" s="30" t="str">
        <x:v>Not assigned</x:v>
      </x:c>
      <x:c r="F308" s="30" t="str">
        <x:v>No verified match found</x:v>
      </x:c>
      <x:c r="G308" s="30" t="str"/>
      <x:c r="H308" s="30" t="str">
        <x:v>Tamarack Lake</x:v>
      </x:c>
      <x:c r="I308" s="31" t="n">
        <x:v>130.775</x:v>
      </x:c>
      <x:c r="J308" s="30" t="str">
        <x:v>https://www.anglersatlas.com/place/129387/tamarack-lake</x:v>
      </x:c>
      <x:c r="K308" s="30" t="str">
        <x:v>Named candidate coordinates do not agree. Species not assigned.</x:v>
      </x:c>
      <x:c r="L308" s="30" t="str">
        <x:v>Tamarack Lake</x:v>
      </x:c>
    </x:row>
    <x:row r="309" ht="40" customHeight="1">
      <x:c r="A309" s="30" t="str">
        <x:v>Tay Lake</x:v>
      </x:c>
      <x:c r="B309" s="30" t="str">
        <x:v>5968</x:v>
      </x:c>
      <x:c r="C309" s="30" t="str">
        <x:v>Rainbow Trout</x:v>
      </x:c>
      <x:c r="D309" s="30" t="str">
        <x:v>Rainbow Trout</x:v>
      </x:c>
      <x:c r="E309" s="30" t="str">
        <x:v>None listed</x:v>
      </x:c>
      <x:c r="F309" s="30" t="str">
        <x:v>Matched — species listed</x:v>
      </x:c>
      <x:c r="G309" s="30" t="str"/>
      <x:c r="H309" s="30" t="str">
        <x:v>Tay Lake</x:v>
      </x:c>
      <x:c r="I309" s="31" t="n">
        <x:v>0.03</x:v>
      </x:c>
      <x:c r="J309" s="30" t="str">
        <x:v>https://www.anglersatlas.com/place/130228/tay-lake</x:v>
      </x:c>
      <x:c r="K309" s="30" t="str">
        <x:v>Name and coordinates agree.</x:v>
      </x:c>
      <x:c r="L309" s="30" t="str">
        <x:v>Tay Lake</x:v>
      </x:c>
    </x:row>
    <x:row r="310" ht="40" customHeight="1">
      <x:c r="A310" s="30" t="str">
        <x:v>Tea Lakes</x:v>
      </x:c>
      <x:c r="B310" s="30" t="str">
        <x:v>5971</x:v>
      </x:c>
      <x:c r="C310" s="30" t="str">
        <x:v>Rainbow Trout</x:v>
      </x:c>
      <x:c r="D310" s="30" t="str">
        <x:v>Not assigned</x:v>
      </x:c>
      <x:c r="E310" s="30" t="str">
        <x:v>Not assigned</x:v>
      </x:c>
      <x:c r="F310" s="30" t="str">
        <x:v>No verified match found</x:v>
      </x:c>
      <x:c r="G310" s="30" t="str"/>
      <x:c r="H310" s="30" t="str"/>
      <x:c r="I310" s="31"/>
      <x:c r="J310" s="30" t="str"/>
      <x:c r="K310" s="30" t="str">
        <x:v>Exact-name and available broader-name searches did not establish a matching page.</x:v>
      </x:c>
      <x:c r="L310" s="30" t="str">
        <x:v>Tea Lakes; Tea</x:v>
      </x:c>
    </x:row>
    <x:row r="311" ht="40" customHeight="1">
      <x:c r="A311" s="30" t="str">
        <x:v>Tees Fish Pond</x:v>
      </x:c>
      <x:c r="B311" s="30" t="str">
        <x:v>6718</x:v>
      </x:c>
      <x:c r="C311" s="30" t="str">
        <x:v>Rainbow Trout</x:v>
      </x:c>
      <x:c r="D311" s="30" t="str">
        <x:v>Not assigned</x:v>
      </x:c>
      <x:c r="E311" s="30" t="str">
        <x:v>Not assigned</x:v>
      </x:c>
      <x:c r="F311" s="30" t="str">
        <x:v>No verified match found</x:v>
      </x:c>
      <x:c r="G311" s="30" t="str"/>
      <x:c r="H311" s="30" t="str"/>
      <x:c r="I311" s="31"/>
      <x:c r="J311" s="30" t="str"/>
      <x:c r="K311" s="30" t="str">
        <x:v>Exact-name and available broader-name searches did not establish a matching page.</x:v>
      </x:c>
      <x:c r="L311" s="30" t="str">
        <x:v>Tees Fish Pond; Tees</x:v>
      </x:c>
    </x:row>
    <x:row r="312" ht="40" customHeight="1">
      <x:c r="A312" s="30" t="str">
        <x:v>Telegraph Park Pond</x:v>
      </x:c>
      <x:c r="B312" s="30" t="str">
        <x:v>6674</x:v>
      </x:c>
      <x:c r="C312" s="30" t="str">
        <x:v>Brook Trout; Brown Trout; Rainbow Trout; Tiger Trout</x:v>
      </x:c>
      <x:c r="D312" s="30" t="str">
        <x:v>Not assigned</x:v>
      </x:c>
      <x:c r="E312" s="30" t="str">
        <x:v>Not assigned</x:v>
      </x:c>
      <x:c r="F312" s="30" t="str">
        <x:v>No verified match found</x:v>
      </x:c>
      <x:c r="G312" s="30" t="str"/>
      <x:c r="H312" s="30" t="str"/>
      <x:c r="I312" s="31"/>
      <x:c r="J312" s="30" t="str"/>
      <x:c r="K312" s="30" t="str">
        <x:v>Exact-name and available broader-name searches did not establish a matching page.</x:v>
      </x:c>
      <x:c r="L312" s="30" t="str">
        <x:v>Telegraph Park Pond; Telegraph</x:v>
      </x:c>
    </x:row>
    <x:row r="313" ht="40" customHeight="1">
      <x:c r="A313" s="30" t="str">
        <x:v>Texaco East Pond</x:v>
      </x:c>
      <x:c r="B313" s="30" t="str">
        <x:v>6636</x:v>
      </x:c>
      <x:c r="C313" s="30" t="str">
        <x:v>Rainbow Trout</x:v>
      </x:c>
      <x:c r="D313" s="30" t="str">
        <x:v>Not assigned</x:v>
      </x:c>
      <x:c r="E313" s="30" t="str">
        <x:v>Not assigned</x:v>
      </x:c>
      <x:c r="F313" s="30" t="str">
        <x:v>No verified match found</x:v>
      </x:c>
      <x:c r="G313" s="30" t="str"/>
      <x:c r="H313" s="30" t="str"/>
      <x:c r="I313" s="31"/>
      <x:c r="J313" s="30" t="str"/>
      <x:c r="K313" s="30" t="str">
        <x:v>Exact-name and available broader-name searches did not establish a matching page.</x:v>
      </x:c>
      <x:c r="L313" s="30" t="str">
        <x:v>Texaco East Pond; Texaco</x:v>
      </x:c>
    </x:row>
    <x:row r="314" ht="40" customHeight="1">
      <x:c r="A314" s="30" t="str">
        <x:v>Texaco Pond</x:v>
      </x:c>
      <x:c r="B314" s="30" t="str">
        <x:v>6637</x:v>
      </x:c>
      <x:c r="C314" s="30" t="str">
        <x:v>Rainbow Trout</x:v>
      </x:c>
      <x:c r="D314" s="30" t="str">
        <x:v>Not assigned</x:v>
      </x:c>
      <x:c r="E314" s="30" t="str">
        <x:v>Not assigned</x:v>
      </x:c>
      <x:c r="F314" s="30" t="str">
        <x:v>No verified match found</x:v>
      </x:c>
      <x:c r="G314" s="30" t="str"/>
      <x:c r="H314" s="30" t="str"/>
      <x:c r="I314" s="31"/>
      <x:c r="J314" s="30" t="str"/>
      <x:c r="K314" s="30" t="str">
        <x:v>Exact-name and available broader-name searches did not establish a matching page.</x:v>
      </x:c>
      <x:c r="L314" s="30" t="str">
        <x:v>Texaco Pond; Texaco</x:v>
      </x:c>
    </x:row>
    <x:row r="315" ht="40" customHeight="1">
      <x:c r="A315" s="30" t="str">
        <x:v>Three Isle Lake</x:v>
      </x:c>
      <x:c r="B315" s="30" t="str">
        <x:v>5990</x:v>
      </x:c>
      <x:c r="C315" s="30" t="str">
        <x:v>Cutthroat Trout</x:v>
      </x:c>
      <x:c r="D315" s="30" t="str">
        <x:v>Not listed</x:v>
      </x:c>
      <x:c r="E315" s="30" t="str">
        <x:v>None listed</x:v>
      </x:c>
      <x:c r="F315" s="30" t="str">
        <x:v>Matched — no species listed</x:v>
      </x:c>
      <x:c r="G315" s="30" t="str"/>
      <x:c r="H315" s="30" t="str">
        <x:v>Three Isle Lake</x:v>
      </x:c>
      <x:c r="I315" s="31" t="n">
        <x:v>0.018</x:v>
      </x:c>
      <x:c r="J315" s="30" t="str">
        <x:v>https://www.anglersatlas.com/place/726204/three-isle-lake</x:v>
      </x:c>
      <x:c r="K315" s="30" t="str">
        <x:v>Name and coordinates agree.</x:v>
      </x:c>
      <x:c r="L315" s="30" t="str">
        <x:v>Three Isle Lake</x:v>
      </x:c>
    </x:row>
    <x:row r="316" ht="40" customHeight="1">
      <x:c r="A316" s="30" t="str">
        <x:v>Tim Horton Children's Pond</x:v>
      </x:c>
      <x:c r="B316" s="30" t="str">
        <x:v>6677</x:v>
      </x:c>
      <x:c r="C316" s="30" t="str">
        <x:v>Cutthroat Trout; Rainbow Trout; Westslope Cutthroat Trout</x:v>
      </x:c>
      <x:c r="D316" s="30" t="str">
        <x:v>Not assigned</x:v>
      </x:c>
      <x:c r="E316" s="30" t="str">
        <x:v>Not assigned</x:v>
      </x:c>
      <x:c r="F316" s="30" t="str">
        <x:v>No verified match found</x:v>
      </x:c>
      <x:c r="G316" s="30" t="str"/>
      <x:c r="H316" s="30" t="str"/>
      <x:c r="I316" s="31"/>
      <x:c r="J316" s="30" t="str"/>
      <x:c r="K316" s="30" t="str">
        <x:v>Exact-name and available broader-name searches did not establish a matching page.</x:v>
      </x:c>
      <x:c r="L316" s="30" t="str">
        <x:v>Tim Horton Children's Pond; Tim Horton</x:v>
      </x:c>
    </x:row>
    <x:row r="317" ht="40" customHeight="1">
      <x:c r="A317" s="30" t="str">
        <x:v>Trapper Lake</x:v>
      </x:c>
      <x:c r="B317" s="30" t="str">
        <x:v>6638</x:v>
      </x:c>
      <x:c r="C317" s="30" t="str">
        <x:v>Rainbow Trout</x:v>
      </x:c>
      <x:c r="D317" s="30" t="str">
        <x:v>Not assigned</x:v>
      </x:c>
      <x:c r="E317" s="30" t="str">
        <x:v>Not assigned</x:v>
      </x:c>
      <x:c r="F317" s="30" t="str">
        <x:v>No verified match found</x:v>
      </x:c>
      <x:c r="G317" s="30" t="str"/>
      <x:c r="H317" s="30" t="str"/>
      <x:c r="I317" s="31"/>
      <x:c r="J317" s="30" t="str"/>
      <x:c r="K317" s="30" t="str">
        <x:v>Exact-name and available broader-name searches did not establish a matching page.</x:v>
      </x:c>
      <x:c r="L317" s="30" t="str">
        <x:v>Trapper Lake; Trapper</x:v>
      </x:c>
    </x:row>
    <x:row r="318" ht="40" customHeight="1">
      <x:c r="A318" s="30" t="str">
        <x:v>Travers Reservoir</x:v>
      </x:c>
      <x:c r="B318" s="30" t="str">
        <x:v>3537</x:v>
      </x:c>
      <x:c r="C318" s="30" t="str">
        <x:v>Walleye</x:v>
      </x:c>
      <x:c r="D318" s="30" t="str">
        <x:v>Burbot; Lake Whitefish; Northern Pike; Rainbow Trout; Walleye; Yellow Perch</x:v>
      </x:c>
      <x:c r="E318" s="30" t="str">
        <x:v>Burbot; Lake Whitefish; Northern Pike; Rainbow Trout; Yellow Perch</x:v>
      </x:c>
      <x:c r="F318" s="30" t="str">
        <x:v>Matched — species listed</x:v>
      </x:c>
      <x:c r="G318" s="30" t="str"/>
      <x:c r="H318" s="30" t="str">
        <x:v>TRAVERS RESERVOIR</x:v>
      </x:c>
      <x:c r="I318" s="31" t="n">
        <x:v>1.232</x:v>
      </x:c>
      <x:c r="J318" s="30" t="str">
        <x:v>https://www.anglersatlas.com/place/102072/travers-reservoir</x:v>
      </x:c>
      <x:c r="K318" s="30" t="str">
        <x:v>Same named large lake. Map points differ within the lake vicinity.</x:v>
      </x:c>
      <x:c r="L318" s="30" t="str">
        <x:v>Travers Reservoir</x:v>
      </x:c>
    </x:row>
    <x:row r="319" ht="40" customHeight="1">
      <x:c r="A319" s="30" t="str">
        <x:v>Twin Lakes</x:v>
      </x:c>
      <x:c r="B319" s="30" t="str">
        <x:v>6039</x:v>
      </x:c>
      <x:c r="C319" s="30" t="str">
        <x:v>Rainbow Trout</x:v>
      </x:c>
      <x:c r="D319" s="30" t="str">
        <x:v>Not listed</x:v>
      </x:c>
      <x:c r="E319" s="30" t="str">
        <x:v>None listed</x:v>
      </x:c>
      <x:c r="F319" s="30" t="str">
        <x:v>Matched — no species listed</x:v>
      </x:c>
      <x:c r="G319" s="30" t="str"/>
      <x:c r="H319" s="30" t="str">
        <x:v>Twin Lakes</x:v>
      </x:c>
      <x:c r="I319" s="31" t="n">
        <x:v>0.125</x:v>
      </x:c>
      <x:c r="J319" s="30" t="str">
        <x:v>https://www.anglersatlas.com/place/2050023/twin-lakes</x:v>
      </x:c>
      <x:c r="K319" s="30" t="str">
        <x:v>Name and coordinates agree.</x:v>
      </x:c>
      <x:c r="L319" s="30" t="str">
        <x:v>Twin Lakes</x:v>
      </x:c>
    </x:row>
    <x:row r="320" ht="40" customHeight="1">
      <x:c r="A320" s="30" t="str">
        <x:v>Twin Valley Reservoir</x:v>
      </x:c>
      <x:c r="B320" s="30" t="str">
        <x:v>23327</x:v>
      </x:c>
      <x:c r="C320" s="30" t="str">
        <x:v>Walleye</x:v>
      </x:c>
      <x:c r="D320" s="30" t="str">
        <x:v>Northern Pike</x:v>
      </x:c>
      <x:c r="E320" s="30" t="str">
        <x:v>Northern Pike</x:v>
      </x:c>
      <x:c r="F320" s="30" t="str">
        <x:v>Matched — species listed</x:v>
      </x:c>
      <x:c r="G320" s="30" t="str"/>
      <x:c r="H320" s="30" t="str">
        <x:v>Twin Valley Reservoir</x:v>
      </x:c>
      <x:c r="I320" s="31" t="n">
        <x:v>2.35</x:v>
      </x:c>
      <x:c r="J320" s="30" t="str">
        <x:v>https://www.anglersatlas.com/place/1067336/twin-valley-reservoir</x:v>
      </x:c>
      <x:c r="K320" s="30" t="str">
        <x:v>Same named large lake. Map points differ within the lake vicinity.</x:v>
      </x:c>
      <x:c r="L320" s="30" t="str">
        <x:v>Twin Valley Reservoir</x:v>
      </x:c>
    </x:row>
    <x:row r="321" ht="40" customHeight="1">
      <x:c r="A321" s="30" t="str">
        <x:v>Two Hills Pond</x:v>
      </x:c>
      <x:c r="B321" s="30" t="str">
        <x:v>6670</x:v>
      </x:c>
      <x:c r="C321" s="30" t="str">
        <x:v>Rainbow Trout</x:v>
      </x:c>
      <x:c r="D321" s="30" t="str">
        <x:v>Not assigned</x:v>
      </x:c>
      <x:c r="E321" s="30" t="str">
        <x:v>Not assigned</x:v>
      </x:c>
      <x:c r="F321" s="30" t="str">
        <x:v>No verified match found</x:v>
      </x:c>
      <x:c r="G321" s="30" t="str"/>
      <x:c r="H321" s="30" t="str">
        <x:v>Two Hills Lake</x:v>
      </x:c>
      <x:c r="I321" s="31" t="n">
        <x:v>106.148</x:v>
      </x:c>
      <x:c r="J321" s="30" t="str">
        <x:v>https://www.anglersatlas.com/place/130544/two-hills-lake</x:v>
      </x:c>
      <x:c r="K321" s="30" t="str">
        <x:v>Named candidate coordinates do not agree. Species not assigned.</x:v>
      </x:c>
      <x:c r="L321" s="30" t="str">
        <x:v>Two Hills Pond; Two Hills</x:v>
      </x:c>
    </x:row>
    <x:row r="322" ht="40" customHeight="1">
      <x:c r="A322" s="30" t="str">
        <x:v>Upper Burstall Lake</x:v>
      </x:c>
      <x:c r="B322" s="30" t="str">
        <x:v>4167</x:v>
      </x:c>
      <x:c r="C322" s="30" t="str">
        <x:v>Cutthroat Trout</x:v>
      </x:c>
      <x:c r="D322" s="30" t="str">
        <x:v>Not listed</x:v>
      </x:c>
      <x:c r="E322" s="30" t="str">
        <x:v>None listed</x:v>
      </x:c>
      <x:c r="F322" s="30" t="str">
        <x:v>Matched — no species listed</x:v>
      </x:c>
      <x:c r="G322" s="30" t="str"/>
      <x:c r="H322" s="30" t="str">
        <x:v>BURSTALL LAKES [UPPER]</x:v>
      </x:c>
      <x:c r="I322" s="31" t="n">
        <x:v>0.014</x:v>
      </x:c>
      <x:c r="J322" s="30" t="str">
        <x:v>https://www.anglersatlas.com/place/1107816/burstall-lakes-upper</x:v>
      </x:c>
      <x:c r="K322" s="30" t="str">
        <x:v>Name variant and coordinates agree.</x:v>
      </x:c>
      <x:c r="L322" s="30" t="str">
        <x:v>Upper Burstall Lake; Burstall</x:v>
      </x:c>
    </x:row>
    <x:row r="323" ht="40" customHeight="1">
      <x:c r="A323" s="30" t="str">
        <x:v>Upper Champion Lake</x:v>
      </x:c>
      <x:c r="B323" s="30" t="str">
        <x:v>6607</x:v>
      </x:c>
      <x:c r="C323" s="30" t="str">
        <x:v>Cutthroat Trout; Rainbow Trout; Westslope Cutthroat Trout</x:v>
      </x:c>
      <x:c r="D323" s="30" t="str">
        <x:v>Not assigned</x:v>
      </x:c>
      <x:c r="E323" s="30" t="str">
        <x:v>Not assigned</x:v>
      </x:c>
      <x:c r="F323" s="30" t="str">
        <x:v>Uncertain lake match</x:v>
      </x:c>
      <x:c r="G323" s="30" t="str"/>
      <x:c r="H323" s="30" t="str">
        <x:v>Champion Lakes</x:v>
      </x:c>
      <x:c r="I323" s="31" t="n">
        <x:v>0.301</x:v>
      </x:c>
      <x:c r="J323" s="30" t="str">
        <x:v>https://www.anglersatlas.com/place/965739/champion-lakes</x:v>
      </x:c>
      <x:c r="K323" s="30" t="str">
        <x:v>Atlas page covers another or a group of lakes. Individual lake match is uncertain. Species not assigned.</x:v>
      </x:c>
      <x:c r="L323" s="30" t="str">
        <x:v>Upper Champion Lake; Champion</x:v>
      </x:c>
    </x:row>
    <x:row r="324" ht="40" customHeight="1">
      <x:c r="A324" s="30" t="str">
        <x:v>Upper Headwall Lake</x:v>
      </x:c>
      <x:c r="B324" s="30" t="str">
        <x:v>4806</x:v>
      </x:c>
      <x:c r="C324" s="30" t="str">
        <x:v>Cutthroat Trout</x:v>
      </x:c>
      <x:c r="D324" s="30" t="str">
        <x:v>Not assigned</x:v>
      </x:c>
      <x:c r="E324" s="30" t="str">
        <x:v>Not assigned</x:v>
      </x:c>
      <x:c r="F324" s="30" t="str">
        <x:v>Uncertain lake match</x:v>
      </x:c>
      <x:c r="G324" s="30" t="str"/>
      <x:c r="H324" s="30" t="str">
        <x:v>Headwall Lakes</x:v>
      </x:c>
      <x:c r="I324" s="31" t="n">
        <x:v>0.028</x:v>
      </x:c>
      <x:c r="J324" s="30" t="str">
        <x:v>https://www.anglersatlas.com/place/1107849/headwall-lakes</x:v>
      </x:c>
      <x:c r="K324" s="30" t="str">
        <x:v>Atlas page covers another or a group of lakes. Individual lake match is uncertain. Species not assigned.</x:v>
      </x:c>
      <x:c r="L324" s="30" t="str">
        <x:v>Upper Headwall Lake; Headwall</x:v>
      </x:c>
    </x:row>
    <x:row r="325" ht="40" customHeight="1">
      <x:c r="A325" s="30" t="str">
        <x:v>Upper Hogarth Lake</x:v>
      </x:c>
      <x:c r="B325" s="30" t="str">
        <x:v>4837</x:v>
      </x:c>
      <x:c r="C325" s="30" t="str">
        <x:v>Cutthroat Trout</x:v>
      </x:c>
      <x:c r="D325" s="30" t="str">
        <x:v>Not assigned</x:v>
      </x:c>
      <x:c r="E325" s="30" t="str">
        <x:v>Not assigned</x:v>
      </x:c>
      <x:c r="F325" s="30" t="str">
        <x:v>Uncertain lake match</x:v>
      </x:c>
      <x:c r="G325" s="30" t="str"/>
      <x:c r="H325" s="30" t="str">
        <x:v>Hogarth Lakes</x:v>
      </x:c>
      <x:c r="I325" s="31" t="n">
        <x:v>0.013</x:v>
      </x:c>
      <x:c r="J325" s="30" t="str">
        <x:v>https://www.anglersatlas.com/place/1107850/hogarth-lakes</x:v>
      </x:c>
      <x:c r="K325" s="30" t="str">
        <x:v>Atlas page covers another or a group of lakes. Individual lake match is uncertain. Species not assigned.</x:v>
      </x:c>
      <x:c r="L325" s="30" t="str">
        <x:v>Upper Hogarth Lake; Hogarth</x:v>
      </x:c>
    </x:row>
    <x:row r="326" ht="40" customHeight="1">
      <x:c r="A326" s="30" t="str">
        <x:v>Upper Kananaskis Lake</x:v>
      </x:c>
      <x:c r="B326" s="30" t="str">
        <x:v>6061</x:v>
      </x:c>
      <x:c r="C326" s="30" t="str">
        <x:v>Cutthroat Trout; Westslope Cutthroat Trout</x:v>
      </x:c>
      <x:c r="D326" s="30" t="str">
        <x:v>Bull Trout; Cutthroat Trout; Rainbow Trout</x:v>
      </x:c>
      <x:c r="E326" s="30" t="str">
        <x:v>Bull Trout; Rainbow Trout</x:v>
      </x:c>
      <x:c r="F326" s="30" t="str">
        <x:v>Matched — species listed</x:v>
      </x:c>
      <x:c r="G326" s="30" t="str"/>
      <x:c r="H326" s="30" t="str">
        <x:v>UPPER KANANASKIS LAKE</x:v>
      </x:c>
      <x:c r="I326" s="31" t="n">
        <x:v>0.826</x:v>
      </x:c>
      <x:c r="J326" s="30" t="str">
        <x:v>https://www.anglersatlas.com/place/102078/upper-kananaskis-lake</x:v>
      </x:c>
      <x:c r="K326" s="30" t="str">
        <x:v>Name and coordinates agree.</x:v>
      </x:c>
      <x:c r="L326" s="30" t="str">
        <x:v>Upper Kananaskis Lake</x:v>
      </x:c>
    </x:row>
    <x:row r="327" ht="40" customHeight="1">
      <x:c r="A327" s="30" t="str">
        <x:v>Upper Pierre Greys Lake</x:v>
      </x:c>
      <x:c r="B327" s="30" t="str">
        <x:v>5572</x:v>
      </x:c>
      <x:c r="C327" s="30" t="str">
        <x:v>Brook Trout; Brown Trout</x:v>
      </x:c>
      <x:c r="D327" s="30" t="str">
        <x:v>Not assigned</x:v>
      </x:c>
      <x:c r="E327" s="30" t="str">
        <x:v>Not assigned</x:v>
      </x:c>
      <x:c r="F327" s="30" t="str">
        <x:v>Uncertain lake match</x:v>
      </x:c>
      <x:c r="G327" s="30" t="str"/>
      <x:c r="H327" s="30" t="str">
        <x:v>Pierre Greys Lakes</x:v>
      </x:c>
      <x:c r="I327" s="31" t="n">
        <x:v>0.469</x:v>
      </x:c>
      <x:c r="J327" s="30" t="str">
        <x:v>https://www.anglersatlas.com/place/2050236/pierre-greys-lakes</x:v>
      </x:c>
      <x:c r="K327" s="30" t="str">
        <x:v>Atlas page covers another or a group of lakes. Individual lake match is uncertain. Species not assigned.</x:v>
      </x:c>
      <x:c r="L327" s="30" t="str">
        <x:v>Upper Pierre Greys Lake; Pierre Greys</x:v>
      </x:c>
    </x:row>
    <x:row r="328" ht="40" customHeight="1">
      <x:c r="A328" s="30" t="str">
        <x:v>Upper Smuts Lake</x:v>
      </x:c>
      <x:c r="B328" s="30" t="str">
        <x:v>6606</x:v>
      </x:c>
      <x:c r="C328" s="30" t="str">
        <x:v>Cutthroat Trout</x:v>
      </x:c>
      <x:c r="D328" s="30" t="str">
        <x:v>Not assigned</x:v>
      </x:c>
      <x:c r="E328" s="30" t="str">
        <x:v>Not assigned</x:v>
      </x:c>
      <x:c r="F328" s="30" t="str">
        <x:v>Uncertain lake match</x:v>
      </x:c>
      <x:c r="G328" s="30" t="str"/>
      <x:c r="H328" s="30" t="str">
        <x:v>Smuts Lakes</x:v>
      </x:c>
      <x:c r="I328" s="31" t="n">
        <x:v>0.158</x:v>
      </x:c>
      <x:c r="J328" s="30" t="str">
        <x:v>https://www.anglersatlas.com/place/1108080/smuts-lakes</x:v>
      </x:c>
      <x:c r="K328" s="30" t="str">
        <x:v>Atlas page covers another or a group of lakes. Individual lake match is uncertain. Species not assigned.</x:v>
      </x:c>
      <x:c r="L328" s="30" t="str">
        <x:v>Upper Smuts Lake; Smuts</x:v>
      </x:c>
    </x:row>
    <x:row r="329" ht="40" customHeight="1">
      <x:c r="A329" s="30" t="str">
        <x:v>Upper Wildhorse Lake</x:v>
      </x:c>
      <x:c r="B329" s="30" t="str">
        <x:v>6160</x:v>
      </x:c>
      <x:c r="C329" s="30" t="str">
        <x:v>Brook Trout</x:v>
      </x:c>
      <x:c r="D329" s="30" t="str">
        <x:v>Not assigned</x:v>
      </x:c>
      <x:c r="E329" s="30" t="str">
        <x:v>Not assigned</x:v>
      </x:c>
      <x:c r="F329" s="30" t="str">
        <x:v>Uncertain lake match</x:v>
      </x:c>
      <x:c r="G329" s="30" t="str"/>
      <x:c r="H329" s="30" t="str">
        <x:v>WILDHORSE LAKES</x:v>
      </x:c>
      <x:c r="I329" s="31" t="n">
        <x:v>0.555</x:v>
      </x:c>
      <x:c r="J329" s="30" t="str">
        <x:v>https://www.anglersatlas.com/place/102581/wildhorse-lakes</x:v>
      </x:c>
      <x:c r="K329" s="30" t="str">
        <x:v>Atlas page covers another or a group of lakes. Individual lake match is uncertain. Species not assigned.</x:v>
      </x:c>
      <x:c r="L329" s="30" t="str">
        <x:v>Upper Wildhorse Lake; Wildhorse</x:v>
      </x:c>
    </x:row>
    <x:row r="330" ht="40" customHeight="1">
      <x:c r="A330" s="30" t="str">
        <x:v>Valleyview Children's Pond</x:v>
      </x:c>
      <x:c r="B330" s="30" t="str">
        <x:v>6618</x:v>
      </x:c>
      <x:c r="C330" s="30" t="str">
        <x:v>Rainbow Trout</x:v>
      </x:c>
      <x:c r="D330" s="30" t="str">
        <x:v>Not assigned</x:v>
      </x:c>
      <x:c r="E330" s="30" t="str">
        <x:v>Not assigned</x:v>
      </x:c>
      <x:c r="F330" s="30" t="str">
        <x:v>No verified match found</x:v>
      </x:c>
      <x:c r="G330" s="30" t="str"/>
      <x:c r="H330" s="30" t="str"/>
      <x:c r="I330" s="31"/>
      <x:c r="J330" s="30" t="str"/>
      <x:c r="K330" s="30" t="str">
        <x:v>Exact-name and available broader-name searches did not establish a matching page.</x:v>
      </x:c>
      <x:c r="L330" s="30" t="str">
        <x:v>Valleyview Children's Pond; Valleyview</x:v>
      </x:c>
    </x:row>
    <x:row r="331" ht="40" customHeight="1">
      <x:c r="A331" s="30" t="str">
        <x:v>Vegreville Children's Pond</x:v>
      </x:c>
      <x:c r="B331" s="30" t="str">
        <x:v>6619</x:v>
      </x:c>
      <x:c r="C331" s="30" t="str">
        <x:v>Rainbow Trout</x:v>
      </x:c>
      <x:c r="D331" s="30" t="str">
        <x:v>Not assigned</x:v>
      </x:c>
      <x:c r="E331" s="30" t="str">
        <x:v>Not assigned</x:v>
      </x:c>
      <x:c r="F331" s="30" t="str">
        <x:v>Uncertain lake match</x:v>
      </x:c>
      <x:c r="G331" s="30" t="str"/>
      <x:c r="H331" s="30" t="str">
        <x:v>Vegreville Trout Pond</x:v>
      </x:c>
      <x:c r="I331" s="31" t="n">
        <x:v>2.542</x:v>
      </x:c>
      <x:c r="J331" s="30" t="str">
        <x:v>https://www.anglersatlas.com/place/2576251/vegreville-trout-pond</x:v>
      </x:c>
      <x:c r="K331" s="30" t="str">
        <x:v>Candidate is nearby, but the individual lake or pond is not established. Species not assigned.</x:v>
      </x:c>
      <x:c r="L331" s="30" t="str">
        <x:v>Vegreville Children's Pond; Vegreville</x:v>
      </x:c>
    </x:row>
    <x:row r="332" ht="40" customHeight="1">
      <x:c r="A332" s="30" t="str">
        <x:v>Vegreville Trout Pond</x:v>
      </x:c>
      <x:c r="B332" s="30" t="str">
        <x:v>6620</x:v>
      </x:c>
      <x:c r="C332" s="30" t="str">
        <x:v>Rainbow Trout</x:v>
      </x:c>
      <x:c r="D332" s="30" t="str">
        <x:v>Not listed</x:v>
      </x:c>
      <x:c r="E332" s="30" t="str">
        <x:v>None listed</x:v>
      </x:c>
      <x:c r="F332" s="30" t="str">
        <x:v>Matched — no species listed</x:v>
      </x:c>
      <x:c r="G332" s="30" t="str"/>
      <x:c r="H332" s="30" t="str">
        <x:v>Vegreville Trout Pond</x:v>
      </x:c>
      <x:c r="I332" s="31" t="n">
        <x:v>0.115</x:v>
      </x:c>
      <x:c r="J332" s="30" t="str">
        <x:v>https://www.anglersatlas.com/place/2576251/vegreville-trout-pond</x:v>
      </x:c>
      <x:c r="K332" s="30" t="str">
        <x:v>Name and coordinates agree.</x:v>
      </x:c>
      <x:c r="L332" s="30" t="str">
        <x:v>Vegreville Trout Pond</x:v>
      </x:c>
    </x:row>
    <x:row r="333" ht="40" customHeight="1">
      <x:c r="A333" s="30" t="str">
        <x:v>Vermilion Park Pond</x:v>
      </x:c>
      <x:c r="B333" s="30" t="str">
        <x:v>6082</x:v>
      </x:c>
      <x:c r="C333" s="30" t="str">
        <x:v>Rainbow Trout</x:v>
      </x:c>
      <x:c r="D333" s="30" t="str">
        <x:v>Not listed</x:v>
      </x:c>
      <x:c r="E333" s="30" t="str">
        <x:v>None listed</x:v>
      </x:c>
      <x:c r="F333" s="30" t="str">
        <x:v>Matched — no species listed</x:v>
      </x:c>
      <x:c r="G333" s="30" t="str"/>
      <x:c r="H333" s="30" t="str">
        <x:v>Vermilion Trout Pond</x:v>
      </x:c>
      <x:c r="I333" s="31" t="n">
        <x:v>0.007</x:v>
      </x:c>
      <x:c r="J333" s="30" t="str">
        <x:v>https://www.anglersatlas.com/place/990892/vermilion-trout-pond</x:v>
      </x:c>
      <x:c r="K333" s="30" t="str">
        <x:v>Name variant and coordinates agree.</x:v>
      </x:c>
      <x:c r="L333" s="30" t="str">
        <x:v>Vermilion Park Pond; Vermilion</x:v>
      </x:c>
    </x:row>
    <x:row r="334" ht="40" customHeight="1">
      <x:c r="A334" s="30" t="str">
        <x:v>Victor Lake</x:v>
      </x:c>
      <x:c r="B334" s="30" t="str">
        <x:v>6086</x:v>
      </x:c>
      <x:c r="C334" s="30" t="str">
        <x:v>Rainbow Trout</x:v>
      </x:c>
      <x:c r="D334" s="30" t="str">
        <x:v>Not assigned</x:v>
      </x:c>
      <x:c r="E334" s="30" t="str">
        <x:v>Not assigned</x:v>
      </x:c>
      <x:c r="F334" s="30" t="str">
        <x:v>No verified match found</x:v>
      </x:c>
      <x:c r="G334" s="30" t="str"/>
      <x:c r="H334" s="30" t="str">
        <x:v>Victor Lake</x:v>
      </x:c>
      <x:c r="I334" s="31" t="n">
        <x:v>462.432</x:v>
      </x:c>
      <x:c r="J334" s="30" t="str">
        <x:v>https://www.anglersatlas.com/place/130521/victor-lake</x:v>
      </x:c>
      <x:c r="K334" s="30" t="str">
        <x:v>Named candidate coordinates do not agree. Species not assigned.</x:v>
      </x:c>
      <x:c r="L334" s="30" t="str">
        <x:v>Victor Lake</x:v>
      </x:c>
    </x:row>
    <x:row r="335" ht="40" customHeight="1">
      <x:c r="A335" s="30" t="str">
        <x:v>Wadlin Lake</x:v>
      </x:c>
      <x:c r="B335" s="30" t="str">
        <x:v>6097</x:v>
      </x:c>
      <x:c r="C335" s="30" t="str">
        <x:v>Walleye</x:v>
      </x:c>
      <x:c r="D335" s="30" t="str">
        <x:v>Burbot; Lake Whitefish; Northern Pike; Walleye; Yellow Perch</x:v>
      </x:c>
      <x:c r="E335" s="30" t="str">
        <x:v>Burbot; Lake Whitefish; Northern Pike; Yellow Perch</x:v>
      </x:c>
      <x:c r="F335" s="30" t="str">
        <x:v>Matched — species listed</x:v>
      </x:c>
      <x:c r="G335" s="30" t="str"/>
      <x:c r="H335" s="30" t="str">
        <x:v>WADLIN LAKE</x:v>
      </x:c>
      <x:c r="I335" s="31" t="n">
        <x:v>1.12</x:v>
      </x:c>
      <x:c r="J335" s="30" t="str">
        <x:v>https://www.anglersatlas.com/place/102085/wadlin-lake</x:v>
      </x:c>
      <x:c r="K335" s="30" t="str">
        <x:v>Same named large lake. Map points differ within the lake vicinity.</x:v>
      </x:c>
      <x:c r="L335" s="30" t="str">
        <x:v>Wadlin Lake</x:v>
      </x:c>
    </x:row>
    <x:row r="336" ht="40" customHeight="1">
      <x:c r="A336" s="30" t="str">
        <x:v>Wallace Park Pond</x:v>
      </x:c>
      <x:c r="B336" s="30" t="str">
        <x:v>6622</x:v>
      </x:c>
      <x:c r="C336" s="30" t="str">
        <x:v>Rainbow Trout</x:v>
      </x:c>
      <x:c r="D336" s="30" t="str">
        <x:v>Not assigned</x:v>
      </x:c>
      <x:c r="E336" s="30" t="str">
        <x:v>Not assigned</x:v>
      </x:c>
      <x:c r="F336" s="30" t="str">
        <x:v>No verified match found</x:v>
      </x:c>
      <x:c r="G336" s="30" t="str"/>
      <x:c r="H336" s="30" t="str"/>
      <x:c r="I336" s="31"/>
      <x:c r="J336" s="30" t="str"/>
      <x:c r="K336" s="30" t="str">
        <x:v>Exact-name and available broader-name searches did not establish a matching page.</x:v>
      </x:c>
      <x:c r="L336" s="30" t="str">
        <x:v>Wallace Park Pond; Wallace</x:v>
      </x:c>
    </x:row>
    <x:row r="337" ht="40" customHeight="1">
      <x:c r="A337" s="30" t="str">
        <x:v>Waskasoo Park Pond</x:v>
      </x:c>
      <x:c r="B337" s="30" t="str">
        <x:v>6623</x:v>
      </x:c>
      <x:c r="C337" s="30" t="str">
        <x:v>Rainbow Trout</x:v>
      </x:c>
      <x:c r="D337" s="30" t="str">
        <x:v>Not assigned</x:v>
      </x:c>
      <x:c r="E337" s="30" t="str">
        <x:v>Not assigned</x:v>
      </x:c>
      <x:c r="F337" s="30" t="str">
        <x:v>No verified match found</x:v>
      </x:c>
      <x:c r="G337" s="30" t="str"/>
      <x:c r="H337" s="30" t="str"/>
      <x:c r="I337" s="31"/>
      <x:c r="J337" s="30" t="str"/>
      <x:c r="K337" s="30" t="str">
        <x:v>Exact-name and available broader-name searches did not establish a matching page.</x:v>
      </x:c>
      <x:c r="L337" s="30" t="str">
        <x:v>Waskasoo Park Pond; Waskasoo</x:v>
      </x:c>
    </x:row>
    <x:row r="338" ht="40" customHeight="1">
      <x:c r="A338" s="30" t="str">
        <x:v>Watridge Lake</x:v>
      </x:c>
      <x:c r="B338" s="30" t="str">
        <x:v>6120</x:v>
      </x:c>
      <x:c r="C338" s="30" t="str">
        <x:v>Westslope Cutthroat Trout</x:v>
      </x:c>
      <x:c r="D338" s="30" t="str">
        <x:v>Not assigned</x:v>
      </x:c>
      <x:c r="E338" s="30" t="str">
        <x:v>Not assigned</x:v>
      </x:c>
      <x:c r="F338" s="30" t="str">
        <x:v>No verified match found</x:v>
      </x:c>
      <x:c r="G338" s="30" t="str"/>
      <x:c r="H338" s="30" t="str">
        <x:v>Watridge Lake</x:v>
      </x:c>
      <x:c r="I338" s="31" t="n">
        <x:v>140.466</x:v>
      </x:c>
      <x:c r="J338" s="30" t="str">
        <x:v>https://www.anglersatlas.com/place/130555/watridge-lake</x:v>
      </x:c>
      <x:c r="K338" s="30" t="str">
        <x:v>Named candidate coordinates do not agree. Species not assigned.</x:v>
      </x:c>
      <x:c r="L338" s="30" t="str">
        <x:v>Watridge Lake</x:v>
      </x:c>
    </x:row>
    <x:row r="339" ht="40" customHeight="1">
      <x:c r="A339" s="30" t="str">
        <x:v>Weberville Pond</x:v>
      </x:c>
      <x:c r="B339" s="30" t="str">
        <x:v>6609</x:v>
      </x:c>
      <x:c r="C339" s="30" t="str">
        <x:v>Rainbow Trout</x:v>
      </x:c>
      <x:c r="D339" s="30" t="str">
        <x:v>Not assigned</x:v>
      </x:c>
      <x:c r="E339" s="30" t="str">
        <x:v>Not assigned</x:v>
      </x:c>
      <x:c r="F339" s="30" t="str">
        <x:v>No verified match found</x:v>
      </x:c>
      <x:c r="G339" s="30" t="str"/>
      <x:c r="H339" s="30" t="str"/>
      <x:c r="I339" s="31"/>
      <x:c r="J339" s="30" t="str"/>
      <x:c r="K339" s="30" t="str">
        <x:v>Exact-name and available broader-name searches did not establish a matching page.</x:v>
      </x:c>
      <x:c r="L339" s="30" t="str">
        <x:v>Weberville Pond; Weberville</x:v>
      </x:c>
    </x:row>
    <x:row r="340" ht="40" customHeight="1">
      <x:c r="A340" s="30" t="str">
        <x:v>West Dollar Lake</x:v>
      </x:c>
      <x:c r="B340" s="30" t="str">
        <x:v>6524</x:v>
      </x:c>
      <x:c r="C340" s="30" t="str">
        <x:v>Brown Trout; Rainbow Trout</x:v>
      </x:c>
      <x:c r="D340" s="30" t="str">
        <x:v>Not assigned</x:v>
      </x:c>
      <x:c r="E340" s="30" t="str">
        <x:v>Not assigned</x:v>
      </x:c>
      <x:c r="F340" s="30" t="str">
        <x:v>Uncertain lake match</x:v>
      </x:c>
      <x:c r="G340" s="30" t="str"/>
      <x:c r="H340" s="30" t="str">
        <x:v>Dollar Lakes</x:v>
      </x:c>
      <x:c r="I340" s="31" t="n">
        <x:v>0.19</x:v>
      </x:c>
      <x:c r="J340" s="30" t="str">
        <x:v>https://www.anglersatlas.com/place/2578066/dollar-lakes</x:v>
      </x:c>
      <x:c r="K340" s="30" t="str">
        <x:v>Atlas page covers another or a group of lakes. Individual lake match is uncertain. Species not assigned.</x:v>
      </x:c>
      <x:c r="L340" s="30" t="str">
        <x:v>West Dollar Lake; Dollar</x:v>
      </x:c>
    </x:row>
    <x:row r="341" ht="40" customHeight="1">
      <x:c r="A341" s="30" t="str">
        <x:v>West Memorial Lake</x:v>
      </x:c>
      <x:c r="B341" s="30" t="str">
        <x:v>6610</x:v>
      </x:c>
      <x:c r="C341" s="30" t="str">
        <x:v>Cutthroat Trout</x:v>
      </x:c>
      <x:c r="D341" s="30" t="str">
        <x:v>Not assigned</x:v>
      </x:c>
      <x:c r="E341" s="30" t="str">
        <x:v>Not assigned</x:v>
      </x:c>
      <x:c r="F341" s="30" t="str">
        <x:v>Uncertain lake match</x:v>
      </x:c>
      <x:c r="G341" s="30" t="str"/>
      <x:c r="H341" s="30" t="str">
        <x:v>Memorial Lakes</x:v>
      </x:c>
      <x:c r="I341" s="31" t="n">
        <x:v>0.616</x:v>
      </x:c>
      <x:c r="J341" s="30" t="str">
        <x:v>https://www.anglersatlas.com/place/1108008/memorial-lakes</x:v>
      </x:c>
      <x:c r="K341" s="30" t="str">
        <x:v>Atlas page covers another or a group of lakes. Individual lake match is uncertain. Species not assigned.</x:v>
      </x:c>
      <x:c r="L341" s="30" t="str">
        <x:v>West Memorial Lake; Memorial</x:v>
      </x:c>
    </x:row>
    <x:row r="342" ht="40" customHeight="1">
      <x:c r="A342" s="30" t="str">
        <x:v>Westlock Recreation Pond</x:v>
      </x:c>
      <x:c r="B342" s="30" t="str">
        <x:v>6613</x:v>
      </x:c>
      <x:c r="C342" s="30" t="str">
        <x:v>Rainbow Trout</x:v>
      </x:c>
      <x:c r="D342" s="30" t="str">
        <x:v>Not listed</x:v>
      </x:c>
      <x:c r="E342" s="30" t="str">
        <x:v>None listed</x:v>
      </x:c>
      <x:c r="F342" s="30" t="str">
        <x:v>Matched — no species listed</x:v>
      </x:c>
      <x:c r="G342" s="30" t="str"/>
      <x:c r="H342" s="30" t="str">
        <x:v>Westlock Recreational Pond</x:v>
      </x:c>
      <x:c r="I342" s="31" t="n">
        <x:v>0.007</x:v>
      </x:c>
      <x:c r="J342" s="30" t="str">
        <x:v>https://www.anglersatlas.com/place/884917/westlock-recreational-pond</x:v>
      </x:c>
      <x:c r="K342" s="30" t="str">
        <x:v>Name variant and coordinates agree.</x:v>
      </x:c>
      <x:c r="L342" s="30" t="str">
        <x:v>Westlock Recreation Pond; Westlock Recreation</x:v>
      </x:c>
    </x:row>
    <x:row r="343" ht="40" customHeight="1">
      <x:c r="A343" s="30" t="str">
        <x:v>Wetaskiwin Pond</x:v>
      </x:c>
      <x:c r="B343" s="30" t="str">
        <x:v>18019</x:v>
      </x:c>
      <x:c r="C343" s="30" t="str">
        <x:v>Brook Trout; Rainbow Trout</x:v>
      </x:c>
      <x:c r="D343" s="30" t="str">
        <x:v>Not assigned</x:v>
      </x:c>
      <x:c r="E343" s="30" t="str">
        <x:v>Not assigned</x:v>
      </x:c>
      <x:c r="F343" s="30" t="str">
        <x:v>No verified match found</x:v>
      </x:c>
      <x:c r="G343" s="30" t="str"/>
      <x:c r="H343" s="30" t="str"/>
      <x:c r="I343" s="31"/>
      <x:c r="J343" s="30" t="str"/>
      <x:c r="K343" s="30" t="str">
        <x:v>Exact-name and available broader-name searches did not establish a matching page.</x:v>
      </x:c>
      <x:c r="L343" s="30" t="str">
        <x:v>Wetaskiwin Pond; Wetaskiwin</x:v>
      </x:c>
    </x:row>
    <x:row r="344" ht="40" customHeight="1">
      <x:c r="A344" s="30" t="str">
        <x:v>Whitecourt Town Pond</x:v>
      </x:c>
      <x:c r="B344" s="30" t="str">
        <x:v>21137</x:v>
      </x:c>
      <x:c r="C344" s="30" t="str">
        <x:v>Rainbow Trout</x:v>
      </x:c>
      <x:c r="D344" s="30" t="str">
        <x:v>Not assigned</x:v>
      </x:c>
      <x:c r="E344" s="30" t="str">
        <x:v>Not assigned</x:v>
      </x:c>
      <x:c r="F344" s="30" t="str">
        <x:v>No verified match found</x:v>
      </x:c>
      <x:c r="G344" s="30" t="str"/>
      <x:c r="H344" s="30" t="str"/>
      <x:c r="I344" s="31"/>
      <x:c r="J344" s="30" t="str"/>
      <x:c r="K344" s="30" t="str">
        <x:v>Exact-name and available broader-name searches did not establish a matching page.</x:v>
      </x:c>
      <x:c r="L344" s="30" t="str">
        <x:v>Whitecourt Town Pond; Whitecourt Town</x:v>
      </x:c>
    </x:row>
    <x:row r="345" ht="40" customHeight="1">
      <x:c r="A345" s="30" t="str">
        <x:v>Wildwood Pond</x:v>
      </x:c>
      <x:c r="B345" s="30" t="str">
        <x:v>6625</x:v>
      </x:c>
      <x:c r="C345" s="30" t="str">
        <x:v>Rainbow Trout</x:v>
      </x:c>
      <x:c r="D345" s="30" t="str">
        <x:v>Not assigned</x:v>
      </x:c>
      <x:c r="E345" s="30" t="str">
        <x:v>Not assigned</x:v>
      </x:c>
      <x:c r="F345" s="30" t="str">
        <x:v>No verified match found</x:v>
      </x:c>
      <x:c r="G345" s="30" t="str"/>
      <x:c r="H345" s="30" t="str"/>
      <x:c r="I345" s="31"/>
      <x:c r="J345" s="30" t="str"/>
      <x:c r="K345" s="30" t="str">
        <x:v>Exact-name and available broader-name searches did not establish a matching page.</x:v>
      </x:c>
      <x:c r="L345" s="30" t="str">
        <x:v>Wildwood Pond; Wildwood</x:v>
      </x:c>
    </x:row>
    <x:row r="346" ht="40" customHeight="1">
      <x:c r="A346" s="30" t="str">
        <x:v>Winagami Lake</x:v>
      </x:c>
      <x:c r="B346" s="30" t="str">
        <x:v>6169</x:v>
      </x:c>
      <x:c r="C346" s="30" t="str">
        <x:v>Walleye</x:v>
      </x:c>
      <x:c r="D346" s="30" t="str">
        <x:v>Lake Whitefish; Northern Pike; Walleye; White Sucker; Yellow Perch</x:v>
      </x:c>
      <x:c r="E346" s="30" t="str">
        <x:v>Lake Whitefish; Northern Pike; White Sucker; Yellow Perch</x:v>
      </x:c>
      <x:c r="F346" s="30" t="str">
        <x:v>Matched — species listed</x:v>
      </x:c>
      <x:c r="G346" s="30" t="str"/>
      <x:c r="H346" s="30" t="str">
        <x:v>Winagami Lake</x:v>
      </x:c>
      <x:c r="I346" s="31" t="n">
        <x:v>1.727</x:v>
      </x:c>
      <x:c r="J346" s="30" t="str">
        <x:v>https://www.anglersatlas.com/place/130576/winagami-lake</x:v>
      </x:c>
      <x:c r="K346" s="30" t="str">
        <x:v>Same named large lake. Map points differ within the lake vicinity.</x:v>
      </x:c>
      <x:c r="L346" s="30" t="str">
        <x:v>Winagami Lake</x:v>
      </x:c>
    </x:row>
    <x:row r="347" ht="40" customHeight="1">
      <x:c r="A347" s="30" t="str">
        <x:v>Winchell Lake</x:v>
      </x:c>
      <x:c r="B347" s="30" t="str">
        <x:v>6617</x:v>
      </x:c>
      <x:c r="C347" s="30" t="str">
        <x:v>Rainbow Trout</x:v>
      </x:c>
      <x:c r="D347" s="30" t="str">
        <x:v>Rainbow Trout</x:v>
      </x:c>
      <x:c r="E347" s="30" t="str">
        <x:v>None listed</x:v>
      </x:c>
      <x:c r="F347" s="30" t="str">
        <x:v>Matched — species listed</x:v>
      </x:c>
      <x:c r="G347" s="30" t="str"/>
      <x:c r="H347" s="30" t="str">
        <x:v>Winchell Lake</x:v>
      </x:c>
      <x:c r="I347" s="31" t="n">
        <x:v>0.026</x:v>
      </x:c>
      <x:c r="J347" s="30" t="str">
        <x:v>https://www.anglersatlas.com/place/726221/winchell-lake</x:v>
      </x:c>
      <x:c r="K347" s="30" t="str">
        <x:v>Name and coordinates agree.</x:v>
      </x:c>
      <x:c r="L347" s="30" t="str">
        <x:v>Winchell Lake</x:v>
      </x:c>
    </x:row>
    <x:row r="348" ht="40" customHeight="1">
      <x:c r="A348" s="30" t="str">
        <x:v>Windsor Lake</x:v>
      </x:c>
      <x:c r="B348" s="30" t="str">
        <x:v>6173</x:v>
      </x:c>
      <x:c r="C348" s="30" t="str">
        <x:v>Rainbow Trout</x:v>
      </x:c>
      <x:c r="D348" s="30" t="str">
        <x:v>Not assigned</x:v>
      </x:c>
      <x:c r="E348" s="30" t="str">
        <x:v>Not assigned</x:v>
      </x:c>
      <x:c r="F348" s="30" t="str">
        <x:v>No verified match found</x:v>
      </x:c>
      <x:c r="G348" s="30" t="str"/>
      <x:c r="H348" s="30" t="str"/>
      <x:c r="I348" s="31"/>
      <x:c r="J348" s="30" t="str"/>
      <x:c r="K348" s="30" t="str">
        <x:v>Exact-name and available broader-name searches did not establish a matching page.</x:v>
      </x:c>
      <x:c r="L348" s="30" t="str">
        <x:v>Windsor Lake; Windsor</x:v>
      </x:c>
    </x:row>
    <x:row r="349" ht="40" customHeight="1">
      <x:c r="A349" s="30" t="str">
        <x:v>Wolf Creek Pond</x:v>
      </x:c>
      <x:c r="B349" s="30" t="str">
        <x:v>6626</x:v>
      </x:c>
      <x:c r="C349" s="30" t="str">
        <x:v>Rainbow Trout</x:v>
      </x:c>
      <x:c r="D349" s="30" t="str">
        <x:v>Not assigned</x:v>
      </x:c>
      <x:c r="E349" s="30" t="str">
        <x:v>Not assigned</x:v>
      </x:c>
      <x:c r="F349" s="30" t="str">
        <x:v>No verified match found</x:v>
      </x:c>
      <x:c r="G349" s="30" t="str"/>
      <x:c r="H349" s="30" t="str"/>
      <x:c r="I349" s="31"/>
      <x:c r="J349" s="30" t="str"/>
      <x:c r="K349" s="30" t="str">
        <x:v>Exact-name and available broader-name searches did not establish a matching page.</x:v>
      </x:c>
      <x:c r="L349" s="30" t="str">
        <x:v>Wolf Creek Pond; Wolf Creek</x:v>
      </x:c>
    </x:row>
    <x:row r="350" ht="40" customHeight="1">
      <x:c r="A350" s="30" t="str">
        <x:v>Yellowhead Lake</x:v>
      </x:c>
      <x:c r="B350" s="30" t="str">
        <x:v>6601</x:v>
      </x:c>
      <x:c r="C350" s="30" t="str">
        <x:v>Brook Trout</x:v>
      </x:c>
      <x:c r="D350" s="30" t="str">
        <x:v>Not listed</x:v>
      </x:c>
      <x:c r="E350" s="30" t="str">
        <x:v>None listed</x:v>
      </x:c>
      <x:c r="F350" s="30" t="str">
        <x:v>Matched — no species listed</x:v>
      </x:c>
      <x:c r="G350" s="30" t="str"/>
      <x:c r="H350" s="30" t="str">
        <x:v>Yellowhead Lake</x:v>
      </x:c>
      <x:c r="I350" s="31" t="n">
        <x:v>0.045</x:v>
      </x:c>
      <x:c r="J350" s="30" t="str">
        <x:v>https://www.anglersatlas.com/place/2094355/yellowhead-lake</x:v>
      </x:c>
      <x:c r="K350" s="30" t="str">
        <x:v>Name and coordinates agree.</x:v>
      </x:c>
      <x:c r="L350" s="30" t="str">
        <x:v>Yellowhead Lake</x:v>
      </x:c>
    </x:row>
    <x:row r="351" ht="40" customHeight="1">
      <x:c r="A351" s="30" t="str">
        <x:v>Zama Community Pond</x:v>
      </x:c>
      <x:c r="B351" s="30" t="str">
        <x:v>6598</x:v>
      </x:c>
      <x:c r="C351" s="30" t="str">
        <x:v>Rainbow Trout</x:v>
      </x:c>
      <x:c r="D351" s="30" t="str">
        <x:v>Not assigned</x:v>
      </x:c>
      <x:c r="E351" s="30" t="str">
        <x:v>Not assigned</x:v>
      </x:c>
      <x:c r="F351" s="30" t="str">
        <x:v>No verified match found</x:v>
      </x:c>
      <x:c r="G351" s="30" t="str"/>
      <x:c r="H351" s="30" t="str">
        <x:v>Zama Lake</x:v>
      </x:c>
      <x:c r="I351" s="31" t="n">
        <x:v>47.068</x:v>
      </x:c>
      <x:c r="J351" s="30" t="str">
        <x:v>https://www.anglersatlas.com/place/129377/zama-lake</x:v>
      </x:c>
      <x:c r="K351" s="30" t="str">
        <x:v>Named candidate coordinates do not agree. Species not assigned.</x:v>
      </x:c>
      <x:c r="L351" s="30" t="str">
        <x:v>Zama Community Pond; Zama</x:v>
      </x:c>
    </x:row>
  </x:sheetData>
  <x:pageMargins left="0.7" right="0.7" top="0.75" bottom="0.75" header="0.3" footer="0.3"/>
  <x:tableParts count="1">
    <x:tablePart xmlns:r="http://schemas.openxmlformats.org/officeDocument/2006/relationships" r:id="Rc730f350ecb2460e"/>
  </x:tableParts>
</x:worksheet>
</file>

<file path=xl/worksheets/sheet7.xml><?xml version="1.0" encoding="utf-8"?>
<x:worksheet xmlns:x="http://schemas.openxmlformats.org/spreadsheetml/2006/main">
  <x:sheetPr>
    <x:tabColor rgb="FF244C69"/>
  </x:sheetPr>
  <x:sheetViews>
    <x:sheetView showGridLines="0" workbookViewId="0">
      <x:pane ySplit="5" topLeftCell="A6" activePane="bottomLeft" state="frozen"/>
    </x:sheetView>
  </x:sheetViews>
  <x:sheetFormatPr defaultRowHeight="15"/>
  <x:cols>
    <x:col min="1" max="1" width="30" hidden="0" customWidth="1"/>
    <x:col min="2" max="2" width="12" hidden="0" customWidth="1"/>
    <x:col min="3" max="3" width="29" hidden="0" customWidth="1"/>
    <x:col min="4" max="4" width="34" hidden="0" customWidth="1"/>
    <x:col min="5" max="5" width="14" hidden="0" customWidth="1"/>
    <x:col min="6" max="6" width="14" hidden="0" customWidth="1"/>
    <x:col min="7" max="7" width="24" hidden="0" customWidth="1"/>
    <x:col min="8" max="8" width="27" hidden="0" customWidth="1"/>
    <x:col min="9" max="9" width="65" hidden="0" customWidth="1"/>
    <x:col min="10" max="10" width="74" hidden="0" customWidth="1"/>
  </x:cols>
  <x:sheetData>
    <x:row r="1">
      <x:c r="A1" s="23"/>
      <x:c r="B1" s="23"/>
      <x:c r="C1" s="23"/>
      <x:c r="D1" s="23"/>
      <x:c r="E1" s="23"/>
      <x:c r="F1" s="23"/>
      <x:c r="G1" s="23"/>
      <x:c r="H1" s="23"/>
      <x:c r="I1" s="23"/>
      <x:c r="J1" s="23"/>
    </x:row>
    <x:row r="2">
      <x:c r="A2" s="24" t="str">
        <x:v>Angler’s Atlas species evidence</x:v>
      </x:c>
      <x:c r="B2" s="23"/>
      <x:c r="C2" s="23"/>
      <x:c r="D2" s="23"/>
      <x:c r="E2" s="23"/>
      <x:c r="F2" s="23"/>
      <x:c r="G2" s="23"/>
      <x:c r="H2" s="23"/>
      <x:c r="I2" s="23"/>
      <x:c r="J2" s="23"/>
    </x:row>
    <x:row r="3">
      <x:c r="A3" s="25" t="str">
        <x:v>Votes are the species-card counts at retrieval. Confirmation-post dates are historical and do not establish current presence.</x:v>
      </x:c>
      <x:c r="B3" s="23"/>
      <x:c r="C3" s="23"/>
      <x:c r="D3" s="23"/>
      <x:c r="E3" s="23"/>
      <x:c r="F3" s="23"/>
      <x:c r="G3" s="23"/>
      <x:c r="H3" s="23"/>
      <x:c r="I3" s="23"/>
      <x:c r="J3" s="23"/>
    </x:row>
    <x:row r="4">
      <x:c r="A4" s="23"/>
      <x:c r="B4" s="23"/>
      <x:c r="C4" s="23"/>
      <x:c r="D4" s="23"/>
      <x:c r="E4" s="23"/>
      <x:c r="F4" s="23"/>
      <x:c r="G4" s="23"/>
      <x:c r="H4" s="23"/>
      <x:c r="I4" s="23"/>
      <x:c r="J4" s="23"/>
    </x:row>
    <x:row r="5" ht="38" customHeight="1">
      <x:c r="A5" s="29" t="str">
        <x:v>Waterbody name</x:v>
      </x:c>
      <x:c r="B5" s="29" t="str">
        <x:v>Lake ID</x:v>
      </x:c>
      <x:c r="C5" s="29" t="str">
        <x:v>Species</x:v>
      </x:c>
      <x:c r="D5" s="29" t="str">
        <x:v>Listing status</x:v>
      </x:c>
      <x:c r="E5" s="29" t="str">
        <x:v>Agree votes</x:v>
      </x:c>
      <x:c r="F5" s="29" t="str">
        <x:v>Disagree votes</x:v>
      </x:c>
      <x:c r="G5" s="29" t="str">
        <x:v>Visible confirmation date</x:v>
      </x:c>
      <x:c r="H5" s="29" t="str">
        <x:v>Additional to stocking history</x:v>
      </x:c>
      <x:c r="I5" s="29" t="str">
        <x:v>Source lake page</x:v>
      </x:c>
      <x:c r="J5" s="29" t="str">
        <x:v>Evidence notes</x:v>
      </x:c>
    </x:row>
    <x:row r="6" ht="52" customHeight="1">
      <x:c r="A6" s="30" t="str">
        <x:v>Allison Lake</x:v>
      </x:c>
      <x:c r="B6" s="30" t="str">
        <x:v>6902</x:v>
      </x:c>
      <x:c r="C6" s="30" t="str">
        <x:v>Cutthroat Trout</x:v>
      </x:c>
      <x:c r="D6" s="30" t="str">
        <x:v>Community-listed</x:v>
      </x:c>
      <x:c r="E6" s="32" t="n">
        <x:v>2</x:v>
      </x:c>
      <x:c r="F6" s="32" t="n">
        <x:v>0</x:v>
      </x:c>
      <x:c r="G6" s="33" t="n">
        <x:v>42584</x:v>
      </x:c>
      <x:c r="H6" s="34" t="str">
        <x:v>No</x:v>
      </x:c>
      <x:c r="I6" s="30" t="str">
        <x:v>https://www.anglersatlas.com/place/102602/allison-lake</x:v>
      </x:c>
      <x:c r="J6" s="30" t="str">
        <x:v>Date is from a visible community confirmation post.</x:v>
      </x:c>
    </x:row>
    <x:row r="7" ht="52" customHeight="1">
      <x:c r="A7" s="30" t="str">
        <x:v>Allison Lake</x:v>
      </x:c>
      <x:c r="B7" s="30" t="str">
        <x:v>6902</x:v>
      </x:c>
      <x:c r="C7" s="30" t="str">
        <x:v>Rainbow Trout</x:v>
      </x:c>
      <x:c r="D7" s="30" t="str">
        <x:v>Community-listed</x:v>
      </x:c>
      <x:c r="E7" s="32" t="n">
        <x:v>3</x:v>
      </x:c>
      <x:c r="F7" s="32" t="n">
        <x:v>0</x:v>
      </x:c>
      <x:c r="G7" s="33" t="n">
        <x:v>42724</x:v>
      </x:c>
      <x:c r="H7" s="34" t="str">
        <x:v>No</x:v>
      </x:c>
      <x:c r="I7" s="30" t="str">
        <x:v>https://www.anglersatlas.com/place/102602/allison-lake</x:v>
      </x:c>
      <x:c r="J7" s="30" t="str">
        <x:v>Date is from a visible community confirmation post.</x:v>
      </x:c>
    </x:row>
    <x:row r="8" ht="52" customHeight="1">
      <x:c r="A8" s="30" t="str">
        <x:v>Allison Lake</x:v>
      </x:c>
      <x:c r="B8" s="30" t="str">
        <x:v>6902</x:v>
      </x:c>
      <x:c r="C8" s="30" t="str">
        <x:v>Westslope Cutthroat</x:v>
      </x:c>
      <x:c r="D8" s="30" t="str">
        <x:v>Community-listed</x:v>
      </x:c>
      <x:c r="E8" s="32" t="n">
        <x:v>1</x:v>
      </x:c>
      <x:c r="F8" s="32" t="n">
        <x:v>0</x:v>
      </x:c>
      <x:c r="G8" s="33" t="n">
        <x:v>44375</x:v>
      </x:c>
      <x:c r="H8" s="34" t="str">
        <x:v>No</x:v>
      </x:c>
      <x:c r="I8" s="30" t="str">
        <x:v>https://www.anglersatlas.com/place/102602/allison-lake</x:v>
      </x:c>
      <x:c r="J8" s="30" t="str">
        <x:v>Date is from a visible community confirmation post.</x:v>
      </x:c>
    </x:row>
    <x:row r="9" ht="52" customHeight="1">
      <x:c r="A9" s="30" t="str">
        <x:v>Allison Lake</x:v>
      </x:c>
      <x:c r="B9" s="30" t="str">
        <x:v>6902</x:v>
      </x:c>
      <x:c r="C9" s="30" t="str">
        <x:v>Mountain Sucker</x:v>
      </x:c>
      <x:c r="D9" s="30" t="str">
        <x:v>Community-listed</x:v>
      </x:c>
      <x:c r="E9" s="32" t="n">
        <x:v>1</x:v>
      </x:c>
      <x:c r="F9" s="32" t="n">
        <x:v>0</x:v>
      </x:c>
      <x:c r="G9" s="33" t="n">
        <x:v>44677</x:v>
      </x:c>
      <x:c r="H9" s="34" t="str">
        <x:v>Yes</x:v>
      </x:c>
      <x:c r="I9" s="30" t="str">
        <x:v>https://www.anglersatlas.com/place/102602/allison-lake</x:v>
      </x:c>
      <x:c r="J9" s="30" t="str">
        <x:v>Date is from a visible community confirmation post.</x:v>
      </x:c>
    </x:row>
    <x:row r="10" ht="52" customHeight="1">
      <x:c r="A10" s="30" t="str">
        <x:v>Allison Lake</x:v>
      </x:c>
      <x:c r="B10" s="30" t="str">
        <x:v>6902</x:v>
      </x:c>
      <x:c r="C10" s="30" t="str">
        <x:v>Brook Trout</x:v>
      </x:c>
      <x:c r="D10" s="30" t="str">
        <x:v>Community-listed</x:v>
      </x:c>
      <x:c r="E10" s="32" t="n">
        <x:v>1</x:v>
      </x:c>
      <x:c r="F10" s="32" t="n">
        <x:v>0</x:v>
      </x:c>
      <x:c r="G10" s="33" t="n">
        <x:v>42724</x:v>
      </x:c>
      <x:c r="H10" s="34" t="str">
        <x:v>Yes</x:v>
      </x:c>
      <x:c r="I10" s="30" t="str">
        <x:v>https://www.anglersatlas.com/place/102602/allison-lake</x:v>
      </x:c>
      <x:c r="J10" s="30" t="str">
        <x:v>Date is from a visible community confirmation post.</x:v>
      </x:c>
    </x:row>
    <x:row r="11" ht="52" customHeight="1">
      <x:c r="A11" s="30" t="str">
        <x:v>Anderson Dam</x:v>
      </x:c>
      <x:c r="B11" s="30" t="str">
        <x:v>17894</x:v>
      </x:c>
      <x:c r="C11" s="30" t="str">
        <x:v>Rainbow Trout</x:v>
      </x:c>
      <x:c r="D11" s="30" t="str">
        <x:v>Community-listed</x:v>
      </x:c>
      <x:c r="E11" s="32" t="n">
        <x:v>3</x:v>
      </x:c>
      <x:c r="F11" s="32" t="n">
        <x:v>0</x:v>
      </x:c>
      <x:c r="G11" s="33" t="n">
        <x:v>44686</x:v>
      </x:c>
      <x:c r="H11" s="34" t="str">
        <x:v>No</x:v>
      </x:c>
      <x:c r="I11" s="30" t="str">
        <x:v>https://www.anglersatlas.com/place/916170/anderson-dam</x:v>
      </x:c>
      <x:c r="J11" s="30" t="str">
        <x:v>Date is from a visible community confirmation post.</x:v>
      </x:c>
    </x:row>
    <x:row r="12" ht="52" customHeight="1">
      <x:c r="A12" s="30" t="str">
        <x:v>Beaumont Pond</x:v>
      </x:c>
      <x:c r="B12" s="30" t="str">
        <x:v>6893</x:v>
      </x:c>
      <x:c r="C12" s="30" t="str">
        <x:v>Rainbow Trout</x:v>
      </x:c>
      <x:c r="D12" s="30" t="str">
        <x:v>Community-listed</x:v>
      </x:c>
      <x:c r="E12" s="32" t="n">
        <x:v>4</x:v>
      </x:c>
      <x:c r="F12" s="32" t="n">
        <x:v>0</x:v>
      </x:c>
      <x:c r="G12" s="33" t="n">
        <x:v>44675</x:v>
      </x:c>
      <x:c r="H12" s="34" t="str">
        <x:v>No</x:v>
      </x:c>
      <x:c r="I12" s="30" t="str">
        <x:v>https://www.anglersatlas.com/place/990888/beaumont-fish-pond</x:v>
      </x:c>
      <x:c r="J12" s="30" t="str">
        <x:v>Date is from a visible community confirmation post.</x:v>
      </x:c>
    </x:row>
    <x:row r="13" ht="52" customHeight="1">
      <x:c r="A13" s="30" t="str">
        <x:v>Beauvais Lake</x:v>
      </x:c>
      <x:c r="B13" s="30" t="str">
        <x:v>4011</x:v>
      </x:c>
      <x:c r="C13" s="30" t="str">
        <x:v>Rainbow Trout</x:v>
      </x:c>
      <x:c r="D13" s="30" t="str">
        <x:v>Community-listed</x:v>
      </x:c>
      <x:c r="E13" s="32" t="n">
        <x:v>12</x:v>
      </x:c>
      <x:c r="F13" s="32" t="n">
        <x:v>0</x:v>
      </x:c>
      <x:c r="G13" s="33" t="n">
        <x:v>42590</x:v>
      </x:c>
      <x:c r="H13" s="34" t="str">
        <x:v>No</x:v>
      </x:c>
      <x:c r="I13" s="30" t="str">
        <x:v>https://www.anglersatlas.com/place/129635/beauvais-lake</x:v>
      </x:c>
      <x:c r="J13" s="30" t="str">
        <x:v>Date is from a visible community confirmation post.</x:v>
      </x:c>
    </x:row>
    <x:row r="14" ht="52" customHeight="1">
      <x:c r="A14" s="30" t="str">
        <x:v>Beauvais Lake</x:v>
      </x:c>
      <x:c r="B14" s="30" t="str">
        <x:v>4011</x:v>
      </x:c>
      <x:c r="C14" s="30" t="str">
        <x:v>Brown Trout</x:v>
      </x:c>
      <x:c r="D14" s="30" t="str">
        <x:v>Community-listed</x:v>
      </x:c>
      <x:c r="E14" s="32" t="n">
        <x:v>9</x:v>
      </x:c>
      <x:c r="F14" s="32" t="n">
        <x:v>0</x:v>
      </x:c>
      <x:c r="G14" s="33" t="n">
        <x:v>42590</x:v>
      </x:c>
      <x:c r="H14" s="34" t="str">
        <x:v>Yes</x:v>
      </x:c>
      <x:c r="I14" s="30" t="str">
        <x:v>https://www.anglersatlas.com/place/129635/beauvais-lake</x:v>
      </x:c>
      <x:c r="J14" s="30" t="str">
        <x:v>Date is from a visible community confirmation post.</x:v>
      </x:c>
    </x:row>
    <x:row r="15" ht="52" customHeight="1">
      <x:c r="A15" s="30" t="str">
        <x:v>Beauvais Lake</x:v>
      </x:c>
      <x:c r="B15" s="30" t="str">
        <x:v>4011</x:v>
      </x:c>
      <x:c r="C15" s="30" t="str">
        <x:v>White Sucker</x:v>
      </x:c>
      <x:c r="D15" s="30" t="str">
        <x:v>Community-listed</x:v>
      </x:c>
      <x:c r="E15" s="32" t="n">
        <x:v>6</x:v>
      </x:c>
      <x:c r="F15" s="32" t="n">
        <x:v>0</x:v>
      </x:c>
      <x:c r="G15" s="33" t="n">
        <x:v>42962</x:v>
      </x:c>
      <x:c r="H15" s="34" t="str">
        <x:v>Yes</x:v>
      </x:c>
      <x:c r="I15" s="30" t="str">
        <x:v>https://www.anglersatlas.com/place/129635/beauvais-lake</x:v>
      </x:c>
      <x:c r="J15" s="30" t="str">
        <x:v>Date is from a visible community confirmation post.</x:v>
      </x:c>
    </x:row>
    <x:row r="16" ht="52" customHeight="1">
      <x:c r="A16" s="30" t="str">
        <x:v>Beaver Lake</x:v>
      </x:c>
      <x:c r="B16" s="30" t="str">
        <x:v>4014</x:v>
      </x:c>
      <x:c r="C16" s="30" t="str">
        <x:v>Rainbow Trout</x:v>
      </x:c>
      <x:c r="D16" s="30" t="str">
        <x:v>Community-listed</x:v>
      </x:c>
      <x:c r="E16" s="32" t="n">
        <x:v>8</x:v>
      </x:c>
      <x:c r="F16" s="32" t="n">
        <x:v>0</x:v>
      </x:c>
      <x:c r="G16" s="33" t="n">
        <x:v>42590</x:v>
      </x:c>
      <x:c r="H16" s="34" t="str">
        <x:v>No</x:v>
      </x:c>
      <x:c r="I16" s="30" t="str">
        <x:v>https://www.anglersatlas.com/place/129637/beaver-lake</x:v>
      </x:c>
      <x:c r="J16" s="30" t="str">
        <x:v>Date is from a visible community confirmation post.</x:v>
      </x:c>
    </x:row>
    <x:row r="17" ht="52" customHeight="1">
      <x:c r="A17" s="30" t="str">
        <x:v>Beaver Lake</x:v>
      </x:c>
      <x:c r="B17" s="30" t="str">
        <x:v>4014</x:v>
      </x:c>
      <x:c r="C17" s="30" t="str">
        <x:v>Tiger Trout</x:v>
      </x:c>
      <x:c r="D17" s="30" t="str">
        <x:v>Community-listed</x:v>
      </x:c>
      <x:c r="E17" s="32" t="n">
        <x:v>2</x:v>
      </x:c>
      <x:c r="F17" s="32" t="n">
        <x:v>0</x:v>
      </x:c>
      <x:c r="G17" s="33" t="n">
        <x:v>45522</x:v>
      </x:c>
      <x:c r="H17" s="34" t="str">
        <x:v>No</x:v>
      </x:c>
      <x:c r="I17" s="30" t="str">
        <x:v>https://www.anglersatlas.com/place/129637/beaver-lake</x:v>
      </x:c>
      <x:c r="J17" s="30" t="str">
        <x:v>Date is from a visible community confirmation post.</x:v>
      </x:c>
    </x:row>
    <x:row r="18" ht="52" customHeight="1">
      <x:c r="A18" s="30" t="str">
        <x:v>Beaver Lake</x:v>
      </x:c>
      <x:c r="B18" s="30" t="str">
        <x:v>4014</x:v>
      </x:c>
      <x:c r="C18" s="30" t="str">
        <x:v>Brook Trout</x:v>
      </x:c>
      <x:c r="D18" s="30" t="str">
        <x:v>Listed with disagreement votes</x:v>
      </x:c>
      <x:c r="E18" s="32" t="n">
        <x:v>2</x:v>
      </x:c>
      <x:c r="F18" s="32" t="n">
        <x:v>2</x:v>
      </x:c>
      <x:c r="G18" s="33" t="n">
        <x:v>44224</x:v>
      </x:c>
      <x:c r="H18" s="34" t="str">
        <x:v>Yes</x:v>
      </x:c>
      <x:c r="I18" s="30" t="str">
        <x:v>https://www.anglersatlas.com/place/129637/beaver-lake</x:v>
      </x:c>
      <x:c r="J18" s="30" t="str">
        <x:v>Date is from a visible community confirmation post.</x:v>
      </x:c>
    </x:row>
    <x:row r="19" ht="52" customHeight="1">
      <x:c r="A19" s="30" t="str">
        <x:v>Beaver Mines Lake</x:v>
      </x:c>
      <x:c r="B19" s="30" t="str">
        <x:v>4018</x:v>
      </x:c>
      <x:c r="C19" s="30" t="str">
        <x:v>Rainbow Trout</x:v>
      </x:c>
      <x:c r="D19" s="30" t="str">
        <x:v>Community-listed</x:v>
      </x:c>
      <x:c r="E19" s="32" t="n">
        <x:v>9</x:v>
      </x:c>
      <x:c r="F19" s="32" t="n">
        <x:v>0</x:v>
      </x:c>
      <x:c r="G19" s="33" t="n">
        <x:v>42720</x:v>
      </x:c>
      <x:c r="H19" s="34" t="str">
        <x:v>No</x:v>
      </x:c>
      <x:c r="I19" s="30" t="str">
        <x:v>https://www.anglersatlas.com/place/101807/beaver-mines-lake</x:v>
      </x:c>
      <x:c r="J19" s="30" t="str">
        <x:v>Date is from a visible community confirmation post.</x:v>
      </x:c>
    </x:row>
    <x:row r="20" ht="52" customHeight="1">
      <x:c r="A20" s="30" t="str">
        <x:v>Beaver Mines Lake</x:v>
      </x:c>
      <x:c r="B20" s="30" t="str">
        <x:v>4018</x:v>
      </x:c>
      <x:c r="C20" s="30" t="str">
        <x:v>Bull Trout</x:v>
      </x:c>
      <x:c r="D20" s="30" t="str">
        <x:v>Listed with disagreement votes</x:v>
      </x:c>
      <x:c r="E20" s="32" t="n">
        <x:v>4</x:v>
      </x:c>
      <x:c r="F20" s="32" t="n">
        <x:v>1</x:v>
      </x:c>
      <x:c r="G20" s="33" t="n">
        <x:v>42726</x:v>
      </x:c>
      <x:c r="H20" s="34" t="str">
        <x:v>Yes</x:v>
      </x:c>
      <x:c r="I20" s="30" t="str">
        <x:v>https://www.anglersatlas.com/place/101807/beaver-mines-lake</x:v>
      </x:c>
      <x:c r="J20" s="30" t="str">
        <x:v>Date is from a visible community confirmation post.</x:v>
      </x:c>
    </x:row>
    <x:row r="21" ht="52" customHeight="1">
      <x:c r="A21" s="30" t="str">
        <x:v>Beaver Mines Lake</x:v>
      </x:c>
      <x:c r="B21" s="30" t="str">
        <x:v>4018</x:v>
      </x:c>
      <x:c r="C21" s="30" t="str">
        <x:v>Cutthroat Trout</x:v>
      </x:c>
      <x:c r="D21" s="30" t="str">
        <x:v>Listed with disagreement votes</x:v>
      </x:c>
      <x:c r="E21" s="32" t="n">
        <x:v>3</x:v>
      </x:c>
      <x:c r="F21" s="32" t="n">
        <x:v>2</x:v>
      </x:c>
      <x:c r="G21" s="33" t="n">
        <x:v>42722</x:v>
      </x:c>
      <x:c r="H21" s="34" t="str">
        <x:v>No</x:v>
      </x:c>
      <x:c r="I21" s="30" t="str">
        <x:v>https://www.anglersatlas.com/place/101807/beaver-mines-lake</x:v>
      </x:c>
      <x:c r="J21" s="30" t="str">
        <x:v>Date is from a visible community confirmation post.</x:v>
      </x:c>
    </x:row>
    <x:row r="22" ht="52" customHeight="1">
      <x:c r="A22" s="30" t="str">
        <x:v>Beaver Mines Lake</x:v>
      </x:c>
      <x:c r="B22" s="30" t="str">
        <x:v>4018</x:v>
      </x:c>
      <x:c r="C22" s="30" t="str">
        <x:v>Brown Trout</x:v>
      </x:c>
      <x:c r="D22" s="30" t="str">
        <x:v>Listed with disagreement votes</x:v>
      </x:c>
      <x:c r="E22" s="32" t="n">
        <x:v>3</x:v>
      </x:c>
      <x:c r="F22" s="32" t="n">
        <x:v>3</x:v>
      </x:c>
      <x:c r="G22" s="33" t="n">
        <x:v>42722</x:v>
      </x:c>
      <x:c r="H22" s="34" t="str">
        <x:v>Yes</x:v>
      </x:c>
      <x:c r="I22" s="30" t="str">
        <x:v>https://www.anglersatlas.com/place/101807/beaver-mines-lake</x:v>
      </x:c>
      <x:c r="J22" s="30" t="str">
        <x:v>Date is from a visible community confirmation post.</x:v>
      </x:c>
    </x:row>
    <x:row r="23" ht="52" customHeight="1">
      <x:c r="A23" s="30" t="str">
        <x:v>Beaver Mines Lake</x:v>
      </x:c>
      <x:c r="B23" s="30" t="str">
        <x:v>4018</x:v>
      </x:c>
      <x:c r="C23" s="30" t="str">
        <x:v>White Sucker</x:v>
      </x:c>
      <x:c r="D23" s="30" t="str">
        <x:v>Disputed by site</x:v>
      </x:c>
      <x:c r="E23" s="32" t="n">
        <x:v>1</x:v>
      </x:c>
      <x:c r="F23" s="32" t="n">
        <x:v>2</x:v>
      </x:c>
      <x:c r="G23" s="33" t="n">
        <x:v>43011</x:v>
      </x:c>
      <x:c r="H23" s="34" t="str">
        <x:v>No</x:v>
      </x:c>
      <x:c r="I23" s="30" t="str">
        <x:v>https://www.anglersatlas.com/place/101807/beaver-mines-lake</x:v>
      </x:c>
      <x:c r="J23" s="30" t="str">
        <x:v>Species name decoded from the linked fish-page URL. Site displays Disputed.</x:v>
      </x:c>
    </x:row>
    <x:row r="24" ht="52" customHeight="1">
      <x:c r="A24" s="30" t="str">
        <x:v>Beaver Mines Lake</x:v>
      </x:c>
      <x:c r="B24" s="30" t="str">
        <x:v>4018</x:v>
      </x:c>
      <x:c r="C24" s="30" t="str">
        <x:v>Golden Trout</x:v>
      </x:c>
      <x:c r="D24" s="30" t="str">
        <x:v>Disputed by site</x:v>
      </x:c>
      <x:c r="E24" s="32" t="n">
        <x:v>2</x:v>
      </x:c>
      <x:c r="F24" s="32" t="n">
        <x:v>6</x:v>
      </x:c>
      <x:c r="G24" s="33" t="n">
        <x:v>42783</x:v>
      </x:c>
      <x:c r="H24" s="34" t="str">
        <x:v>No</x:v>
      </x:c>
      <x:c r="I24" s="30" t="str">
        <x:v>https://www.anglersatlas.com/place/101807/beaver-mines-lake</x:v>
      </x:c>
      <x:c r="J24" s="30" t="str">
        <x:v>Species name decoded from the linked fish-page URL. Site displays Disputed.</x:v>
      </x:c>
    </x:row>
    <x:row r="25" ht="52" customHeight="1">
      <x:c r="A25" s="30" t="str">
        <x:v>Bellis Beach Lake</x:v>
      </x:c>
      <x:c r="B25" s="30" t="str">
        <x:v>6894</x:v>
      </x:c>
      <x:c r="C25" s="30" t="str">
        <x:v>Rainbow Trout</x:v>
      </x:c>
      <x:c r="D25" s="30" t="str">
        <x:v>Community-listed</x:v>
      </x:c>
      <x:c r="E25" s="32" t="n">
        <x:v>5</x:v>
      </x:c>
      <x:c r="F25" s="32" t="n">
        <x:v>0</x:v>
      </x:c>
      <x:c r="G25" s="33" t="n">
        <x:v>42570</x:v>
      </x:c>
      <x:c r="H25" s="34" t="str">
        <x:v>No</x:v>
      </x:c>
      <x:c r="I25" s="30" t="str">
        <x:v>https://www.anglersatlas.com/place/102601/bellis-beach-lake</x:v>
      </x:c>
      <x:c r="J25" s="30" t="str">
        <x:v>Date is from a visible community confirmation post.</x:v>
      </x:c>
    </x:row>
    <x:row r="26" ht="52" customHeight="1">
      <x:c r="A26" s="30" t="str">
        <x:v>Birch Lake</x:v>
      </x:c>
      <x:c r="B26" s="30" t="str">
        <x:v>4061</x:v>
      </x:c>
      <x:c r="C26" s="30" t="str">
        <x:v>Brook Trout</x:v>
      </x:c>
      <x:c r="D26" s="30" t="str">
        <x:v>Community-listed</x:v>
      </x:c>
      <x:c r="E26" s="32" t="n">
        <x:v>19</x:v>
      </x:c>
      <x:c r="F26" s="32" t="n">
        <x:v>0</x:v>
      </x:c>
      <x:c r="G26" s="33" t="n">
        <x:v>42590</x:v>
      </x:c>
      <x:c r="H26" s="34" t="str">
        <x:v>No</x:v>
      </x:c>
      <x:c r="I26" s="30" t="str">
        <x:v>https://www.anglersatlas.com/place/101813/birch-lake</x:v>
      </x:c>
      <x:c r="J26" s="30" t="str">
        <x:v>Date is from a visible community confirmation post.</x:v>
      </x:c>
    </x:row>
    <x:row r="27" ht="52" customHeight="1">
      <x:c r="A27" s="30" t="str">
        <x:v>Birch Lake</x:v>
      </x:c>
      <x:c r="B27" s="30" t="str">
        <x:v>4061</x:v>
      </x:c>
      <x:c r="C27" s="30" t="str">
        <x:v>Rainbow Trout</x:v>
      </x:c>
      <x:c r="D27" s="30" t="str">
        <x:v>Community-listed</x:v>
      </x:c>
      <x:c r="E27" s="32" t="n">
        <x:v>18</x:v>
      </x:c>
      <x:c r="F27" s="32" t="n">
        <x:v>0</x:v>
      </x:c>
      <x:c r="G27" s="33" t="n">
        <x:v>43588</x:v>
      </x:c>
      <x:c r="H27" s="34" t="str">
        <x:v>No</x:v>
      </x:c>
      <x:c r="I27" s="30" t="str">
        <x:v>https://www.anglersatlas.com/place/101813/birch-lake</x:v>
      </x:c>
      <x:c r="J27" s="30" t="str">
        <x:v>Date is from a visible community confirmation post.</x:v>
      </x:c>
    </x:row>
    <x:row r="28" ht="52" customHeight="1">
      <x:c r="A28" s="30" t="str">
        <x:v>Birch Lake</x:v>
      </x:c>
      <x:c r="B28" s="30" t="str">
        <x:v>4061</x:v>
      </x:c>
      <x:c r="C28" s="30" t="str">
        <x:v>Brown Trout</x:v>
      </x:c>
      <x:c r="D28" s="30" t="str">
        <x:v>Listed with disagreement votes</x:v>
      </x:c>
      <x:c r="E28" s="32" t="n">
        <x:v>17</x:v>
      </x:c>
      <x:c r="F28" s="32" t="n">
        <x:v>1</x:v>
      </x:c>
      <x:c r="G28" s="33" t="n">
        <x:v>42590</x:v>
      </x:c>
      <x:c r="H28" s="34" t="str">
        <x:v>No</x:v>
      </x:c>
      <x:c r="I28" s="30" t="str">
        <x:v>https://www.anglersatlas.com/place/101813/birch-lake</x:v>
      </x:c>
      <x:c r="J28" s="30" t="str">
        <x:v>Date is from a visible community confirmation post.</x:v>
      </x:c>
    </x:row>
    <x:row r="29" ht="52" customHeight="1">
      <x:c r="A29" s="30" t="str">
        <x:v>Black Nugget Mine Pit</x:v>
      </x:c>
      <x:c r="B29" s="30" t="str">
        <x:v>6923</x:v>
      </x:c>
      <x:c r="C29" s="30" t="str">
        <x:v>Rainbow Trout</x:v>
      </x:c>
      <x:c r="D29" s="30" t="str">
        <x:v>Community-listed</x:v>
      </x:c>
      <x:c r="E29" s="32" t="n">
        <x:v>10</x:v>
      </x:c>
      <x:c r="F29" s="32" t="n">
        <x:v>0</x:v>
      </x:c>
      <x:c r="G29" s="33" t="n">
        <x:v>42570</x:v>
      </x:c>
      <x:c r="H29" s="34" t="str">
        <x:v>No</x:v>
      </x:c>
      <x:c r="I29" s="30" t="str">
        <x:v>https://www.anglersatlas.com/place/712623/black-nugget-mine-pit</x:v>
      </x:c>
      <x:c r="J29" s="30" t="str">
        <x:v>Date is from a visible community confirmation post.</x:v>
      </x:c>
    </x:row>
    <x:row r="30" ht="52" customHeight="1">
      <x:c r="A30" s="30" t="str">
        <x:v>Black Nugget Mine Pit</x:v>
      </x:c>
      <x:c r="B30" s="30" t="str">
        <x:v>6923</x:v>
      </x:c>
      <x:c r="C30" s="30" t="str">
        <x:v>Tiger Trout</x:v>
      </x:c>
      <x:c r="D30" s="30" t="str">
        <x:v>Community-listed</x:v>
      </x:c>
      <x:c r="E30" s="32" t="n">
        <x:v>6</x:v>
      </x:c>
      <x:c r="F30" s="32" t="n">
        <x:v>0</x:v>
      </x:c>
      <x:c r="G30" s="33" t="n">
        <x:v>42570</x:v>
      </x:c>
      <x:c r="H30" s="34" t="str">
        <x:v>No</x:v>
      </x:c>
      <x:c r="I30" s="30" t="str">
        <x:v>https://www.anglersatlas.com/place/712623/black-nugget-mine-pit</x:v>
      </x:c>
      <x:c r="J30" s="30" t="str">
        <x:v>Date is from a visible community confirmation post.</x:v>
      </x:c>
    </x:row>
    <x:row r="31" ht="52" customHeight="1">
      <x:c r="A31" s="30" t="str">
        <x:v>Burnstick Lake</x:v>
      </x:c>
      <x:c r="B31" s="30" t="str">
        <x:v>4161</x:v>
      </x:c>
      <x:c r="C31" s="30" t="str">
        <x:v>Yellow Perch</x:v>
      </x:c>
      <x:c r="D31" s="30" t="str">
        <x:v>Community-listed</x:v>
      </x:c>
      <x:c r="E31" s="32" t="n">
        <x:v>15</x:v>
      </x:c>
      <x:c r="F31" s="32" t="n">
        <x:v>0</x:v>
      </x:c>
      <x:c r="G31" s="33" t="n">
        <x:v>42538</x:v>
      </x:c>
      <x:c r="H31" s="34" t="str">
        <x:v>Yes</x:v>
      </x:c>
      <x:c r="I31" s="30" t="str">
        <x:v>https://www.anglersatlas.com/place/723940/burnstick-lake</x:v>
      </x:c>
      <x:c r="J31" s="30" t="str">
        <x:v>Date is from a visible community confirmation post.</x:v>
      </x:c>
    </x:row>
    <x:row r="32" ht="52" customHeight="1">
      <x:c r="A32" s="30" t="str">
        <x:v>Burnstick Lake</x:v>
      </x:c>
      <x:c r="B32" s="30" t="str">
        <x:v>4161</x:v>
      </x:c>
      <x:c r="C32" s="30" t="str">
        <x:v>Northern Pike</x:v>
      </x:c>
      <x:c r="D32" s="30" t="str">
        <x:v>Community-listed</x:v>
      </x:c>
      <x:c r="E32" s="32" t="n">
        <x:v>13</x:v>
      </x:c>
      <x:c r="F32" s="32" t="n">
        <x:v>0</x:v>
      </x:c>
      <x:c r="G32" s="33" t="n">
        <x:v>42614</x:v>
      </x:c>
      <x:c r="H32" s="34" t="str">
        <x:v>Yes</x:v>
      </x:c>
      <x:c r="I32" s="30" t="str">
        <x:v>https://www.anglersatlas.com/place/723940/burnstick-lake</x:v>
      </x:c>
      <x:c r="J32" s="30" t="str">
        <x:v>Date is from a visible community confirmation post.</x:v>
      </x:c>
    </x:row>
    <x:row r="33" ht="52" customHeight="1">
      <x:c r="A33" s="30" t="str">
        <x:v>Burnstick Lake</x:v>
      </x:c>
      <x:c r="B33" s="30" t="str">
        <x:v>4161</x:v>
      </x:c>
      <x:c r="C33" s="30" t="str">
        <x:v>Walleye</x:v>
      </x:c>
      <x:c r="D33" s="30" t="str">
        <x:v>Listed with disagreement votes</x:v>
      </x:c>
      <x:c r="E33" s="32" t="n">
        <x:v>11</x:v>
      </x:c>
      <x:c r="F33" s="32" t="n">
        <x:v>1</x:v>
      </x:c>
      <x:c r="G33" s="33" t="n">
        <x:v>42614</x:v>
      </x:c>
      <x:c r="H33" s="34" t="str">
        <x:v>No</x:v>
      </x:c>
      <x:c r="I33" s="30" t="str">
        <x:v>https://www.anglersatlas.com/place/723940/burnstick-lake</x:v>
      </x:c>
      <x:c r="J33" s="30" t="str">
        <x:v>Date is from a visible community confirmation post.</x:v>
      </x:c>
    </x:row>
    <x:row r="34" ht="52" customHeight="1">
      <x:c r="A34" s="30" t="str">
        <x:v>Burnstick Lake</x:v>
      </x:c>
      <x:c r="B34" s="30" t="str">
        <x:v>4161</x:v>
      </x:c>
      <x:c r="C34" s="30" t="str">
        <x:v>Lake Whitefish</x:v>
      </x:c>
      <x:c r="D34" s="30" t="str">
        <x:v>Community-listed</x:v>
      </x:c>
      <x:c r="E34" s="32" t="n">
        <x:v>1</x:v>
      </x:c>
      <x:c r="F34" s="32" t="n">
        <x:v>0</x:v>
      </x:c>
      <x:c r="G34" s="33" t="n">
        <x:v>44576</x:v>
      </x:c>
      <x:c r="H34" s="34" t="str">
        <x:v>Yes</x:v>
      </x:c>
      <x:c r="I34" s="30" t="str">
        <x:v>https://www.anglersatlas.com/place/723940/burnstick-lake</x:v>
      </x:c>
      <x:c r="J34" s="30" t="str">
        <x:v>Date is from a visible community confirmation post.</x:v>
      </x:c>
    </x:row>
    <x:row r="35" ht="52" customHeight="1">
      <x:c r="A35" s="30" t="str">
        <x:v>Cardiff Park Pond</x:v>
      </x:c>
      <x:c r="B35" s="30" t="str">
        <x:v>6868</x:v>
      </x:c>
      <x:c r="C35" s="30" t="str">
        <x:v>Rainbow Trout</x:v>
      </x:c>
      <x:c r="D35" s="30" t="str">
        <x:v>Community-listed</x:v>
      </x:c>
      <x:c r="E35" s="32" t="n">
        <x:v>13</x:v>
      </x:c>
      <x:c r="F35" s="32" t="n">
        <x:v>0</x:v>
      </x:c>
      <x:c r="G35" s="33" t="n">
        <x:v>43980</x:v>
      </x:c>
      <x:c r="H35" s="34" t="str">
        <x:v>No</x:v>
      </x:c>
      <x:c r="I35" s="30" t="str">
        <x:v>https://www.anglersatlas.com/place/875900/cardiff-pond</x:v>
      </x:c>
      <x:c r="J35" s="30" t="str">
        <x:v>Date is from a visible community confirmation post.</x:v>
      </x:c>
    </x:row>
    <x:row r="36" ht="52" customHeight="1">
      <x:c r="A36" s="30" t="str">
        <x:v>Cardiff Park Pond</x:v>
      </x:c>
      <x:c r="B36" s="30" t="str">
        <x:v>6868</x:v>
      </x:c>
      <x:c r="C36" s="30" t="str">
        <x:v>Prussian Carp</x:v>
      </x:c>
      <x:c r="D36" s="30" t="str">
        <x:v>Community-listed</x:v>
      </x:c>
      <x:c r="E36" s="32" t="n">
        <x:v>7</x:v>
      </x:c>
      <x:c r="F36" s="32" t="n">
        <x:v>0</x:v>
      </x:c>
      <x:c r="G36" s="33" t="n">
        <x:v>45196</x:v>
      </x:c>
      <x:c r="H36" s="34" t="str">
        <x:v>Yes</x:v>
      </x:c>
      <x:c r="I36" s="30" t="str">
        <x:v>https://www.anglersatlas.com/place/875900/cardiff-pond</x:v>
      </x:c>
      <x:c r="J36" s="30" t="str">
        <x:v>Date is from a visible community confirmation post.</x:v>
      </x:c>
    </x:row>
    <x:row r="37" ht="52" customHeight="1">
      <x:c r="A37" s="30" t="str">
        <x:v>Cardiff Park Pond</x:v>
      </x:c>
      <x:c r="B37" s="30" t="str">
        <x:v>6868</x:v>
      </x:c>
      <x:c r="C37" s="30" t="str">
        <x:v>Brown Trout</x:v>
      </x:c>
      <x:c r="D37" s="30" t="str">
        <x:v>Community-listed</x:v>
      </x:c>
      <x:c r="E37" s="32" t="n">
        <x:v>3</x:v>
      </x:c>
      <x:c r="F37" s="32" t="n">
        <x:v>0</x:v>
      </x:c>
      <x:c r="G37" s="33" t="n">
        <x:v>45196</x:v>
      </x:c>
      <x:c r="H37" s="34" t="str">
        <x:v>No</x:v>
      </x:c>
      <x:c r="I37" s="30" t="str">
        <x:v>https://www.anglersatlas.com/place/875900/cardiff-pond</x:v>
      </x:c>
      <x:c r="J37" s="30" t="str">
        <x:v>Date is from a visible community confirmation post.</x:v>
      </x:c>
    </x:row>
    <x:row r="38" ht="52" customHeight="1">
      <x:c r="A38" s="30" t="str">
        <x:v>Cardiff Park Pond</x:v>
      </x:c>
      <x:c r="B38" s="30" t="str">
        <x:v>6868</x:v>
      </x:c>
      <x:c r="C38" s="30" t="str">
        <x:v>Tiger Trout</x:v>
      </x:c>
      <x:c r="D38" s="30" t="str">
        <x:v>Community-listed</x:v>
      </x:c>
      <x:c r="E38" s="32" t="n">
        <x:v>3</x:v>
      </x:c>
      <x:c r="F38" s="32" t="n">
        <x:v>0</x:v>
      </x:c>
      <x:c r="G38" s="33" t="n">
        <x:v>45196</x:v>
      </x:c>
      <x:c r="H38" s="34" t="str">
        <x:v>No</x:v>
      </x:c>
      <x:c r="I38" s="30" t="str">
        <x:v>https://www.anglersatlas.com/place/875900/cardiff-pond</x:v>
      </x:c>
      <x:c r="J38" s="30" t="str">
        <x:v>Date is from a visible community confirmation post.</x:v>
      </x:c>
    </x:row>
    <x:row r="39" ht="52" customHeight="1">
      <x:c r="A39" s="30" t="str">
        <x:v>Chain Lakes Reservoir</x:v>
      </x:c>
      <x:c r="B39" s="30" t="str">
        <x:v>3499</x:v>
      </x:c>
      <x:c r="C39" s="30" t="str">
        <x:v>Rainbow Trout</x:v>
      </x:c>
      <x:c r="D39" s="30" t="str">
        <x:v>Community-listed</x:v>
      </x:c>
      <x:c r="E39" s="32" t="n">
        <x:v>46</x:v>
      </x:c>
      <x:c r="F39" s="32" t="n">
        <x:v>0</x:v>
      </x:c>
      <x:c r="G39" s="33" t="n">
        <x:v>42566</x:v>
      </x:c>
      <x:c r="H39" s="34" t="str">
        <x:v>No</x:v>
      </x:c>
      <x:c r="I39" s="30" t="str">
        <x:v>https://www.anglersatlas.com/place/101834/chain-lakes-reservoir</x:v>
      </x:c>
      <x:c r="J39" s="30" t="str">
        <x:v>Date is from a visible community confirmation post.</x:v>
      </x:c>
    </x:row>
    <x:row r="40" ht="52" customHeight="1">
      <x:c r="A40" s="30" t="str">
        <x:v>Chain Lakes Reservoir</x:v>
      </x:c>
      <x:c r="B40" s="30" t="str">
        <x:v>3499</x:v>
      </x:c>
      <x:c r="C40" s="30" t="str">
        <x:v>White Sucker</x:v>
      </x:c>
      <x:c r="D40" s="30" t="str">
        <x:v>Listed with disagreement votes</x:v>
      </x:c>
      <x:c r="E40" s="32" t="n">
        <x:v>7</x:v>
      </x:c>
      <x:c r="F40" s="32" t="n">
        <x:v>1</x:v>
      </x:c>
      <x:c r="G40" s="33" t="n">
        <x:v>42787</x:v>
      </x:c>
      <x:c r="H40" s="34" t="str">
        <x:v>Yes</x:v>
      </x:c>
      <x:c r="I40" s="30" t="str">
        <x:v>https://www.anglersatlas.com/place/101834/chain-lakes-reservoir</x:v>
      </x:c>
      <x:c r="J40" s="30" t="str">
        <x:v>Date is from a visible community confirmation post.</x:v>
      </x:c>
    </x:row>
    <x:row r="41" ht="52" customHeight="1">
      <x:c r="A41" s="30" t="str">
        <x:v>Chain Lakes Reservoir</x:v>
      </x:c>
      <x:c r="B41" s="30" t="str">
        <x:v>3499</x:v>
      </x:c>
      <x:c r="C41" s="30" t="str">
        <x:v>Bull Trout</x:v>
      </x:c>
      <x:c r="D41" s="30" t="str">
        <x:v>Listed with disagreement votes</x:v>
      </x:c>
      <x:c r="E41" s="32" t="n">
        <x:v>5</x:v>
      </x:c>
      <x:c r="F41" s="32" t="n">
        <x:v>1</x:v>
      </x:c>
      <x:c r="G41" s="33" t="n">
        <x:v>43166</x:v>
      </x:c>
      <x:c r="H41" s="34" t="str">
        <x:v>Yes</x:v>
      </x:c>
      <x:c r="I41" s="30" t="str">
        <x:v>https://www.anglersatlas.com/place/101834/chain-lakes-reservoir</x:v>
      </x:c>
      <x:c r="J41" s="30" t="str">
        <x:v>Date is from a visible community confirmation post.</x:v>
      </x:c>
    </x:row>
    <x:row r="42" ht="52" customHeight="1">
      <x:c r="A42" s="30" t="str">
        <x:v>Chain Lakes Reservoir</x:v>
      </x:c>
      <x:c r="B42" s="30" t="str">
        <x:v>3499</x:v>
      </x:c>
      <x:c r="C42" s="30" t="str">
        <x:v>Mountain Whitefish</x:v>
      </x:c>
      <x:c r="D42" s="30" t="str">
        <x:v>Community-listed</x:v>
      </x:c>
      <x:c r="E42" s="32" t="n">
        <x:v>3</x:v>
      </x:c>
      <x:c r="F42" s="32" t="n">
        <x:v>0</x:v>
      </x:c>
      <x:c r="G42" s="33" t="n">
        <x:v>44314</x:v>
      </x:c>
      <x:c r="H42" s="34" t="str">
        <x:v>Yes</x:v>
      </x:c>
      <x:c r="I42" s="30" t="str">
        <x:v>https://www.anglersatlas.com/place/101834/chain-lakes-reservoir</x:v>
      </x:c>
      <x:c r="J42" s="30" t="str">
        <x:v>Date is from a visible community confirmation post.</x:v>
      </x:c>
    </x:row>
    <x:row r="43" ht="52" customHeight="1">
      <x:c r="A43" s="30" t="str">
        <x:v>Chain Lakes Reservoir</x:v>
      </x:c>
      <x:c r="B43" s="30" t="str">
        <x:v>3499</x:v>
      </x:c>
      <x:c r="C43" s="30" t="str">
        <x:v>Cutthroat Trout</x:v>
      </x:c>
      <x:c r="D43" s="30" t="str">
        <x:v>Community-listed</x:v>
      </x:c>
      <x:c r="E43" s="32" t="n">
        <x:v>2</x:v>
      </x:c>
      <x:c r="F43" s="32" t="n">
        <x:v>0</x:v>
      </x:c>
      <x:c r="G43" s="33" t="n">
        <x:v>45722</x:v>
      </x:c>
      <x:c r="H43" s="34" t="str">
        <x:v>No</x:v>
      </x:c>
      <x:c r="I43" s="30" t="str">
        <x:v>https://www.anglersatlas.com/place/101834/chain-lakes-reservoir</x:v>
      </x:c>
      <x:c r="J43" s="30" t="str">
        <x:v>Date is from a visible community confirmation post.</x:v>
      </x:c>
    </x:row>
    <x:row r="44" ht="52" customHeight="1">
      <x:c r="A44" s="30" t="str">
        <x:v>Chain Lakes Reservoir</x:v>
      </x:c>
      <x:c r="B44" s="30" t="str">
        <x:v>3499</x:v>
      </x:c>
      <x:c r="C44" s="30" t="str">
        <x:v>Brook Trout</x:v>
      </x:c>
      <x:c r="D44" s="30" t="str">
        <x:v>Listed with disagreement votes</x:v>
      </x:c>
      <x:c r="E44" s="32" t="n">
        <x:v>3</x:v>
      </x:c>
      <x:c r="F44" s="32" t="n">
        <x:v>2</x:v>
      </x:c>
      <x:c r="G44" s="33" t="n">
        <x:v>43111</x:v>
      </x:c>
      <x:c r="H44" s="34" t="str">
        <x:v>Yes</x:v>
      </x:c>
      <x:c r="I44" s="30" t="str">
        <x:v>https://www.anglersatlas.com/place/101834/chain-lakes-reservoir</x:v>
      </x:c>
      <x:c r="J44" s="30" t="str">
        <x:v>Date is from a visible community confirmation post.</x:v>
      </x:c>
    </x:row>
    <x:row r="45" ht="52" customHeight="1">
      <x:c r="A45" s="30" t="str">
        <x:v>Chain Lakes Reservoir</x:v>
      </x:c>
      <x:c r="B45" s="30" t="str">
        <x:v>3499</x:v>
      </x:c>
      <x:c r="C45" s="30" t="str">
        <x:v>Golden Trout</x:v>
      </x:c>
      <x:c r="D45" s="30" t="str">
        <x:v>Community-listed</x:v>
      </x:c>
      <x:c r="E45" s="32" t="n">
        <x:v>1</x:v>
      </x:c>
      <x:c r="F45" s="32" t="n">
        <x:v>0</x:v>
      </x:c>
      <x:c r="G45" s="33" t="n">
        <x:v>45060</x:v>
      </x:c>
      <x:c r="H45" s="34" t="str">
        <x:v>Yes</x:v>
      </x:c>
      <x:c r="I45" s="30" t="str">
        <x:v>https://www.anglersatlas.com/place/101834/chain-lakes-reservoir</x:v>
      </x:c>
      <x:c r="J45" s="30" t="str">
        <x:v>Date is from a visible community confirmation post.</x:v>
      </x:c>
    </x:row>
    <x:row r="46" ht="52" customHeight="1">
      <x:c r="A46" s="30" t="str">
        <x:v>Chatwin Lake</x:v>
      </x:c>
      <x:c r="B46" s="30" t="str">
        <x:v>4252</x:v>
      </x:c>
      <x:c r="C46" s="30" t="str">
        <x:v>Rainbow Trout</x:v>
      </x:c>
      <x:c r="D46" s="30" t="str">
        <x:v>Community-listed</x:v>
      </x:c>
      <x:c r="E46" s="32" t="n">
        <x:v>3</x:v>
      </x:c>
      <x:c r="F46" s="32" t="n">
        <x:v>0</x:v>
      </x:c>
      <x:c r="G46" s="33" t="n">
        <x:v>45400</x:v>
      </x:c>
      <x:c r="H46" s="34" t="str">
        <x:v>No</x:v>
      </x:c>
      <x:c r="I46" s="30" t="str">
        <x:v>https://www.anglersatlas.com/place/101838/chatwin-lake</x:v>
      </x:c>
      <x:c r="J46" s="30" t="str">
        <x:v>Date is from a visible community confirmation post.</x:v>
      </x:c>
    </x:row>
    <x:row r="47" ht="52" customHeight="1">
      <x:c r="A47" s="30" t="str">
        <x:v>Chatwin Lake</x:v>
      </x:c>
      <x:c r="B47" s="30" t="str">
        <x:v>4252</x:v>
      </x:c>
      <x:c r="C47" s="30" t="str">
        <x:v>Nine Spine Stickleback</x:v>
      </x:c>
      <x:c r="D47" s="30" t="str">
        <x:v>Community-listed</x:v>
      </x:c>
      <x:c r="E47" s="32" t="n">
        <x:v>2</x:v>
      </x:c>
      <x:c r="F47" s="32" t="n">
        <x:v>0</x:v>
      </x:c>
      <x:c r="G47" s="33" t="n">
        <x:v>45772</x:v>
      </x:c>
      <x:c r="H47" s="34" t="str">
        <x:v>Yes</x:v>
      </x:c>
      <x:c r="I47" s="30" t="str">
        <x:v>https://www.anglersatlas.com/place/101838/chatwin-lake</x:v>
      </x:c>
      <x:c r="J47" s="30" t="str">
        <x:v>Date is from a visible community confirmation post.</x:v>
      </x:c>
    </x:row>
    <x:row r="48" ht="52" customHeight="1">
      <x:c r="A48" s="30" t="str">
        <x:v>Chatwin Lake</x:v>
      </x:c>
      <x:c r="B48" s="30" t="str">
        <x:v>4252</x:v>
      </x:c>
      <x:c r="C48" s="30" t="str">
        <x:v>Brook Stickleback</x:v>
      </x:c>
      <x:c r="D48" s="30" t="str">
        <x:v>Community-listed</x:v>
      </x:c>
      <x:c r="E48" s="32" t="n">
        <x:v>2</x:v>
      </x:c>
      <x:c r="F48" s="32" t="n">
        <x:v>0</x:v>
      </x:c>
      <x:c r="G48" s="33" t="n">
        <x:v>45772</x:v>
      </x:c>
      <x:c r="H48" s="34" t="str">
        <x:v>Yes</x:v>
      </x:c>
      <x:c r="I48" s="30" t="str">
        <x:v>https://www.anglersatlas.com/place/101838/chatwin-lake</x:v>
      </x:c>
      <x:c r="J48" s="30" t="str">
        <x:v>Date is from a visible community confirmation post.</x:v>
      </x:c>
    </x:row>
    <x:row r="49" ht="52" customHeight="1">
      <x:c r="A49" s="30" t="str">
        <x:v>Chatwin Lake</x:v>
      </x:c>
      <x:c r="B49" s="30" t="str">
        <x:v>4252</x:v>
      </x:c>
      <x:c r="C49" s="30" t="str">
        <x:v>Emerald Shiner</x:v>
      </x:c>
      <x:c r="D49" s="30" t="str">
        <x:v>Community-listed</x:v>
      </x:c>
      <x:c r="E49" s="32" t="n">
        <x:v>2</x:v>
      </x:c>
      <x:c r="F49" s="32" t="n">
        <x:v>0</x:v>
      </x:c>
      <x:c r="G49" s="33" t="n">
        <x:v>45772</x:v>
      </x:c>
      <x:c r="H49" s="34" t="str">
        <x:v>Yes</x:v>
      </x:c>
      <x:c r="I49" s="30" t="str">
        <x:v>https://www.anglersatlas.com/place/101838/chatwin-lake</x:v>
      </x:c>
      <x:c r="J49" s="30" t="str">
        <x:v>Date is from a visible community confirmation post.</x:v>
      </x:c>
    </x:row>
    <x:row r="50" ht="52" customHeight="1">
      <x:c r="A50" s="30" t="str">
        <x:v>Chatwin Lake</x:v>
      </x:c>
      <x:c r="B50" s="30" t="str">
        <x:v>4252</x:v>
      </x:c>
      <x:c r="C50" s="30" t="str">
        <x:v>Fathead Minnow</x:v>
      </x:c>
      <x:c r="D50" s="30" t="str">
        <x:v>Community-listed</x:v>
      </x:c>
      <x:c r="E50" s="32" t="n">
        <x:v>2</x:v>
      </x:c>
      <x:c r="F50" s="32" t="n">
        <x:v>0</x:v>
      </x:c>
      <x:c r="G50" s="33" t="n">
        <x:v>45772</x:v>
      </x:c>
      <x:c r="H50" s="34" t="str">
        <x:v>Yes</x:v>
      </x:c>
      <x:c r="I50" s="30" t="str">
        <x:v>https://www.anglersatlas.com/place/101838/chatwin-lake</x:v>
      </x:c>
      <x:c r="J50" s="30" t="str">
        <x:v>Date is from a visible community confirmation post.</x:v>
      </x:c>
    </x:row>
    <x:row r="51" ht="52" customHeight="1">
      <x:c r="A51" s="30" t="str">
        <x:v>Chatwin Lake</x:v>
      </x:c>
      <x:c r="B51" s="30" t="str">
        <x:v>4252</x:v>
      </x:c>
      <x:c r="C51" s="30" t="str">
        <x:v>Yellow Perch</x:v>
      </x:c>
      <x:c r="D51" s="30" t="str">
        <x:v>Community-listed</x:v>
      </x:c>
      <x:c r="E51" s="32" t="n">
        <x:v>2</x:v>
      </x:c>
      <x:c r="F51" s="32" t="n">
        <x:v>0</x:v>
      </x:c>
      <x:c r="G51" s="33" t="n">
        <x:v>45772</x:v>
      </x:c>
      <x:c r="H51" s="34" t="str">
        <x:v>Yes</x:v>
      </x:c>
      <x:c r="I51" s="30" t="str">
        <x:v>https://www.anglersatlas.com/place/101838/chatwin-lake</x:v>
      </x:c>
      <x:c r="J51" s="30" t="str">
        <x:v>Date is from a visible community confirmation post.</x:v>
      </x:c>
    </x:row>
    <x:row r="52" ht="52" customHeight="1">
      <x:c r="A52" s="30" t="str">
        <x:v>Chickako Lake</x:v>
      </x:c>
      <x:c r="B52" s="30" t="str">
        <x:v>4261</x:v>
      </x:c>
      <x:c r="C52" s="30" t="str">
        <x:v>Rainbow Trout</x:v>
      </x:c>
      <x:c r="D52" s="30" t="str">
        <x:v>Community-listed</x:v>
      </x:c>
      <x:c r="E52" s="32" t="n">
        <x:v>11</x:v>
      </x:c>
      <x:c r="F52" s="32" t="n">
        <x:v>0</x:v>
      </x:c>
      <x:c r="G52" s="33" t="n">
        <x:v>42597</x:v>
      </x:c>
      <x:c r="H52" s="34" t="str">
        <x:v>No</x:v>
      </x:c>
      <x:c r="I52" s="30" t="str">
        <x:v>https://www.anglersatlas.com/place/101840/chickakoo-lake</x:v>
      </x:c>
      <x:c r="J52" s="30" t="str">
        <x:v>Date is from a visible community confirmation post.</x:v>
      </x:c>
    </x:row>
    <x:row r="53" ht="52" customHeight="1">
      <x:c r="A53" s="30" t="str">
        <x:v>Chickako Lake</x:v>
      </x:c>
      <x:c r="B53" s="30" t="str">
        <x:v>4261</x:v>
      </x:c>
      <x:c r="C53" s="30" t="str">
        <x:v>Brook Trout</x:v>
      </x:c>
      <x:c r="D53" s="30" t="str">
        <x:v>Listed with disagreement votes</x:v>
      </x:c>
      <x:c r="E53" s="32" t="n">
        <x:v>6</x:v>
      </x:c>
      <x:c r="F53" s="32" t="n">
        <x:v>1</x:v>
      </x:c>
      <x:c r="G53" s="33" t="n">
        <x:v>42946</x:v>
      </x:c>
      <x:c r="H53" s="34" t="str">
        <x:v>Yes</x:v>
      </x:c>
      <x:c r="I53" s="30" t="str">
        <x:v>https://www.anglersatlas.com/place/101840/chickakoo-lake</x:v>
      </x:c>
      <x:c r="J53" s="30" t="str">
        <x:v>Date is from a visible community confirmation post.</x:v>
      </x:c>
    </x:row>
    <x:row r="54" ht="52" customHeight="1">
      <x:c r="A54" s="30" t="str">
        <x:v>Chin Reservoir</x:v>
      </x:c>
      <x:c r="B54" s="30" t="str">
        <x:v>4265</x:v>
      </x:c>
      <x:c r="C54" s="30" t="str">
        <x:v>Northern Pike</x:v>
      </x:c>
      <x:c r="D54" s="30" t="str">
        <x:v>Community-listed</x:v>
      </x:c>
      <x:c r="E54" s="32" t="n">
        <x:v>4</x:v>
      </x:c>
      <x:c r="F54" s="32" t="n">
        <x:v>0</x:v>
      </x:c>
      <x:c r="G54" s="33" t="n">
        <x:v>43444</x:v>
      </x:c>
      <x:c r="H54" s="34" t="str">
        <x:v>Yes</x:v>
      </x:c>
      <x:c r="I54" s="30" t="str">
        <x:v>https://www.anglersatlas.com/place/102603/chin-lake</x:v>
      </x:c>
      <x:c r="J54" s="30" t="str">
        <x:v>Date is from a visible community confirmation post.</x:v>
      </x:c>
    </x:row>
    <x:row r="55" ht="52" customHeight="1">
      <x:c r="A55" s="30" t="str">
        <x:v>Chin Reservoir</x:v>
      </x:c>
      <x:c r="B55" s="30" t="str">
        <x:v>4265</x:v>
      </x:c>
      <x:c r="C55" s="30" t="str">
        <x:v>Walleye</x:v>
      </x:c>
      <x:c r="D55" s="30" t="str">
        <x:v>Community-listed</x:v>
      </x:c>
      <x:c r="E55" s="32" t="n">
        <x:v>4</x:v>
      </x:c>
      <x:c r="F55" s="32" t="n">
        <x:v>0</x:v>
      </x:c>
      <x:c r="G55" s="33" t="n">
        <x:v>43444</x:v>
      </x:c>
      <x:c r="H55" s="34" t="str">
        <x:v>No</x:v>
      </x:c>
      <x:c r="I55" s="30" t="str">
        <x:v>https://www.anglersatlas.com/place/102603/chin-lake</x:v>
      </x:c>
      <x:c r="J55" s="30" t="str">
        <x:v>Date is from a visible community confirmation post.</x:v>
      </x:c>
    </x:row>
    <x:row r="56" ht="52" customHeight="1">
      <x:c r="A56" s="30" t="str">
        <x:v>Chin Reservoir</x:v>
      </x:c>
      <x:c r="B56" s="30" t="str">
        <x:v>4265</x:v>
      </x:c>
      <x:c r="C56" s="30" t="str">
        <x:v>Lake Whitefish</x:v>
      </x:c>
      <x:c r="D56" s="30" t="str">
        <x:v>Community-listed</x:v>
      </x:c>
      <x:c r="E56" s="32" t="n">
        <x:v>3</x:v>
      </x:c>
      <x:c r="F56" s="32" t="n">
        <x:v>0</x:v>
      </x:c>
      <x:c r="G56" s="33" t="n">
        <x:v>43444</x:v>
      </x:c>
      <x:c r="H56" s="34" t="str">
        <x:v>Yes</x:v>
      </x:c>
      <x:c r="I56" s="30" t="str">
        <x:v>https://www.anglersatlas.com/place/102603/chin-lake</x:v>
      </x:c>
      <x:c r="J56" s="30" t="str">
        <x:v>Date is from a visible community confirmation post.</x:v>
      </x:c>
    </x:row>
    <x:row r="57" ht="52" customHeight="1">
      <x:c r="A57" s="30" t="str">
        <x:v>Cow Lake</x:v>
      </x:c>
      <x:c r="B57" s="30" t="str">
        <x:v>4340</x:v>
      </x:c>
      <x:c r="C57" s="30" t="str">
        <x:v>Northern Pike</x:v>
      </x:c>
      <x:c r="D57" s="30" t="str">
        <x:v>Community-listed</x:v>
      </x:c>
      <x:c r="E57" s="32" t="n">
        <x:v>9</x:v>
      </x:c>
      <x:c r="F57" s="32" t="n">
        <x:v>0</x:v>
      </x:c>
      <x:c r="G57" s="33" t="n">
        <x:v>42753</x:v>
      </x:c>
      <x:c r="H57" s="34" t="str">
        <x:v>Yes</x:v>
      </x:c>
      <x:c r="I57" s="30" t="str">
        <x:v>https://www.anglersatlas.com/place/101853/cow-lake</x:v>
      </x:c>
      <x:c r="J57" s="30" t="str">
        <x:v>Date is from a visible community confirmation post.</x:v>
      </x:c>
    </x:row>
    <x:row r="58" ht="52" customHeight="1">
      <x:c r="A58" s="30" t="str">
        <x:v>Cow Lake</x:v>
      </x:c>
      <x:c r="B58" s="30" t="str">
        <x:v>4340</x:v>
      </x:c>
      <x:c r="C58" s="30" t="str">
        <x:v>Rainbow Trout</x:v>
      </x:c>
      <x:c r="D58" s="30" t="str">
        <x:v>Listed with disagreement votes</x:v>
      </x:c>
      <x:c r="E58" s="32" t="n">
        <x:v>10</x:v>
      </x:c>
      <x:c r="F58" s="32" t="n">
        <x:v>2</x:v>
      </x:c>
      <x:c r="G58" s="33" t="n">
        <x:v>42559</x:v>
      </x:c>
      <x:c r="H58" s="34" t="str">
        <x:v>No</x:v>
      </x:c>
      <x:c r="I58" s="30" t="str">
        <x:v>https://www.anglersatlas.com/place/101853/cow-lake</x:v>
      </x:c>
      <x:c r="J58" s="30" t="str">
        <x:v>Date is from a visible community confirmation post.</x:v>
      </x:c>
    </x:row>
    <x:row r="59" ht="52" customHeight="1">
      <x:c r="A59" s="30" t="str">
        <x:v>Cow Lake</x:v>
      </x:c>
      <x:c r="B59" s="30" t="str">
        <x:v>4340</x:v>
      </x:c>
      <x:c r="C59" s="30" t="str">
        <x:v>Brown Trout</x:v>
      </x:c>
      <x:c r="D59" s="30" t="str">
        <x:v>Listed with disagreement votes</x:v>
      </x:c>
      <x:c r="E59" s="32" t="n">
        <x:v>4</x:v>
      </x:c>
      <x:c r="F59" s="32" t="n">
        <x:v>2</x:v>
      </x:c>
      <x:c r="G59" s="33" t="n">
        <x:v>42559</x:v>
      </x:c>
      <x:c r="H59" s="34" t="str">
        <x:v>No</x:v>
      </x:c>
      <x:c r="I59" s="30" t="str">
        <x:v>https://www.anglersatlas.com/place/101853/cow-lake</x:v>
      </x:c>
      <x:c r="J59" s="30" t="str">
        <x:v>Date is from a visible community confirmation post.</x:v>
      </x:c>
    </x:row>
    <x:row r="60" ht="52" customHeight="1">
      <x:c r="A60" s="30" t="str">
        <x:v>Cow Lake</x:v>
      </x:c>
      <x:c r="B60" s="30" t="str">
        <x:v>4340</x:v>
      </x:c>
      <x:c r="C60" s="30" t="str">
        <x:v>Yellow Perch</x:v>
      </x:c>
      <x:c r="D60" s="30" t="str">
        <x:v>Community-listed</x:v>
      </x:c>
      <x:c r="E60" s="32" t="n">
        <x:v>2</x:v>
      </x:c>
      <x:c r="F60" s="32" t="n">
        <x:v>0</x:v>
      </x:c>
      <x:c r="G60" s="33" t="n">
        <x:v>43115</x:v>
      </x:c>
      <x:c r="H60" s="34" t="str">
        <x:v>Yes</x:v>
      </x:c>
      <x:c r="I60" s="30" t="str">
        <x:v>https://www.anglersatlas.com/place/101853/cow-lake</x:v>
      </x:c>
      <x:c r="J60" s="30" t="str">
        <x:v>Date is from a visible community confirmation post.</x:v>
      </x:c>
    </x:row>
    <x:row r="61" ht="52" customHeight="1">
      <x:c r="A61" s="30" t="str">
        <x:v>Crowsnest Lake</x:v>
      </x:c>
      <x:c r="B61" s="30" t="str">
        <x:v>4374</x:v>
      </x:c>
      <x:c r="C61" s="30" t="str">
        <x:v>Lake Trout</x:v>
      </x:c>
      <x:c r="D61" s="30" t="str">
        <x:v>Community-listed</x:v>
      </x:c>
      <x:c r="E61" s="32" t="n">
        <x:v>3</x:v>
      </x:c>
      <x:c r="F61" s="32" t="n">
        <x:v>0</x:v>
      </x:c>
      <x:c r="G61" s="33" t="n">
        <x:v>42774</x:v>
      </x:c>
      <x:c r="H61" s="34" t="str">
        <x:v>Yes</x:v>
      </x:c>
      <x:c r="I61" s="30" t="str">
        <x:v>https://www.anglersatlas.com/place/101858/crowsnest-lake</x:v>
      </x:c>
      <x:c r="J61" s="30" t="str">
        <x:v>Date is from a visible community confirmation post.</x:v>
      </x:c>
    </x:row>
    <x:row r="62" ht="52" customHeight="1">
      <x:c r="A62" s="30" t="str">
        <x:v>Crowsnest Lake</x:v>
      </x:c>
      <x:c r="B62" s="30" t="str">
        <x:v>4374</x:v>
      </x:c>
      <x:c r="C62" s="30" t="str">
        <x:v>Cutthroat Trout</x:v>
      </x:c>
      <x:c r="D62" s="30" t="str">
        <x:v>Community-listed</x:v>
      </x:c>
      <x:c r="E62" s="32" t="n">
        <x:v>3</x:v>
      </x:c>
      <x:c r="F62" s="32" t="n">
        <x:v>0</x:v>
      </x:c>
      <x:c r="G62" s="33" t="n">
        <x:v>43927</x:v>
      </x:c>
      <x:c r="H62" s="34" t="str">
        <x:v>No</x:v>
      </x:c>
      <x:c r="I62" s="30" t="str">
        <x:v>https://www.anglersatlas.com/place/101858/crowsnest-lake</x:v>
      </x:c>
      <x:c r="J62" s="30" t="str">
        <x:v>Date is from a visible community confirmation post.</x:v>
      </x:c>
    </x:row>
    <x:row r="63" ht="52" customHeight="1">
      <x:c r="A63" s="30" t="str">
        <x:v>Crowsnest Lake</x:v>
      </x:c>
      <x:c r="B63" s="30" t="str">
        <x:v>4374</x:v>
      </x:c>
      <x:c r="C63" s="30" t="str">
        <x:v>Rainbow Trout</x:v>
      </x:c>
      <x:c r="D63" s="30" t="str">
        <x:v>Community-listed</x:v>
      </x:c>
      <x:c r="E63" s="32" t="n">
        <x:v>4</x:v>
      </x:c>
      <x:c r="F63" s="32" t="n">
        <x:v>0</x:v>
      </x:c>
      <x:c r="G63" s="33" t="n">
        <x:v>42722</x:v>
      </x:c>
      <x:c r="H63" s="34" t="str">
        <x:v>No</x:v>
      </x:c>
      <x:c r="I63" s="30" t="str">
        <x:v>https://www.anglersatlas.com/place/101858/crowsnest-lake</x:v>
      </x:c>
      <x:c r="J63" s="30" t="str">
        <x:v>Date is from a visible community confirmation post.</x:v>
      </x:c>
    </x:row>
    <x:row r="64" ht="52" customHeight="1">
      <x:c r="A64" s="30" t="str">
        <x:v>Crowsnest Lake</x:v>
      </x:c>
      <x:c r="B64" s="30" t="str">
        <x:v>4374</x:v>
      </x:c>
      <x:c r="C64" s="30" t="str">
        <x:v>Mountain Whitefish</x:v>
      </x:c>
      <x:c r="D64" s="30" t="str">
        <x:v>Community-listed</x:v>
      </x:c>
      <x:c r="E64" s="32" t="n">
        <x:v>2</x:v>
      </x:c>
      <x:c r="F64" s="32" t="n">
        <x:v>0</x:v>
      </x:c>
      <x:c r="G64" s="33" t="n">
        <x:v>44586</x:v>
      </x:c>
      <x:c r="H64" s="34" t="str">
        <x:v>Yes</x:v>
      </x:c>
      <x:c r="I64" s="30" t="str">
        <x:v>https://www.anglersatlas.com/place/101858/crowsnest-lake</x:v>
      </x:c>
      <x:c r="J64" s="30" t="str">
        <x:v>Date is from a visible community confirmation post.</x:v>
      </x:c>
    </x:row>
    <x:row r="65" ht="52" customHeight="1">
      <x:c r="A65" s="30" t="str">
        <x:v>Crowsnest Lake</x:v>
      </x:c>
      <x:c r="B65" s="30" t="str">
        <x:v>4374</x:v>
      </x:c>
      <x:c r="C65" s="30" t="str">
        <x:v>Brown Trout</x:v>
      </x:c>
      <x:c r="D65" s="30" t="str">
        <x:v>Community-listed</x:v>
      </x:c>
      <x:c r="E65" s="32" t="n">
        <x:v>1</x:v>
      </x:c>
      <x:c r="F65" s="32" t="n">
        <x:v>0</x:v>
      </x:c>
      <x:c r="G65" s="33" t="n">
        <x:v>44561</x:v>
      </x:c>
      <x:c r="H65" s="34" t="str">
        <x:v>Yes</x:v>
      </x:c>
      <x:c r="I65" s="30" t="str">
        <x:v>https://www.anglersatlas.com/place/101858/crowsnest-lake</x:v>
      </x:c>
      <x:c r="J65" s="30" t="str">
        <x:v>Date is from a visible community confirmation post.</x:v>
      </x:c>
    </x:row>
    <x:row r="66" ht="52" customHeight="1">
      <x:c r="A66" s="30" t="str">
        <x:v>Crowsnest Lake</x:v>
      </x:c>
      <x:c r="B66" s="30" t="str">
        <x:v>4374</x:v>
      </x:c>
      <x:c r="C66" s="30" t="str">
        <x:v>Lake Whitefish</x:v>
      </x:c>
      <x:c r="D66" s="30" t="str">
        <x:v>Listed with disagreement votes</x:v>
      </x:c>
      <x:c r="E66" s="32" t="n">
        <x:v>1</x:v>
      </x:c>
      <x:c r="F66" s="32" t="n">
        <x:v>1</x:v>
      </x:c>
      <x:c r="G66" s="33" t="n">
        <x:v>44586</x:v>
      </x:c>
      <x:c r="H66" s="34" t="str">
        <x:v>Yes</x:v>
      </x:c>
      <x:c r="I66" s="30" t="str">
        <x:v>https://www.anglersatlas.com/place/101858/crowsnest-lake</x:v>
      </x:c>
      <x:c r="J66" s="30" t="str">
        <x:v>Date is from a visible community confirmation post.</x:v>
      </x:c>
    </x:row>
    <x:row r="67" ht="52" customHeight="1">
      <x:c r="A67" s="30" t="str">
        <x:v>Dickson Trout Pond</x:v>
      </x:c>
      <x:c r="B67" s="30" t="str">
        <x:v>6844</x:v>
      </x:c>
      <x:c r="C67" s="30" t="str">
        <x:v>Rainbow Trout</x:v>
      </x:c>
      <x:c r="D67" s="30" t="str">
        <x:v>Community-listed</x:v>
      </x:c>
      <x:c r="E67" s="32" t="n">
        <x:v>7</x:v>
      </x:c>
      <x:c r="F67" s="32" t="n">
        <x:v>0</x:v>
      </x:c>
      <x:c r="G67" s="33" t="n">
        <x:v>42858</x:v>
      </x:c>
      <x:c r="H67" s="34" t="str">
        <x:v>No</x:v>
      </x:c>
      <x:c r="I67" s="30" t="str">
        <x:v>https://www.anglersatlas.com/place/709164/dickson-trout-pond</x:v>
      </x:c>
      <x:c r="J67" s="30" t="str">
        <x:v>Date is from a visible community confirmation post.</x:v>
      </x:c>
    </x:row>
    <x:row r="68" ht="52" customHeight="1">
      <x:c r="A68" s="30" t="str">
        <x:v>Dickson Trout Pond</x:v>
      </x:c>
      <x:c r="B68" s="30" t="str">
        <x:v>6844</x:v>
      </x:c>
      <x:c r="C68" s="30" t="str">
        <x:v>Northern Pike</x:v>
      </x:c>
      <x:c r="D68" s="30" t="str">
        <x:v>Community-listed</x:v>
      </x:c>
      <x:c r="E68" s="32" t="n">
        <x:v>4</x:v>
      </x:c>
      <x:c r="F68" s="32" t="n">
        <x:v>0</x:v>
      </x:c>
      <x:c r="G68" s="33" t="n">
        <x:v>42864</x:v>
      </x:c>
      <x:c r="H68" s="34" t="str">
        <x:v>Yes</x:v>
      </x:c>
      <x:c r="I68" s="30" t="str">
        <x:v>https://www.anglersatlas.com/place/709164/dickson-trout-pond</x:v>
      </x:c>
      <x:c r="J68" s="30" t="str">
        <x:v>Date is from a visible community confirmation post.</x:v>
      </x:c>
    </x:row>
    <x:row r="69" ht="52" customHeight="1">
      <x:c r="A69" s="30" t="str">
        <x:v>Dickson Trout Pond</x:v>
      </x:c>
      <x:c r="B69" s="30" t="str">
        <x:v>6844</x:v>
      </x:c>
      <x:c r="C69" s="30" t="str">
        <x:v>Tiger Trout</x:v>
      </x:c>
      <x:c r="D69" s="30" t="str">
        <x:v>Community-listed</x:v>
      </x:c>
      <x:c r="E69" s="32" t="n">
        <x:v>3</x:v>
      </x:c>
      <x:c r="F69" s="32" t="n">
        <x:v>0</x:v>
      </x:c>
      <x:c r="G69" s="33" t="n">
        <x:v>44105</x:v>
      </x:c>
      <x:c r="H69" s="34" t="str">
        <x:v>No</x:v>
      </x:c>
      <x:c r="I69" s="30" t="str">
        <x:v>https://www.anglersatlas.com/place/709164/dickson-trout-pond</x:v>
      </x:c>
      <x:c r="J69" s="30" t="str">
        <x:v>Date is from a visible community confirmation post.</x:v>
      </x:c>
    </x:row>
    <x:row r="70" ht="52" customHeight="1">
      <x:c r="A70" s="30" t="str">
        <x:v>Dillberry Lake</x:v>
      </x:c>
      <x:c r="B70" s="30" t="str">
        <x:v>4446</x:v>
      </x:c>
      <x:c r="C70" s="30" t="str">
        <x:v>Rainbow Trout</x:v>
      </x:c>
      <x:c r="D70" s="30" t="str">
        <x:v>Community-listed</x:v>
      </x:c>
      <x:c r="E70" s="32" t="n">
        <x:v>8</x:v>
      </x:c>
      <x:c r="F70" s="32" t="n">
        <x:v>0</x:v>
      </x:c>
      <x:c r="G70" s="33" t="n">
        <x:v>42732</x:v>
      </x:c>
      <x:c r="H70" s="34" t="str">
        <x:v>No</x:v>
      </x:c>
      <x:c r="I70" s="30" t="str">
        <x:v>https://www.anglersatlas.com/place/154692/dillberry-lake</x:v>
      </x:c>
      <x:c r="J70" s="30" t="str">
        <x:v>Date is from a visible community confirmation post.</x:v>
      </x:c>
    </x:row>
    <x:row r="71" ht="52" customHeight="1">
      <x:c r="A71" s="30" t="str">
        <x:v>Dillberry Lake</x:v>
      </x:c>
      <x:c r="B71" s="30" t="str">
        <x:v>4446</x:v>
      </x:c>
      <x:c r="C71" s="30" t="str">
        <x:v>Yellow Perch</x:v>
      </x:c>
      <x:c r="D71" s="30" t="str">
        <x:v>Community-listed</x:v>
      </x:c>
      <x:c r="E71" s="32" t="n">
        <x:v>2</x:v>
      </x:c>
      <x:c r="F71" s="32" t="n">
        <x:v>0</x:v>
      </x:c>
      <x:c r="G71" s="33" t="n">
        <x:v>42739</x:v>
      </x:c>
      <x:c r="H71" s="34" t="str">
        <x:v>Yes</x:v>
      </x:c>
      <x:c r="I71" s="30" t="str">
        <x:v>https://www.anglersatlas.com/place/154692/dillberry-lake</x:v>
      </x:c>
      <x:c r="J71" s="30" t="str">
        <x:v>Date is from a visible community confirmation post.</x:v>
      </x:c>
    </x:row>
    <x:row r="72" ht="52" customHeight="1">
      <x:c r="A72" s="30" t="str">
        <x:v>Dillberry Lake</x:v>
      </x:c>
      <x:c r="B72" s="30" t="str">
        <x:v>4446</x:v>
      </x:c>
      <x:c r="C72" s="30" t="str">
        <x:v>Tiger Trout</x:v>
      </x:c>
      <x:c r="D72" s="30" t="str">
        <x:v>Community-listed</x:v>
      </x:c>
      <x:c r="E72" s="32" t="n">
        <x:v>1</x:v>
      </x:c>
      <x:c r="F72" s="32" t="n">
        <x:v>0</x:v>
      </x:c>
      <x:c r="G72" s="33" t="n">
        <x:v>44858</x:v>
      </x:c>
      <x:c r="H72" s="34" t="str">
        <x:v>No</x:v>
      </x:c>
      <x:c r="I72" s="30" t="str">
        <x:v>https://www.anglersatlas.com/place/154692/dillberry-lake</x:v>
      </x:c>
      <x:c r="J72" s="30" t="str">
        <x:v>Date is from a visible community confirmation post.</x:v>
      </x:c>
    </x:row>
    <x:row r="73" ht="52" customHeight="1">
      <x:c r="A73" s="30" t="str">
        <x:v>Dolberg Lake</x:v>
      </x:c>
      <x:c r="B73" s="30" t="str">
        <x:v>4458</x:v>
      </x:c>
      <x:c r="C73" s="30" t="str">
        <x:v>Rainbow Trout</x:v>
      </x:c>
      <x:c r="D73" s="30" t="str">
        <x:v>Community-listed</x:v>
      </x:c>
      <x:c r="E73" s="32" t="n">
        <x:v>18</x:v>
      </x:c>
      <x:c r="F73" s="32" t="n">
        <x:v>0</x:v>
      </x:c>
      <x:c r="G73" s="33" t="n">
        <x:v>42587</x:v>
      </x:c>
      <x:c r="H73" s="34" t="str">
        <x:v>No</x:v>
      </x:c>
      <x:c r="I73" s="30" t="str">
        <x:v>https://www.anglersatlas.com/place/101867/dolberg-lake</x:v>
      </x:c>
      <x:c r="J73" s="30" t="str">
        <x:v>Date is from a visible community confirmation post.</x:v>
      </x:c>
    </x:row>
    <x:row r="74" ht="52" customHeight="1">
      <x:c r="A74" s="30" t="str">
        <x:v>Dolberg Lake</x:v>
      </x:c>
      <x:c r="B74" s="30" t="str">
        <x:v>4458</x:v>
      </x:c>
      <x:c r="C74" s="30" t="str">
        <x:v>Tiger Trout</x:v>
      </x:c>
      <x:c r="D74" s="30" t="str">
        <x:v>Community-listed</x:v>
      </x:c>
      <x:c r="E74" s="32" t="n">
        <x:v>9</x:v>
      </x:c>
      <x:c r="F74" s="32" t="n">
        <x:v>0</x:v>
      </x:c>
      <x:c r="G74" s="33" t="n">
        <x:v>43373</x:v>
      </x:c>
      <x:c r="H74" s="34" t="str">
        <x:v>No</x:v>
      </x:c>
      <x:c r="I74" s="30" t="str">
        <x:v>https://www.anglersatlas.com/place/101867/dolberg-lake</x:v>
      </x:c>
      <x:c r="J74" s="30" t="str">
        <x:v>Date is from a visible community confirmation post.</x:v>
      </x:c>
    </x:row>
    <x:row r="75" ht="52" customHeight="1">
      <x:c r="A75" s="30" t="str">
        <x:v>Dolberg Lake</x:v>
      </x:c>
      <x:c r="B75" s="30" t="str">
        <x:v>4458</x:v>
      </x:c>
      <x:c r="C75" s="30" t="str">
        <x:v>Brown Trout</x:v>
      </x:c>
      <x:c r="D75" s="30" t="str">
        <x:v>Community-listed</x:v>
      </x:c>
      <x:c r="E75" s="32" t="n">
        <x:v>5</x:v>
      </x:c>
      <x:c r="F75" s="32" t="n">
        <x:v>0</x:v>
      </x:c>
      <x:c r="G75" s="33" t="n">
        <x:v>44836</x:v>
      </x:c>
      <x:c r="H75" s="34" t="str">
        <x:v>No</x:v>
      </x:c>
      <x:c r="I75" s="30" t="str">
        <x:v>https://www.anglersatlas.com/place/101867/dolberg-lake</x:v>
      </x:c>
      <x:c r="J75" s="30" t="str">
        <x:v>Date is from a visible community confirmation post.</x:v>
      </x:c>
    </x:row>
    <x:row r="76" ht="52" customHeight="1">
      <x:c r="A76" s="30" t="str">
        <x:v>Dolberg Lake</x:v>
      </x:c>
      <x:c r="B76" s="30" t="str">
        <x:v>4458</x:v>
      </x:c>
      <x:c r="C76" s="30" t="str">
        <x:v>Yellow Perch</x:v>
      </x:c>
      <x:c r="D76" s="30" t="str">
        <x:v>Listed with disagreement votes</x:v>
      </x:c>
      <x:c r="E76" s="32" t="n">
        <x:v>4</x:v>
      </x:c>
      <x:c r="F76" s="32" t="n">
        <x:v>3</x:v>
      </x:c>
      <x:c r="G76" s="33" t="n">
        <x:v>45208</x:v>
      </x:c>
      <x:c r="H76" s="34" t="str">
        <x:v>Yes</x:v>
      </x:c>
      <x:c r="I76" s="30" t="str">
        <x:v>https://www.anglersatlas.com/place/101867/dolberg-lake</x:v>
      </x:c>
      <x:c r="J76" s="30" t="str">
        <x:v>Date is from a visible community confirmation post.</x:v>
      </x:c>
    </x:row>
    <x:row r="77" ht="52" customHeight="1">
      <x:c r="A77" s="30" t="str">
        <x:v>Eagle Lake</x:v>
      </x:c>
      <x:c r="B77" s="30" t="str">
        <x:v>4495</x:v>
      </x:c>
      <x:c r="C77" s="30" t="str">
        <x:v>Cutthroat Trout</x:v>
      </x:c>
      <x:c r="D77" s="30" t="str">
        <x:v>Community-listed</x:v>
      </x:c>
      <x:c r="E77" s="32" t="n">
        <x:v>4</x:v>
      </x:c>
      <x:c r="F77" s="32" t="n">
        <x:v>0</x:v>
      </x:c>
      <x:c r="G77" s="33" t="n">
        <x:v>42907</x:v>
      </x:c>
      <x:c r="H77" s="34" t="str">
        <x:v>No</x:v>
      </x:c>
      <x:c r="I77" s="30" t="str">
        <x:v>https://www.anglersatlas.com/place/129482/eagle-lake</x:v>
      </x:c>
      <x:c r="J77" s="30" t="str">
        <x:v>Date is from a visible community confirmation post.</x:v>
      </x:c>
    </x:row>
    <x:row r="78" ht="52" customHeight="1">
      <x:c r="A78" s="30" t="str">
        <x:v>East Pit Lake</x:v>
      </x:c>
      <x:c r="B78" s="30" t="str">
        <x:v>6840</x:v>
      </x:c>
      <x:c r="C78" s="30" t="str">
        <x:v>Rainbow Trout</x:v>
      </x:c>
      <x:c r="D78" s="30" t="str">
        <x:v>Community-listed</x:v>
      </x:c>
      <x:c r="E78" s="32" t="n">
        <x:v>15</x:v>
      </x:c>
      <x:c r="F78" s="32" t="n">
        <x:v>0</x:v>
      </x:c>
      <x:c r="G78" s="33" t="n">
        <x:v>42560</x:v>
      </x:c>
      <x:c r="H78" s="34" t="str">
        <x:v>No</x:v>
      </x:c>
      <x:c r="I78" s="30" t="str">
        <x:v>https://www.anglersatlas.com/place/726224/east-pit-lake</x:v>
      </x:c>
      <x:c r="J78" s="30" t="str">
        <x:v>Date is from a visible community confirmation post.</x:v>
      </x:c>
    </x:row>
    <x:row r="79" ht="52" customHeight="1">
      <x:c r="A79" s="30" t="str">
        <x:v>Edith Lake</x:v>
      </x:c>
      <x:c r="B79" s="30" t="str">
        <x:v>4505</x:v>
      </x:c>
      <x:c r="C79" s="30" t="str">
        <x:v>Yellow Perch</x:v>
      </x:c>
      <x:c r="D79" s="30" t="str">
        <x:v>Community-listed</x:v>
      </x:c>
      <x:c r="E79" s="32" t="n">
        <x:v>2</x:v>
      </x:c>
      <x:c r="F79" s="32" t="n">
        <x:v>0</x:v>
      </x:c>
      <x:c r="G79" s="33" t="n">
        <x:v>42695</x:v>
      </x:c>
      <x:c r="H79" s="34" t="str">
        <x:v>Yes</x:v>
      </x:c>
      <x:c r="I79" s="30" t="str">
        <x:v>https://www.anglersatlas.com/place/101874/edith-lake</x:v>
      </x:c>
      <x:c r="J79" s="30" t="str">
        <x:v>Date is from a visible community confirmation post.</x:v>
      </x:c>
    </x:row>
    <x:row r="80" ht="52" customHeight="1">
      <x:c r="A80" s="30" t="str">
        <x:v>Edith Lake</x:v>
      </x:c>
      <x:c r="B80" s="30" t="str">
        <x:v>4505</x:v>
      </x:c>
      <x:c r="C80" s="30" t="str">
        <x:v>Brook Trout</x:v>
      </x:c>
      <x:c r="D80" s="30" t="str">
        <x:v>Community-listed</x:v>
      </x:c>
      <x:c r="E80" s="32" t="n">
        <x:v>2</x:v>
      </x:c>
      <x:c r="F80" s="32" t="n">
        <x:v>0</x:v>
      </x:c>
      <x:c r="G80" s="33" t="n">
        <x:v>43494</x:v>
      </x:c>
      <x:c r="H80" s="34" t="str">
        <x:v>No</x:v>
      </x:c>
      <x:c r="I80" s="30" t="str">
        <x:v>https://www.anglersatlas.com/place/101874/edith-lake</x:v>
      </x:c>
      <x:c r="J80" s="30" t="str">
        <x:v>Date is from a visible community confirmation post.</x:v>
      </x:c>
    </x:row>
    <x:row r="81" ht="52" customHeight="1">
      <x:c r="A81" s="30" t="str">
        <x:v>Emerald Lake</x:v>
      </x:c>
      <x:c r="B81" s="30" t="str">
        <x:v>4532</x:v>
      </x:c>
      <x:c r="C81" s="30" t="str">
        <x:v>Brook Trout</x:v>
      </x:c>
      <x:c r="D81" s="30" t="str">
        <x:v>Community-listed</x:v>
      </x:c>
      <x:c r="E81" s="32" t="n">
        <x:v>3</x:v>
      </x:c>
      <x:c r="F81" s="32" t="n">
        <x:v>0</x:v>
      </x:c>
      <x:c r="G81" s="33" t="n">
        <x:v>42566</x:v>
      </x:c>
      <x:c r="H81" s="34" t="str">
        <x:v>Yes</x:v>
      </x:c>
      <x:c r="I81" s="30" t="str">
        <x:v>https://www.anglersatlas.com/place/726188/emerald-lake</x:v>
      </x:c>
      <x:c r="J81" s="30" t="str">
        <x:v>Date is from a visible community confirmation post.</x:v>
      </x:c>
    </x:row>
    <x:row r="82" ht="52" customHeight="1">
      <x:c r="A82" s="30" t="str">
        <x:v>Emerald Lake</x:v>
      </x:c>
      <x:c r="B82" s="30" t="str">
        <x:v>4532</x:v>
      </x:c>
      <x:c r="C82" s="30" t="str">
        <x:v>Lake Chub</x:v>
      </x:c>
      <x:c r="D82" s="30" t="str">
        <x:v>Community-listed</x:v>
      </x:c>
      <x:c r="E82" s="32" t="n">
        <x:v>1</x:v>
      </x:c>
      <x:c r="F82" s="32" t="n">
        <x:v>0</x:v>
      </x:c>
      <x:c r="G82" s="33" t="n">
        <x:v>42566</x:v>
      </x:c>
      <x:c r="H82" s="34" t="str">
        <x:v>Yes</x:v>
      </x:c>
      <x:c r="I82" s="30" t="str">
        <x:v>https://www.anglersatlas.com/place/726188/emerald-lake</x:v>
      </x:c>
      <x:c r="J82" s="30" t="str">
        <x:v>Date is from a visible community confirmation post.</x:v>
      </x:c>
    </x:row>
    <x:row r="83" ht="52" customHeight="1">
      <x:c r="A83" s="30" t="str">
        <x:v>Emerald Lake</x:v>
      </x:c>
      <x:c r="B83" s="30" t="str">
        <x:v>4532</x:v>
      </x:c>
      <x:c r="C83" s="30" t="str">
        <x:v>Rainbow Trout</x:v>
      </x:c>
      <x:c r="D83" s="30" t="str">
        <x:v>Listed with disagreement votes</x:v>
      </x:c>
      <x:c r="E83" s="32" t="n">
        <x:v>1</x:v>
      </x:c>
      <x:c r="F83" s="32" t="n">
        <x:v>1</x:v>
      </x:c>
      <x:c r="G83" s="33" t="n">
        <x:v>42566</x:v>
      </x:c>
      <x:c r="H83" s="34" t="str">
        <x:v>Yes</x:v>
      </x:c>
      <x:c r="I83" s="30" t="str">
        <x:v>https://www.anglersatlas.com/place/726188/emerald-lake</x:v>
      </x:c>
      <x:c r="J83" s="30" t="str">
        <x:v>Date is from a visible community confirmation post.</x:v>
      </x:c>
    </x:row>
    <x:row r="84" ht="52" customHeight="1">
      <x:c r="A84" s="30" t="str">
        <x:v>Emerald Lake</x:v>
      </x:c>
      <x:c r="B84" s="30" t="str">
        <x:v>6821</x:v>
      </x:c>
      <x:c r="C84" s="30" t="str">
        <x:v>Brook Trout</x:v>
      </x:c>
      <x:c r="D84" s="30" t="str">
        <x:v>Community-listed</x:v>
      </x:c>
      <x:c r="E84" s="32" t="n">
        <x:v>3</x:v>
      </x:c>
      <x:c r="F84" s="32" t="n">
        <x:v>0</x:v>
      </x:c>
      <x:c r="G84" s="33" t="n">
        <x:v>42566</x:v>
      </x:c>
      <x:c r="H84" s="34" t="str">
        <x:v>No</x:v>
      </x:c>
      <x:c r="I84" s="30" t="str">
        <x:v>https://www.anglersatlas.com/place/726188/emerald-lake</x:v>
      </x:c>
      <x:c r="J84" s="30" t="str">
        <x:v>Date is from a visible community confirmation post.</x:v>
      </x:c>
    </x:row>
    <x:row r="85" ht="52" customHeight="1">
      <x:c r="A85" s="30" t="str">
        <x:v>Emerald Lake</x:v>
      </x:c>
      <x:c r="B85" s="30" t="str">
        <x:v>6821</x:v>
      </x:c>
      <x:c r="C85" s="30" t="str">
        <x:v>Lake Chub</x:v>
      </x:c>
      <x:c r="D85" s="30" t="str">
        <x:v>Community-listed</x:v>
      </x:c>
      <x:c r="E85" s="32" t="n">
        <x:v>1</x:v>
      </x:c>
      <x:c r="F85" s="32" t="n">
        <x:v>0</x:v>
      </x:c>
      <x:c r="G85" s="33" t="n">
        <x:v>42566</x:v>
      </x:c>
      <x:c r="H85" s="34" t="str">
        <x:v>Yes</x:v>
      </x:c>
      <x:c r="I85" s="30" t="str">
        <x:v>https://www.anglersatlas.com/place/726188/emerald-lake</x:v>
      </x:c>
      <x:c r="J85" s="30" t="str">
        <x:v>Date is from a visible community confirmation post.</x:v>
      </x:c>
    </x:row>
    <x:row r="86" ht="52" customHeight="1">
      <x:c r="A86" s="30" t="str">
        <x:v>Emerald Lake</x:v>
      </x:c>
      <x:c r="B86" s="30" t="str">
        <x:v>6821</x:v>
      </x:c>
      <x:c r="C86" s="30" t="str">
        <x:v>Rainbow Trout</x:v>
      </x:c>
      <x:c r="D86" s="30" t="str">
        <x:v>Listed with disagreement votes</x:v>
      </x:c>
      <x:c r="E86" s="32" t="n">
        <x:v>1</x:v>
      </x:c>
      <x:c r="F86" s="32" t="n">
        <x:v>1</x:v>
      </x:c>
      <x:c r="G86" s="33" t="n">
        <x:v>42566</x:v>
      </x:c>
      <x:c r="H86" s="34" t="str">
        <x:v>Yes</x:v>
      </x:c>
      <x:c r="I86" s="30" t="str">
        <x:v>https://www.anglersatlas.com/place/726188/emerald-lake</x:v>
      </x:c>
      <x:c r="J86" s="30" t="str">
        <x:v>Date is from a visible community confirmation post.</x:v>
      </x:c>
    </x:row>
    <x:row r="87" ht="52" customHeight="1">
      <x:c r="A87" s="30" t="str">
        <x:v>Emerson Lakes</x:v>
      </x:c>
      <x:c r="B87" s="30" t="str">
        <x:v>4535</x:v>
      </x:c>
      <x:c r="C87" s="30" t="str">
        <x:v>Brassy Minnow</x:v>
      </x:c>
      <x:c r="D87" s="30" t="str">
        <x:v>Community-listed</x:v>
      </x:c>
      <x:c r="E87" s="32" t="n">
        <x:v>1</x:v>
      </x:c>
      <x:c r="F87" s="32" t="n">
        <x:v>0</x:v>
      </x:c>
      <x:c r="G87" s="33" t="n">
        <x:v>44987</x:v>
      </x:c>
      <x:c r="H87" s="34" t="str">
        <x:v>Yes</x:v>
      </x:c>
      <x:c r="I87" s="30" t="str">
        <x:v>https://www.anglersatlas.com/place/726132/emerson-lakes</x:v>
      </x:c>
      <x:c r="J87" s="30" t="str">
        <x:v>Date is from a visible community confirmation post.</x:v>
      </x:c>
    </x:row>
    <x:row r="88" ht="52" customHeight="1">
      <x:c r="A88" s="30" t="str">
        <x:v>Emerson Lakes</x:v>
      </x:c>
      <x:c r="B88" s="30" t="str">
        <x:v>4535</x:v>
      </x:c>
      <x:c r="C88" s="30" t="str">
        <x:v>Rainbow Trout</x:v>
      </x:c>
      <x:c r="D88" s="30" t="str">
        <x:v>Community-listed</x:v>
      </x:c>
      <x:c r="E88" s="32" t="n">
        <x:v>1</x:v>
      </x:c>
      <x:c r="F88" s="32" t="n">
        <x:v>0</x:v>
      </x:c>
      <x:c r="G88" s="33" t="n">
        <x:v>44987</x:v>
      </x:c>
      <x:c r="H88" s="34" t="str">
        <x:v>No</x:v>
      </x:c>
      <x:c r="I88" s="30" t="str">
        <x:v>https://www.anglersatlas.com/place/726132/emerson-lakes</x:v>
      </x:c>
      <x:c r="J88" s="30" t="str">
        <x:v>Date is from a visible community confirmation post.</x:v>
      </x:c>
    </x:row>
    <x:row r="89" ht="52" customHeight="1">
      <x:c r="A89" s="30" t="str">
        <x:v>Enchant Pond</x:v>
      </x:c>
      <x:c r="B89" s="30" t="str">
        <x:v>6823</x:v>
      </x:c>
      <x:c r="C89" s="30" t="str">
        <x:v>Rainbow Trout</x:v>
      </x:c>
      <x:c r="D89" s="30" t="str">
        <x:v>Community-listed</x:v>
      </x:c>
      <x:c r="E89" s="32" t="n">
        <x:v>2</x:v>
      </x:c>
      <x:c r="F89" s="32" t="n">
        <x:v>0</x:v>
      </x:c>
      <x:c r="G89" s="33" t="n">
        <x:v>45557</x:v>
      </x:c>
      <x:c r="H89" s="34" t="str">
        <x:v>No</x:v>
      </x:c>
      <x:c r="I89" s="30" t="str">
        <x:v>https://www.anglersatlas.com/place/875896/enchant-pond</x:v>
      </x:c>
      <x:c r="J89" s="30" t="str">
        <x:v>Date is from a visible community confirmation post.</x:v>
      </x:c>
    </x:row>
    <x:row r="90" ht="52" customHeight="1">
      <x:c r="A90" s="30" t="str">
        <x:v>Enchant Pond</x:v>
      </x:c>
      <x:c r="B90" s="30" t="str">
        <x:v>6823</x:v>
      </x:c>
      <x:c r="C90" s="30" t="str">
        <x:v>Yellow Perch</x:v>
      </x:c>
      <x:c r="D90" s="30" t="str">
        <x:v>Listed with disagreement votes</x:v>
      </x:c>
      <x:c r="E90" s="32" t="n">
        <x:v>2</x:v>
      </x:c>
      <x:c r="F90" s="32" t="n">
        <x:v>1</x:v>
      </x:c>
      <x:c r="G90" s="33" t="n">
        <x:v>44559</x:v>
      </x:c>
      <x:c r="H90" s="34" t="str">
        <x:v>Yes</x:v>
      </x:c>
      <x:c r="I90" s="30" t="str">
        <x:v>https://www.anglersatlas.com/place/875896/enchant-pond</x:v>
      </x:c>
      <x:c r="J90" s="30" t="str">
        <x:v>Date is from a visible community confirmation post.</x:v>
      </x:c>
    </x:row>
    <x:row r="91" ht="52" customHeight="1">
      <x:c r="A91" s="30" t="str">
        <x:v>Enchant Pond</x:v>
      </x:c>
      <x:c r="B91" s="30" t="str">
        <x:v>6823</x:v>
      </x:c>
      <x:c r="C91" s="30" t="str">
        <x:v>Tiger Trout</x:v>
      </x:c>
      <x:c r="D91" s="30" t="str">
        <x:v>Community-listed</x:v>
      </x:c>
      <x:c r="E91" s="32" t="n">
        <x:v>1</x:v>
      </x:c>
      <x:c r="F91" s="32" t="n">
        <x:v>0</x:v>
      </x:c>
      <x:c r="G91" s="33" t="n">
        <x:v>45829</x:v>
      </x:c>
      <x:c r="H91" s="34" t="str">
        <x:v>No</x:v>
      </x:c>
      <x:c r="I91" s="30" t="str">
        <x:v>https://www.anglersatlas.com/place/875896/enchant-pond</x:v>
      </x:c>
      <x:c r="J91" s="30" t="str">
        <x:v>Date is from a visible community confirmation post.</x:v>
      </x:c>
    </x:row>
    <x:row r="92" ht="52" customHeight="1">
      <x:c r="A92" s="30" t="str">
        <x:v>Engstrom Lake</x:v>
      </x:c>
      <x:c r="B92" s="30" t="str">
        <x:v>4539</x:v>
      </x:c>
      <x:c r="C92" s="30" t="str">
        <x:v>Rainbow Trout</x:v>
      </x:c>
      <x:c r="D92" s="30" t="str">
        <x:v>Community-listed</x:v>
      </x:c>
      <x:c r="E92" s="32" t="n">
        <x:v>2</x:v>
      </x:c>
      <x:c r="F92" s="32" t="n">
        <x:v>0</x:v>
      </x:c>
      <x:c r="G92" s="33" t="n">
        <x:v>45259</x:v>
      </x:c>
      <x:c r="H92" s="34" t="str">
        <x:v>No</x:v>
      </x:c>
      <x:c r="I92" s="30" t="str">
        <x:v>https://www.anglersatlas.com/place/726299/engstrom-lake</x:v>
      </x:c>
      <x:c r="J92" s="30" t="str">
        <x:v>Date is from a visible community confirmation post.</x:v>
      </x:c>
    </x:row>
    <x:row r="93" ht="52" customHeight="1">
      <x:c r="A93" s="30" t="str">
        <x:v>Engstrom Lake</x:v>
      </x:c>
      <x:c r="B93" s="30" t="str">
        <x:v>4539</x:v>
      </x:c>
      <x:c r="C93" s="30" t="str">
        <x:v>White Sucker</x:v>
      </x:c>
      <x:c r="D93" s="30" t="str">
        <x:v>Community-listed</x:v>
      </x:c>
      <x:c r="E93" s="32" t="n">
        <x:v>1</x:v>
      </x:c>
      <x:c r="F93" s="32" t="n">
        <x:v>0</x:v>
      </x:c>
      <x:c r="G93" s="33" t="n">
        <x:v>45259</x:v>
      </x:c>
      <x:c r="H93" s="34" t="str">
        <x:v>Yes</x:v>
      </x:c>
      <x:c r="I93" s="30" t="str">
        <x:v>https://www.anglersatlas.com/place/726299/engstrom-lake</x:v>
      </x:c>
      <x:c r="J93" s="30" t="str">
        <x:v>Date is from a visible community confirmation post.</x:v>
      </x:c>
    </x:row>
    <x:row r="94" ht="52" customHeight="1">
      <x:c r="A94" s="30" t="str">
        <x:v>Fairfax Lake</x:v>
      </x:c>
      <x:c r="B94" s="30" t="str">
        <x:v>4562</x:v>
      </x:c>
      <x:c r="C94" s="30" t="str">
        <x:v>Rainbow Trout</x:v>
      </x:c>
      <x:c r="D94" s="30" t="str">
        <x:v>Community-listed</x:v>
      </x:c>
      <x:c r="E94" s="32" t="n">
        <x:v>7</x:v>
      </x:c>
      <x:c r="F94" s="32" t="n">
        <x:v>0</x:v>
      </x:c>
      <x:c r="G94" s="33" t="n">
        <x:v>42565</x:v>
      </x:c>
      <x:c r="H94" s="34" t="str">
        <x:v>No</x:v>
      </x:c>
      <x:c r="I94" s="30" t="str">
        <x:v>https://www.anglersatlas.com/place/101880/fairfax-lake</x:v>
      </x:c>
      <x:c r="J94" s="30" t="str">
        <x:v>Date is from a visible community confirmation post.</x:v>
      </x:c>
    </x:row>
    <x:row r="95" ht="52" customHeight="1">
      <x:c r="A95" s="30" t="str">
        <x:v>Fairfax Lake</x:v>
      </x:c>
      <x:c r="B95" s="30" t="str">
        <x:v>4562</x:v>
      </x:c>
      <x:c r="C95" s="30" t="str">
        <x:v>Brook Trout</x:v>
      </x:c>
      <x:c r="D95" s="30" t="str">
        <x:v>Community-listed</x:v>
      </x:c>
      <x:c r="E95" s="32" t="n">
        <x:v>3</x:v>
      </x:c>
      <x:c r="F95" s="32" t="n">
        <x:v>0</x:v>
      </x:c>
      <x:c r="G95" s="33" t="n">
        <x:v>45421</x:v>
      </x:c>
      <x:c r="H95" s="34" t="str">
        <x:v>Yes</x:v>
      </x:c>
      <x:c r="I95" s="30" t="str">
        <x:v>https://www.anglersatlas.com/place/101880/fairfax-lake</x:v>
      </x:c>
      <x:c r="J95" s="30" t="str">
        <x:v>Date is from a visible community confirmation post.</x:v>
      </x:c>
    </x:row>
    <x:row r="96" ht="52" customHeight="1">
      <x:c r="A96" s="30" t="str">
        <x:v>Fickle Lake</x:v>
      </x:c>
      <x:c r="B96" s="30" t="str">
        <x:v>4571</x:v>
      </x:c>
      <x:c r="C96" s="30" t="str">
        <x:v>Northern Pike</x:v>
      </x:c>
      <x:c r="D96" s="30" t="str">
        <x:v>Community-listed</x:v>
      </x:c>
      <x:c r="E96" s="32" t="n">
        <x:v>8</x:v>
      </x:c>
      <x:c r="F96" s="32" t="n">
        <x:v>0</x:v>
      </x:c>
      <x:c r="G96" s="33" t="n">
        <x:v>42556</x:v>
      </x:c>
      <x:c r="H96" s="34" t="str">
        <x:v>Yes</x:v>
      </x:c>
      <x:c r="I96" s="30" t="str">
        <x:v>https://www.anglersatlas.com/place/101883/fickle-lake</x:v>
      </x:c>
      <x:c r="J96" s="30" t="str">
        <x:v>Date is from a visible community confirmation post.</x:v>
      </x:c>
    </x:row>
    <x:row r="97" ht="52" customHeight="1">
      <x:c r="A97" s="30" t="str">
        <x:v>Fickle Lake</x:v>
      </x:c>
      <x:c r="B97" s="30" t="str">
        <x:v>4571</x:v>
      </x:c>
      <x:c r="C97" s="30" t="str">
        <x:v>Walleye</x:v>
      </x:c>
      <x:c r="D97" s="30" t="str">
        <x:v>Community-listed</x:v>
      </x:c>
      <x:c r="E97" s="32" t="n">
        <x:v>5</x:v>
      </x:c>
      <x:c r="F97" s="32" t="n">
        <x:v>0</x:v>
      </x:c>
      <x:c r="G97" s="33" t="n">
        <x:v>42556</x:v>
      </x:c>
      <x:c r="H97" s="34" t="str">
        <x:v>No</x:v>
      </x:c>
      <x:c r="I97" s="30" t="str">
        <x:v>https://www.anglersatlas.com/place/101883/fickle-lake</x:v>
      </x:c>
      <x:c r="J97" s="30" t="str">
        <x:v>Date is from a visible community confirmation post.</x:v>
      </x:c>
    </x:row>
    <x:row r="98" ht="52" customHeight="1">
      <x:c r="A98" s="30" t="str">
        <x:v>Fickle Lake</x:v>
      </x:c>
      <x:c r="B98" s="30" t="str">
        <x:v>4571</x:v>
      </x:c>
      <x:c r="C98" s="30" t="str">
        <x:v>Lake Whitefish</x:v>
      </x:c>
      <x:c r="D98" s="30" t="str">
        <x:v>Community-listed</x:v>
      </x:c>
      <x:c r="E98" s="32" t="n">
        <x:v>3</x:v>
      </x:c>
      <x:c r="F98" s="32" t="n">
        <x:v>0</x:v>
      </x:c>
      <x:c r="G98" s="33" t="n">
        <x:v>42556</x:v>
      </x:c>
      <x:c r="H98" s="34" t="str">
        <x:v>Yes</x:v>
      </x:c>
      <x:c r="I98" s="30" t="str">
        <x:v>https://www.anglersatlas.com/place/101883/fickle-lake</x:v>
      </x:c>
      <x:c r="J98" s="30" t="str">
        <x:v>Date is from a visible community confirmation post.</x:v>
      </x:c>
    </x:row>
    <x:row r="99" ht="52" customHeight="1">
      <x:c r="A99" s="30" t="str">
        <x:v>Fickle Lake</x:v>
      </x:c>
      <x:c r="B99" s="30" t="str">
        <x:v>4571</x:v>
      </x:c>
      <x:c r="C99" s="30" t="str">
        <x:v>Yellow Perch</x:v>
      </x:c>
      <x:c r="D99" s="30" t="str">
        <x:v>Community-listed</x:v>
      </x:c>
      <x:c r="E99" s="32" t="n">
        <x:v>3</x:v>
      </x:c>
      <x:c r="F99" s="32" t="n">
        <x:v>0</x:v>
      </x:c>
      <x:c r="G99" s="33" t="n">
        <x:v>42556</x:v>
      </x:c>
      <x:c r="H99" s="34" t="str">
        <x:v>Yes</x:v>
      </x:c>
      <x:c r="I99" s="30" t="str">
        <x:v>https://www.anglersatlas.com/place/101883/fickle-lake</x:v>
      </x:c>
      <x:c r="J99" s="30" t="str">
        <x:v>Date is from a visible community confirmation post.</x:v>
      </x:c>
    </x:row>
    <x:row r="100" ht="52" customHeight="1">
      <x:c r="A100" s="30" t="str">
        <x:v>Fiesta Lake</x:v>
      </x:c>
      <x:c r="B100" s="30" t="str">
        <x:v>24364</x:v>
      </x:c>
      <x:c r="C100" s="30" t="str">
        <x:v>Rainbow Trout</x:v>
      </x:c>
      <x:c r="D100" s="30" t="str">
        <x:v>Community-listed</x:v>
      </x:c>
      <x:c r="E100" s="32" t="n">
        <x:v>2</x:v>
      </x:c>
      <x:c r="F100" s="32" t="n">
        <x:v>0</x:v>
      </x:c>
      <x:c r="G100" s="33" t="n">
        <x:v>43663</x:v>
      </x:c>
      <x:c r="H100" s="34" t="str">
        <x:v>No</x:v>
      </x:c>
      <x:c r="I100" s="30" t="str">
        <x:v>https://www.anglersatlas.com/place/884946/fiesta-lake</x:v>
      </x:c>
      <x:c r="J100" s="30" t="str">
        <x:v>Date is from a visible community confirmation post.</x:v>
      </x:c>
    </x:row>
    <x:row r="101" ht="52" customHeight="1">
      <x:c r="A101" s="30" t="str">
        <x:v>Figure Eight Lake</x:v>
      </x:c>
      <x:c r="B101" s="30" t="str">
        <x:v>6827</x:v>
      </x:c>
      <x:c r="C101" s="30" t="str">
        <x:v>Rainbow Trout</x:v>
      </x:c>
      <x:c r="D101" s="30" t="str">
        <x:v>Community-listed</x:v>
      </x:c>
      <x:c r="E101" s="32" t="n">
        <x:v>12</x:v>
      </x:c>
      <x:c r="F101" s="32" t="n">
        <x:v>0</x:v>
      </x:c>
      <x:c r="G101" s="33" t="n">
        <x:v>42694</x:v>
      </x:c>
      <x:c r="H101" s="34" t="str">
        <x:v>No</x:v>
      </x:c>
      <x:c r="I101" s="30" t="str">
        <x:v>https://www.anglersatlas.com/place/102594/figure-eight-lake</x:v>
      </x:c>
      <x:c r="J101" s="30" t="str">
        <x:v>Date is from a visible community confirmation post.</x:v>
      </x:c>
    </x:row>
    <x:row r="102" ht="52" customHeight="1">
      <x:c r="A102" s="30" t="str">
        <x:v>Foremost Reservoir</x:v>
      </x:c>
      <x:c r="B102" s="30" t="str">
        <x:v>6831</x:v>
      </x:c>
      <x:c r="C102" s="30" t="str">
        <x:v>Rainbow Trout</x:v>
      </x:c>
      <x:c r="D102" s="30" t="str">
        <x:v>Community-listed</x:v>
      </x:c>
      <x:c r="E102" s="32" t="n">
        <x:v>3</x:v>
      </x:c>
      <x:c r="F102" s="32" t="n">
        <x:v>0</x:v>
      </x:c>
      <x:c r="G102" s="33" t="n">
        <x:v>43008</x:v>
      </x:c>
      <x:c r="H102" s="34" t="str">
        <x:v>No</x:v>
      </x:c>
      <x:c r="I102" s="30" t="str">
        <x:v>https://www.anglersatlas.com/place/102595/foremost-reservoir</x:v>
      </x:c>
      <x:c r="J102" s="30" t="str">
        <x:v>Date is from a visible community confirmation post.</x:v>
      </x:c>
    </x:row>
    <x:row r="103" ht="52" customHeight="1">
      <x:c r="A103" s="30" t="str">
        <x:v>Frog Lake</x:v>
      </x:c>
      <x:c r="B103" s="30" t="str">
        <x:v>4635</x:v>
      </x:c>
      <x:c r="C103" s="30" t="str">
        <x:v>Burbot</x:v>
      </x:c>
      <x:c r="D103" s="30" t="str">
        <x:v>Community-listed</x:v>
      </x:c>
      <x:c r="E103" s="32" t="n">
        <x:v>1</x:v>
      </x:c>
      <x:c r="F103" s="32" t="n">
        <x:v>0</x:v>
      </x:c>
      <x:c r="G103" s="33" t="n">
        <x:v>44590</x:v>
      </x:c>
      <x:c r="H103" s="34" t="str">
        <x:v>Yes</x:v>
      </x:c>
      <x:c r="I103" s="30" t="str">
        <x:v>https://www.anglersatlas.com/place/101895/frog-lake</x:v>
      </x:c>
      <x:c r="J103" s="30" t="str">
        <x:v>Date is from a visible community confirmation post.</x:v>
      </x:c>
    </x:row>
    <x:row r="104" ht="52" customHeight="1">
      <x:c r="A104" s="30" t="str">
        <x:v>Frog Lake</x:v>
      </x:c>
      <x:c r="B104" s="30" t="str">
        <x:v>4635</x:v>
      </x:c>
      <x:c r="C104" s="30" t="str">
        <x:v>Lake Whitefish</x:v>
      </x:c>
      <x:c r="D104" s="30" t="str">
        <x:v>Community-listed</x:v>
      </x:c>
      <x:c r="E104" s="32" t="n">
        <x:v>1</x:v>
      </x:c>
      <x:c r="F104" s="32" t="n">
        <x:v>0</x:v>
      </x:c>
      <x:c r="G104" s="33" t="n">
        <x:v>44590</x:v>
      </x:c>
      <x:c r="H104" s="34" t="str">
        <x:v>Yes</x:v>
      </x:c>
      <x:c r="I104" s="30" t="str">
        <x:v>https://www.anglersatlas.com/place/101895/frog-lake</x:v>
      </x:c>
      <x:c r="J104" s="30" t="str">
        <x:v>Date is from a visible community confirmation post.</x:v>
      </x:c>
    </x:row>
    <x:row r="105" ht="52" customHeight="1">
      <x:c r="A105" s="30" t="str">
        <x:v>Frog Lake</x:v>
      </x:c>
      <x:c r="B105" s="30" t="str">
        <x:v>4635</x:v>
      </x:c>
      <x:c r="C105" s="30" t="str">
        <x:v>Northern Pike</x:v>
      </x:c>
      <x:c r="D105" s="30" t="str">
        <x:v>Community-listed</x:v>
      </x:c>
      <x:c r="E105" s="32" t="n">
        <x:v>1</x:v>
      </x:c>
      <x:c r="F105" s="32" t="n">
        <x:v>0</x:v>
      </x:c>
      <x:c r="G105" s="33" t="n">
        <x:v>44590</x:v>
      </x:c>
      <x:c r="H105" s="34" t="str">
        <x:v>Yes</x:v>
      </x:c>
      <x:c r="I105" s="30" t="str">
        <x:v>https://www.anglersatlas.com/place/101895/frog-lake</x:v>
      </x:c>
      <x:c r="J105" s="30" t="str">
        <x:v>Date is from a visible community confirmation post.</x:v>
      </x:c>
    </x:row>
    <x:row r="106" ht="52" customHeight="1">
      <x:c r="A106" s="30" t="str">
        <x:v>Frog Lake</x:v>
      </x:c>
      <x:c r="B106" s="30" t="str">
        <x:v>4635</x:v>
      </x:c>
      <x:c r="C106" s="30" t="str">
        <x:v>Yellow Perch</x:v>
      </x:c>
      <x:c r="D106" s="30" t="str">
        <x:v>Community-listed</x:v>
      </x:c>
      <x:c r="E106" s="32" t="n">
        <x:v>1</x:v>
      </x:c>
      <x:c r="F106" s="32" t="n">
        <x:v>0</x:v>
      </x:c>
      <x:c r="G106" s="33" t="n">
        <x:v>44590</x:v>
      </x:c>
      <x:c r="H106" s="34" t="str">
        <x:v>Yes</x:v>
      </x:c>
      <x:c r="I106" s="30" t="str">
        <x:v>https://www.anglersatlas.com/place/101895/frog-lake</x:v>
      </x:c>
      <x:c r="J106" s="30" t="str">
        <x:v>Date is from a visible community confirmation post.</x:v>
      </x:c>
    </x:row>
    <x:row r="107" ht="52" customHeight="1">
      <x:c r="A107" s="30" t="str">
        <x:v>Gap Lake</x:v>
      </x:c>
      <x:c r="B107" s="30" t="str">
        <x:v>4647</x:v>
      </x:c>
      <x:c r="C107" s="30" t="str">
        <x:v>Brook Trout</x:v>
      </x:c>
      <x:c r="D107" s="30" t="str">
        <x:v>Community-listed</x:v>
      </x:c>
      <x:c r="E107" s="32" t="n">
        <x:v>4</x:v>
      </x:c>
      <x:c r="F107" s="32" t="n">
        <x:v>0</x:v>
      </x:c>
      <x:c r="G107" s="33" t="n">
        <x:v>42721</x:v>
      </x:c>
      <x:c r="H107" s="34" t="str">
        <x:v>Yes</x:v>
      </x:c>
      <x:c r="I107" s="30" t="str">
        <x:v>https://www.anglersatlas.com/place/129793/gap-lake</x:v>
      </x:c>
      <x:c r="J107" s="30" t="str">
        <x:v>Date is from a visible community confirmation post.</x:v>
      </x:c>
    </x:row>
    <x:row r="108" ht="52" customHeight="1">
      <x:c r="A108" s="30" t="str">
        <x:v>Genesee Trout Pond</x:v>
      </x:c>
      <x:c r="B108" s="30" t="str">
        <x:v>23292</x:v>
      </x:c>
      <x:c r="C108" s="30" t="str">
        <x:v>Rainbow Trout</x:v>
      </x:c>
      <x:c r="D108" s="30" t="str">
        <x:v>Community-listed</x:v>
      </x:c>
      <x:c r="E108" s="32" t="n">
        <x:v>1</x:v>
      </x:c>
      <x:c r="F108" s="32" t="n">
        <x:v>0</x:v>
      </x:c>
      <x:c r="G108" s="33" t="n">
        <x:v>45294</x:v>
      </x:c>
      <x:c r="H108" s="34" t="str">
        <x:v>No</x:v>
      </x:c>
      <x:c r="I108" s="30" t="str">
        <x:v>https://www.anglersatlas.com/place/965708/genesee-fish-pond</x:v>
      </x:c>
      <x:c r="J108" s="30" t="str">
        <x:v>Date is from a visible community confirmation post.</x:v>
      </x:c>
    </x:row>
    <x:row r="109" ht="52" customHeight="1">
      <x:c r="A109" s="30" t="str">
        <x:v>Goldspring Park Pond</x:v>
      </x:c>
      <x:c r="B109" s="30" t="str">
        <x:v>6818</x:v>
      </x:c>
      <x:c r="C109" s="30" t="str">
        <x:v>Rainbow Trout</x:v>
      </x:c>
      <x:c r="D109" s="30" t="str">
        <x:v>Community-listed</x:v>
      </x:c>
      <x:c r="E109" s="32" t="n">
        <x:v>3</x:v>
      </x:c>
      <x:c r="F109" s="32" t="n">
        <x:v>0</x:v>
      </x:c>
      <x:c r="G109" s="33" t="n">
        <x:v>44071</x:v>
      </x:c>
      <x:c r="H109" s="34" t="str">
        <x:v>No</x:v>
      </x:c>
      <x:c r="I109" s="30" t="str">
        <x:v>https://www.anglersatlas.com/place/102593/goldspring-park-pond</x:v>
      </x:c>
      <x:c r="J109" s="30" t="str">
        <x:v>Date is from a visible community confirmation post.</x:v>
      </x:c>
    </x:row>
    <x:row r="110" ht="52" customHeight="1">
      <x:c r="A110" s="30" t="str">
        <x:v>Goose Lake</x:v>
      </x:c>
      <x:c r="B110" s="30" t="str">
        <x:v>4708</x:v>
      </x:c>
      <x:c r="C110" s="30" t="str">
        <x:v>Northern Pike</x:v>
      </x:c>
      <x:c r="D110" s="30" t="str">
        <x:v>Listed with disagreement votes</x:v>
      </x:c>
      <x:c r="E110" s="32" t="n">
        <x:v>8</x:v>
      </x:c>
      <x:c r="F110" s="32" t="n">
        <x:v>1</x:v>
      </x:c>
      <x:c r="G110" s="33" t="n">
        <x:v>42570</x:v>
      </x:c>
      <x:c r="H110" s="34" t="str">
        <x:v>Yes</x:v>
      </x:c>
      <x:c r="I110" s="30" t="str">
        <x:v>https://www.anglersatlas.com/place/102574/goose-lake</x:v>
      </x:c>
      <x:c r="J110" s="30" t="str">
        <x:v>Date is from a visible community confirmation post.</x:v>
      </x:c>
    </x:row>
    <x:row r="111" ht="52" customHeight="1">
      <x:c r="A111" s="30" t="str">
        <x:v>Goose Lake</x:v>
      </x:c>
      <x:c r="B111" s="30" t="str">
        <x:v>4708</x:v>
      </x:c>
      <x:c r="C111" s="30" t="str">
        <x:v>Yellow Perch</x:v>
      </x:c>
      <x:c r="D111" s="30" t="str">
        <x:v>Listed with disagreement votes</x:v>
      </x:c>
      <x:c r="E111" s="32" t="n">
        <x:v>7</x:v>
      </x:c>
      <x:c r="F111" s="32" t="n">
        <x:v>1</x:v>
      </x:c>
      <x:c r="G111" s="33" t="n">
        <x:v>42570</x:v>
      </x:c>
      <x:c r="H111" s="34" t="str">
        <x:v>Yes</x:v>
      </x:c>
      <x:c r="I111" s="30" t="str">
        <x:v>https://www.anglersatlas.com/place/102574/goose-lake</x:v>
      </x:c>
      <x:c r="J111" s="30" t="str">
        <x:v>Date is from a visible community confirmation post.</x:v>
      </x:c>
    </x:row>
    <x:row r="112" ht="52" customHeight="1">
      <x:c r="A112" s="30" t="str">
        <x:v>Goose Lake</x:v>
      </x:c>
      <x:c r="B112" s="30" t="str">
        <x:v>4708</x:v>
      </x:c>
      <x:c r="C112" s="30" t="str">
        <x:v>Rainbow Trout</x:v>
      </x:c>
      <x:c r="D112" s="30" t="str">
        <x:v>Disputed by site</x:v>
      </x:c>
      <x:c r="E112" s="32" t="n">
        <x:v>1</x:v>
      </x:c>
      <x:c r="F112" s="32" t="n">
        <x:v>8</x:v>
      </x:c>
      <x:c r="G112" s="33" t="n">
        <x:v>42698</x:v>
      </x:c>
      <x:c r="H112" s="34" t="str">
        <x:v>No</x:v>
      </x:c>
      <x:c r="I112" s="30" t="str">
        <x:v>https://www.anglersatlas.com/place/102574/goose-lake</x:v>
      </x:c>
      <x:c r="J112" s="30" t="str">
        <x:v>Species name decoded from the linked fish-page URL. Site displays Disputed.</x:v>
      </x:c>
    </x:row>
    <x:row r="113" ht="52" customHeight="1">
      <x:c r="A113" s="30" t="str">
        <x:v>Grande Cache Lake</x:v>
      </x:c>
      <x:c r="B113" s="30" t="str">
        <x:v>4725</x:v>
      </x:c>
      <x:c r="C113" s="30" t="str">
        <x:v>Bull Trout</x:v>
      </x:c>
      <x:c r="D113" s="30" t="str">
        <x:v>Community-listed</x:v>
      </x:c>
      <x:c r="E113" s="32" t="n">
        <x:v>3</x:v>
      </x:c>
      <x:c r="F113" s="32" t="n">
        <x:v>0</x:v>
      </x:c>
      <x:c r="G113" s="33" t="n">
        <x:v>42744</x:v>
      </x:c>
      <x:c r="H113" s="34" t="str">
        <x:v>Yes</x:v>
      </x:c>
      <x:c r="I113" s="30" t="str">
        <x:v>https://www.anglersatlas.com/place/101909/grande-cache-lake</x:v>
      </x:c>
      <x:c r="J113" s="30" t="str">
        <x:v>Date is from a visible community confirmation post.</x:v>
      </x:c>
    </x:row>
    <x:row r="114" ht="52" customHeight="1">
      <x:c r="A114" s="30" t="str">
        <x:v>Grande Cache Lake</x:v>
      </x:c>
      <x:c r="B114" s="30" t="str">
        <x:v>4725</x:v>
      </x:c>
      <x:c r="C114" s="30" t="str">
        <x:v>Rainbow Trout</x:v>
      </x:c>
      <x:c r="D114" s="30" t="str">
        <x:v>Community-listed</x:v>
      </x:c>
      <x:c r="E114" s="32" t="n">
        <x:v>4</x:v>
      </x:c>
      <x:c r="F114" s="32" t="n">
        <x:v>0</x:v>
      </x:c>
      <x:c r="G114" s="33" t="n">
        <x:v>43854</x:v>
      </x:c>
      <x:c r="H114" s="34" t="str">
        <x:v>No</x:v>
      </x:c>
      <x:c r="I114" s="30" t="str">
        <x:v>https://www.anglersatlas.com/place/101909/grande-cache-lake</x:v>
      </x:c>
      <x:c r="J114" s="30" t="str">
        <x:v>Date is from a visible community confirmation post.</x:v>
      </x:c>
    </x:row>
    <x:row r="115" ht="52" customHeight="1">
      <x:c r="A115" s="30" t="str">
        <x:v>Grande Cache Lake</x:v>
      </x:c>
      <x:c r="B115" s="30" t="str">
        <x:v>4725</x:v>
      </x:c>
      <x:c r="C115" s="30" t="str">
        <x:v>Burbot</x:v>
      </x:c>
      <x:c r="D115" s="30" t="str">
        <x:v>Community-listed</x:v>
      </x:c>
      <x:c r="E115" s="32" t="n">
        <x:v>2</x:v>
      </x:c>
      <x:c r="F115" s="32" t="n">
        <x:v>0</x:v>
      </x:c>
      <x:c r="G115" s="33" t="n">
        <x:v>44217</x:v>
      </x:c>
      <x:c r="H115" s="34" t="str">
        <x:v>Yes</x:v>
      </x:c>
      <x:c r="I115" s="30" t="str">
        <x:v>https://www.anglersatlas.com/place/101909/grande-cache-lake</x:v>
      </x:c>
      <x:c r="J115" s="30" t="str">
        <x:v>Date is from a visible community confirmation post.</x:v>
      </x:c>
    </x:row>
    <x:row r="116" ht="52" customHeight="1">
      <x:c r="A116" s="30" t="str">
        <x:v>Grotto Mountain Pond</x:v>
      </x:c>
      <x:c r="B116" s="30" t="str">
        <x:v>3476</x:v>
      </x:c>
      <x:c r="C116" s="30" t="str">
        <x:v>Rainbow Trout</x:v>
      </x:c>
      <x:c r="D116" s="30" t="str">
        <x:v>Community-listed</x:v>
      </x:c>
      <x:c r="E116" s="32" t="n">
        <x:v>7</x:v>
      </x:c>
      <x:c r="F116" s="32" t="n">
        <x:v>0</x:v>
      </x:c>
      <x:c r="G116" s="33" t="n">
        <x:v>42971</x:v>
      </x:c>
      <x:c r="H116" s="34" t="str">
        <x:v>No</x:v>
      </x:c>
      <x:c r="I116" s="30" t="str">
        <x:v>https://www.anglersatlas.com/place/137026/grotto-mountain-pond</x:v>
      </x:c>
      <x:c r="J116" s="30" t="str">
        <x:v>Date is from a visible community confirmation post.</x:v>
      </x:c>
    </x:row>
    <x:row r="117" ht="52" customHeight="1">
      <x:c r="A117" s="30" t="str">
        <x:v>Grotto Mountain Pond</x:v>
      </x:c>
      <x:c r="B117" s="30" t="str">
        <x:v>3476</x:v>
      </x:c>
      <x:c r="C117" s="30" t="str">
        <x:v>Brown Trout</x:v>
      </x:c>
      <x:c r="D117" s="30" t="str">
        <x:v>Community-listed</x:v>
      </x:c>
      <x:c r="E117" s="32" t="n">
        <x:v>2</x:v>
      </x:c>
      <x:c r="F117" s="32" t="n">
        <x:v>0</x:v>
      </x:c>
      <x:c r="G117" s="33" t="n">
        <x:v>44428</x:v>
      </x:c>
      <x:c r="H117" s="34" t="str">
        <x:v>Yes</x:v>
      </x:c>
      <x:c r="I117" s="30" t="str">
        <x:v>https://www.anglersatlas.com/place/137026/grotto-mountain-pond</x:v>
      </x:c>
      <x:c r="J117" s="30" t="str">
        <x:v>Date is from a visible community confirmation post.</x:v>
      </x:c>
    </x:row>
    <x:row r="118" ht="52" customHeight="1">
      <x:c r="A118" s="30" t="str">
        <x:v>Hasse Lake</x:v>
      </x:c>
      <x:c r="B118" s="30" t="str">
        <x:v>4794</x:v>
      </x:c>
      <x:c r="C118" s="30" t="str">
        <x:v>Rainbow Trout</x:v>
      </x:c>
      <x:c r="D118" s="30" t="str">
        <x:v>Community-listed</x:v>
      </x:c>
      <x:c r="E118" s="32" t="n">
        <x:v>14</x:v>
      </x:c>
      <x:c r="F118" s="32" t="n">
        <x:v>0</x:v>
      </x:c>
      <x:c r="G118" s="33" t="n">
        <x:v>44066</x:v>
      </x:c>
      <x:c r="H118" s="34" t="str">
        <x:v>No</x:v>
      </x:c>
      <x:c r="I118" s="30" t="str">
        <x:v>https://www.anglersatlas.com/place/101919/hasse-lake</x:v>
      </x:c>
      <x:c r="J118" s="30" t="str">
        <x:v>Date is from a visible community confirmation post.</x:v>
      </x:c>
    </x:row>
    <x:row r="119" ht="52" customHeight="1">
      <x:c r="A119" s="30" t="str">
        <x:v>Hasse Lake</x:v>
      </x:c>
      <x:c r="B119" s="30" t="str">
        <x:v>4794</x:v>
      </x:c>
      <x:c r="C119" s="30" t="str">
        <x:v>Tiger Trout</x:v>
      </x:c>
      <x:c r="D119" s="30" t="str">
        <x:v>Community-listed</x:v>
      </x:c>
      <x:c r="E119" s="32" t="n">
        <x:v>9</x:v>
      </x:c>
      <x:c r="F119" s="32" t="n">
        <x:v>0</x:v>
      </x:c>
      <x:c r="G119" s="33" t="n">
        <x:v>44393</x:v>
      </x:c>
      <x:c r="H119" s="34" t="str">
        <x:v>No</x:v>
      </x:c>
      <x:c r="I119" s="30" t="str">
        <x:v>https://www.anglersatlas.com/place/101919/hasse-lake</x:v>
      </x:c>
      <x:c r="J119" s="30" t="str">
        <x:v>Date is from a visible community confirmation post.</x:v>
      </x:c>
    </x:row>
    <x:row r="120" ht="52" customHeight="1">
      <x:c r="A120" s="30" t="str">
        <x:v>Heritage Lake</x:v>
      </x:c>
      <x:c r="B120" s="30" t="str">
        <x:v>6790</x:v>
      </x:c>
      <x:c r="C120" s="30" t="str">
        <x:v>Brown Trout</x:v>
      </x:c>
      <x:c r="D120" s="30" t="str">
        <x:v>Community-listed</x:v>
      </x:c>
      <x:c r="E120" s="32" t="n">
        <x:v>2</x:v>
      </x:c>
      <x:c r="F120" s="32" t="n">
        <x:v>0</x:v>
      </x:c>
      <x:c r="G120" s="33" t="n">
        <x:v>46079</x:v>
      </x:c>
      <x:c r="H120" s="34" t="str">
        <x:v>No</x:v>
      </x:c>
      <x:c r="I120" s="30" t="str">
        <x:v>https://www.anglersatlas.com/place/2207558/heritage-lake</x:v>
      </x:c>
      <x:c r="J120" s="30" t="str">
        <x:v>Date is from a visible community confirmation post.</x:v>
      </x:c>
    </x:row>
    <x:row r="121" ht="52" customHeight="1">
      <x:c r="A121" s="30" t="str">
        <x:v>Ironside Pond</x:v>
      </x:c>
      <x:c r="B121" s="30" t="str">
        <x:v>6786</x:v>
      </x:c>
      <x:c r="C121" s="30" t="str">
        <x:v>Rainbow Trout</x:v>
      </x:c>
      <x:c r="D121" s="30" t="str">
        <x:v>Community-listed</x:v>
      </x:c>
      <x:c r="E121" s="32" t="n">
        <x:v>3</x:v>
      </x:c>
      <x:c r="F121" s="32" t="n">
        <x:v>0</x:v>
      </x:c>
      <x:c r="G121" s="33" t="n">
        <x:v>44725</x:v>
      </x:c>
      <x:c r="H121" s="34" t="str">
        <x:v>No</x:v>
      </x:c>
      <x:c r="I121" s="30" t="str">
        <x:v>https://www.anglersatlas.com/place/1107853/ironside-pond</x:v>
      </x:c>
      <x:c r="J121" s="30" t="str">
        <x:v>Date is from a visible community confirmation post.</x:v>
      </x:c>
    </x:row>
    <x:row r="122" ht="52" customHeight="1">
      <x:c r="A122" s="30" t="str">
        <x:v>Ironside Pond</x:v>
      </x:c>
      <x:c r="B122" s="30" t="str">
        <x:v>6786</x:v>
      </x:c>
      <x:c r="C122" s="30" t="str">
        <x:v>Tiger Trout</x:v>
      </x:c>
      <x:c r="D122" s="30" t="str">
        <x:v>Community-listed</x:v>
      </x:c>
      <x:c r="E122" s="32" t="n">
        <x:v>1</x:v>
      </x:c>
      <x:c r="F122" s="32" t="n">
        <x:v>0</x:v>
      </x:c>
      <x:c r="G122" s="33" t="n">
        <x:v>45961</x:v>
      </x:c>
      <x:c r="H122" s="34" t="str">
        <x:v>No</x:v>
      </x:c>
      <x:c r="I122" s="30" t="str">
        <x:v>https://www.anglersatlas.com/place/1107853/ironside-pond</x:v>
      </x:c>
      <x:c r="J122" s="30" t="str">
        <x:v>Date is from a visible community confirmation post.</x:v>
      </x:c>
    </x:row>
    <x:row r="123" ht="52" customHeight="1">
      <x:c r="A123" s="30" t="str">
        <x:v>Keho Lake</x:v>
      </x:c>
      <x:c r="B123" s="30" t="str">
        <x:v>4978</x:v>
      </x:c>
      <x:c r="C123" s="30" t="str">
        <x:v>Northern Pike</x:v>
      </x:c>
      <x:c r="D123" s="30" t="str">
        <x:v>Community-listed</x:v>
      </x:c>
      <x:c r="E123" s="32" t="n">
        <x:v>16</x:v>
      </x:c>
      <x:c r="F123" s="32" t="n">
        <x:v>0</x:v>
      </x:c>
      <x:c r="G123" s="33" t="n">
        <x:v>42591</x:v>
      </x:c>
      <x:c r="H123" s="34" t="str">
        <x:v>Yes</x:v>
      </x:c>
      <x:c r="I123" s="30" t="str">
        <x:v>https://www.anglersatlas.com/place/101941/keho-lake</x:v>
      </x:c>
      <x:c r="J123" s="30" t="str">
        <x:v>Date is from a visible community confirmation post.</x:v>
      </x:c>
    </x:row>
    <x:row r="124" ht="52" customHeight="1">
      <x:c r="A124" s="30" t="str">
        <x:v>Keho Lake</x:v>
      </x:c>
      <x:c r="B124" s="30" t="str">
        <x:v>4978</x:v>
      </x:c>
      <x:c r="C124" s="30" t="str">
        <x:v>Walleye</x:v>
      </x:c>
      <x:c r="D124" s="30" t="str">
        <x:v>Community-listed</x:v>
      </x:c>
      <x:c r="E124" s="32" t="n">
        <x:v>11</x:v>
      </x:c>
      <x:c r="F124" s="32" t="n">
        <x:v>0</x:v>
      </x:c>
      <x:c r="G124" s="33" t="n">
        <x:v>42902</x:v>
      </x:c>
      <x:c r="H124" s="34" t="str">
        <x:v>No</x:v>
      </x:c>
      <x:c r="I124" s="30" t="str">
        <x:v>https://www.anglersatlas.com/place/101941/keho-lake</x:v>
      </x:c>
      <x:c r="J124" s="30" t="str">
        <x:v>Date is from a visible community confirmation post.</x:v>
      </x:c>
    </x:row>
    <x:row r="125" ht="52" customHeight="1">
      <x:c r="A125" s="30" t="str">
        <x:v>Keho Lake</x:v>
      </x:c>
      <x:c r="B125" s="30" t="str">
        <x:v>4978</x:v>
      </x:c>
      <x:c r="C125" s="30" t="str">
        <x:v>Lake Whitefish</x:v>
      </x:c>
      <x:c r="D125" s="30" t="str">
        <x:v>Community-listed</x:v>
      </x:c>
      <x:c r="E125" s="32" t="n">
        <x:v>4</x:v>
      </x:c>
      <x:c r="F125" s="32" t="n">
        <x:v>0</x:v>
      </x:c>
      <x:c r="G125" s="33" t="n">
        <x:v>42901</x:v>
      </x:c>
      <x:c r="H125" s="34" t="str">
        <x:v>Yes</x:v>
      </x:c>
      <x:c r="I125" s="30" t="str">
        <x:v>https://www.anglersatlas.com/place/101941/keho-lake</x:v>
      </x:c>
      <x:c r="J125" s="30" t="str">
        <x:v>Date is from a visible community confirmation post.</x:v>
      </x:c>
    </x:row>
    <x:row r="126" ht="52" customHeight="1">
      <x:c r="A126" s="30" t="str">
        <x:v>Keho Lake</x:v>
      </x:c>
      <x:c r="B126" s="30" t="str">
        <x:v>4978</x:v>
      </x:c>
      <x:c r="C126" s="30" t="str">
        <x:v>Burbot</x:v>
      </x:c>
      <x:c r="D126" s="30" t="str">
        <x:v>Community-listed</x:v>
      </x:c>
      <x:c r="E126" s="32" t="n">
        <x:v>2</x:v>
      </x:c>
      <x:c r="F126" s="32" t="n">
        <x:v>0</x:v>
      </x:c>
      <x:c r="G126" s="33" t="n">
        <x:v>42902</x:v>
      </x:c>
      <x:c r="H126" s="34" t="str">
        <x:v>Yes</x:v>
      </x:c>
      <x:c r="I126" s="30" t="str">
        <x:v>https://www.anglersatlas.com/place/101941/keho-lake</x:v>
      </x:c>
      <x:c r="J126" s="30" t="str">
        <x:v>Date is from a visible community confirmation post.</x:v>
      </x:c>
    </x:row>
    <x:row r="127" ht="52" customHeight="1">
      <x:c r="A127" s="30" t="str">
        <x:v>Kerbe's Pond</x:v>
      </x:c>
      <x:c r="B127" s="30" t="str">
        <x:v>6770</x:v>
      </x:c>
      <x:c r="C127" s="30" t="str">
        <x:v>Tiger Trout</x:v>
      </x:c>
      <x:c r="D127" s="30" t="str">
        <x:v>Community-listed</x:v>
      </x:c>
      <x:c r="E127" s="32" t="n">
        <x:v>2</x:v>
      </x:c>
      <x:c r="F127" s="32" t="n">
        <x:v>0</x:v>
      </x:c>
      <x:c r="G127" s="33" t="n">
        <x:v>44814</x:v>
      </x:c>
      <x:c r="H127" s="34" t="str">
        <x:v>No</x:v>
      </x:c>
      <x:c r="I127" s="30" t="str">
        <x:v>https://www.anglersatlas.com/place/102592/kerbes-pond</x:v>
      </x:c>
      <x:c r="J127" s="30" t="str">
        <x:v>Date is from a visible community confirmation post.</x:v>
      </x:c>
    </x:row>
    <x:row r="128" ht="52" customHeight="1">
      <x:c r="A128" s="30" t="str">
        <x:v>Kinky Lake</x:v>
      </x:c>
      <x:c r="B128" s="30" t="str">
        <x:v>5002</x:v>
      </x:c>
      <x:c r="C128" s="30" t="str">
        <x:v>Brook Trout</x:v>
      </x:c>
      <x:c r="D128" s="30" t="str">
        <x:v>Community-listed</x:v>
      </x:c>
      <x:c r="E128" s="32" t="n">
        <x:v>6</x:v>
      </x:c>
      <x:c r="F128" s="32" t="n">
        <x:v>0</x:v>
      </x:c>
      <x:c r="G128" s="33" t="n">
        <x:v>42572</x:v>
      </x:c>
      <x:c r="H128" s="34" t="str">
        <x:v>No</x:v>
      </x:c>
      <x:c r="I128" s="30" t="str">
        <x:v>https://www.anglersatlas.com/place/102106/kinky-lake</x:v>
      </x:c>
      <x:c r="J128" s="30" t="str">
        <x:v>Date is from a visible community confirmation post.</x:v>
      </x:c>
    </x:row>
    <x:row r="129" ht="52" customHeight="1">
      <x:c r="A129" s="30" t="str">
        <x:v>Kinky Lake</x:v>
      </x:c>
      <x:c r="B129" s="30" t="str">
        <x:v>5002</x:v>
      </x:c>
      <x:c r="C129" s="30" t="str">
        <x:v>Northern Pike</x:v>
      </x:c>
      <x:c r="D129" s="30" t="str">
        <x:v>Listed with disagreement votes</x:v>
      </x:c>
      <x:c r="E129" s="32" t="n">
        <x:v>2</x:v>
      </x:c>
      <x:c r="F129" s="32" t="n">
        <x:v>1</x:v>
      </x:c>
      <x:c r="G129" s="33" t="n">
        <x:v>44558</x:v>
      </x:c>
      <x:c r="H129" s="34" t="str">
        <x:v>Yes</x:v>
      </x:c>
      <x:c r="I129" s="30" t="str">
        <x:v>https://www.anglersatlas.com/place/102106/kinky-lake</x:v>
      </x:c>
      <x:c r="J129" s="30" t="str">
        <x:v>Date is from a visible community confirmation post.</x:v>
      </x:c>
    </x:row>
    <x:row r="130" ht="52" customHeight="1">
      <x:c r="A130" s="30" t="str">
        <x:v>Kinky Lake</x:v>
      </x:c>
      <x:c r="B130" s="30" t="str">
        <x:v>5002</x:v>
      </x:c>
      <x:c r="C130" s="30" t="str">
        <x:v>Rainbow Trout</x:v>
      </x:c>
      <x:c r="D130" s="30" t="str">
        <x:v>Community-listed</x:v>
      </x:c>
      <x:c r="E130" s="32" t="n">
        <x:v>1</x:v>
      </x:c>
      <x:c r="F130" s="32" t="n">
        <x:v>0</x:v>
      </x:c>
      <x:c r="G130" s="33" t="n">
        <x:v>42572</x:v>
      </x:c>
      <x:c r="H130" s="34" t="str">
        <x:v>Yes</x:v>
      </x:c>
      <x:c r="I130" s="30" t="str">
        <x:v>https://www.anglersatlas.com/place/102106/kinky-lake</x:v>
      </x:c>
      <x:c r="J130" s="30" t="str">
        <x:v>Date is from a visible community confirmation post.</x:v>
      </x:c>
    </x:row>
    <x:row r="131" ht="52" customHeight="1">
      <x:c r="A131" s="30" t="str">
        <x:v>Lac Bellevue</x:v>
      </x:c>
      <x:c r="B131" s="30" t="str">
        <x:v>4027</x:v>
      </x:c>
      <x:c r="C131" s="30" t="str">
        <x:v>Walleye</x:v>
      </x:c>
      <x:c r="D131" s="30" t="str">
        <x:v>Community-listed</x:v>
      </x:c>
      <x:c r="E131" s="32" t="n">
        <x:v>11</x:v>
      </x:c>
      <x:c r="F131" s="32" t="n">
        <x:v>0</x:v>
      </x:c>
      <x:c r="G131" s="33" t="n">
        <x:v>44573</x:v>
      </x:c>
      <x:c r="H131" s="34" t="str">
        <x:v>No</x:v>
      </x:c>
      <x:c r="I131" s="30" t="str">
        <x:v>https://www.anglersatlas.com/place/101943/lac-bellevue</x:v>
      </x:c>
      <x:c r="J131" s="30" t="str">
        <x:v>Date is from a visible community confirmation post.</x:v>
      </x:c>
    </x:row>
    <x:row r="132" ht="52" customHeight="1">
      <x:c r="A132" s="30" t="str">
        <x:v>Lac Bellevue</x:v>
      </x:c>
      <x:c r="B132" s="30" t="str">
        <x:v>4027</x:v>
      </x:c>
      <x:c r="C132" s="30" t="str">
        <x:v>Northern Pike</x:v>
      </x:c>
      <x:c r="D132" s="30" t="str">
        <x:v>Community-listed</x:v>
      </x:c>
      <x:c r="E132" s="32" t="n">
        <x:v>8</x:v>
      </x:c>
      <x:c r="F132" s="32" t="n">
        <x:v>0</x:v>
      </x:c>
      <x:c r="G132" s="33" t="n">
        <x:v>44573</x:v>
      </x:c>
      <x:c r="H132" s="34" t="str">
        <x:v>No</x:v>
      </x:c>
      <x:c r="I132" s="30" t="str">
        <x:v>https://www.anglersatlas.com/place/101943/lac-bellevue</x:v>
      </x:c>
      <x:c r="J132" s="30" t="str">
        <x:v>Date is from a visible community confirmation post.</x:v>
      </x:c>
    </x:row>
    <x:row r="133" ht="52" customHeight="1">
      <x:c r="A133" s="30" t="str">
        <x:v>Lac Bellevue</x:v>
      </x:c>
      <x:c r="B133" s="30" t="str">
        <x:v>4027</x:v>
      </x:c>
      <x:c r="C133" s="30" t="str">
        <x:v>Yellow Perch</x:v>
      </x:c>
      <x:c r="D133" s="30" t="str">
        <x:v>Community-listed</x:v>
      </x:c>
      <x:c r="E133" s="32" t="n">
        <x:v>7</x:v>
      </x:c>
      <x:c r="F133" s="32" t="n">
        <x:v>0</x:v>
      </x:c>
      <x:c r="G133" s="33" t="n">
        <x:v>44942</x:v>
      </x:c>
      <x:c r="H133" s="34" t="str">
        <x:v>Yes</x:v>
      </x:c>
      <x:c r="I133" s="30" t="str">
        <x:v>https://www.anglersatlas.com/place/101943/lac-bellevue</x:v>
      </x:c>
      <x:c r="J133" s="30" t="str">
        <x:v>Date is from a visible community confirmation post.</x:v>
      </x:c>
    </x:row>
    <x:row r="134" ht="40" customHeight="1">
      <x:c r="A134" s="30" t="str">
        <x:v>Lake Newell</x:v>
      </x:c>
      <x:c r="B134" s="30" t="str">
        <x:v>5434</x:v>
      </x:c>
      <x:c r="C134" s="30" t="str">
        <x:v>Northern Pike</x:v>
      </x:c>
      <x:c r="D134" s="30" t="str">
        <x:v>Community-listed</x:v>
      </x:c>
      <x:c r="E134" s="32" t="n">
        <x:v>16</x:v>
      </x:c>
      <x:c r="F134" s="32" t="n">
        <x:v>0</x:v>
      </x:c>
      <x:c r="G134" s="33"/>
      <x:c r="H134" s="34" t="str">
        <x:v>Yes</x:v>
      </x:c>
      <x:c r="I134" s="30" t="str">
        <x:v>https://www.anglersatlas.com/place/137018/lake-newell</x:v>
      </x:c>
      <x:c r="J134" s="30" t="str">
        <x:v>No dated confirmation post captured in the displayed feed.</x:v>
      </x:c>
    </x:row>
    <x:row r="135" ht="52" customHeight="1">
      <x:c r="A135" s="30" t="str">
        <x:v>Lake Newell</x:v>
      </x:c>
      <x:c r="B135" s="30" t="str">
        <x:v>5434</x:v>
      </x:c>
      <x:c r="C135" s="30" t="str">
        <x:v>Walleye</x:v>
      </x:c>
      <x:c r="D135" s="30" t="str">
        <x:v>Community-listed</x:v>
      </x:c>
      <x:c r="E135" s="32" t="n">
        <x:v>9</x:v>
      </x:c>
      <x:c r="F135" s="32" t="n">
        <x:v>0</x:v>
      </x:c>
      <x:c r="G135" s="33" t="n">
        <x:v>42741</x:v>
      </x:c>
      <x:c r="H135" s="34" t="str">
        <x:v>No</x:v>
      </x:c>
      <x:c r="I135" s="30" t="str">
        <x:v>https://www.anglersatlas.com/place/137018/lake-newell</x:v>
      </x:c>
      <x:c r="J135" s="30" t="str">
        <x:v>Date is from a visible community confirmation post.</x:v>
      </x:c>
    </x:row>
    <x:row r="136" ht="52" customHeight="1">
      <x:c r="A136" s="30" t="str">
        <x:v>Lake Newell</x:v>
      </x:c>
      <x:c r="B136" s="30" t="str">
        <x:v>5434</x:v>
      </x:c>
      <x:c r="C136" s="30" t="str">
        <x:v>Lake Whitefish</x:v>
      </x:c>
      <x:c r="D136" s="30" t="str">
        <x:v>Listed with disagreement votes</x:v>
      </x:c>
      <x:c r="E136" s="32" t="n">
        <x:v>5</x:v>
      </x:c>
      <x:c r="F136" s="32" t="n">
        <x:v>1</x:v>
      </x:c>
      <x:c r="G136" s="33" t="n">
        <x:v>42741</x:v>
      </x:c>
      <x:c r="H136" s="34" t="str">
        <x:v>Yes</x:v>
      </x:c>
      <x:c r="I136" s="30" t="str">
        <x:v>https://www.anglersatlas.com/place/137018/lake-newell</x:v>
      </x:c>
      <x:c r="J136" s="30" t="str">
        <x:v>Date is from a visible community confirmation post.</x:v>
      </x:c>
    </x:row>
    <x:row r="137" ht="52" customHeight="1">
      <x:c r="A137" s="30" t="str">
        <x:v>Lake Newell</x:v>
      </x:c>
      <x:c r="B137" s="30" t="str">
        <x:v>5434</x:v>
      </x:c>
      <x:c r="C137" s="30" t="str">
        <x:v>Burbot</x:v>
      </x:c>
      <x:c r="D137" s="30" t="str">
        <x:v>Community-listed</x:v>
      </x:c>
      <x:c r="E137" s="32" t="n">
        <x:v>4</x:v>
      </x:c>
      <x:c r="F137" s="32" t="n">
        <x:v>0</x:v>
      </x:c>
      <x:c r="G137" s="33" t="n">
        <x:v>42741</x:v>
      </x:c>
      <x:c r="H137" s="34" t="str">
        <x:v>Yes</x:v>
      </x:c>
      <x:c r="I137" s="30" t="str">
        <x:v>https://www.anglersatlas.com/place/137018/lake-newell</x:v>
      </x:c>
      <x:c r="J137" s="30" t="str">
        <x:v>Date is from a visible community confirmation post.</x:v>
      </x:c>
    </x:row>
    <x:row r="138" ht="52" customHeight="1">
      <x:c r="A138" s="30" t="str">
        <x:v>Lake Newell</x:v>
      </x:c>
      <x:c r="B138" s="30" t="str">
        <x:v>5434</x:v>
      </x:c>
      <x:c r="C138" s="30" t="str">
        <x:v>Yellow Perch</x:v>
      </x:c>
      <x:c r="D138" s="30" t="str">
        <x:v>Community-listed</x:v>
      </x:c>
      <x:c r="E138" s="32" t="n">
        <x:v>4</x:v>
      </x:c>
      <x:c r="F138" s="32" t="n">
        <x:v>0</x:v>
      </x:c>
      <x:c r="G138" s="33" t="n">
        <x:v>42741</x:v>
      </x:c>
      <x:c r="H138" s="34" t="str">
        <x:v>Yes</x:v>
      </x:c>
      <x:c r="I138" s="30" t="str">
        <x:v>https://www.anglersatlas.com/place/137018/lake-newell</x:v>
      </x:c>
      <x:c r="J138" s="30" t="str">
        <x:v>Date is from a visible community confirmation post.</x:v>
      </x:c>
    </x:row>
    <x:row r="139" ht="40" customHeight="1">
      <x:c r="A139" s="30" t="str">
        <x:v>Lake Newell</x:v>
      </x:c>
      <x:c r="B139" s="30" t="str">
        <x:v>5434</x:v>
      </x:c>
      <x:c r="C139" s="30" t="str">
        <x:v>Rainbow Trout</x:v>
      </x:c>
      <x:c r="D139" s="30" t="str">
        <x:v>Community-listed</x:v>
      </x:c>
      <x:c r="E139" s="32" t="n">
        <x:v>2</x:v>
      </x:c>
      <x:c r="F139" s="32" t="n">
        <x:v>0</x:v>
      </x:c>
      <x:c r="G139" s="33"/>
      <x:c r="H139" s="34" t="str">
        <x:v>Yes</x:v>
      </x:c>
      <x:c r="I139" s="30" t="str">
        <x:v>https://www.anglersatlas.com/place/137018/lake-newell</x:v>
      </x:c>
      <x:c r="J139" s="30" t="str">
        <x:v>No dated confirmation post captured in the displayed feed.</x:v>
      </x:c>
    </x:row>
    <x:row r="140" ht="52" customHeight="1">
      <x:c r="A140" s="30" t="str">
        <x:v>Lake Newell</x:v>
      </x:c>
      <x:c r="B140" s="30" t="str">
        <x:v>5434</x:v>
      </x:c>
      <x:c r="C140" s="30" t="str">
        <x:v>Mountain Whitefish</x:v>
      </x:c>
      <x:c r="D140" s="30" t="str">
        <x:v>Listed with disagreement votes</x:v>
      </x:c>
      <x:c r="E140" s="32" t="n">
        <x:v>2</x:v>
      </x:c>
      <x:c r="F140" s="32" t="n">
        <x:v>2</x:v>
      </x:c>
      <x:c r="G140" s="33" t="n">
        <x:v>43172</x:v>
      </x:c>
      <x:c r="H140" s="34" t="str">
        <x:v>Yes</x:v>
      </x:c>
      <x:c r="I140" s="30" t="str">
        <x:v>https://www.anglersatlas.com/place/137018/lake-newell</x:v>
      </x:c>
      <x:c r="J140" s="30" t="str">
        <x:v>Date is from a visible community confirmation post.</x:v>
      </x:c>
    </x:row>
    <x:row r="141" ht="40" customHeight="1">
      <x:c r="A141" s="30" t="str">
        <x:v>Lake Newell</x:v>
      </x:c>
      <x:c r="B141" s="30" t="str">
        <x:v>5434</x:v>
      </x:c>
      <x:c r="C141" s="30" t="str">
        <x:v>Brown Trout</x:v>
      </x:c>
      <x:c r="D141" s="30" t="str">
        <x:v>Disputed by site</x:v>
      </x:c>
      <x:c r="E141" s="32" t="n">
        <x:v>2</x:v>
      </x:c>
      <x:c r="F141" s="32" t="n">
        <x:v>4</x:v>
      </x:c>
      <x:c r="G141" s="33"/>
      <x:c r="H141" s="34" t="str">
        <x:v>No</x:v>
      </x:c>
      <x:c r="I141" s="30" t="str">
        <x:v>https://www.anglersatlas.com/place/137018/lake-newell</x:v>
      </x:c>
      <x:c r="J141" s="30" t="str">
        <x:v>Species name decoded from the linked fish-page URL. Site displays Disputed.</x:v>
      </x:c>
    </x:row>
    <x:row r="142" ht="52" customHeight="1">
      <x:c r="A142" s="30" t="str">
        <x:v>Lambert Pond</x:v>
      </x:c>
      <x:c r="B142" s="30" t="str">
        <x:v>3479</x:v>
      </x:c>
      <x:c r="C142" s="30" t="str">
        <x:v>Rainbow Trout</x:v>
      </x:c>
      <x:c r="D142" s="30" t="str">
        <x:v>Community-listed</x:v>
      </x:c>
      <x:c r="E142" s="32" t="n">
        <x:v>2</x:v>
      </x:c>
      <x:c r="F142" s="32" t="n">
        <x:v>0</x:v>
      </x:c>
      <x:c r="G142" s="33" t="n">
        <x:v>42950</x:v>
      </x:c>
      <x:c r="H142" s="34" t="str">
        <x:v>No</x:v>
      </x:c>
      <x:c r="I142" s="30" t="str">
        <x:v>https://www.anglersatlas.com/place/137029/lambert-pond</x:v>
      </x:c>
      <x:c r="J142" s="30" t="str">
        <x:v>Date is from a visible community confirmation post.</x:v>
      </x:c>
    </x:row>
    <x:row r="143" ht="52" customHeight="1">
      <x:c r="A143" s="30" t="str">
        <x:v>Landslide Lake</x:v>
      </x:c>
      <x:c r="B143" s="30" t="str">
        <x:v>5029</x:v>
      </x:c>
      <x:c r="C143" s="30" t="str">
        <x:v>Cutthroat Trout</x:v>
      </x:c>
      <x:c r="D143" s="30" t="str">
        <x:v>Community-listed</x:v>
      </x:c>
      <x:c r="E143" s="32" t="n">
        <x:v>4</x:v>
      </x:c>
      <x:c r="F143" s="32" t="n">
        <x:v>0</x:v>
      </x:c>
      <x:c r="G143" s="33" t="n">
        <x:v>42854</x:v>
      </x:c>
      <x:c r="H143" s="34" t="str">
        <x:v>No</x:v>
      </x:c>
      <x:c r="I143" s="30" t="str">
        <x:v>https://www.anglersatlas.com/place/129606/landslide-lake</x:v>
      </x:c>
      <x:c r="J143" s="30" t="str">
        <x:v>Date is from a visible community confirmation post.</x:v>
      </x:c>
    </x:row>
    <x:row r="144" ht="52" customHeight="1">
      <x:c r="A144" s="30" t="str">
        <x:v>Leduc Reservoir</x:v>
      </x:c>
      <x:c r="B144" s="30" t="str">
        <x:v>6764</x:v>
      </x:c>
      <x:c r="C144" s="30" t="str">
        <x:v>Rainbow Trout</x:v>
      </x:c>
      <x:c r="D144" s="30" t="str">
        <x:v>Community-listed</x:v>
      </x:c>
      <x:c r="E144" s="32" t="n">
        <x:v>3</x:v>
      </x:c>
      <x:c r="F144" s="32" t="n">
        <x:v>0</x:v>
      </x:c>
      <x:c r="G144" s="33" t="n">
        <x:v>45506</x:v>
      </x:c>
      <x:c r="H144" s="34" t="str">
        <x:v>No</x:v>
      </x:c>
      <x:c r="I144" s="30" t="str">
        <x:v>https://www.anglersatlas.com/place/965722/leduc-reservoir</x:v>
      </x:c>
      <x:c r="J144" s="30" t="str">
        <x:v>Date is from a visible community confirmation post.</x:v>
      </x:c>
    </x:row>
    <x:row r="145" ht="52" customHeight="1">
      <x:c r="A145" s="30" t="str">
        <x:v>Little Bear Lake</x:v>
      </x:c>
      <x:c r="B145" s="30" t="str">
        <x:v>5093</x:v>
      </x:c>
      <x:c r="C145" s="30" t="str">
        <x:v>Brook Trout</x:v>
      </x:c>
      <x:c r="D145" s="30" t="str">
        <x:v>Community-listed</x:v>
      </x:c>
      <x:c r="E145" s="32" t="n">
        <x:v>4</x:v>
      </x:c>
      <x:c r="F145" s="32" t="n">
        <x:v>0</x:v>
      </x:c>
      <x:c r="G145" s="33" t="n">
        <x:v>43451</x:v>
      </x:c>
      <x:c r="H145" s="34" t="str">
        <x:v>No</x:v>
      </x:c>
      <x:c r="I145" s="30" t="str">
        <x:v>https://www.anglersatlas.com/place/136994/little-bear-lake</x:v>
      </x:c>
      <x:c r="J145" s="30" t="str">
        <x:v>Date is from a visible community confirmation post.</x:v>
      </x:c>
    </x:row>
    <x:row r="146" ht="52" customHeight="1">
      <x:c r="A146" s="30" t="str">
        <x:v>Little Bear Lake</x:v>
      </x:c>
      <x:c r="B146" s="30" t="str">
        <x:v>5093</x:v>
      </x:c>
      <x:c r="C146" s="30" t="str">
        <x:v>Burbot</x:v>
      </x:c>
      <x:c r="D146" s="30" t="str">
        <x:v>Community-listed</x:v>
      </x:c>
      <x:c r="E146" s="32" t="n">
        <x:v>2</x:v>
      </x:c>
      <x:c r="F146" s="32" t="n">
        <x:v>0</x:v>
      </x:c>
      <x:c r="G146" s="33" t="n">
        <x:v>42953</x:v>
      </x:c>
      <x:c r="H146" s="34" t="str">
        <x:v>Yes</x:v>
      </x:c>
      <x:c r="I146" s="30" t="str">
        <x:v>https://www.anglersatlas.com/place/136994/little-bear-lake</x:v>
      </x:c>
      <x:c r="J146" s="30" t="str">
        <x:v>Date is from a visible community confirmation post.</x:v>
      </x:c>
    </x:row>
    <x:row r="147" ht="52" customHeight="1">
      <x:c r="A147" s="30" t="str">
        <x:v>Little Bear Lake</x:v>
      </x:c>
      <x:c r="B147" s="30" t="str">
        <x:v>5093</x:v>
      </x:c>
      <x:c r="C147" s="30" t="str">
        <x:v>Tiger Trout</x:v>
      </x:c>
      <x:c r="D147" s="30" t="str">
        <x:v>Community-listed</x:v>
      </x:c>
      <x:c r="E147" s="32" t="n">
        <x:v>2</x:v>
      </x:c>
      <x:c r="F147" s="32" t="n">
        <x:v>0</x:v>
      </x:c>
      <x:c r="G147" s="33" t="n">
        <x:v>43467</x:v>
      </x:c>
      <x:c r="H147" s="34" t="str">
        <x:v>No</x:v>
      </x:c>
      <x:c r="I147" s="30" t="str">
        <x:v>https://www.anglersatlas.com/place/136994/little-bear-lake</x:v>
      </x:c>
      <x:c r="J147" s="30" t="str">
        <x:v>Date is from a visible community confirmation post.</x:v>
      </x:c>
    </x:row>
    <x:row r="148" ht="52" customHeight="1">
      <x:c r="A148" s="30" t="str">
        <x:v>Little Bear Lake</x:v>
      </x:c>
      <x:c r="B148" s="30" t="str">
        <x:v>5093</x:v>
      </x:c>
      <x:c r="C148" s="30" t="str">
        <x:v>Rainbow Trout</x:v>
      </x:c>
      <x:c r="D148" s="30" t="str">
        <x:v>Community-listed</x:v>
      </x:c>
      <x:c r="E148" s="32" t="n">
        <x:v>2</x:v>
      </x:c>
      <x:c r="F148" s="32" t="n">
        <x:v>0</x:v>
      </x:c>
      <x:c r="G148" s="33" t="n">
        <x:v>45320</x:v>
      </x:c>
      <x:c r="H148" s="34" t="str">
        <x:v>No</x:v>
      </x:c>
      <x:c r="I148" s="30" t="str">
        <x:v>https://www.anglersatlas.com/place/136994/little-bear-lake</x:v>
      </x:c>
      <x:c r="J148" s="30" t="str">
        <x:v>Date is from a visible community confirmation post.</x:v>
      </x:c>
    </x:row>
    <x:row r="149" ht="52" customHeight="1">
      <x:c r="A149" s="30" t="str">
        <x:v>Little Beaverdam Lake</x:v>
      </x:c>
      <x:c r="B149" s="30" t="str">
        <x:v>6767</x:v>
      </x:c>
      <x:c r="C149" s="30" t="str">
        <x:v>Tiger Trout</x:v>
      </x:c>
      <x:c r="D149" s="30" t="str">
        <x:v>Community-listed</x:v>
      </x:c>
      <x:c r="E149" s="32" t="n">
        <x:v>1</x:v>
      </x:c>
      <x:c r="F149" s="32" t="n">
        <x:v>0</x:v>
      </x:c>
      <x:c r="G149" s="33" t="n">
        <x:v>45912</x:v>
      </x:c>
      <x:c r="H149" s="34" t="str">
        <x:v>No</x:v>
      </x:c>
      <x:c r="I149" s="30" t="str">
        <x:v>https://www.anglersatlas.com/place/102591/little-beaverdam-lake</x:v>
      </x:c>
      <x:c r="J149" s="30" t="str">
        <x:v>Date is from a visible community confirmation post.</x:v>
      </x:c>
    </x:row>
    <x:row r="150" ht="52" customHeight="1">
      <x:c r="A150" s="30" t="str">
        <x:v>Little Bow Lake Reservoir</x:v>
      </x:c>
      <x:c r="B150" s="30" t="str">
        <x:v>3515</x:v>
      </x:c>
      <x:c r="C150" s="30" t="str">
        <x:v>Northern Pike</x:v>
      </x:c>
      <x:c r="D150" s="30" t="str">
        <x:v>Community-listed</x:v>
      </x:c>
      <x:c r="E150" s="32" t="n">
        <x:v>6</x:v>
      </x:c>
      <x:c r="F150" s="32" t="n">
        <x:v>0</x:v>
      </x:c>
      <x:c r="G150" s="33" t="n">
        <x:v>42580</x:v>
      </x:c>
      <x:c r="H150" s="34" t="str">
        <x:v>Yes</x:v>
      </x:c>
      <x:c r="I150" s="30" t="str">
        <x:v>https://www.anglersatlas.com/place/101963/little-bow-reservoir</x:v>
      </x:c>
      <x:c r="J150" s="30" t="str">
        <x:v>Date is from a visible community confirmation post.</x:v>
      </x:c>
    </x:row>
    <x:row r="151" ht="52" customHeight="1">
      <x:c r="A151" s="30" t="str">
        <x:v>Little Bow Lake Reservoir</x:v>
      </x:c>
      <x:c r="B151" s="30" t="str">
        <x:v>3515</x:v>
      </x:c>
      <x:c r="C151" s="30" t="str">
        <x:v>Lake Whitefish</x:v>
      </x:c>
      <x:c r="D151" s="30" t="str">
        <x:v>Community-listed</x:v>
      </x:c>
      <x:c r="E151" s="32" t="n">
        <x:v>5</x:v>
      </x:c>
      <x:c r="F151" s="32" t="n">
        <x:v>0</x:v>
      </x:c>
      <x:c r="G151" s="33" t="n">
        <x:v>42580</x:v>
      </x:c>
      <x:c r="H151" s="34" t="str">
        <x:v>Yes</x:v>
      </x:c>
      <x:c r="I151" s="30" t="str">
        <x:v>https://www.anglersatlas.com/place/101963/little-bow-reservoir</x:v>
      </x:c>
      <x:c r="J151" s="30" t="str">
        <x:v>Date is from a visible community confirmation post.</x:v>
      </x:c>
    </x:row>
    <x:row r="152" ht="52" customHeight="1">
      <x:c r="A152" s="30" t="str">
        <x:v>Little Bow Lake Reservoir</x:v>
      </x:c>
      <x:c r="B152" s="30" t="str">
        <x:v>3515</x:v>
      </x:c>
      <x:c r="C152" s="30" t="str">
        <x:v>Walleye</x:v>
      </x:c>
      <x:c r="D152" s="30" t="str">
        <x:v>Community-listed</x:v>
      </x:c>
      <x:c r="E152" s="32" t="n">
        <x:v>5</x:v>
      </x:c>
      <x:c r="F152" s="32" t="n">
        <x:v>0</x:v>
      </x:c>
      <x:c r="G152" s="33" t="n">
        <x:v>42580</x:v>
      </x:c>
      <x:c r="H152" s="34" t="str">
        <x:v>No</x:v>
      </x:c>
      <x:c r="I152" s="30" t="str">
        <x:v>https://www.anglersatlas.com/place/101963/little-bow-reservoir</x:v>
      </x:c>
      <x:c r="J152" s="30" t="str">
        <x:v>Date is from a visible community confirmation post.</x:v>
      </x:c>
    </x:row>
    <x:row r="153" ht="52" customHeight="1">
      <x:c r="A153" s="30" t="str">
        <x:v>Little Bow Lake Reservoir</x:v>
      </x:c>
      <x:c r="B153" s="30" t="str">
        <x:v>3515</x:v>
      </x:c>
      <x:c r="C153" s="30" t="str">
        <x:v>Yellow Perch</x:v>
      </x:c>
      <x:c r="D153" s="30" t="str">
        <x:v>Community-listed</x:v>
      </x:c>
      <x:c r="E153" s="32" t="n">
        <x:v>5</x:v>
      </x:c>
      <x:c r="F153" s="32" t="n">
        <x:v>0</x:v>
      </x:c>
      <x:c r="G153" s="33" t="n">
        <x:v>42580</x:v>
      </x:c>
      <x:c r="H153" s="34" t="str">
        <x:v>Yes</x:v>
      </x:c>
      <x:c r="I153" s="30" t="str">
        <x:v>https://www.anglersatlas.com/place/101963/little-bow-reservoir</x:v>
      </x:c>
      <x:c r="J153" s="30" t="str">
        <x:v>Date is from a visible community confirmation post.</x:v>
      </x:c>
    </x:row>
    <x:row r="154" ht="52" customHeight="1">
      <x:c r="A154" s="30" t="str">
        <x:v>Little Bow Lake Reservoir</x:v>
      </x:c>
      <x:c r="B154" s="30" t="str">
        <x:v>3515</x:v>
      </x:c>
      <x:c r="C154" s="30" t="str">
        <x:v>Burbot</x:v>
      </x:c>
      <x:c r="D154" s="30" t="str">
        <x:v>Community-listed</x:v>
      </x:c>
      <x:c r="E154" s="32" t="n">
        <x:v>3</x:v>
      </x:c>
      <x:c r="F154" s="32" t="n">
        <x:v>0</x:v>
      </x:c>
      <x:c r="G154" s="33" t="n">
        <x:v>42899</x:v>
      </x:c>
      <x:c r="H154" s="34" t="str">
        <x:v>Yes</x:v>
      </x:c>
      <x:c r="I154" s="30" t="str">
        <x:v>https://www.anglersatlas.com/place/101963/little-bow-reservoir</x:v>
      </x:c>
      <x:c r="J154" s="30" t="str">
        <x:v>Date is from a visible community confirmation post.</x:v>
      </x:c>
    </x:row>
    <x:row r="155" ht="52" customHeight="1">
      <x:c r="A155" s="30" t="str">
        <x:v>Lower Chain Lake</x:v>
      </x:c>
      <x:c r="B155" s="30" t="str">
        <x:v>6528</x:v>
      </x:c>
      <x:c r="C155" s="30" t="str">
        <x:v>Tiger Trout</x:v>
      </x:c>
      <x:c r="D155" s="30" t="str">
        <x:v>Community-listed</x:v>
      </x:c>
      <x:c r="E155" s="32" t="n">
        <x:v>5</x:v>
      </x:c>
      <x:c r="F155" s="32" t="n">
        <x:v>0</x:v>
      </x:c>
      <x:c r="G155" s="33" t="n">
        <x:v>44453</x:v>
      </x:c>
      <x:c r="H155" s="34" t="str">
        <x:v>No</x:v>
      </x:c>
      <x:c r="I155" s="30" t="str">
        <x:v>https://www.anglersatlas.com/place/893399/lower-chain-lake</x:v>
      </x:c>
      <x:c r="J155" s="30" t="str">
        <x:v>Date is from a visible community confirmation post.</x:v>
      </x:c>
    </x:row>
    <x:row r="156" ht="52" customHeight="1">
      <x:c r="A156" s="30" t="str">
        <x:v>Lower Chain Lake</x:v>
      </x:c>
      <x:c r="B156" s="30" t="str">
        <x:v>6528</x:v>
      </x:c>
      <x:c r="C156" s="30" t="str">
        <x:v>Rainbow Trout</x:v>
      </x:c>
      <x:c r="D156" s="30" t="str">
        <x:v>Community-listed</x:v>
      </x:c>
      <x:c r="E156" s="32" t="n">
        <x:v>3</x:v>
      </x:c>
      <x:c r="F156" s="32" t="n">
        <x:v>0</x:v>
      </x:c>
      <x:c r="G156" s="33" t="n">
        <x:v>44847</x:v>
      </x:c>
      <x:c r="H156" s="34" t="str">
        <x:v>No</x:v>
      </x:c>
      <x:c r="I156" s="30" t="str">
        <x:v>https://www.anglersatlas.com/place/893399/lower-chain-lake</x:v>
      </x:c>
      <x:c r="J156" s="30" t="str">
        <x:v>Date is from a visible community confirmation post.</x:v>
      </x:c>
    </x:row>
    <x:row r="157" ht="52" customHeight="1">
      <x:c r="A157" s="30" t="str">
        <x:v>Lower Chain Lake</x:v>
      </x:c>
      <x:c r="B157" s="30" t="str">
        <x:v>6528</x:v>
      </x:c>
      <x:c r="C157" s="30" t="str">
        <x:v>Brown Trout</x:v>
      </x:c>
      <x:c r="D157" s="30" t="str">
        <x:v>Community-listed</x:v>
      </x:c>
      <x:c r="E157" s="32" t="n">
        <x:v>1</x:v>
      </x:c>
      <x:c r="F157" s="32" t="n">
        <x:v>0</x:v>
      </x:c>
      <x:c r="G157" s="33" t="n">
        <x:v>45664</x:v>
      </x:c>
      <x:c r="H157" s="34" t="str">
        <x:v>No</x:v>
      </x:c>
      <x:c r="I157" s="30" t="str">
        <x:v>https://www.anglersatlas.com/place/893399/lower-chain-lake</x:v>
      </x:c>
      <x:c r="J157" s="30" t="str">
        <x:v>Date is from a visible community confirmation post.</x:v>
      </x:c>
    </x:row>
    <x:row r="158" ht="52" customHeight="1">
      <x:c r="A158" s="30" t="str">
        <x:v>Lower Kananaskis Lake</x:v>
      </x:c>
      <x:c r="B158" s="30" t="str">
        <x:v>5179</x:v>
      </x:c>
      <x:c r="C158" s="30" t="str">
        <x:v>Bull Trout</x:v>
      </x:c>
      <x:c r="D158" s="30" t="str">
        <x:v>Community-listed</x:v>
      </x:c>
      <x:c r="E158" s="32" t="n">
        <x:v>11</x:v>
      </x:c>
      <x:c r="F158" s="32" t="n">
        <x:v>0</x:v>
      </x:c>
      <x:c r="G158" s="33" t="n">
        <x:v>42698</x:v>
      </x:c>
      <x:c r="H158" s="34" t="str">
        <x:v>Yes</x:v>
      </x:c>
      <x:c r="I158" s="30" t="str">
        <x:v>https://www.anglersatlas.com/place/129746/lower-kananaskis-lake</x:v>
      </x:c>
      <x:c r="J158" s="30" t="str">
        <x:v>Date is from a visible community confirmation post.</x:v>
      </x:c>
    </x:row>
    <x:row r="159" ht="52" customHeight="1">
      <x:c r="A159" s="30" t="str">
        <x:v>Lower Kananaskis Lake</x:v>
      </x:c>
      <x:c r="B159" s="30" t="str">
        <x:v>5179</x:v>
      </x:c>
      <x:c r="C159" s="30" t="str">
        <x:v>Cutthroat Trout</x:v>
      </x:c>
      <x:c r="D159" s="30" t="str">
        <x:v>Community-listed</x:v>
      </x:c>
      <x:c r="E159" s="32" t="n">
        <x:v>8</x:v>
      </x:c>
      <x:c r="F159" s="32" t="n">
        <x:v>0</x:v>
      </x:c>
      <x:c r="G159" s="33" t="n">
        <x:v>42584</x:v>
      </x:c>
      <x:c r="H159" s="34" t="str">
        <x:v>No</x:v>
      </x:c>
      <x:c r="I159" s="30" t="str">
        <x:v>https://www.anglersatlas.com/place/129746/lower-kananaskis-lake</x:v>
      </x:c>
      <x:c r="J159" s="30" t="str">
        <x:v>Date is from a visible community confirmation post.</x:v>
      </x:c>
    </x:row>
    <x:row r="160" ht="52" customHeight="1">
      <x:c r="A160" s="30" t="str">
        <x:v>Lower Kananaskis Lake</x:v>
      </x:c>
      <x:c r="B160" s="30" t="str">
        <x:v>5179</x:v>
      </x:c>
      <x:c r="C160" s="30" t="str">
        <x:v>Rainbow Trout</x:v>
      </x:c>
      <x:c r="D160" s="30" t="str">
        <x:v>Community-listed</x:v>
      </x:c>
      <x:c r="E160" s="32" t="n">
        <x:v>4</x:v>
      </x:c>
      <x:c r="F160" s="32" t="n">
        <x:v>0</x:v>
      </x:c>
      <x:c r="G160" s="33" t="n">
        <x:v>42698</x:v>
      </x:c>
      <x:c r="H160" s="34" t="str">
        <x:v>Yes</x:v>
      </x:c>
      <x:c r="I160" s="30" t="str">
        <x:v>https://www.anglersatlas.com/place/129746/lower-kananaskis-lake</x:v>
      </x:c>
      <x:c r="J160" s="30" t="str">
        <x:v>Date is from a visible community confirmation post.</x:v>
      </x:c>
    </x:row>
    <x:row r="161" ht="52" customHeight="1">
      <x:c r="A161" s="30" t="str">
        <x:v>Magrath Childrens Pond</x:v>
      </x:c>
      <x:c r="B161" s="30" t="str">
        <x:v>317719</x:v>
      </x:c>
      <x:c r="C161" s="30" t="str">
        <x:v>Rainbow Trout</x:v>
      </x:c>
      <x:c r="D161" s="30" t="str">
        <x:v>Community-listed</x:v>
      </x:c>
      <x:c r="E161" s="32" t="n">
        <x:v>1</x:v>
      </x:c>
      <x:c r="F161" s="32" t="n">
        <x:v>0</x:v>
      </x:c>
      <x:c r="G161" s="33" t="n">
        <x:v>43842</x:v>
      </x:c>
      <x:c r="H161" s="34" t="str">
        <x:v>No</x:v>
      </x:c>
      <x:c r="I161" s="30" t="str">
        <x:v>https://www.anglersatlas.com/place/102589/magrath-childrens-pond</x:v>
      </x:c>
      <x:c r="J161" s="30" t="str">
        <x:v>Date is from a visible community confirmation post.</x:v>
      </x:c>
    </x:row>
    <x:row r="162" ht="52" customHeight="1">
      <x:c r="A162" s="30" t="str">
        <x:v>Marigold Lake</x:v>
      </x:c>
      <x:c r="B162" s="30" t="str">
        <x:v>5232</x:v>
      </x:c>
      <x:c r="C162" s="30" t="str">
        <x:v>Brook Trout</x:v>
      </x:c>
      <x:c r="D162" s="30" t="str">
        <x:v>Community-listed</x:v>
      </x:c>
      <x:c r="E162" s="32" t="n">
        <x:v>2</x:v>
      </x:c>
      <x:c r="F162" s="32" t="n">
        <x:v>0</x:v>
      </x:c>
      <x:c r="G162" s="33" t="n">
        <x:v>42707</x:v>
      </x:c>
      <x:c r="H162" s="34" t="str">
        <x:v>No</x:v>
      </x:c>
      <x:c r="I162" s="30" t="str">
        <x:v>https://www.anglersatlas.com/place/129878/marigold-lake</x:v>
      </x:c>
      <x:c r="J162" s="30" t="str">
        <x:v>Date is from a visible community confirmation post.</x:v>
      </x:c>
    </x:row>
    <x:row r="163" ht="52" customHeight="1">
      <x:c r="A163" s="30" t="str">
        <x:v>Mcgregor Reservoir</x:v>
      </x:c>
      <x:c r="B163" s="30" t="str">
        <x:v>5275</x:v>
      </x:c>
      <x:c r="C163" s="30" t="str">
        <x:v>Northern Pike</x:v>
      </x:c>
      <x:c r="D163" s="30" t="str">
        <x:v>Community-listed</x:v>
      </x:c>
      <x:c r="E163" s="32" t="n">
        <x:v>5</x:v>
      </x:c>
      <x:c r="F163" s="32" t="n">
        <x:v>0</x:v>
      </x:c>
      <x:c r="G163" s="33" t="n">
        <x:v>43871</x:v>
      </x:c>
      <x:c r="H163" s="34" t="str">
        <x:v>Yes</x:v>
      </x:c>
      <x:c r="I163" s="30" t="str">
        <x:v>https://www.anglersatlas.com/place/990893/mcgregor-lake</x:v>
      </x:c>
      <x:c r="J163" s="30" t="str">
        <x:v>Date is from a visible community confirmation post.</x:v>
      </x:c>
    </x:row>
    <x:row r="164" ht="52" customHeight="1">
      <x:c r="A164" s="30" t="str">
        <x:v>Mcgregor Reservoir</x:v>
      </x:c>
      <x:c r="B164" s="30" t="str">
        <x:v>5275</x:v>
      </x:c>
      <x:c r="C164" s="30" t="str">
        <x:v>Walleye</x:v>
      </x:c>
      <x:c r="D164" s="30" t="str">
        <x:v>Community-listed</x:v>
      </x:c>
      <x:c r="E164" s="32" t="n">
        <x:v>5</x:v>
      </x:c>
      <x:c r="F164" s="32" t="n">
        <x:v>0</x:v>
      </x:c>
      <x:c r="G164" s="33" t="n">
        <x:v>43871</x:v>
      </x:c>
      <x:c r="H164" s="34" t="str">
        <x:v>No</x:v>
      </x:c>
      <x:c r="I164" s="30" t="str">
        <x:v>https://www.anglersatlas.com/place/990893/mcgregor-lake</x:v>
      </x:c>
      <x:c r="J164" s="30" t="str">
        <x:v>Date is from a visible community confirmation post.</x:v>
      </x:c>
    </x:row>
    <x:row r="165" ht="52" customHeight="1">
      <x:c r="A165" s="30" t="str">
        <x:v>Mcgregor Reservoir</x:v>
      </x:c>
      <x:c r="B165" s="30" t="str">
        <x:v>5275</x:v>
      </x:c>
      <x:c r="C165" s="30" t="str">
        <x:v>Burbot</x:v>
      </x:c>
      <x:c r="D165" s="30" t="str">
        <x:v>Community-listed</x:v>
      </x:c>
      <x:c r="E165" s="32" t="n">
        <x:v>2</x:v>
      </x:c>
      <x:c r="F165" s="32" t="n">
        <x:v>0</x:v>
      </x:c>
      <x:c r="G165" s="33" t="n">
        <x:v>44895</x:v>
      </x:c>
      <x:c r="H165" s="34" t="str">
        <x:v>Yes</x:v>
      </x:c>
      <x:c r="I165" s="30" t="str">
        <x:v>https://www.anglersatlas.com/place/990893/mcgregor-lake</x:v>
      </x:c>
      <x:c r="J165" s="30" t="str">
        <x:v>Date is from a visible community confirmation post.</x:v>
      </x:c>
    </x:row>
    <x:row r="166" ht="52" customHeight="1">
      <x:c r="A166" s="30" t="str">
        <x:v>Mcgregor Reservoir</x:v>
      </x:c>
      <x:c r="B166" s="30" t="str">
        <x:v>5275</x:v>
      </x:c>
      <x:c r="C166" s="30" t="str">
        <x:v>Lake Whitefish</x:v>
      </x:c>
      <x:c r="D166" s="30" t="str">
        <x:v>Community-listed</x:v>
      </x:c>
      <x:c r="E166" s="32" t="n">
        <x:v>2</x:v>
      </x:c>
      <x:c r="F166" s="32" t="n">
        <x:v>0</x:v>
      </x:c>
      <x:c r="G166" s="33" t="n">
        <x:v>45145</x:v>
      </x:c>
      <x:c r="H166" s="34" t="str">
        <x:v>Yes</x:v>
      </x:c>
      <x:c r="I166" s="30" t="str">
        <x:v>https://www.anglersatlas.com/place/990893/mcgregor-lake</x:v>
      </x:c>
      <x:c r="J166" s="30" t="str">
        <x:v>Date is from a visible community confirmation post.</x:v>
      </x:c>
    </x:row>
    <x:row r="167" ht="52" customHeight="1">
      <x:c r="A167" s="30" t="str">
        <x:v>McQuillan Reservoir</x:v>
      </x:c>
      <x:c r="B167" s="30" t="str">
        <x:v>6757</x:v>
      </x:c>
      <x:c r="C167" s="30" t="str">
        <x:v>Rainbow Trout</x:v>
      </x:c>
      <x:c r="D167" s="30" t="str">
        <x:v>Community-listed</x:v>
      </x:c>
      <x:c r="E167" s="32" t="n">
        <x:v>5</x:v>
      </x:c>
      <x:c r="F167" s="32" t="n">
        <x:v>0</x:v>
      </x:c>
      <x:c r="G167" s="33" t="n">
        <x:v>42735</x:v>
      </x:c>
      <x:c r="H167" s="34" t="str">
        <x:v>No</x:v>
      </x:c>
      <x:c r="I167" s="30" t="str">
        <x:v>https://www.anglersatlas.com/place/102590/mcquillan-reservoir</x:v>
      </x:c>
      <x:c r="J167" s="30" t="str">
        <x:v>Date is from a visible community confirmation post.</x:v>
      </x:c>
    </x:row>
    <x:row r="168" ht="52" customHeight="1">
      <x:c r="A168" s="30" t="str">
        <x:v>Michichi Reservoir</x:v>
      </x:c>
      <x:c r="B168" s="30" t="str">
        <x:v>3524</x:v>
      </x:c>
      <x:c r="C168" s="30" t="str">
        <x:v>Rainbow Trout</x:v>
      </x:c>
      <x:c r="D168" s="30" t="str">
        <x:v>Community-listed</x:v>
      </x:c>
      <x:c r="E168" s="32" t="n">
        <x:v>2</x:v>
      </x:c>
      <x:c r="F168" s="32" t="n">
        <x:v>0</x:v>
      </x:c>
      <x:c r="G168" s="33" t="n">
        <x:v>43229</x:v>
      </x:c>
      <x:c r="H168" s="34" t="str">
        <x:v>No</x:v>
      </x:c>
      <x:c r="I168" s="30" t="str">
        <x:v>https://www.anglersatlas.com/place/130054/michichi-reservoir</x:v>
      </x:c>
      <x:c r="J168" s="30" t="str">
        <x:v>Date is from a visible community confirmation post.</x:v>
      </x:c>
    </x:row>
    <x:row r="169" ht="52" customHeight="1">
      <x:c r="A169" s="30" t="str">
        <x:v>Millers Lake</x:v>
      </x:c>
      <x:c r="B169" s="30" t="str">
        <x:v>5324</x:v>
      </x:c>
      <x:c r="C169" s="30" t="str">
        <x:v>Rainbow Trout</x:v>
      </x:c>
      <x:c r="D169" s="30" t="str">
        <x:v>Community-listed</x:v>
      </x:c>
      <x:c r="E169" s="32" t="n">
        <x:v>10</x:v>
      </x:c>
      <x:c r="F169" s="32" t="n">
        <x:v>0</x:v>
      </x:c>
      <x:c r="G169" s="33" t="n">
        <x:v>42695</x:v>
      </x:c>
      <x:c r="H169" s="34" t="str">
        <x:v>No</x:v>
      </x:c>
      <x:c r="I169" s="30" t="str">
        <x:v>https://www.anglersatlas.com/place/101994/millers-lake</x:v>
      </x:c>
      <x:c r="J169" s="30" t="str">
        <x:v>Date is from a visible community confirmation post.</x:v>
      </x:c>
    </x:row>
    <x:row r="170" ht="52" customHeight="1">
      <x:c r="A170" s="30" t="str">
        <x:v>Millers Lake</x:v>
      </x:c>
      <x:c r="B170" s="30" t="str">
        <x:v>5324</x:v>
      </x:c>
      <x:c r="C170" s="30" t="str">
        <x:v>Brown Trout</x:v>
      </x:c>
      <x:c r="D170" s="30" t="str">
        <x:v>Community-listed</x:v>
      </x:c>
      <x:c r="E170" s="32" t="n">
        <x:v>5</x:v>
      </x:c>
      <x:c r="F170" s="32" t="n">
        <x:v>0</x:v>
      </x:c>
      <x:c r="G170" s="33" t="n">
        <x:v>42695</x:v>
      </x:c>
      <x:c r="H170" s="34" t="str">
        <x:v>No</x:v>
      </x:c>
      <x:c r="I170" s="30" t="str">
        <x:v>https://www.anglersatlas.com/place/101994/millers-lake</x:v>
      </x:c>
      <x:c r="J170" s="30" t="str">
        <x:v>Date is from a visible community confirmation post.</x:v>
      </x:c>
    </x:row>
    <x:row r="171" ht="52" customHeight="1">
      <x:c r="A171" s="30" t="str">
        <x:v>Millers Lake</x:v>
      </x:c>
      <x:c r="B171" s="30" t="str">
        <x:v>5324</x:v>
      </x:c>
      <x:c r="C171" s="30" t="str">
        <x:v>Tiger Trout</x:v>
      </x:c>
      <x:c r="D171" s="30" t="str">
        <x:v>Community-listed</x:v>
      </x:c>
      <x:c r="E171" s="32" t="n">
        <x:v>3</x:v>
      </x:c>
      <x:c r="F171" s="32" t="n">
        <x:v>0</x:v>
      </x:c>
      <x:c r="G171" s="33" t="n">
        <x:v>45214</x:v>
      </x:c>
      <x:c r="H171" s="34" t="str">
        <x:v>No</x:v>
      </x:c>
      <x:c r="I171" s="30" t="str">
        <x:v>https://www.anglersatlas.com/place/101994/millers-lake</x:v>
      </x:c>
      <x:c r="J171" s="30" t="str">
        <x:v>Date is from a visible community confirmation post.</x:v>
      </x:c>
    </x:row>
    <x:row r="172" ht="52" customHeight="1">
      <x:c r="A172" s="30" t="str">
        <x:v>Minnow Lake</x:v>
      </x:c>
      <x:c r="B172" s="30" t="str">
        <x:v>5336</x:v>
      </x:c>
      <x:c r="C172" s="30" t="str">
        <x:v>Yellow Perch</x:v>
      </x:c>
      <x:c r="D172" s="30" t="str">
        <x:v>Community-listed</x:v>
      </x:c>
      <x:c r="E172" s="32" t="n">
        <x:v>4</x:v>
      </x:c>
      <x:c r="F172" s="32" t="n">
        <x:v>0</x:v>
      </x:c>
      <x:c r="G172" s="33" t="n">
        <x:v>42568</x:v>
      </x:c>
      <x:c r="H172" s="34" t="str">
        <x:v>Yes</x:v>
      </x:c>
      <x:c r="I172" s="30" t="str">
        <x:v>https://www.anglersatlas.com/place/130141/minnow-lake</x:v>
      </x:c>
      <x:c r="J172" s="30" t="str">
        <x:v>Date is from a visible community confirmation post.</x:v>
      </x:c>
    </x:row>
    <x:row r="173" ht="52" customHeight="1">
      <x:c r="A173" s="30" t="str">
        <x:v>Minnow Lake</x:v>
      </x:c>
      <x:c r="B173" s="30" t="str">
        <x:v>5336</x:v>
      </x:c>
      <x:c r="C173" s="30" t="str">
        <x:v>Walleye</x:v>
      </x:c>
      <x:c r="D173" s="30" t="str">
        <x:v>Community-listed</x:v>
      </x:c>
      <x:c r="E173" s="32" t="n">
        <x:v>2</x:v>
      </x:c>
      <x:c r="F173" s="32" t="n">
        <x:v>0</x:v>
      </x:c>
      <x:c r="G173" s="33" t="n">
        <x:v>45292</x:v>
      </x:c>
      <x:c r="H173" s="34" t="str">
        <x:v>No</x:v>
      </x:c>
      <x:c r="I173" s="30" t="str">
        <x:v>https://www.anglersatlas.com/place/130141/minnow-lake</x:v>
      </x:c>
      <x:c r="J173" s="30" t="str">
        <x:v>Date is from a visible community confirmation post.</x:v>
      </x:c>
    </x:row>
    <x:row r="174" ht="52" customHeight="1">
      <x:c r="A174" s="30" t="str">
        <x:v>Mitchell Lake</x:v>
      </x:c>
      <x:c r="B174" s="30" t="str">
        <x:v>5348</x:v>
      </x:c>
      <x:c r="C174" s="30" t="str">
        <x:v>Tiger Trout</x:v>
      </x:c>
      <x:c r="D174" s="30" t="str">
        <x:v>Community-listed</x:v>
      </x:c>
      <x:c r="E174" s="32" t="n">
        <x:v>5</x:v>
      </x:c>
      <x:c r="F174" s="32" t="n">
        <x:v>0</x:v>
      </x:c>
      <x:c r="G174" s="33" t="n">
        <x:v>43823</x:v>
      </x:c>
      <x:c r="H174" s="34" t="str">
        <x:v>No</x:v>
      </x:c>
      <x:c r="I174" s="30" t="str">
        <x:v>https://www.anglersatlas.com/place/101997/mitchell-lake</x:v>
      </x:c>
      <x:c r="J174" s="30" t="str">
        <x:v>Date is from a visible community confirmation post.</x:v>
      </x:c>
    </x:row>
    <x:row r="175" ht="52" customHeight="1">
      <x:c r="A175" s="30" t="str">
        <x:v>Mitchell Lake</x:v>
      </x:c>
      <x:c r="B175" s="30" t="str">
        <x:v>5348</x:v>
      </x:c>
      <x:c r="C175" s="30" t="str">
        <x:v>Rainbow Trout</x:v>
      </x:c>
      <x:c r="D175" s="30" t="str">
        <x:v>Community-listed</x:v>
      </x:c>
      <x:c r="E175" s="32" t="n">
        <x:v>6</x:v>
      </x:c>
      <x:c r="F175" s="32" t="n">
        <x:v>0</x:v>
      </x:c>
      <x:c r="G175" s="33" t="n">
        <x:v>42742</x:v>
      </x:c>
      <x:c r="H175" s="34" t="str">
        <x:v>No</x:v>
      </x:c>
      <x:c r="I175" s="30" t="str">
        <x:v>https://www.anglersatlas.com/place/101997/mitchell-lake</x:v>
      </x:c>
      <x:c r="J175" s="30" t="str">
        <x:v>Date is from a visible community confirmation post.</x:v>
      </x:c>
    </x:row>
    <x:row r="176" ht="52" customHeight="1">
      <x:c r="A176" s="30" t="str">
        <x:v>Mitchell Lake</x:v>
      </x:c>
      <x:c r="B176" s="30" t="str">
        <x:v>5348</x:v>
      </x:c>
      <x:c r="C176" s="30" t="str">
        <x:v>Brown Trout</x:v>
      </x:c>
      <x:c r="D176" s="30" t="str">
        <x:v>Listed with disagreement votes</x:v>
      </x:c>
      <x:c r="E176" s="32" t="n">
        <x:v>4</x:v>
      </x:c>
      <x:c r="F176" s="32" t="n">
        <x:v>1</x:v>
      </x:c>
      <x:c r="G176" s="33" t="n">
        <x:v>42719</x:v>
      </x:c>
      <x:c r="H176" s="34" t="str">
        <x:v>No</x:v>
      </x:c>
      <x:c r="I176" s="30" t="str">
        <x:v>https://www.anglersatlas.com/place/101997/mitchell-lake</x:v>
      </x:c>
      <x:c r="J176" s="30" t="str">
        <x:v>Date is from a visible community confirmation post.</x:v>
      </x:c>
    </x:row>
    <x:row r="177" ht="52" customHeight="1">
      <x:c r="A177" s="30" t="str">
        <x:v>Mitford Ponds</x:v>
      </x:c>
      <x:c r="B177" s="30" t="str">
        <x:v>395196</x:v>
      </x:c>
      <x:c r="C177" s="30" t="str">
        <x:v>Brown Trout</x:v>
      </x:c>
      <x:c r="D177" s="30" t="str">
        <x:v>Community-listed</x:v>
      </x:c>
      <x:c r="E177" s="32" t="n">
        <x:v>2</x:v>
      </x:c>
      <x:c r="F177" s="32" t="n">
        <x:v>0</x:v>
      </x:c>
      <x:c r="G177" s="33" t="n">
        <x:v>44804</x:v>
      </x:c>
      <x:c r="H177" s="34" t="str">
        <x:v>No</x:v>
      </x:c>
      <x:c r="I177" s="30" t="str">
        <x:v>https://www.anglersatlas.com/place/990885/mitford-pond</x:v>
      </x:c>
      <x:c r="J177" s="30" t="str">
        <x:v>Date is from a visible community confirmation post.</x:v>
      </x:c>
    </x:row>
    <x:row r="178" ht="52" customHeight="1">
      <x:c r="A178" s="30" t="str">
        <x:v>Mitford Ponds</x:v>
      </x:c>
      <x:c r="B178" s="30" t="str">
        <x:v>395196</x:v>
      </x:c>
      <x:c r="C178" s="30" t="str">
        <x:v>Rainbow Trout</x:v>
      </x:c>
      <x:c r="D178" s="30" t="str">
        <x:v>Community-listed</x:v>
      </x:c>
      <x:c r="E178" s="32" t="n">
        <x:v>1</x:v>
      </x:c>
      <x:c r="F178" s="32" t="n">
        <x:v>0</x:v>
      </x:c>
      <x:c r="G178" s="33" t="n">
        <x:v>44804</x:v>
      </x:c>
      <x:c r="H178" s="34" t="str">
        <x:v>No</x:v>
      </x:c>
      <x:c r="I178" s="30" t="str">
        <x:v>https://www.anglersatlas.com/place/990885/mitford-pond</x:v>
      </x:c>
      <x:c r="J178" s="30" t="str">
        <x:v>Date is from a visible community confirmation post.</x:v>
      </x:c>
    </x:row>
    <x:row r="179" ht="52" customHeight="1">
      <x:c r="A179" s="30" t="str">
        <x:v>Morinville Fish and Game Pond</x:v>
      </x:c>
      <x:c r="B179" s="30" t="str">
        <x:v>6736</x:v>
      </x:c>
      <x:c r="C179" s="30" t="str">
        <x:v>Rainbow Trout</x:v>
      </x:c>
      <x:c r="D179" s="30" t="str">
        <x:v>Community-listed</x:v>
      </x:c>
      <x:c r="E179" s="32" t="n">
        <x:v>1</x:v>
      </x:c>
      <x:c r="F179" s="32" t="n">
        <x:v>0</x:v>
      </x:c>
      <x:c r="G179" s="33" t="n">
        <x:v>45692</x:v>
      </x:c>
      <x:c r="H179" s="34" t="str">
        <x:v>No</x:v>
      </x:c>
      <x:c r="I179" s="30" t="str">
        <x:v>https://www.anglersatlas.com/place/2049967/morinville-fish-and-game-pond</x:v>
      </x:c>
      <x:c r="J179" s="30" t="str">
        <x:v>Date is from a visible community confirmation post.</x:v>
      </x:c>
    </x:row>
    <x:row r="180" ht="52" customHeight="1">
      <x:c r="A180" s="30" t="str">
        <x:v>Mount Lorette Ponds</x:v>
      </x:c>
      <x:c r="B180" s="30" t="str">
        <x:v>3482</x:v>
      </x:c>
      <x:c r="C180" s="30" t="str">
        <x:v>Rainbow Trout</x:v>
      </x:c>
      <x:c r="D180" s="30" t="str">
        <x:v>Community-listed</x:v>
      </x:c>
      <x:c r="E180" s="32" t="n">
        <x:v>6</x:v>
      </x:c>
      <x:c r="F180" s="32" t="n">
        <x:v>0</x:v>
      </x:c>
      <x:c r="G180" s="33" t="n">
        <x:v>43340</x:v>
      </x:c>
      <x:c r="H180" s="34" t="str">
        <x:v>No</x:v>
      </x:c>
      <x:c r="I180" s="30" t="str">
        <x:v>https://www.anglersatlas.com/place/724129/mount-lorette-ponds</x:v>
      </x:c>
      <x:c r="J180" s="30" t="str">
        <x:v>Date is from a visible community confirmation post.</x:v>
      </x:c>
    </x:row>
    <x:row r="181" ht="52" customHeight="1">
      <x:c r="A181" s="30" t="str">
        <x:v>Mount Lorette Ponds</x:v>
      </x:c>
      <x:c r="B181" s="30" t="str">
        <x:v>3482</x:v>
      </x:c>
      <x:c r="C181" s="30" t="str">
        <x:v>Brook Trout</x:v>
      </x:c>
      <x:c r="D181" s="30" t="str">
        <x:v>Community-listed</x:v>
      </x:c>
      <x:c r="E181" s="32" t="n">
        <x:v>1</x:v>
      </x:c>
      <x:c r="F181" s="32" t="n">
        <x:v>0</x:v>
      </x:c>
      <x:c r="G181" s="33" t="n">
        <x:v>45829</x:v>
      </x:c>
      <x:c r="H181" s="34" t="str">
        <x:v>Yes</x:v>
      </x:c>
      <x:c r="I181" s="30" t="str">
        <x:v>https://www.anglersatlas.com/place/724129/mount-lorette-ponds</x:v>
      </x:c>
      <x:c r="J181" s="30" t="str">
        <x:v>Date is from a visible community confirmation post.</x:v>
      </x:c>
    </x:row>
    <x:row r="182" ht="52" customHeight="1">
      <x:c r="A182" s="30" t="str">
        <x:v>Muir Lake</x:v>
      </x:c>
      <x:c r="B182" s="30" t="str">
        <x:v>5387</x:v>
      </x:c>
      <x:c r="C182" s="30" t="str">
        <x:v>Brown Trout</x:v>
      </x:c>
      <x:c r="D182" s="30" t="str">
        <x:v>Community-listed</x:v>
      </x:c>
      <x:c r="E182" s="32" t="n">
        <x:v>10</x:v>
      </x:c>
      <x:c r="F182" s="32" t="n">
        <x:v>0</x:v>
      </x:c>
      <x:c r="G182" s="33" t="n">
        <x:v>42587</x:v>
      </x:c>
      <x:c r="H182" s="34" t="str">
        <x:v>No</x:v>
      </x:c>
      <x:c r="I182" s="30" t="str">
        <x:v>https://www.anglersatlas.com/place/102000/muir-lake</x:v>
      </x:c>
      <x:c r="J182" s="30" t="str">
        <x:v>Date is from a visible community confirmation post.</x:v>
      </x:c>
    </x:row>
    <x:row r="183" ht="52" customHeight="1">
      <x:c r="A183" s="30" t="str">
        <x:v>Muir Lake</x:v>
      </x:c>
      <x:c r="B183" s="30" t="str">
        <x:v>5387</x:v>
      </x:c>
      <x:c r="C183" s="30" t="str">
        <x:v>Rainbow Trout</x:v>
      </x:c>
      <x:c r="D183" s="30" t="str">
        <x:v>Community-listed</x:v>
      </x:c>
      <x:c r="E183" s="32" t="n">
        <x:v>10</x:v>
      </x:c>
      <x:c r="F183" s="32" t="n">
        <x:v>0</x:v>
      </x:c>
      <x:c r="G183" s="33" t="n">
        <x:v>42914</x:v>
      </x:c>
      <x:c r="H183" s="34" t="str">
        <x:v>No</x:v>
      </x:c>
      <x:c r="I183" s="30" t="str">
        <x:v>https://www.anglersatlas.com/place/102000/muir-lake</x:v>
      </x:c>
      <x:c r="J183" s="30" t="str">
        <x:v>Date is from a visible community confirmation post.</x:v>
      </x:c>
    </x:row>
    <x:row r="184" ht="52" customHeight="1">
      <x:c r="A184" s="30" t="str">
        <x:v>Muskiki Lake</x:v>
      </x:c>
      <x:c r="B184" s="30" t="str">
        <x:v>5407</x:v>
      </x:c>
      <x:c r="C184" s="30" t="str">
        <x:v>Cutthroat Trout</x:v>
      </x:c>
      <x:c r="D184" s="30" t="str">
        <x:v>Community-listed</x:v>
      </x:c>
      <x:c r="E184" s="32" t="n">
        <x:v>4</x:v>
      </x:c>
      <x:c r="F184" s="32" t="n">
        <x:v>0</x:v>
      </x:c>
      <x:c r="G184" s="33" t="n">
        <x:v>42559</x:v>
      </x:c>
      <x:c r="H184" s="34" t="str">
        <x:v>No</x:v>
      </x:c>
      <x:c r="I184" s="30" t="str">
        <x:v>https://www.anglersatlas.com/place/130318/muskiki-lake</x:v>
      </x:c>
      <x:c r="J184" s="30" t="str">
        <x:v>Date is from a visible community confirmation post.</x:v>
      </x:c>
    </x:row>
    <x:row r="185" ht="52" customHeight="1">
      <x:c r="A185" s="30" t="str">
        <x:v>Muskiki Lake</x:v>
      </x:c>
      <x:c r="B185" s="30" t="str">
        <x:v>5407</x:v>
      </x:c>
      <x:c r="C185" s="30" t="str">
        <x:v>Brook Trout</x:v>
      </x:c>
      <x:c r="D185" s="30" t="str">
        <x:v>Community-listed</x:v>
      </x:c>
      <x:c r="E185" s="32" t="n">
        <x:v>2</x:v>
      </x:c>
      <x:c r="F185" s="32" t="n">
        <x:v>0</x:v>
      </x:c>
      <x:c r="G185" s="33" t="n">
        <x:v>42559</x:v>
      </x:c>
      <x:c r="H185" s="34" t="str">
        <x:v>Yes</x:v>
      </x:c>
      <x:c r="I185" s="30" t="str">
        <x:v>https://www.anglersatlas.com/place/130318/muskiki-lake</x:v>
      </x:c>
      <x:c r="J185" s="30" t="str">
        <x:v>Date is from a visible community confirmation post.</x:v>
      </x:c>
    </x:row>
    <x:row r="186" ht="52" customHeight="1">
      <x:c r="A186" s="30" t="str">
        <x:v>Muskiki Lake</x:v>
      </x:c>
      <x:c r="B186" s="30" t="str">
        <x:v>5407</x:v>
      </x:c>
      <x:c r="C186" s="30" t="str">
        <x:v>Rainbow Trout</x:v>
      </x:c>
      <x:c r="D186" s="30" t="str">
        <x:v>Community-listed</x:v>
      </x:c>
      <x:c r="E186" s="32" t="n">
        <x:v>1</x:v>
      </x:c>
      <x:c r="F186" s="32" t="n">
        <x:v>0</x:v>
      </x:c>
      <x:c r="G186" s="33" t="n">
        <x:v>45655</x:v>
      </x:c>
      <x:c r="H186" s="34" t="str">
        <x:v>Yes</x:v>
      </x:c>
      <x:c r="I186" s="30" t="str">
        <x:v>https://www.anglersatlas.com/place/130318/muskiki-lake</x:v>
      </x:c>
      <x:c r="J186" s="30" t="str">
        <x:v>Date is from a visible community confirmation post.</x:v>
      </x:c>
    </x:row>
    <x:row r="187" ht="52" customHeight="1">
      <x:c r="A187" s="30" t="str">
        <x:v>Nicholas Sheran Park Pond</x:v>
      </x:c>
      <x:c r="B187" s="30" t="str">
        <x:v>6734</x:v>
      </x:c>
      <x:c r="C187" s="30" t="str">
        <x:v>Northern Pike</x:v>
      </x:c>
      <x:c r="D187" s="30" t="str">
        <x:v>Community-listed</x:v>
      </x:c>
      <x:c r="E187" s="32" t="n">
        <x:v>7</x:v>
      </x:c>
      <x:c r="F187" s="32" t="n">
        <x:v>0</x:v>
      </x:c>
      <x:c r="G187" s="33" t="n">
        <x:v>43781</x:v>
      </x:c>
      <x:c r="H187" s="34" t="str">
        <x:v>Yes</x:v>
      </x:c>
      <x:c r="I187" s="30" t="str">
        <x:v>https://www.anglersatlas.com/place/726273/nicholas-sheran-lake</x:v>
      </x:c>
      <x:c r="J187" s="30" t="str">
        <x:v>Date is from a visible community confirmation post.</x:v>
      </x:c>
    </x:row>
    <x:row r="188" ht="52" customHeight="1">
      <x:c r="A188" s="30" t="str">
        <x:v>Nicholas Sheran Park Pond</x:v>
      </x:c>
      <x:c r="B188" s="30" t="str">
        <x:v>6734</x:v>
      </x:c>
      <x:c r="C188" s="30" t="str">
        <x:v>Rainbow Trout</x:v>
      </x:c>
      <x:c r="D188" s="30" t="str">
        <x:v>Community-listed</x:v>
      </x:c>
      <x:c r="E188" s="32" t="n">
        <x:v>6</x:v>
      </x:c>
      <x:c r="F188" s="32" t="n">
        <x:v>0</x:v>
      </x:c>
      <x:c r="G188" s="33" t="n">
        <x:v>43781</x:v>
      </x:c>
      <x:c r="H188" s="34" t="str">
        <x:v>No</x:v>
      </x:c>
      <x:c r="I188" s="30" t="str">
        <x:v>https://www.anglersatlas.com/place/726273/nicholas-sheran-lake</x:v>
      </x:c>
      <x:c r="J188" s="30" t="str">
        <x:v>Date is from a visible community confirmation post.</x:v>
      </x:c>
    </x:row>
    <x:row r="189" ht="52" customHeight="1">
      <x:c r="A189" s="30" t="str">
        <x:v>Nicholas Sheran Park Pond</x:v>
      </x:c>
      <x:c r="B189" s="30" t="str">
        <x:v>6734</x:v>
      </x:c>
      <x:c r="C189" s="30" t="str">
        <x:v>Yellow Perch</x:v>
      </x:c>
      <x:c r="D189" s="30" t="str">
        <x:v>Community-listed</x:v>
      </x:c>
      <x:c r="E189" s="32" t="n">
        <x:v>4</x:v>
      </x:c>
      <x:c r="F189" s="32" t="n">
        <x:v>0</x:v>
      </x:c>
      <x:c r="G189" s="33" t="n">
        <x:v>43781</x:v>
      </x:c>
      <x:c r="H189" s="34" t="str">
        <x:v>Yes</x:v>
      </x:c>
      <x:c r="I189" s="30" t="str">
        <x:v>https://www.anglersatlas.com/place/726273/nicholas-sheran-lake</x:v>
      </x:c>
      <x:c r="J189" s="30" t="str">
        <x:v>Date is from a visible community confirmation post.</x:v>
      </x:c>
    </x:row>
    <x:row r="190" ht="52" customHeight="1">
      <x:c r="A190" s="30" t="str">
        <x:v>Nicholas Sheran Park Pond</x:v>
      </x:c>
      <x:c r="B190" s="30" t="str">
        <x:v>6734</x:v>
      </x:c>
      <x:c r="C190" s="30" t="str">
        <x:v>Brown Trout</x:v>
      </x:c>
      <x:c r="D190" s="30" t="str">
        <x:v>Community-listed</x:v>
      </x:c>
      <x:c r="E190" s="32" t="n">
        <x:v>3</x:v>
      </x:c>
      <x:c r="F190" s="32" t="n">
        <x:v>0</x:v>
      </x:c>
      <x:c r="G190" s="33" t="n">
        <x:v>43781</x:v>
      </x:c>
      <x:c r="H190" s="34" t="str">
        <x:v>No</x:v>
      </x:c>
      <x:c r="I190" s="30" t="str">
        <x:v>https://www.anglersatlas.com/place/726273/nicholas-sheran-lake</x:v>
      </x:c>
      <x:c r="J190" s="30" t="str">
        <x:v>Date is from a visible community confirmation post.</x:v>
      </x:c>
    </x:row>
    <x:row r="191" ht="52" customHeight="1">
      <x:c r="A191" s="30" t="str">
        <x:v>Nicholas Sheran Park Pond</x:v>
      </x:c>
      <x:c r="B191" s="30" t="str">
        <x:v>6734</x:v>
      </x:c>
      <x:c r="C191" s="30" t="str">
        <x:v>Brook Trout</x:v>
      </x:c>
      <x:c r="D191" s="30" t="str">
        <x:v>Listed with disagreement votes</x:v>
      </x:c>
      <x:c r="E191" s="32" t="n">
        <x:v>2</x:v>
      </x:c>
      <x:c r="F191" s="32" t="n">
        <x:v>1</x:v>
      </x:c>
      <x:c r="G191" s="33" t="n">
        <x:v>44558</x:v>
      </x:c>
      <x:c r="H191" s="34" t="str">
        <x:v>No</x:v>
      </x:c>
      <x:c r="I191" s="30" t="str">
        <x:v>https://www.anglersatlas.com/place/726273/nicholas-sheran-lake</x:v>
      </x:c>
      <x:c r="J191" s="30" t="str">
        <x:v>Date is from a visible community confirmation post.</x:v>
      </x:c>
    </x:row>
    <x:row r="192" ht="52" customHeight="1">
      <x:c r="A192" s="30" t="str">
        <x:v>Obed Lake</x:v>
      </x:c>
      <x:c r="B192" s="30" t="str">
        <x:v>5466</x:v>
      </x:c>
      <x:c r="C192" s="30" t="str">
        <x:v>Brown Trout</x:v>
      </x:c>
      <x:c r="D192" s="30" t="str">
        <x:v>Listed with disagreement votes</x:v>
      </x:c>
      <x:c r="E192" s="32" t="n">
        <x:v>19</x:v>
      </x:c>
      <x:c r="F192" s="32" t="n">
        <x:v>2</x:v>
      </x:c>
      <x:c r="G192" s="33" t="n">
        <x:v>42530</x:v>
      </x:c>
      <x:c r="H192" s="34" t="str">
        <x:v>No</x:v>
      </x:c>
      <x:c r="I192" s="30" t="str">
        <x:v>https://www.anglersatlas.com/place/102577/obed-lake</x:v>
      </x:c>
      <x:c r="J192" s="30" t="str">
        <x:v>Date is from a visible community confirmation post.</x:v>
      </x:c>
    </x:row>
    <x:row r="193" ht="52" customHeight="1">
      <x:c r="A193" s="30" t="str">
        <x:v>Obed Lake</x:v>
      </x:c>
      <x:c r="B193" s="30" t="str">
        <x:v>5466</x:v>
      </x:c>
      <x:c r="C193" s="30" t="str">
        <x:v>Yellow Perch</x:v>
      </x:c>
      <x:c r="D193" s="30" t="str">
        <x:v>Community-listed</x:v>
      </x:c>
      <x:c r="E193" s="32" t="n">
        <x:v>12</x:v>
      </x:c>
      <x:c r="F193" s="32" t="n">
        <x:v>0</x:v>
      </x:c>
      <x:c r="G193" s="33" t="n">
        <x:v>42565</x:v>
      </x:c>
      <x:c r="H193" s="34" t="str">
        <x:v>Yes</x:v>
      </x:c>
      <x:c r="I193" s="30" t="str">
        <x:v>https://www.anglersatlas.com/place/102577/obed-lake</x:v>
      </x:c>
      <x:c r="J193" s="30" t="str">
        <x:v>Date is from a visible community confirmation post.</x:v>
      </x:c>
    </x:row>
    <x:row r="194" ht="52" customHeight="1">
      <x:c r="A194" s="30" t="str">
        <x:v>Obed Lake</x:v>
      </x:c>
      <x:c r="B194" s="30" t="str">
        <x:v>5466</x:v>
      </x:c>
      <x:c r="C194" s="30" t="str">
        <x:v>White Sucker</x:v>
      </x:c>
      <x:c r="D194" s="30" t="str">
        <x:v>Listed with disagreement votes</x:v>
      </x:c>
      <x:c r="E194" s="32" t="n">
        <x:v>5</x:v>
      </x:c>
      <x:c r="F194" s="32" t="n">
        <x:v>1</x:v>
      </x:c>
      <x:c r="G194" s="33" t="n">
        <x:v>42565</x:v>
      </x:c>
      <x:c r="H194" s="34" t="str">
        <x:v>Yes</x:v>
      </x:c>
      <x:c r="I194" s="30" t="str">
        <x:v>https://www.anglersatlas.com/place/102577/obed-lake</x:v>
      </x:c>
      <x:c r="J194" s="30" t="str">
        <x:v>Date is from a visible community confirmation post.</x:v>
      </x:c>
    </x:row>
    <x:row r="195" ht="52" customHeight="1">
      <x:c r="A195" s="30" t="str">
        <x:v>Obed Lake</x:v>
      </x:c>
      <x:c r="B195" s="30" t="str">
        <x:v>5466</x:v>
      </x:c>
      <x:c r="C195" s="30" t="str">
        <x:v>Rainbow Trout</x:v>
      </x:c>
      <x:c r="D195" s="30" t="str">
        <x:v>Listed with disagreement votes</x:v>
      </x:c>
      <x:c r="E195" s="32" t="n">
        <x:v>2</x:v>
      </x:c>
      <x:c r="F195" s="32" t="n">
        <x:v>1</x:v>
      </x:c>
      <x:c r="G195" s="33" t="n">
        <x:v>45157</x:v>
      </x:c>
      <x:c r="H195" s="34" t="str">
        <x:v>Yes</x:v>
      </x:c>
      <x:c r="I195" s="30" t="str">
        <x:v>https://www.anglersatlas.com/place/102577/obed-lake</x:v>
      </x:c>
      <x:c r="J195" s="30" t="str">
        <x:v>Date is from a visible community confirmation post.</x:v>
      </x:c>
    </x:row>
    <x:row r="196" ht="52" customHeight="1">
      <x:c r="A196" s="30" t="str">
        <x:v>Obed Lake</x:v>
      </x:c>
      <x:c r="B196" s="30" t="str">
        <x:v>5466</x:v>
      </x:c>
      <x:c r="C196" s="30" t="str">
        <x:v>Lake Chub</x:v>
      </x:c>
      <x:c r="D196" s="30" t="str">
        <x:v>Community-listed</x:v>
      </x:c>
      <x:c r="E196" s="32" t="n">
        <x:v>1</x:v>
      </x:c>
      <x:c r="F196" s="32" t="n">
        <x:v>0</x:v>
      </x:c>
      <x:c r="G196" s="33" t="n">
        <x:v>45638</x:v>
      </x:c>
      <x:c r="H196" s="34" t="str">
        <x:v>Yes</x:v>
      </x:c>
      <x:c r="I196" s="30" t="str">
        <x:v>https://www.anglersatlas.com/place/102577/obed-lake</x:v>
      </x:c>
      <x:c r="J196" s="30" t="str">
        <x:v>Date is from a visible community confirmation post.</x:v>
      </x:c>
    </x:row>
    <x:row r="197" ht="52" customHeight="1">
      <x:c r="A197" s="30" t="str">
        <x:v>Obed Lake</x:v>
      </x:c>
      <x:c r="B197" s="30" t="str">
        <x:v>5466</x:v>
      </x:c>
      <x:c r="C197" s="30" t="str">
        <x:v>Emerald Shiner</x:v>
      </x:c>
      <x:c r="D197" s="30" t="str">
        <x:v>Community-listed</x:v>
      </x:c>
      <x:c r="E197" s="32" t="n">
        <x:v>1</x:v>
      </x:c>
      <x:c r="F197" s="32" t="n">
        <x:v>0</x:v>
      </x:c>
      <x:c r="G197" s="33" t="n">
        <x:v>45789</x:v>
      </x:c>
      <x:c r="H197" s="34" t="str">
        <x:v>Yes</x:v>
      </x:c>
      <x:c r="I197" s="30" t="str">
        <x:v>https://www.anglersatlas.com/place/102577/obed-lake</x:v>
      </x:c>
      <x:c r="J197" s="30" t="str">
        <x:v>Date is from a visible community confirmation post.</x:v>
      </x:c>
    </x:row>
    <x:row r="198" ht="52" customHeight="1">
      <x:c r="A198" s="30" t="str">
        <x:v>Ole Lake</x:v>
      </x:c>
      <x:c r="B198" s="30" t="str">
        <x:v>5476</x:v>
      </x:c>
      <x:c r="C198" s="30" t="str">
        <x:v>Rainbow Trout</x:v>
      </x:c>
      <x:c r="D198" s="30" t="str">
        <x:v>Community-listed</x:v>
      </x:c>
      <x:c r="E198" s="32" t="n">
        <x:v>3</x:v>
      </x:c>
      <x:c r="F198" s="32" t="n">
        <x:v>0</x:v>
      </x:c>
      <x:c r="G198" s="33" t="n">
        <x:v>42694</x:v>
      </x:c>
      <x:c r="H198" s="34" t="str">
        <x:v>No</x:v>
      </x:c>
      <x:c r="I198" s="30" t="str">
        <x:v>https://www.anglersatlas.com/place/102008/ole-lake</x:v>
      </x:c>
      <x:c r="J198" s="30" t="str">
        <x:v>Date is from a visible community confirmation post.</x:v>
      </x:c>
    </x:row>
    <x:row r="199" ht="52" customHeight="1">
      <x:c r="A199" s="30" t="str">
        <x:v>Peanut Lake</x:v>
      </x:c>
      <x:c r="B199" s="30" t="str">
        <x:v>5538</x:v>
      </x:c>
      <x:c r="C199" s="30" t="str">
        <x:v>Rainbow Trout</x:v>
      </x:c>
      <x:c r="D199" s="30" t="str">
        <x:v>Community-listed</x:v>
      </x:c>
      <x:c r="E199" s="32" t="n">
        <x:v>8</x:v>
      </x:c>
      <x:c r="F199" s="32" t="n">
        <x:v>0</x:v>
      </x:c>
      <x:c r="G199" s="33" t="n">
        <x:v>42730</x:v>
      </x:c>
      <x:c r="H199" s="34" t="str">
        <x:v>No</x:v>
      </x:c>
      <x:c r="I199" s="30" t="str">
        <x:v>https://www.anglersatlas.com/place/102015/peanut-lake</x:v>
      </x:c>
      <x:c r="J199" s="30" t="str">
        <x:v>Date is from a visible community confirmation post.</x:v>
      </x:c>
    </x:row>
    <x:row r="200" ht="52" customHeight="1">
      <x:c r="A200" s="30" t="str">
        <x:v>Peppers Lake</x:v>
      </x:c>
      <x:c r="B200" s="30" t="str">
        <x:v>5555</x:v>
      </x:c>
      <x:c r="C200" s="30" t="str">
        <x:v>Brook Trout</x:v>
      </x:c>
      <x:c r="D200" s="30" t="str">
        <x:v>Community-listed</x:v>
      </x:c>
      <x:c r="E200" s="32" t="n">
        <x:v>10</x:v>
      </x:c>
      <x:c r="F200" s="32" t="n">
        <x:v>0</x:v>
      </x:c>
      <x:c r="G200" s="33" t="n">
        <x:v>42695</x:v>
      </x:c>
      <x:c r="H200" s="34" t="str">
        <x:v>No</x:v>
      </x:c>
      <x:c r="I200" s="30" t="str">
        <x:v>https://www.anglersatlas.com/place/130659/peppers-lake</x:v>
      </x:c>
      <x:c r="J200" s="30" t="str">
        <x:v>Date is from a visible community confirmation post.</x:v>
      </x:c>
    </x:row>
    <x:row r="201" ht="52" customHeight="1">
      <x:c r="A201" s="30" t="str">
        <x:v>Peppers Lake</x:v>
      </x:c>
      <x:c r="B201" s="30" t="str">
        <x:v>5555</x:v>
      </x:c>
      <x:c r="C201" s="30" t="str">
        <x:v>Rainbow Trout</x:v>
      </x:c>
      <x:c r="D201" s="30" t="str">
        <x:v>Community-listed</x:v>
      </x:c>
      <x:c r="E201" s="32" t="n">
        <x:v>4</x:v>
      </x:c>
      <x:c r="F201" s="32" t="n">
        <x:v>0</x:v>
      </x:c>
      <x:c r="G201" s="33" t="n">
        <x:v>44034</x:v>
      </x:c>
      <x:c r="H201" s="34" t="str">
        <x:v>No</x:v>
      </x:c>
      <x:c r="I201" s="30" t="str">
        <x:v>https://www.anglersatlas.com/place/130659/peppers-lake</x:v>
      </x:c>
      <x:c r="J201" s="30" t="str">
        <x:v>Date is from a visible community confirmation post.</x:v>
      </x:c>
    </x:row>
    <x:row r="202" ht="52" customHeight="1">
      <x:c r="A202" s="30" t="str">
        <x:v>Petite Lake</x:v>
      </x:c>
      <x:c r="B202" s="30" t="str">
        <x:v>5565</x:v>
      </x:c>
      <x:c r="C202" s="30" t="str">
        <x:v>Rainbow Trout</x:v>
      </x:c>
      <x:c r="D202" s="30" t="str">
        <x:v>Community-listed</x:v>
      </x:c>
      <x:c r="E202" s="32" t="n">
        <x:v>5</x:v>
      </x:c>
      <x:c r="F202" s="32" t="n">
        <x:v>0</x:v>
      </x:c>
      <x:c r="G202" s="33" t="n">
        <x:v>42558</x:v>
      </x:c>
      <x:c r="H202" s="34" t="str">
        <x:v>No</x:v>
      </x:c>
      <x:c r="I202" s="30" t="str">
        <x:v>https://www.anglersatlas.com/place/102016/petite-lake</x:v>
      </x:c>
      <x:c r="J202" s="30" t="str">
        <x:v>Date is from a visible community confirmation post.</x:v>
      </x:c>
    </x:row>
    <x:row r="203" ht="52" customHeight="1">
      <x:c r="A203" s="30" t="str">
        <x:v>Phyllis Lake</x:v>
      </x:c>
      <x:c r="B203" s="30" t="str">
        <x:v>5569</x:v>
      </x:c>
      <x:c r="C203" s="30" t="str">
        <x:v>Rainbow Trout</x:v>
      </x:c>
      <x:c r="D203" s="30" t="str">
        <x:v>Community-listed</x:v>
      </x:c>
      <x:c r="E203" s="32" t="n">
        <x:v>7</x:v>
      </x:c>
      <x:c r="F203" s="32" t="n">
        <x:v>0</x:v>
      </x:c>
      <x:c r="G203" s="33" t="n">
        <x:v>42703</x:v>
      </x:c>
      <x:c r="H203" s="34" t="str">
        <x:v>No</x:v>
      </x:c>
      <x:c r="I203" s="30" t="str">
        <x:v>https://www.anglersatlas.com/place/136982/phyllis-lake</x:v>
      </x:c>
      <x:c r="J203" s="30" t="str">
        <x:v>Date is from a visible community confirmation post.</x:v>
      </x:c>
    </x:row>
    <x:row r="204" ht="52" customHeight="1">
      <x:c r="A204" s="30" t="str">
        <x:v>Phyllis Lake</x:v>
      </x:c>
      <x:c r="B204" s="30" t="str">
        <x:v>5569</x:v>
      </x:c>
      <x:c r="C204" s="30" t="str">
        <x:v>Yellow Perch</x:v>
      </x:c>
      <x:c r="D204" s="30" t="str">
        <x:v>Listed with disagreement votes</x:v>
      </x:c>
      <x:c r="E204" s="32" t="n">
        <x:v>5</x:v>
      </x:c>
      <x:c r="F204" s="32" t="n">
        <x:v>1</x:v>
      </x:c>
      <x:c r="G204" s="33" t="n">
        <x:v>42703</x:v>
      </x:c>
      <x:c r="H204" s="34" t="str">
        <x:v>Yes</x:v>
      </x:c>
      <x:c r="I204" s="30" t="str">
        <x:v>https://www.anglersatlas.com/place/136982/phyllis-lake</x:v>
      </x:c>
      <x:c r="J204" s="30" t="str">
        <x:v>Date is from a visible community confirmation post.</x:v>
      </x:c>
    </x:row>
    <x:row r="205" ht="52" customHeight="1">
      <x:c r="A205" s="30" t="str">
        <x:v>Phyllis Lake</x:v>
      </x:c>
      <x:c r="B205" s="30" t="str">
        <x:v>5569</x:v>
      </x:c>
      <x:c r="C205" s="30" t="str">
        <x:v>White Sucker</x:v>
      </x:c>
      <x:c r="D205" s="30" t="str">
        <x:v>Community-listed</x:v>
      </x:c>
      <x:c r="E205" s="32" t="n">
        <x:v>2</x:v>
      </x:c>
      <x:c r="F205" s="32" t="n">
        <x:v>0</x:v>
      </x:c>
      <x:c r="G205" s="33" t="n">
        <x:v>44774</x:v>
      </x:c>
      <x:c r="H205" s="34" t="str">
        <x:v>Yes</x:v>
      </x:c>
      <x:c r="I205" s="30" t="str">
        <x:v>https://www.anglersatlas.com/place/136982/phyllis-lake</x:v>
      </x:c>
      <x:c r="J205" s="30" t="str">
        <x:v>Date is from a visible community confirmation post.</x:v>
      </x:c>
    </x:row>
    <x:row r="206" ht="52" customHeight="1">
      <x:c r="A206" s="30" t="str">
        <x:v>Pine Coulee Reservoir</x:v>
      </x:c>
      <x:c r="B206" s="30" t="str">
        <x:v>18007</x:v>
      </x:c>
      <x:c r="C206" s="30" t="str">
        <x:v>Walleye</x:v>
      </x:c>
      <x:c r="D206" s="30" t="str">
        <x:v>Listed with disagreement votes</x:v>
      </x:c>
      <x:c r="E206" s="32" t="n">
        <x:v>9</x:v>
      </x:c>
      <x:c r="F206" s="32" t="n">
        <x:v>1</x:v>
      </x:c>
      <x:c r="G206" s="33" t="n">
        <x:v>43588</x:v>
      </x:c>
      <x:c r="H206" s="34" t="str">
        <x:v>Yes</x:v>
      </x:c>
      <x:c r="I206" s="30" t="str">
        <x:v>https://www.anglersatlas.com/place/873848/pine-coulee-reservoir</x:v>
      </x:c>
      <x:c r="J206" s="30" t="str">
        <x:v>Date is from a visible community confirmation post.</x:v>
      </x:c>
    </x:row>
    <x:row r="207" ht="52" customHeight="1">
      <x:c r="A207" s="30" t="str">
        <x:v>Pine Coulee Reservoir</x:v>
      </x:c>
      <x:c r="B207" s="30" t="str">
        <x:v>18007</x:v>
      </x:c>
      <x:c r="C207" s="30" t="str">
        <x:v>Northern Pike</x:v>
      </x:c>
      <x:c r="D207" s="30" t="str">
        <x:v>Community-listed</x:v>
      </x:c>
      <x:c r="E207" s="32" t="n">
        <x:v>8</x:v>
      </x:c>
      <x:c r="F207" s="32" t="n">
        <x:v>0</x:v>
      </x:c>
      <x:c r="G207" s="33" t="n">
        <x:v>43588</x:v>
      </x:c>
      <x:c r="H207" s="34" t="str">
        <x:v>Yes</x:v>
      </x:c>
      <x:c r="I207" s="30" t="str">
        <x:v>https://www.anglersatlas.com/place/873848/pine-coulee-reservoir</x:v>
      </x:c>
      <x:c r="J207" s="30" t="str">
        <x:v>Date is from a visible community confirmation post.</x:v>
      </x:c>
    </x:row>
    <x:row r="208" ht="52" customHeight="1">
      <x:c r="A208" s="30" t="str">
        <x:v>Pine Coulee Reservoir</x:v>
      </x:c>
      <x:c r="B208" s="30" t="str">
        <x:v>18007</x:v>
      </x:c>
      <x:c r="C208" s="30" t="str">
        <x:v>Rainbow Trout</x:v>
      </x:c>
      <x:c r="D208" s="30" t="str">
        <x:v>Community-listed</x:v>
      </x:c>
      <x:c r="E208" s="32" t="n">
        <x:v>6</x:v>
      </x:c>
      <x:c r="F208" s="32" t="n">
        <x:v>0</x:v>
      </x:c>
      <x:c r="G208" s="33" t="n">
        <x:v>43588</x:v>
      </x:c>
      <x:c r="H208" s="34" t="str">
        <x:v>No</x:v>
      </x:c>
      <x:c r="I208" s="30" t="str">
        <x:v>https://www.anglersatlas.com/place/873848/pine-coulee-reservoir</x:v>
      </x:c>
      <x:c r="J208" s="30" t="str">
        <x:v>Date is from a visible community confirmation post.</x:v>
      </x:c>
    </x:row>
    <x:row r="209" ht="52" customHeight="1">
      <x:c r="A209" s="30" t="str">
        <x:v>Pinehurst Lake</x:v>
      </x:c>
      <x:c r="B209" s="30" t="str">
        <x:v>5581</x:v>
      </x:c>
      <x:c r="C209" s="30" t="str">
        <x:v>Northern Pike</x:v>
      </x:c>
      <x:c r="D209" s="30" t="str">
        <x:v>Community-listed</x:v>
      </x:c>
      <x:c r="E209" s="32" t="n">
        <x:v>11</x:v>
      </x:c>
      <x:c r="F209" s="32" t="n">
        <x:v>0</x:v>
      </x:c>
      <x:c r="G209" s="33" t="n">
        <x:v>42614</x:v>
      </x:c>
      <x:c r="H209" s="34" t="str">
        <x:v>Yes</x:v>
      </x:c>
      <x:c r="I209" s="30" t="str">
        <x:v>https://www.anglersatlas.com/place/102022/pinehurst-lake</x:v>
      </x:c>
      <x:c r="J209" s="30" t="str">
        <x:v>Date is from a visible community confirmation post.</x:v>
      </x:c>
    </x:row>
    <x:row r="210" ht="52" customHeight="1">
      <x:c r="A210" s="30" t="str">
        <x:v>Pinehurst Lake</x:v>
      </x:c>
      <x:c r="B210" s="30" t="str">
        <x:v>5581</x:v>
      </x:c>
      <x:c r="C210" s="30" t="str">
        <x:v>Walleye</x:v>
      </x:c>
      <x:c r="D210" s="30" t="str">
        <x:v>Community-listed</x:v>
      </x:c>
      <x:c r="E210" s="32" t="n">
        <x:v>9</x:v>
      </x:c>
      <x:c r="F210" s="32" t="n">
        <x:v>0</x:v>
      </x:c>
      <x:c r="G210" s="33" t="n">
        <x:v>42774</x:v>
      </x:c>
      <x:c r="H210" s="34" t="str">
        <x:v>No</x:v>
      </x:c>
      <x:c r="I210" s="30" t="str">
        <x:v>https://www.anglersatlas.com/place/102022/pinehurst-lake</x:v>
      </x:c>
      <x:c r="J210" s="30" t="str">
        <x:v>Date is from a visible community confirmation post.</x:v>
      </x:c>
    </x:row>
    <x:row r="211" ht="52" customHeight="1">
      <x:c r="A211" s="30" t="str">
        <x:v>Pinehurst Lake</x:v>
      </x:c>
      <x:c r="B211" s="30" t="str">
        <x:v>5581</x:v>
      </x:c>
      <x:c r="C211" s="30" t="str">
        <x:v>Burbot</x:v>
      </x:c>
      <x:c r="D211" s="30" t="str">
        <x:v>Community-listed</x:v>
      </x:c>
      <x:c r="E211" s="32" t="n">
        <x:v>4</x:v>
      </x:c>
      <x:c r="F211" s="32" t="n">
        <x:v>0</x:v>
      </x:c>
      <x:c r="G211" s="33" t="n">
        <x:v>42788</x:v>
      </x:c>
      <x:c r="H211" s="34" t="str">
        <x:v>Yes</x:v>
      </x:c>
      <x:c r="I211" s="30" t="str">
        <x:v>https://www.anglersatlas.com/place/102022/pinehurst-lake</x:v>
      </x:c>
      <x:c r="J211" s="30" t="str">
        <x:v>Date is from a visible community confirmation post.</x:v>
      </x:c>
    </x:row>
    <x:row r="212" ht="52" customHeight="1">
      <x:c r="A212" s="30" t="str">
        <x:v>Pinehurst Lake</x:v>
      </x:c>
      <x:c r="B212" s="30" t="str">
        <x:v>5581</x:v>
      </x:c>
      <x:c r="C212" s="30" t="str">
        <x:v>Lake Whitefish</x:v>
      </x:c>
      <x:c r="D212" s="30" t="str">
        <x:v>Community-listed</x:v>
      </x:c>
      <x:c r="E212" s="32" t="n">
        <x:v>4</x:v>
      </x:c>
      <x:c r="F212" s="32" t="n">
        <x:v>0</x:v>
      </x:c>
      <x:c r="G212" s="33" t="n">
        <x:v>42788</x:v>
      </x:c>
      <x:c r="H212" s="34" t="str">
        <x:v>Yes</x:v>
      </x:c>
      <x:c r="I212" s="30" t="str">
        <x:v>https://www.anglersatlas.com/place/102022/pinehurst-lake</x:v>
      </x:c>
      <x:c r="J212" s="30" t="str">
        <x:v>Date is from a visible community confirmation post.</x:v>
      </x:c>
    </x:row>
    <x:row r="213" ht="52" customHeight="1">
      <x:c r="A213" s="30" t="str">
        <x:v>Pinehurst Lake</x:v>
      </x:c>
      <x:c r="B213" s="30" t="str">
        <x:v>5581</x:v>
      </x:c>
      <x:c r="C213" s="30" t="str">
        <x:v>Yellow Perch</x:v>
      </x:c>
      <x:c r="D213" s="30" t="str">
        <x:v>Community-listed</x:v>
      </x:c>
      <x:c r="E213" s="32" t="n">
        <x:v>4</x:v>
      </x:c>
      <x:c r="F213" s="32" t="n">
        <x:v>0</x:v>
      </x:c>
      <x:c r="G213" s="33" t="n">
        <x:v>42788</x:v>
      </x:c>
      <x:c r="H213" s="34" t="str">
        <x:v>Yes</x:v>
      </x:c>
      <x:c r="I213" s="30" t="str">
        <x:v>https://www.anglersatlas.com/place/102022/pinehurst-lake</x:v>
      </x:c>
      <x:c r="J213" s="30" t="str">
        <x:v>Date is from a visible community confirmation post.</x:v>
      </x:c>
    </x:row>
    <x:row r="214" ht="52" customHeight="1">
      <x:c r="A214" s="30" t="str">
        <x:v>Rawson Lake</x:v>
      </x:c>
      <x:c r="B214" s="30" t="str">
        <x:v>5649</x:v>
      </x:c>
      <x:c r="C214" s="30" t="str">
        <x:v>Cutthroat Trout</x:v>
      </x:c>
      <x:c r="D214" s="30" t="str">
        <x:v>Community-listed</x:v>
      </x:c>
      <x:c r="E214" s="32" t="n">
        <x:v>2</x:v>
      </x:c>
      <x:c r="F214" s="32" t="n">
        <x:v>0</x:v>
      </x:c>
      <x:c r="G214" s="33" t="n">
        <x:v>42937</x:v>
      </x:c>
      <x:c r="H214" s="34" t="str">
        <x:v>No</x:v>
      </x:c>
      <x:c r="I214" s="30" t="str">
        <x:v>https://www.anglersatlas.com/place/129665/rawson-lake</x:v>
      </x:c>
      <x:c r="J214" s="30" t="str">
        <x:v>Date is from a visible community confirmation post.</x:v>
      </x:c>
    </x:row>
    <x:row r="215" ht="52" customHeight="1">
      <x:c r="A215" s="30" t="str">
        <x:v>Reesor Lake</x:v>
      </x:c>
      <x:c r="B215" s="30" t="str">
        <x:v>5661</x:v>
      </x:c>
      <x:c r="C215" s="30" t="str">
        <x:v>Rainbow Trout</x:v>
      </x:c>
      <x:c r="D215" s="30" t="str">
        <x:v>Listed with disagreement votes</x:v>
      </x:c>
      <x:c r="E215" s="32" t="n">
        <x:v>7</x:v>
      </x:c>
      <x:c r="F215" s="32" t="n">
        <x:v>1</x:v>
      </x:c>
      <x:c r="G215" s="33" t="n">
        <x:v>42753</x:v>
      </x:c>
      <x:c r="H215" s="34" t="str">
        <x:v>No</x:v>
      </x:c>
      <x:c r="I215" s="30" t="str">
        <x:v>https://www.anglersatlas.com/place/102026/reesor-lake</x:v>
      </x:c>
      <x:c r="J215" s="30" t="str">
        <x:v>Date is from a visible community confirmation post.</x:v>
      </x:c>
    </x:row>
    <x:row r="216" ht="52" customHeight="1">
      <x:c r="A216" s="30" t="str">
        <x:v>Reesor Lake</x:v>
      </x:c>
      <x:c r="B216" s="30" t="str">
        <x:v>5661</x:v>
      </x:c>
      <x:c r="C216" s="30" t="str">
        <x:v>Tiger Trout</x:v>
      </x:c>
      <x:c r="D216" s="30" t="str">
        <x:v>Community-listed</x:v>
      </x:c>
      <x:c r="E216" s="32" t="n">
        <x:v>5</x:v>
      </x:c>
      <x:c r="F216" s="32" t="n">
        <x:v>0</x:v>
      </x:c>
      <x:c r="G216" s="33" t="n">
        <x:v>44600</x:v>
      </x:c>
      <x:c r="H216" s="34" t="str">
        <x:v>No</x:v>
      </x:c>
      <x:c r="I216" s="30" t="str">
        <x:v>https://www.anglersatlas.com/place/102026/reesor-lake</x:v>
      </x:c>
      <x:c r="J216" s="30" t="str">
        <x:v>Date is from a visible community confirmation post.</x:v>
      </x:c>
    </x:row>
    <x:row r="217" ht="52" customHeight="1">
      <x:c r="A217" s="30" t="str">
        <x:v>Reesor Lake</x:v>
      </x:c>
      <x:c r="B217" s="30" t="str">
        <x:v>5661</x:v>
      </x:c>
      <x:c r="C217" s="30" t="str">
        <x:v>White Sucker</x:v>
      </x:c>
      <x:c r="D217" s="30" t="str">
        <x:v>Community-listed</x:v>
      </x:c>
      <x:c r="E217" s="32" t="n">
        <x:v>4</x:v>
      </x:c>
      <x:c r="F217" s="32" t="n">
        <x:v>0</x:v>
      </x:c>
      <x:c r="G217" s="33" t="n">
        <x:v>42947</x:v>
      </x:c>
      <x:c r="H217" s="34" t="str">
        <x:v>Yes</x:v>
      </x:c>
      <x:c r="I217" s="30" t="str">
        <x:v>https://www.anglersatlas.com/place/102026/reesor-lake</x:v>
      </x:c>
      <x:c r="J217" s="30" t="str">
        <x:v>Date is from a visible community confirmation post.</x:v>
      </x:c>
    </x:row>
    <x:row r="218" ht="40" customHeight="1">
      <x:c r="A218" s="30" t="str">
        <x:v>Riverstone Pond</x:v>
      </x:c>
      <x:c r="B218" s="30" t="str">
        <x:v>22504</x:v>
      </x:c>
      <x:c r="C218" s="30" t="str">
        <x:v>Northern Pike</x:v>
      </x:c>
      <x:c r="D218" s="30" t="str">
        <x:v>Community-listed</x:v>
      </x:c>
      <x:c r="E218" s="32" t="n">
        <x:v>1</x:v>
      </x:c>
      <x:c r="F218" s="32" t="n">
        <x:v>0</x:v>
      </x:c>
      <x:c r="G218" s="33"/>
      <x:c r="H218" s="34" t="str">
        <x:v>Yes</x:v>
      </x:c>
      <x:c r="I218" s="30" t="str">
        <x:v>https://www.anglersatlas.com/place/2574272/riverstone-pond</x:v>
      </x:c>
      <x:c r="J218" s="30" t="str">
        <x:v>No dated confirmation post captured in the displayed feed.</x:v>
      </x:c>
    </x:row>
    <x:row r="219" ht="40" customHeight="1">
      <x:c r="A219" s="30" t="str">
        <x:v>Riverstone Pond</x:v>
      </x:c>
      <x:c r="B219" s="30" t="str">
        <x:v>22504</x:v>
      </x:c>
      <x:c r="C219" s="30" t="str">
        <x:v>Rainbow Trout</x:v>
      </x:c>
      <x:c r="D219" s="30" t="str">
        <x:v>Community-listed</x:v>
      </x:c>
      <x:c r="E219" s="32" t="n">
        <x:v>1</x:v>
      </x:c>
      <x:c r="F219" s="32" t="n">
        <x:v>0</x:v>
      </x:c>
      <x:c r="G219" s="33"/>
      <x:c r="H219" s="34" t="str">
        <x:v>No</x:v>
      </x:c>
      <x:c r="I219" s="30" t="str">
        <x:v>https://www.anglersatlas.com/place/2574272/riverstone-pond</x:v>
      </x:c>
      <x:c r="J219" s="30" t="str">
        <x:v>No dated confirmation post captured in the displayed feed.</x:v>
      </x:c>
    </x:row>
    <x:row r="220" ht="52" customHeight="1">
      <x:c r="A220" s="30" t="str">
        <x:v>Running Lake</x:v>
      </x:c>
      <x:c r="B220" s="30" t="str">
        <x:v>5714</x:v>
      </x:c>
      <x:c r="C220" s="30" t="str">
        <x:v>Rainbow Trout</x:v>
      </x:c>
      <x:c r="D220" s="30" t="str">
        <x:v>Community-listed</x:v>
      </x:c>
      <x:c r="E220" s="32" t="n">
        <x:v>4</x:v>
      </x:c>
      <x:c r="F220" s="32" t="n">
        <x:v>0</x:v>
      </x:c>
      <x:c r="G220" s="33" t="n">
        <x:v>42567</x:v>
      </x:c>
      <x:c r="H220" s="34" t="str">
        <x:v>No</x:v>
      </x:c>
      <x:c r="I220" s="30" t="str">
        <x:v>https://www.anglersatlas.com/place/154073/running-lake</x:v>
      </x:c>
      <x:c r="J220" s="30" t="str">
        <x:v>Date is from a visible community confirmation post.</x:v>
      </x:c>
    </x:row>
    <x:row r="221" ht="52" customHeight="1">
      <x:c r="A221" s="30" t="str">
        <x:v>Running Lake</x:v>
      </x:c>
      <x:c r="B221" s="30" t="str">
        <x:v>5714</x:v>
      </x:c>
      <x:c r="C221" s="30" t="str">
        <x:v>Brook Trout</x:v>
      </x:c>
      <x:c r="D221" s="30" t="str">
        <x:v>Community-listed</x:v>
      </x:c>
      <x:c r="E221" s="32" t="n">
        <x:v>2</x:v>
      </x:c>
      <x:c r="F221" s="32" t="n">
        <x:v>0</x:v>
      </x:c>
      <x:c r="G221" s="33" t="n">
        <x:v>42567</x:v>
      </x:c>
      <x:c r="H221" s="34" t="str">
        <x:v>No</x:v>
      </x:c>
      <x:c r="I221" s="30" t="str">
        <x:v>https://www.anglersatlas.com/place/154073/running-lake</x:v>
      </x:c>
      <x:c r="J221" s="30" t="str">
        <x:v>Date is from a visible community confirmation post.</x:v>
      </x:c>
    </x:row>
    <x:row r="222" ht="52" customHeight="1">
      <x:c r="A222" s="30" t="str">
        <x:v>Salter's Lake</x:v>
      </x:c>
      <x:c r="B222" s="30" t="str">
        <x:v>5729</x:v>
      </x:c>
      <x:c r="C222" s="30" t="str">
        <x:v>Rainbow Trout</x:v>
      </x:c>
      <x:c r="D222" s="30" t="str">
        <x:v>Community-listed</x:v>
      </x:c>
      <x:c r="E222" s="32" t="n">
        <x:v>10</x:v>
      </x:c>
      <x:c r="F222" s="32" t="n">
        <x:v>0</x:v>
      </x:c>
      <x:c r="G222" s="33" t="n">
        <x:v>42909</x:v>
      </x:c>
      <x:c r="H222" s="34" t="str">
        <x:v>No</x:v>
      </x:c>
      <x:c r="I222" s="30" t="str">
        <x:v>https://www.anglersatlas.com/place/137030/salters-lake</x:v>
      </x:c>
      <x:c r="J222" s="30" t="str">
        <x:v>Date is from a visible community confirmation post.</x:v>
      </x:c>
    </x:row>
    <x:row r="223" ht="52" customHeight="1">
      <x:c r="A223" s="30" t="str">
        <x:v>Salter's Lake</x:v>
      </x:c>
      <x:c r="B223" s="30" t="str">
        <x:v>5729</x:v>
      </x:c>
      <x:c r="C223" s="30" t="str">
        <x:v>Tiger Trout</x:v>
      </x:c>
      <x:c r="D223" s="30" t="str">
        <x:v>Community-listed</x:v>
      </x:c>
      <x:c r="E223" s="32" t="n">
        <x:v>2</x:v>
      </x:c>
      <x:c r="F223" s="32" t="n">
        <x:v>0</x:v>
      </x:c>
      <x:c r="G223" s="33" t="n">
        <x:v>44691</x:v>
      </x:c>
      <x:c r="H223" s="34" t="str">
        <x:v>No</x:v>
      </x:c>
      <x:c r="I223" s="30" t="str">
        <x:v>https://www.anglersatlas.com/place/137030/salters-lake</x:v>
      </x:c>
      <x:c r="J223" s="30" t="str">
        <x:v>Date is from a visible community confirmation post.</x:v>
      </x:c>
    </x:row>
    <x:row r="224" ht="52" customHeight="1">
      <x:c r="A224" s="30" t="str">
        <x:v>Sandy Lake</x:v>
      </x:c>
      <x:c r="B224" s="30" t="str">
        <x:v>5743</x:v>
      </x:c>
      <x:c r="C224" s="30" t="str">
        <x:v>Northern Pike</x:v>
      </x:c>
      <x:c r="D224" s="30" t="str">
        <x:v>Community-listed</x:v>
      </x:c>
      <x:c r="E224" s="32" t="n">
        <x:v>2</x:v>
      </x:c>
      <x:c r="F224" s="32" t="n">
        <x:v>0</x:v>
      </x:c>
      <x:c r="G224" s="33" t="n">
        <x:v>44581</x:v>
      </x:c>
      <x:c r="H224" s="34" t="str">
        <x:v>Yes</x:v>
      </x:c>
      <x:c r="I224" s="30" t="str">
        <x:v>https://www.anglersatlas.com/place/129841/sandy-lake</x:v>
      </x:c>
      <x:c r="J224" s="30" t="str">
        <x:v>Date is from a visible community confirmation post.</x:v>
      </x:c>
    </x:row>
    <x:row r="225" ht="52" customHeight="1">
      <x:c r="A225" s="30" t="str">
        <x:v>Sauer Lake</x:v>
      </x:c>
      <x:c r="B225" s="30" t="str">
        <x:v>5753</x:v>
      </x:c>
      <x:c r="C225" s="30" t="str">
        <x:v>Rainbow Trout</x:v>
      </x:c>
      <x:c r="D225" s="30" t="str">
        <x:v>Community-listed</x:v>
      </x:c>
      <x:c r="E225" s="32" t="n">
        <x:v>2</x:v>
      </x:c>
      <x:c r="F225" s="32" t="n">
        <x:v>0</x:v>
      </x:c>
      <x:c r="G225" s="33" t="n">
        <x:v>42616</x:v>
      </x:c>
      <x:c r="H225" s="34" t="str">
        <x:v>No</x:v>
      </x:c>
      <x:c r="I225" s="30" t="str">
        <x:v>https://www.anglersatlas.com/place/102578/sauer-lake</x:v>
      </x:c>
      <x:c r="J225" s="30" t="str">
        <x:v>Date is from a visible community confirmation post.</x:v>
      </x:c>
    </x:row>
    <x:row r="226" ht="52" customHeight="1">
      <x:c r="A226" s="30" t="str">
        <x:v>Schuman Lake</x:v>
      </x:c>
      <x:c r="B226" s="30" t="str">
        <x:v>5766</x:v>
      </x:c>
      <x:c r="C226" s="30" t="str">
        <x:v>Rainbow Trout</x:v>
      </x:c>
      <x:c r="D226" s="30" t="str">
        <x:v>Community-listed</x:v>
      </x:c>
      <x:c r="E226" s="32" t="n">
        <x:v>9</x:v>
      </x:c>
      <x:c r="F226" s="32" t="n">
        <x:v>0</x:v>
      </x:c>
      <x:c r="G226" s="33" t="n">
        <x:v>42944</x:v>
      </x:c>
      <x:c r="H226" s="34" t="str">
        <x:v>No</x:v>
      </x:c>
      <x:c r="I226" s="30" t="str">
        <x:v>https://www.anglersatlas.com/place/129921/schuman-lake</x:v>
      </x:c>
      <x:c r="J226" s="30" t="str">
        <x:v>Date is from a visible community confirmation post.</x:v>
      </x:c>
    </x:row>
    <x:row r="227" ht="52" customHeight="1">
      <x:c r="A227" s="30" t="str">
        <x:v>Schuman Lake</x:v>
      </x:c>
      <x:c r="B227" s="30" t="str">
        <x:v>5766</x:v>
      </x:c>
      <x:c r="C227" s="30" t="str">
        <x:v>Tiger Trout</x:v>
      </x:c>
      <x:c r="D227" s="30" t="str">
        <x:v>Community-listed</x:v>
      </x:c>
      <x:c r="E227" s="32" t="n">
        <x:v>4</x:v>
      </x:c>
      <x:c r="F227" s="32" t="n">
        <x:v>0</x:v>
      </x:c>
      <x:c r="G227" s="33" t="n">
        <x:v>45257</x:v>
      </x:c>
      <x:c r="H227" s="34" t="str">
        <x:v>No</x:v>
      </x:c>
      <x:c r="I227" s="30" t="str">
        <x:v>https://www.anglersatlas.com/place/129921/schuman-lake</x:v>
      </x:c>
      <x:c r="J227" s="30" t="str">
        <x:v>Date is from a visible community confirmation post.</x:v>
      </x:c>
    </x:row>
    <x:row r="228" ht="52" customHeight="1">
      <x:c r="A228" s="30" t="str">
        <x:v>Schuman Lake</x:v>
      </x:c>
      <x:c r="B228" s="30" t="str">
        <x:v>5766</x:v>
      </x:c>
      <x:c r="C228" s="30" t="str">
        <x:v>Yellow Perch</x:v>
      </x:c>
      <x:c r="D228" s="30" t="str">
        <x:v>Disputed by site</x:v>
      </x:c>
      <x:c r="E228" s="32" t="n">
        <x:v>1</x:v>
      </x:c>
      <x:c r="F228" s="32" t="n">
        <x:v>4</x:v>
      </x:c>
      <x:c r="G228" s="33" t="n">
        <x:v>43231</x:v>
      </x:c>
      <x:c r="H228" s="34" t="str">
        <x:v>No</x:v>
      </x:c>
      <x:c r="I228" s="30" t="str">
        <x:v>https://www.anglersatlas.com/place/129921/schuman-lake</x:v>
      </x:c>
      <x:c r="J228" s="30" t="str">
        <x:v>Species name decoded from the linked fish-page URL. Site displays Disputed.</x:v>
      </x:c>
    </x:row>
    <x:row r="229" ht="52" customHeight="1">
      <x:c r="A229" s="30" t="str">
        <x:v>Shemeluk Lake</x:v>
      </x:c>
      <x:c r="B229" s="30" t="str">
        <x:v>6699</x:v>
      </x:c>
      <x:c r="C229" s="30" t="str">
        <x:v>Rainbow Trout</x:v>
      </x:c>
      <x:c r="D229" s="30" t="str">
        <x:v>Community-listed</x:v>
      </x:c>
      <x:c r="E229" s="32" t="n">
        <x:v>1</x:v>
      </x:c>
      <x:c r="F229" s="32" t="n">
        <x:v>0</x:v>
      </x:c>
      <x:c r="G229" s="33" t="n">
        <x:v>46056</x:v>
      </x:c>
      <x:c r="H229" s="34" t="str">
        <x:v>No</x:v>
      </x:c>
      <x:c r="I229" s="30" t="str">
        <x:v>https://www.anglersatlas.com/place/2211091/shemeluk-lake</x:v>
      </x:c>
      <x:c r="J229" s="30" t="str">
        <x:v>Date is from a visible community confirmation post.</x:v>
      </x:c>
    </x:row>
    <x:row r="230" ht="52" customHeight="1">
      <x:c r="A230" s="30" t="str">
        <x:v>Sherburne Reservoir</x:v>
      </x:c>
      <x:c r="B230" s="30" t="str">
        <x:v>5790</x:v>
      </x:c>
      <x:c r="C230" s="30" t="str">
        <x:v>Walleye</x:v>
      </x:c>
      <x:c r="D230" s="30" t="str">
        <x:v>Community-listed</x:v>
      </x:c>
      <x:c r="E230" s="32" t="n">
        <x:v>6</x:v>
      </x:c>
      <x:c r="F230" s="32" t="n">
        <x:v>0</x:v>
      </x:c>
      <x:c r="G230" s="33" t="n">
        <x:v>43977</x:v>
      </x:c>
      <x:c r="H230" s="34" t="str">
        <x:v>No</x:v>
      </x:c>
      <x:c r="I230" s="30" t="str">
        <x:v>https://www.anglersatlas.com/place/102044/sherburne-lake</x:v>
      </x:c>
      <x:c r="J230" s="30" t="str">
        <x:v>Date is from a visible community confirmation post.</x:v>
      </x:c>
    </x:row>
    <x:row r="231" ht="52" customHeight="1">
      <x:c r="A231" s="30" t="str">
        <x:v>Sherburne Reservoir</x:v>
      </x:c>
      <x:c r="B231" s="30" t="str">
        <x:v>5790</x:v>
      </x:c>
      <x:c r="C231" s="30" t="str">
        <x:v>Burbot</x:v>
      </x:c>
      <x:c r="D231" s="30" t="str">
        <x:v>Community-listed</x:v>
      </x:c>
      <x:c r="E231" s="32" t="n">
        <x:v>5</x:v>
      </x:c>
      <x:c r="F231" s="32" t="n">
        <x:v>0</x:v>
      </x:c>
      <x:c r="G231" s="33" t="n">
        <x:v>43977</x:v>
      </x:c>
      <x:c r="H231" s="34" t="str">
        <x:v>Yes</x:v>
      </x:c>
      <x:c r="I231" s="30" t="str">
        <x:v>https://www.anglersatlas.com/place/102044/sherburne-lake</x:v>
      </x:c>
      <x:c r="J231" s="30" t="str">
        <x:v>Date is from a visible community confirmation post.</x:v>
      </x:c>
    </x:row>
    <x:row r="232" ht="52" customHeight="1">
      <x:c r="A232" s="30" t="str">
        <x:v>Sherburne Reservoir</x:v>
      </x:c>
      <x:c r="B232" s="30" t="str">
        <x:v>5790</x:v>
      </x:c>
      <x:c r="C232" s="30" t="str">
        <x:v>Northern Pike</x:v>
      </x:c>
      <x:c r="D232" s="30" t="str">
        <x:v>Community-listed</x:v>
      </x:c>
      <x:c r="E232" s="32" t="n">
        <x:v>5</x:v>
      </x:c>
      <x:c r="F232" s="32" t="n">
        <x:v>0</x:v>
      </x:c>
      <x:c r="G232" s="33" t="n">
        <x:v>43977</x:v>
      </x:c>
      <x:c r="H232" s="34" t="str">
        <x:v>Yes</x:v>
      </x:c>
      <x:c r="I232" s="30" t="str">
        <x:v>https://www.anglersatlas.com/place/102044/sherburne-lake</x:v>
      </x:c>
      <x:c r="J232" s="30" t="str">
        <x:v>Date is from a visible community confirmation post.</x:v>
      </x:c>
    </x:row>
    <x:row r="233" ht="52" customHeight="1">
      <x:c r="A233" s="30" t="str">
        <x:v>Sherburne Reservoir</x:v>
      </x:c>
      <x:c r="B233" s="30" t="str">
        <x:v>5790</x:v>
      </x:c>
      <x:c r="C233" s="30" t="str">
        <x:v>Yellow Perch</x:v>
      </x:c>
      <x:c r="D233" s="30" t="str">
        <x:v>Community-listed</x:v>
      </x:c>
      <x:c r="E233" s="32" t="n">
        <x:v>5</x:v>
      </x:c>
      <x:c r="F233" s="32" t="n">
        <x:v>0</x:v>
      </x:c>
      <x:c r="G233" s="33" t="n">
        <x:v>43977</x:v>
      </x:c>
      <x:c r="H233" s="34" t="str">
        <x:v>Yes</x:v>
      </x:c>
      <x:c r="I233" s="30" t="str">
        <x:v>https://www.anglersatlas.com/place/102044/sherburne-lake</x:v>
      </x:c>
      <x:c r="J233" s="30" t="str">
        <x:v>Date is from a visible community confirmation post.</x:v>
      </x:c>
    </x:row>
    <x:row r="234" ht="52" customHeight="1">
      <x:c r="A234" s="30" t="str">
        <x:v>Sherburne Reservoir</x:v>
      </x:c>
      <x:c r="B234" s="30" t="str">
        <x:v>5790</x:v>
      </x:c>
      <x:c r="C234" s="30" t="str">
        <x:v>Lake Whitefish</x:v>
      </x:c>
      <x:c r="D234" s="30" t="str">
        <x:v>Community-listed</x:v>
      </x:c>
      <x:c r="E234" s="32" t="n">
        <x:v>4</x:v>
      </x:c>
      <x:c r="F234" s="32" t="n">
        <x:v>0</x:v>
      </x:c>
      <x:c r="G234" s="33" t="n">
        <x:v>43977</x:v>
      </x:c>
      <x:c r="H234" s="34" t="str">
        <x:v>Yes</x:v>
      </x:c>
      <x:c r="I234" s="30" t="str">
        <x:v>https://www.anglersatlas.com/place/102044/sherburne-lake</x:v>
      </x:c>
      <x:c r="J234" s="30" t="str">
        <x:v>Date is from a visible community confirmation post.</x:v>
      </x:c>
    </x:row>
    <x:row r="235" ht="52" customHeight="1">
      <x:c r="A235" s="30" t="str">
        <x:v>Sibbald Meadows Pond</x:v>
      </x:c>
      <x:c r="B235" s="30" t="str">
        <x:v>3486</x:v>
      </x:c>
      <x:c r="C235" s="30" t="str">
        <x:v>Rainbow Trout</x:v>
      </x:c>
      <x:c r="D235" s="30" t="str">
        <x:v>Community-listed</x:v>
      </x:c>
      <x:c r="E235" s="32" t="n">
        <x:v>7</x:v>
      </x:c>
      <x:c r="F235" s="32" t="n">
        <x:v>0</x:v>
      </x:c>
      <x:c r="G235" s="33" t="n">
        <x:v>42590</x:v>
      </x:c>
      <x:c r="H235" s="34" t="str">
        <x:v>No</x:v>
      </x:c>
      <x:c r="I235" s="30" t="str">
        <x:v>https://www.anglersatlas.com/place/130667/sibbald-meadows-pond</x:v>
      </x:c>
      <x:c r="J235" s="30" t="str">
        <x:v>Date is from a visible community confirmation post.</x:v>
      </x:c>
    </x:row>
    <x:row r="236" ht="52" customHeight="1">
      <x:c r="A236" s="30" t="str">
        <x:v>Sibbald Meadows Pond</x:v>
      </x:c>
      <x:c r="B236" s="30" t="str">
        <x:v>3486</x:v>
      </x:c>
      <x:c r="C236" s="30" t="str">
        <x:v>Brook Trout</x:v>
      </x:c>
      <x:c r="D236" s="30" t="str">
        <x:v>Community-listed</x:v>
      </x:c>
      <x:c r="E236" s="32" t="n">
        <x:v>3</x:v>
      </x:c>
      <x:c r="F236" s="32" t="n">
        <x:v>0</x:v>
      </x:c>
      <x:c r="G236" s="33" t="n">
        <x:v>42591</x:v>
      </x:c>
      <x:c r="H236" s="34" t="str">
        <x:v>Yes</x:v>
      </x:c>
      <x:c r="I236" s="30" t="str">
        <x:v>https://www.anglersatlas.com/place/130667/sibbald-meadows-pond</x:v>
      </x:c>
      <x:c r="J236" s="30" t="str">
        <x:v>Date is from a visible community confirmation post.</x:v>
      </x:c>
    </x:row>
    <x:row r="237" ht="52" customHeight="1">
      <x:c r="A237" s="30" t="str">
        <x:v>Sibbald Meadows Pond</x:v>
      </x:c>
      <x:c r="B237" s="30" t="str">
        <x:v>3486</x:v>
      </x:c>
      <x:c r="C237" s="30" t="str">
        <x:v>Cutthroat Trout</x:v>
      </x:c>
      <x:c r="D237" s="30" t="str">
        <x:v>Listed with disagreement votes</x:v>
      </x:c>
      <x:c r="E237" s="32" t="n">
        <x:v>1</x:v>
      </x:c>
      <x:c r="F237" s="32" t="n">
        <x:v>1</x:v>
      </x:c>
      <x:c r="G237" s="33" t="n">
        <x:v>42590</x:v>
      </x:c>
      <x:c r="H237" s="34" t="str">
        <x:v>Yes</x:v>
      </x:c>
      <x:c r="I237" s="30" t="str">
        <x:v>https://www.anglersatlas.com/place/130667/sibbald-meadows-pond</x:v>
      </x:c>
      <x:c r="J237" s="30" t="str">
        <x:v>Date is from a visible community confirmation post.</x:v>
      </x:c>
    </x:row>
    <x:row r="238" ht="52" customHeight="1">
      <x:c r="A238" s="30" t="str">
        <x:v>Skeleton Lake</x:v>
      </x:c>
      <x:c r="B238" s="30" t="str">
        <x:v>5820</x:v>
      </x:c>
      <x:c r="C238" s="30" t="str">
        <x:v>Northern Pike</x:v>
      </x:c>
      <x:c r="D238" s="30" t="str">
        <x:v>Listed with disagreement votes</x:v>
      </x:c>
      <x:c r="E238" s="32" t="n">
        <x:v>12</x:v>
      </x:c>
      <x:c r="F238" s="32" t="n">
        <x:v>1</x:v>
      </x:c>
      <x:c r="G238" s="33" t="n">
        <x:v>42699</x:v>
      </x:c>
      <x:c r="H238" s="34" t="str">
        <x:v>Yes</x:v>
      </x:c>
      <x:c r="I238" s="30" t="str">
        <x:v>https://www.anglersatlas.com/place/102046/skeleton-lake</x:v>
      </x:c>
      <x:c r="J238" s="30" t="str">
        <x:v>Date is from a visible community confirmation post.</x:v>
      </x:c>
    </x:row>
    <x:row r="239" ht="52" customHeight="1">
      <x:c r="A239" s="30" t="str">
        <x:v>Skeleton Lake</x:v>
      </x:c>
      <x:c r="B239" s="30" t="str">
        <x:v>5820</x:v>
      </x:c>
      <x:c r="C239" s="30" t="str">
        <x:v>Yellow Perch</x:v>
      </x:c>
      <x:c r="D239" s="30" t="str">
        <x:v>Community-listed</x:v>
      </x:c>
      <x:c r="E239" s="32" t="n">
        <x:v>10</x:v>
      </x:c>
      <x:c r="F239" s="32" t="n">
        <x:v>0</x:v>
      </x:c>
      <x:c r="G239" s="33" t="n">
        <x:v>42726</x:v>
      </x:c>
      <x:c r="H239" s="34" t="str">
        <x:v>Yes</x:v>
      </x:c>
      <x:c r="I239" s="30" t="str">
        <x:v>https://www.anglersatlas.com/place/102046/skeleton-lake</x:v>
      </x:c>
      <x:c r="J239" s="30" t="str">
        <x:v>Date is from a visible community confirmation post.</x:v>
      </x:c>
    </x:row>
    <x:row r="240" ht="52" customHeight="1">
      <x:c r="A240" s="30" t="str">
        <x:v>Skeleton Lake</x:v>
      </x:c>
      <x:c r="B240" s="30" t="str">
        <x:v>5820</x:v>
      </x:c>
      <x:c r="C240" s="30" t="str">
        <x:v>Walleye</x:v>
      </x:c>
      <x:c r="D240" s="30" t="str">
        <x:v>Community-listed</x:v>
      </x:c>
      <x:c r="E240" s="32" t="n">
        <x:v>9</x:v>
      </x:c>
      <x:c r="F240" s="32" t="n">
        <x:v>0</x:v>
      </x:c>
      <x:c r="G240" s="33" t="n">
        <x:v>42726</x:v>
      </x:c>
      <x:c r="H240" s="34" t="str">
        <x:v>No</x:v>
      </x:c>
      <x:c r="I240" s="30" t="str">
        <x:v>https://www.anglersatlas.com/place/102046/skeleton-lake</x:v>
      </x:c>
      <x:c r="J240" s="30" t="str">
        <x:v>Date is from a visible community confirmation post.</x:v>
      </x:c>
    </x:row>
    <x:row r="241" ht="52" customHeight="1">
      <x:c r="A241" s="30" t="str">
        <x:v>Skeleton Lake</x:v>
      </x:c>
      <x:c r="B241" s="30" t="str">
        <x:v>5820</x:v>
      </x:c>
      <x:c r="C241" s="30" t="str">
        <x:v>Lake Whitefish</x:v>
      </x:c>
      <x:c r="D241" s="30" t="str">
        <x:v>Community-listed</x:v>
      </x:c>
      <x:c r="E241" s="32" t="n">
        <x:v>6</x:v>
      </x:c>
      <x:c r="F241" s="32" t="n">
        <x:v>0</x:v>
      </x:c>
      <x:c r="G241" s="33" t="n">
        <x:v>42726</x:v>
      </x:c>
      <x:c r="H241" s="34" t="str">
        <x:v>Yes</x:v>
      </x:c>
      <x:c r="I241" s="30" t="str">
        <x:v>https://www.anglersatlas.com/place/102046/skeleton-lake</x:v>
      </x:c>
      <x:c r="J241" s="30" t="str">
        <x:v>Date is from a visible community confirmation post.</x:v>
      </x:c>
    </x:row>
    <x:row r="242" ht="52" customHeight="1">
      <x:c r="A242" s="30" t="str">
        <x:v>Skeleton Lake</x:v>
      </x:c>
      <x:c r="B242" s="30" t="str">
        <x:v>5820</x:v>
      </x:c>
      <x:c r="C242" s="30" t="str">
        <x:v>Burbot</x:v>
      </x:c>
      <x:c r="D242" s="30" t="str">
        <x:v>Community-listed</x:v>
      </x:c>
      <x:c r="E242" s="32" t="n">
        <x:v>5</x:v>
      </x:c>
      <x:c r="F242" s="32" t="n">
        <x:v>0</x:v>
      </x:c>
      <x:c r="G242" s="33" t="n">
        <x:v>43116</x:v>
      </x:c>
      <x:c r="H242" s="34" t="str">
        <x:v>Yes</x:v>
      </x:c>
      <x:c r="I242" s="30" t="str">
        <x:v>https://www.anglersatlas.com/place/102046/skeleton-lake</x:v>
      </x:c>
      <x:c r="J242" s="30" t="str">
        <x:v>Date is from a visible community confirmation post.</x:v>
      </x:c>
    </x:row>
    <x:row r="243" ht="52" customHeight="1">
      <x:c r="A243" s="30" t="str">
        <x:v>Skeleton Lake</x:v>
      </x:c>
      <x:c r="B243" s="30" t="str">
        <x:v>5820</x:v>
      </x:c>
      <x:c r="C243" s="30" t="str">
        <x:v>White Perch</x:v>
      </x:c>
      <x:c r="D243" s="30" t="str">
        <x:v>Disputed by site</x:v>
      </x:c>
      <x:c r="E243" s="32" t="n">
        <x:v>2</x:v>
      </x:c>
      <x:c r="F243" s="32" t="n">
        <x:v>5</x:v>
      </x:c>
      <x:c r="G243" s="33" t="n">
        <x:v>45164</x:v>
      </x:c>
      <x:c r="H243" s="34" t="str">
        <x:v>No</x:v>
      </x:c>
      <x:c r="I243" s="30" t="str">
        <x:v>https://www.anglersatlas.com/place/102046/skeleton-lake</x:v>
      </x:c>
      <x:c r="J243" s="30" t="str">
        <x:v>Species name decoded from the linked fish-page URL. Site displays Disputed.</x:v>
      </x:c>
    </x:row>
    <x:row r="244" ht="52" customHeight="1">
      <x:c r="A244" s="30" t="str">
        <x:v>Skeleton Lake</x:v>
      </x:c>
      <x:c r="B244" s="30" t="str">
        <x:v>5820</x:v>
      </x:c>
      <x:c r="C244" s="30" t="str">
        <x:v>Mountain Whitefish</x:v>
      </x:c>
      <x:c r="D244" s="30" t="str">
        <x:v>Disputed by site</x:v>
      </x:c>
      <x:c r="E244" s="32" t="n">
        <x:v>2</x:v>
      </x:c>
      <x:c r="F244" s="32" t="n">
        <x:v>6</x:v>
      </x:c>
      <x:c r="G244" s="33" t="n">
        <x:v>42726</x:v>
      </x:c>
      <x:c r="H244" s="34" t="str">
        <x:v>No</x:v>
      </x:c>
      <x:c r="I244" s="30" t="str">
        <x:v>https://www.anglersatlas.com/place/102046/skeleton-lake</x:v>
      </x:c>
      <x:c r="J244" s="30" t="str">
        <x:v>Species name decoded from the linked fish-page URL. Site displays Disputed.</x:v>
      </x:c>
    </x:row>
    <x:row r="245" ht="52" customHeight="1">
      <x:c r="A245" s="30" t="str">
        <x:v>Sparrow's Egg Lake</x:v>
      </x:c>
      <x:c r="B245" s="30" t="str">
        <x:v>5858</x:v>
      </x:c>
      <x:c r="C245" s="30" t="str">
        <x:v>Cutthroat Trout</x:v>
      </x:c>
      <x:c r="D245" s="30" t="str">
        <x:v>Community-listed</x:v>
      </x:c>
      <x:c r="E245" s="32" t="n">
        <x:v>1</x:v>
      </x:c>
      <x:c r="F245" s="32" t="n">
        <x:v>0</x:v>
      </x:c>
      <x:c r="G245" s="33" t="n">
        <x:v>42599</x:v>
      </x:c>
      <x:c r="H245" s="34" t="str">
        <x:v>No</x:v>
      </x:c>
      <x:c r="I245" s="30" t="str">
        <x:v>https://www.anglersatlas.com/place/174451/sparrows-egg-lake</x:v>
      </x:c>
      <x:c r="J245" s="30" t="str">
        <x:v>Date is from a visible community confirmation post.</x:v>
      </x:c>
    </x:row>
    <x:row r="246" ht="52" customHeight="1">
      <x:c r="A246" s="30" t="str">
        <x:v>Sparrow's Egg Lake</x:v>
      </x:c>
      <x:c r="B246" s="30" t="str">
        <x:v>5858</x:v>
      </x:c>
      <x:c r="C246" s="30" t="str">
        <x:v>Rainbow Trout</x:v>
      </x:c>
      <x:c r="D246" s="30" t="str">
        <x:v>Community-listed</x:v>
      </x:c>
      <x:c r="E246" s="32" t="n">
        <x:v>2</x:v>
      </x:c>
      <x:c r="F246" s="32" t="n">
        <x:v>0</x:v>
      </x:c>
      <x:c r="G246" s="33" t="n">
        <x:v>42599</x:v>
      </x:c>
      <x:c r="H246" s="34" t="str">
        <x:v>No</x:v>
      </x:c>
      <x:c r="I246" s="30" t="str">
        <x:v>https://www.anglersatlas.com/place/174451/sparrows-egg-lake</x:v>
      </x:c>
      <x:c r="J246" s="30" t="str">
        <x:v>Date is from a visible community confirmation post.</x:v>
      </x:c>
    </x:row>
    <x:row r="247" ht="52" customHeight="1">
      <x:c r="A247" s="30" t="str">
        <x:v>Spring Lake</x:v>
      </x:c>
      <x:c r="B247" s="30" t="str">
        <x:v>6693</x:v>
      </x:c>
      <x:c r="C247" s="30" t="str">
        <x:v>Tiger Trout</x:v>
      </x:c>
      <x:c r="D247" s="30" t="str">
        <x:v>Community-listed</x:v>
      </x:c>
      <x:c r="E247" s="32" t="n">
        <x:v>2</x:v>
      </x:c>
      <x:c r="F247" s="32" t="n">
        <x:v>0</x:v>
      </x:c>
      <x:c r="G247" s="33" t="n">
        <x:v>45845</x:v>
      </x:c>
      <x:c r="H247" s="34" t="str">
        <x:v>Yes</x:v>
      </x:c>
      <x:c r="I247" s="30" t="str">
        <x:v>https://www.anglersatlas.com/place/2061595/spring-lake</x:v>
      </x:c>
      <x:c r="J247" s="30" t="str">
        <x:v>Date is from a visible community confirmation post.</x:v>
      </x:c>
    </x:row>
    <x:row r="248" ht="52" customHeight="1">
      <x:c r="A248" s="30" t="str">
        <x:v>Spring Lake</x:v>
      </x:c>
      <x:c r="B248" s="30" t="str">
        <x:v>6693</x:v>
      </x:c>
      <x:c r="C248" s="30" t="str">
        <x:v>Rainbow Trout</x:v>
      </x:c>
      <x:c r="D248" s="30" t="str">
        <x:v>Community-listed</x:v>
      </x:c>
      <x:c r="E248" s="32" t="n">
        <x:v>2</x:v>
      </x:c>
      <x:c r="F248" s="32" t="n">
        <x:v>0</x:v>
      </x:c>
      <x:c r="G248" s="33" t="n">
        <x:v>45845</x:v>
      </x:c>
      <x:c r="H248" s="34" t="str">
        <x:v>No</x:v>
      </x:c>
      <x:c r="I248" s="30" t="str">
        <x:v>https://www.anglersatlas.com/place/2061595/spring-lake</x:v>
      </x:c>
      <x:c r="J248" s="30" t="str">
        <x:v>Date is from a visible community confirmation post.</x:v>
      </x:c>
    </x:row>
    <x:row r="249" ht="52" customHeight="1">
      <x:c r="A249" s="30" t="str">
        <x:v>Spring Lake</x:v>
      </x:c>
      <x:c r="B249" s="30" t="str">
        <x:v>6693</x:v>
      </x:c>
      <x:c r="C249" s="30" t="str">
        <x:v>Brown Trout</x:v>
      </x:c>
      <x:c r="D249" s="30" t="str">
        <x:v>Community-listed</x:v>
      </x:c>
      <x:c r="E249" s="32" t="n">
        <x:v>1</x:v>
      </x:c>
      <x:c r="F249" s="32" t="n">
        <x:v>0</x:v>
      </x:c>
      <x:c r="G249" s="33" t="n">
        <x:v>45845</x:v>
      </x:c>
      <x:c r="H249" s="34" t="str">
        <x:v>Yes</x:v>
      </x:c>
      <x:c r="I249" s="30" t="str">
        <x:v>https://www.anglersatlas.com/place/2061595/spring-lake</x:v>
      </x:c>
      <x:c r="J249" s="30" t="str">
        <x:v>Date is from a visible community confirmation post.</x:v>
      </x:c>
    </x:row>
    <x:row r="250" ht="52" customHeight="1">
      <x:c r="A250" s="30" t="str">
        <x:v>Spring Lake</x:v>
      </x:c>
      <x:c r="B250" s="30" t="str">
        <x:v>6693</x:v>
      </x:c>
      <x:c r="C250" s="30" t="str">
        <x:v>Prussian Carp</x:v>
      </x:c>
      <x:c r="D250" s="30" t="str">
        <x:v>Community-listed</x:v>
      </x:c>
      <x:c r="E250" s="32" t="n">
        <x:v>1</x:v>
      </x:c>
      <x:c r="F250" s="32" t="n">
        <x:v>0</x:v>
      </x:c>
      <x:c r="G250" s="33" t="n">
        <x:v>45900</x:v>
      </x:c>
      <x:c r="H250" s="34" t="str">
        <x:v>Yes</x:v>
      </x:c>
      <x:c r="I250" s="30" t="str">
        <x:v>https://www.anglersatlas.com/place/2061595/spring-lake</x:v>
      </x:c>
      <x:c r="J250" s="30" t="str">
        <x:v>Date is from a visible community confirmation post.</x:v>
      </x:c>
    </x:row>
    <x:row r="251" ht="52" customHeight="1">
      <x:c r="A251" s="30" t="str">
        <x:v>Spruce Coulee Reservoir</x:v>
      </x:c>
      <x:c r="B251" s="30" t="str">
        <x:v>3534</x:v>
      </x:c>
      <x:c r="C251" s="30" t="str">
        <x:v>Brook Trout</x:v>
      </x:c>
      <x:c r="D251" s="30" t="str">
        <x:v>Community-listed</x:v>
      </x:c>
      <x:c r="E251" s="32" t="n">
        <x:v>7</x:v>
      </x:c>
      <x:c r="F251" s="32" t="n">
        <x:v>0</x:v>
      </x:c>
      <x:c r="G251" s="33" t="n">
        <x:v>42947</x:v>
      </x:c>
      <x:c r="H251" s="34" t="str">
        <x:v>No</x:v>
      </x:c>
      <x:c r="I251" s="30" t="str">
        <x:v>https://www.anglersatlas.com/place/102052/spruce-coulee-reservoir</x:v>
      </x:c>
      <x:c r="J251" s="30" t="str">
        <x:v>Date is from a visible community confirmation post.</x:v>
      </x:c>
    </x:row>
    <x:row r="252" ht="52" customHeight="1">
      <x:c r="A252" s="30" t="str">
        <x:v>Spruce Coulee Reservoir</x:v>
      </x:c>
      <x:c r="B252" s="30" t="str">
        <x:v>3534</x:v>
      </x:c>
      <x:c r="C252" s="30" t="str">
        <x:v>Walleye</x:v>
      </x:c>
      <x:c r="D252" s="30" t="str">
        <x:v>Community-listed</x:v>
      </x:c>
      <x:c r="E252" s="32" t="n">
        <x:v>6</x:v>
      </x:c>
      <x:c r="F252" s="32" t="n">
        <x:v>0</x:v>
      </x:c>
      <x:c r="G252" s="33" t="n">
        <x:v>42947</x:v>
      </x:c>
      <x:c r="H252" s="34" t="str">
        <x:v>Yes</x:v>
      </x:c>
      <x:c r="I252" s="30" t="str">
        <x:v>https://www.anglersatlas.com/place/102052/spruce-coulee-reservoir</x:v>
      </x:c>
      <x:c r="J252" s="30" t="str">
        <x:v>Date is from a visible community confirmation post.</x:v>
      </x:c>
    </x:row>
    <x:row r="253" ht="52" customHeight="1">
      <x:c r="A253" s="30" t="str">
        <x:v>Spruce Coulee Reservoir</x:v>
      </x:c>
      <x:c r="B253" s="30" t="str">
        <x:v>3534</x:v>
      </x:c>
      <x:c r="C253" s="30" t="str">
        <x:v>Arctic Grayling</x:v>
      </x:c>
      <x:c r="D253" s="30" t="str">
        <x:v>Listed with disagreement votes</x:v>
      </x:c>
      <x:c r="E253" s="32" t="n">
        <x:v>3</x:v>
      </x:c>
      <x:c r="F253" s="32" t="n">
        <x:v>2</x:v>
      </x:c>
      <x:c r="G253" s="33" t="n">
        <x:v>42947</x:v>
      </x:c>
      <x:c r="H253" s="34" t="str">
        <x:v>Yes</x:v>
      </x:c>
      <x:c r="I253" s="30" t="str">
        <x:v>https://www.anglersatlas.com/place/102052/spruce-coulee-reservoir</x:v>
      </x:c>
      <x:c r="J253" s="30" t="str">
        <x:v>Date is from a visible community confirmation post.</x:v>
      </x:c>
    </x:row>
    <x:row r="254" ht="52" customHeight="1">
      <x:c r="A254" s="30" t="str">
        <x:v>Spruce Coulee Reservoir</x:v>
      </x:c>
      <x:c r="B254" s="30" t="str">
        <x:v>3534</x:v>
      </x:c>
      <x:c r="C254" s="30" t="str">
        <x:v>Brown Trout</x:v>
      </x:c>
      <x:c r="D254" s="30" t="str">
        <x:v>Listed with disagreement votes</x:v>
      </x:c>
      <x:c r="E254" s="32" t="n">
        <x:v>1</x:v>
      </x:c>
      <x:c r="F254" s="32" t="n">
        <x:v>1</x:v>
      </x:c>
      <x:c r="G254" s="33" t="n">
        <x:v>42969</x:v>
      </x:c>
      <x:c r="H254" s="34" t="str">
        <x:v>No</x:v>
      </x:c>
      <x:c r="I254" s="30" t="str">
        <x:v>https://www.anglersatlas.com/place/102052/spruce-coulee-reservoir</x:v>
      </x:c>
      <x:c r="J254" s="30" t="str">
        <x:v>Date is from a visible community confirmation post.</x:v>
      </x:c>
    </x:row>
    <x:row r="255" ht="52" customHeight="1">
      <x:c r="A255" s="30" t="str">
        <x:v>Star Lake</x:v>
      </x:c>
      <x:c r="B255" s="30" t="str">
        <x:v>5895</x:v>
      </x:c>
      <x:c r="C255" s="30" t="str">
        <x:v>Yellow Perch</x:v>
      </x:c>
      <x:c r="D255" s="30" t="str">
        <x:v>Community-listed</x:v>
      </x:c>
      <x:c r="E255" s="32" t="n">
        <x:v>17</x:v>
      </x:c>
      <x:c r="F255" s="32" t="n">
        <x:v>0</x:v>
      </x:c>
      <x:c r="G255" s="33" t="n">
        <x:v>44016</x:v>
      </x:c>
      <x:c r="H255" s="34" t="str">
        <x:v>Yes</x:v>
      </x:c>
      <x:c r="I255" s="30" t="str">
        <x:v>https://www.anglersatlas.com/place/102057/star-lake</x:v>
      </x:c>
      <x:c r="J255" s="30" t="str">
        <x:v>Date is from a visible community confirmation post.</x:v>
      </x:c>
    </x:row>
    <x:row r="256" ht="52" customHeight="1">
      <x:c r="A256" s="30" t="str">
        <x:v>Star Lake</x:v>
      </x:c>
      <x:c r="B256" s="30" t="str">
        <x:v>5895</x:v>
      </x:c>
      <x:c r="C256" s="30" t="str">
        <x:v>Rainbow Trout</x:v>
      </x:c>
      <x:c r="D256" s="30" t="str">
        <x:v>Listed with disagreement votes</x:v>
      </x:c>
      <x:c r="E256" s="32" t="n">
        <x:v>15</x:v>
      </x:c>
      <x:c r="F256" s="32" t="n">
        <x:v>1</x:v>
      </x:c>
      <x:c r="G256" s="33" t="n">
        <x:v>42712</x:v>
      </x:c>
      <x:c r="H256" s="34" t="str">
        <x:v>No</x:v>
      </x:c>
      <x:c r="I256" s="30" t="str">
        <x:v>https://www.anglersatlas.com/place/102057/star-lake</x:v>
      </x:c>
      <x:c r="J256" s="30" t="str">
        <x:v>Date is from a visible community confirmation post.</x:v>
      </x:c>
    </x:row>
    <x:row r="257" ht="52" customHeight="1">
      <x:c r="A257" s="30" t="str">
        <x:v>Star Lake</x:v>
      </x:c>
      <x:c r="B257" s="30" t="str">
        <x:v>5895</x:v>
      </x:c>
      <x:c r="C257" s="30" t="str">
        <x:v>Brown Trout</x:v>
      </x:c>
      <x:c r="D257" s="30" t="str">
        <x:v>Community-listed</x:v>
      </x:c>
      <x:c r="E257" s="32" t="n">
        <x:v>3</x:v>
      </x:c>
      <x:c r="F257" s="32" t="n">
        <x:v>0</x:v>
      </x:c>
      <x:c r="G257" s="33" t="n">
        <x:v>44691</x:v>
      </x:c>
      <x:c r="H257" s="34" t="str">
        <x:v>No</x:v>
      </x:c>
      <x:c r="I257" s="30" t="str">
        <x:v>https://www.anglersatlas.com/place/102057/star-lake</x:v>
      </x:c>
      <x:c r="J257" s="30" t="str">
        <x:v>Date is from a visible community confirmation post.</x:v>
      </x:c>
    </x:row>
    <x:row r="258" ht="52" customHeight="1">
      <x:c r="A258" s="30" t="str">
        <x:v>Star Lake</x:v>
      </x:c>
      <x:c r="B258" s="30" t="str">
        <x:v>5895</x:v>
      </x:c>
      <x:c r="C258" s="30" t="str">
        <x:v>Tiger Trout</x:v>
      </x:c>
      <x:c r="D258" s="30" t="str">
        <x:v>Community-listed</x:v>
      </x:c>
      <x:c r="E258" s="32" t="n">
        <x:v>2</x:v>
      </x:c>
      <x:c r="F258" s="32" t="n">
        <x:v>0</x:v>
      </x:c>
      <x:c r="G258" s="33" t="n">
        <x:v>44691</x:v>
      </x:c>
      <x:c r="H258" s="34" t="str">
        <x:v>No</x:v>
      </x:c>
      <x:c r="I258" s="30" t="str">
        <x:v>https://www.anglersatlas.com/place/102057/star-lake</x:v>
      </x:c>
      <x:c r="J258" s="30" t="str">
        <x:v>Date is from a visible community confirmation post.</x:v>
      </x:c>
    </x:row>
    <x:row r="259" ht="52" customHeight="1">
      <x:c r="A259" s="30" t="str">
        <x:v>Star Lake</x:v>
      </x:c>
      <x:c r="B259" s="30" t="str">
        <x:v>5895</x:v>
      </x:c>
      <x:c r="C259" s="30" t="str">
        <x:v>Northern Pike</x:v>
      </x:c>
      <x:c r="D259" s="30" t="str">
        <x:v>Listed with disagreement votes</x:v>
      </x:c>
      <x:c r="E259" s="32" t="n">
        <x:v>2</x:v>
      </x:c>
      <x:c r="F259" s="32" t="n">
        <x:v>1</x:v>
      </x:c>
      <x:c r="G259" s="33" t="n">
        <x:v>45810</x:v>
      </x:c>
      <x:c r="H259" s="34" t="str">
        <x:v>Yes</x:v>
      </x:c>
      <x:c r="I259" s="30" t="str">
        <x:v>https://www.anglersatlas.com/place/102057/star-lake</x:v>
      </x:c>
      <x:c r="J259" s="30" t="str">
        <x:v>Date is from a visible community confirmation post.</x:v>
      </x:c>
    </x:row>
    <x:row r="260" ht="52" customHeight="1">
      <x:c r="A260" s="30" t="str">
        <x:v>Strubel Lake</x:v>
      </x:c>
      <x:c r="B260" s="30" t="str">
        <x:v>5919</x:v>
      </x:c>
      <x:c r="C260" s="30" t="str">
        <x:v>Rainbow Trout</x:v>
      </x:c>
      <x:c r="D260" s="30" t="str">
        <x:v>Community-listed</x:v>
      </x:c>
      <x:c r="E260" s="32" t="n">
        <x:v>7</x:v>
      </x:c>
      <x:c r="F260" s="32" t="n">
        <x:v>0</x:v>
      </x:c>
      <x:c r="G260" s="33" t="n">
        <x:v>42568</x:v>
      </x:c>
      <x:c r="H260" s="34" t="str">
        <x:v>No</x:v>
      </x:c>
      <x:c r="I260" s="30" t="str">
        <x:v>https://www.anglersatlas.com/place/102060/strubel-lake</x:v>
      </x:c>
      <x:c r="J260" s="30" t="str">
        <x:v>Date is from a visible community confirmation post.</x:v>
      </x:c>
    </x:row>
    <x:row r="261" ht="52" customHeight="1">
      <x:c r="A261" s="30" t="str">
        <x:v>Strubel Lake</x:v>
      </x:c>
      <x:c r="B261" s="30" t="str">
        <x:v>5919</x:v>
      </x:c>
      <x:c r="C261" s="30" t="str">
        <x:v>Yellow Perch</x:v>
      </x:c>
      <x:c r="D261" s="30" t="str">
        <x:v>Listed with disagreement votes</x:v>
      </x:c>
      <x:c r="E261" s="32" t="n">
        <x:v>5</x:v>
      </x:c>
      <x:c r="F261" s="32" t="n">
        <x:v>1</x:v>
      </x:c>
      <x:c r="G261" s="33" t="n">
        <x:v>42739</x:v>
      </x:c>
      <x:c r="H261" s="34" t="str">
        <x:v>Yes</x:v>
      </x:c>
      <x:c r="I261" s="30" t="str">
        <x:v>https://www.anglersatlas.com/place/102060/strubel-lake</x:v>
      </x:c>
      <x:c r="J261" s="30" t="str">
        <x:v>Date is from a visible community confirmation post.</x:v>
      </x:c>
    </x:row>
    <x:row r="262" ht="52" customHeight="1">
      <x:c r="A262" s="30" t="str">
        <x:v>Sulphur Lake</x:v>
      </x:c>
      <x:c r="B262" s="30" t="str">
        <x:v>5929</x:v>
      </x:c>
      <x:c r="C262" s="30" t="str">
        <x:v>Brook Trout</x:v>
      </x:c>
      <x:c r="D262" s="30" t="str">
        <x:v>Community-listed</x:v>
      </x:c>
      <x:c r="E262" s="32" t="n">
        <x:v>4</x:v>
      </x:c>
      <x:c r="F262" s="32" t="n">
        <x:v>0</x:v>
      </x:c>
      <x:c r="G262" s="33" t="n">
        <x:v>43914</x:v>
      </x:c>
      <x:c r="H262" s="34" t="str">
        <x:v>No</x:v>
      </x:c>
      <x:c r="I262" s="30" t="str">
        <x:v>https://www.anglersatlas.com/place/130278/sulphur-lake</x:v>
      </x:c>
      <x:c r="J262" s="30" t="str">
        <x:v>Date is from a visible community confirmation post.</x:v>
      </x:c>
    </x:row>
    <x:row r="263" ht="52" customHeight="1">
      <x:c r="A263" s="30" t="str">
        <x:v>Sulphur Lake</x:v>
      </x:c>
      <x:c r="B263" s="30" t="str">
        <x:v>5929</x:v>
      </x:c>
      <x:c r="C263" s="30" t="str">
        <x:v>Rainbow Trout</x:v>
      </x:c>
      <x:c r="D263" s="30" t="str">
        <x:v>Community-listed</x:v>
      </x:c>
      <x:c r="E263" s="32" t="n">
        <x:v>4</x:v>
      </x:c>
      <x:c r="F263" s="32" t="n">
        <x:v>0</x:v>
      </x:c>
      <x:c r="G263" s="33" t="n">
        <x:v>43105</x:v>
      </x:c>
      <x:c r="H263" s="34" t="str">
        <x:v>No</x:v>
      </x:c>
      <x:c r="I263" s="30" t="str">
        <x:v>https://www.anglersatlas.com/place/130278/sulphur-lake</x:v>
      </x:c>
      <x:c r="J263" s="30" t="str">
        <x:v>Date is from a visible community confirmation post.</x:v>
      </x:c>
    </x:row>
    <x:row r="264" ht="52" customHeight="1">
      <x:c r="A264" s="30" t="str">
        <x:v>Swan Lake</x:v>
      </x:c>
      <x:c r="B264" s="30" t="str">
        <x:v>5944</x:v>
      </x:c>
      <x:c r="C264" s="30" t="str">
        <x:v>Rainbow Trout</x:v>
      </x:c>
      <x:c r="D264" s="30" t="str">
        <x:v>Listed with disagreement votes</x:v>
      </x:c>
      <x:c r="E264" s="32" t="n">
        <x:v>11</x:v>
      </x:c>
      <x:c r="F264" s="32" t="n">
        <x:v>2</x:v>
      </x:c>
      <x:c r="G264" s="33" t="n">
        <x:v>42567</x:v>
      </x:c>
      <x:c r="H264" s="34" t="str">
        <x:v>No</x:v>
      </x:c>
      <x:c r="I264" s="30" t="str">
        <x:v>https://www.anglersatlas.com/place/130354/swan-lake</x:v>
      </x:c>
      <x:c r="J264" s="30" t="str">
        <x:v>Date is from a visible community confirmation post.</x:v>
      </x:c>
    </x:row>
    <x:row r="265" ht="52" customHeight="1">
      <x:c r="A265" s="30" t="str">
        <x:v>Swan Lake</x:v>
      </x:c>
      <x:c r="B265" s="30" t="str">
        <x:v>5944</x:v>
      </x:c>
      <x:c r="C265" s="30" t="str">
        <x:v>Burbot</x:v>
      </x:c>
      <x:c r="D265" s="30" t="str">
        <x:v>Disputed by site</x:v>
      </x:c>
      <x:c r="E265" s="32" t="n">
        <x:v>2</x:v>
      </x:c>
      <x:c r="F265" s="32" t="n">
        <x:v>3</x:v>
      </x:c>
      <x:c r="G265" s="33" t="n">
        <x:v>42870</x:v>
      </x:c>
      <x:c r="H265" s="34" t="str">
        <x:v>No</x:v>
      </x:c>
      <x:c r="I265" s="30" t="str">
        <x:v>https://www.anglersatlas.com/place/130354/swan-lake</x:v>
      </x:c>
      <x:c r="J265" s="30" t="str">
        <x:v>Species name decoded from the linked fish-page URL. Site displays Disputed.</x:v>
      </x:c>
    </x:row>
    <x:row r="266" ht="52" customHeight="1">
      <x:c r="A266" s="30" t="str">
        <x:v>Sylvan Lake</x:v>
      </x:c>
      <x:c r="B266" s="30" t="str">
        <x:v>5952</x:v>
      </x:c>
      <x:c r="C266" s="30" t="str">
        <x:v>Walleye</x:v>
      </x:c>
      <x:c r="D266" s="30" t="str">
        <x:v>Community-listed</x:v>
      </x:c>
      <x:c r="E266" s="32" t="n">
        <x:v>31</x:v>
      </x:c>
      <x:c r="F266" s="32" t="n">
        <x:v>0</x:v>
      </x:c>
      <x:c r="G266" s="33" t="n">
        <x:v>42571</x:v>
      </x:c>
      <x:c r="H266" s="34" t="str">
        <x:v>No</x:v>
      </x:c>
      <x:c r="I266" s="30" t="str">
        <x:v>https://www.anglersatlas.com/place/102064/sylvan-lake</x:v>
      </x:c>
      <x:c r="J266" s="30" t="str">
        <x:v>Date is from a visible community confirmation post.</x:v>
      </x:c>
    </x:row>
    <x:row r="267" ht="52" customHeight="1">
      <x:c r="A267" s="30" t="str">
        <x:v>Sylvan Lake</x:v>
      </x:c>
      <x:c r="B267" s="30" t="str">
        <x:v>5952</x:v>
      </x:c>
      <x:c r="C267" s="30" t="str">
        <x:v>Northern Pike</x:v>
      </x:c>
      <x:c r="D267" s="30" t="str">
        <x:v>Community-listed</x:v>
      </x:c>
      <x:c r="E267" s="32" t="n">
        <x:v>30</x:v>
      </x:c>
      <x:c r="F267" s="32" t="n">
        <x:v>0</x:v>
      </x:c>
      <x:c r="G267" s="33" t="n">
        <x:v>42571</x:v>
      </x:c>
      <x:c r="H267" s="34" t="str">
        <x:v>Yes</x:v>
      </x:c>
      <x:c r="I267" s="30" t="str">
        <x:v>https://www.anglersatlas.com/place/102064/sylvan-lake</x:v>
      </x:c>
      <x:c r="J267" s="30" t="str">
        <x:v>Date is from a visible community confirmation post.</x:v>
      </x:c>
    </x:row>
    <x:row r="268" ht="52" customHeight="1">
      <x:c r="A268" s="30" t="str">
        <x:v>Sylvan Lake</x:v>
      </x:c>
      <x:c r="B268" s="30" t="str">
        <x:v>5952</x:v>
      </x:c>
      <x:c r="C268" s="30" t="str">
        <x:v>Lake Whitefish</x:v>
      </x:c>
      <x:c r="D268" s="30" t="str">
        <x:v>Community-listed</x:v>
      </x:c>
      <x:c r="E268" s="32" t="n">
        <x:v>20</x:v>
      </x:c>
      <x:c r="F268" s="32" t="n">
        <x:v>0</x:v>
      </x:c>
      <x:c r="G268" s="33" t="n">
        <x:v>42571</x:v>
      </x:c>
      <x:c r="H268" s="34" t="str">
        <x:v>Yes</x:v>
      </x:c>
      <x:c r="I268" s="30" t="str">
        <x:v>https://www.anglersatlas.com/place/102064/sylvan-lake</x:v>
      </x:c>
      <x:c r="J268" s="30" t="str">
        <x:v>Date is from a visible community confirmation post.</x:v>
      </x:c>
    </x:row>
    <x:row r="269" ht="52" customHeight="1">
      <x:c r="A269" s="30" t="str">
        <x:v>Sylvan Lake</x:v>
      </x:c>
      <x:c r="B269" s="30" t="str">
        <x:v>5952</x:v>
      </x:c>
      <x:c r="C269" s="30" t="str">
        <x:v>Yellow Perch</x:v>
      </x:c>
      <x:c r="D269" s="30" t="str">
        <x:v>Community-listed</x:v>
      </x:c>
      <x:c r="E269" s="32" t="n">
        <x:v>18</x:v>
      </x:c>
      <x:c r="F269" s="32" t="n">
        <x:v>0</x:v>
      </x:c>
      <x:c r="G269" s="33" t="n">
        <x:v>42610</x:v>
      </x:c>
      <x:c r="H269" s="34" t="str">
        <x:v>Yes</x:v>
      </x:c>
      <x:c r="I269" s="30" t="str">
        <x:v>https://www.anglersatlas.com/place/102064/sylvan-lake</x:v>
      </x:c>
      <x:c r="J269" s="30" t="str">
        <x:v>Date is from a visible community confirmation post.</x:v>
      </x:c>
    </x:row>
    <x:row r="270" ht="52" customHeight="1">
      <x:c r="A270" s="30" t="str">
        <x:v>Sylvan Lake</x:v>
      </x:c>
      <x:c r="B270" s="30" t="str">
        <x:v>5952</x:v>
      </x:c>
      <x:c r="C270" s="30" t="str">
        <x:v>Burbot</x:v>
      </x:c>
      <x:c r="D270" s="30" t="str">
        <x:v>Community-listed</x:v>
      </x:c>
      <x:c r="E270" s="32" t="n">
        <x:v>16</x:v>
      </x:c>
      <x:c r="F270" s="32" t="n">
        <x:v>0</x:v>
      </x:c>
      <x:c r="G270" s="33" t="n">
        <x:v>42695</x:v>
      </x:c>
      <x:c r="H270" s="34" t="str">
        <x:v>Yes</x:v>
      </x:c>
      <x:c r="I270" s="30" t="str">
        <x:v>https://www.anglersatlas.com/place/102064/sylvan-lake</x:v>
      </x:c>
      <x:c r="J270" s="30" t="str">
        <x:v>Date is from a visible community confirmation post.</x:v>
      </x:c>
    </x:row>
    <x:row r="271" ht="52" customHeight="1">
      <x:c r="A271" s="30" t="str">
        <x:v>Sylvan Lake</x:v>
      </x:c>
      <x:c r="B271" s="30" t="str">
        <x:v>5952</x:v>
      </x:c>
      <x:c r="C271" s="30" t="str">
        <x:v>White Sucker</x:v>
      </x:c>
      <x:c r="D271" s="30" t="str">
        <x:v>Listed with disagreement votes</x:v>
      </x:c>
      <x:c r="E271" s="32" t="n">
        <x:v>1</x:v>
      </x:c>
      <x:c r="F271" s="32" t="n">
        <x:v>1</x:v>
      </x:c>
      <x:c r="G271" s="33" t="n">
        <x:v>42621</x:v>
      </x:c>
      <x:c r="H271" s="34" t="str">
        <x:v>Yes</x:v>
      </x:c>
      <x:c r="I271" s="30" t="str">
        <x:v>https://www.anglersatlas.com/place/102064/sylvan-lake</x:v>
      </x:c>
      <x:c r="J271" s="30" t="str">
        <x:v>Date is from a visible community confirmation post.</x:v>
      </x:c>
    </x:row>
    <x:row r="272" ht="52" customHeight="1">
      <x:c r="A272" s="30" t="str">
        <x:v>Sylvan Lake</x:v>
      </x:c>
      <x:c r="B272" s="30" t="str">
        <x:v>5952</x:v>
      </x:c>
      <x:c r="C272" s="30" t="str">
        <x:v>Prussian Carp</x:v>
      </x:c>
      <x:c r="D272" s="30" t="str">
        <x:v>Disputed by site</x:v>
      </x:c>
      <x:c r="E272" s="32" t="n">
        <x:v>2</x:v>
      </x:c>
      <x:c r="F272" s="32" t="n">
        <x:v>3</x:v>
      </x:c>
      <x:c r="G272" s="33" t="n">
        <x:v>45134</x:v>
      </x:c>
      <x:c r="H272" s="34" t="str">
        <x:v>No</x:v>
      </x:c>
      <x:c r="I272" s="30" t="str">
        <x:v>https://www.anglersatlas.com/place/102064/sylvan-lake</x:v>
      </x:c>
      <x:c r="J272" s="30" t="str">
        <x:v>Species name decoded from the linked fish-page URL. Site displays Disputed.</x:v>
      </x:c>
    </x:row>
    <x:row r="273" ht="52" customHeight="1">
      <x:c r="A273" s="30" t="str">
        <x:v>Taber Trout Pond</x:v>
      </x:c>
      <x:c r="B273" s="30" t="str">
        <x:v>318138</x:v>
      </x:c>
      <x:c r="C273" s="30" t="str">
        <x:v>Rainbow Trout</x:v>
      </x:c>
      <x:c r="D273" s="30" t="str">
        <x:v>Community-listed</x:v>
      </x:c>
      <x:c r="E273" s="32" t="n">
        <x:v>2</x:v>
      </x:c>
      <x:c r="F273" s="32" t="n">
        <x:v>0</x:v>
      </x:c>
      <x:c r="G273" s="33" t="n">
        <x:v>44446</x:v>
      </x:c>
      <x:c r="H273" s="34" t="str">
        <x:v>No</x:v>
      </x:c>
      <x:c r="I273" s="30" t="str">
        <x:v>https://www.anglersatlas.com/place/102584/taber-fish-and-game-pond</x:v>
      </x:c>
      <x:c r="J273" s="30" t="str">
        <x:v>Date is from a visible community confirmation post.</x:v>
      </x:c>
    </x:row>
    <x:row r="274" ht="52" customHeight="1">
      <x:c r="A274" s="30" t="str">
        <x:v>Tay Lake</x:v>
      </x:c>
      <x:c r="B274" s="30" t="str">
        <x:v>5968</x:v>
      </x:c>
      <x:c r="C274" s="30" t="str">
        <x:v>Rainbow Trout</x:v>
      </x:c>
      <x:c r="D274" s="30" t="str">
        <x:v>Community-listed</x:v>
      </x:c>
      <x:c r="E274" s="32" t="n">
        <x:v>4</x:v>
      </x:c>
      <x:c r="F274" s="32" t="n">
        <x:v>0</x:v>
      </x:c>
      <x:c r="G274" s="33" t="n">
        <x:v>43103</x:v>
      </x:c>
      <x:c r="H274" s="34" t="str">
        <x:v>No</x:v>
      </x:c>
      <x:c r="I274" s="30" t="str">
        <x:v>https://www.anglersatlas.com/place/130228/tay-lake</x:v>
      </x:c>
      <x:c r="J274" s="30" t="str">
        <x:v>Date is from a visible community confirmation post.</x:v>
      </x:c>
    </x:row>
    <x:row r="275" ht="52" customHeight="1">
      <x:c r="A275" s="30" t="str">
        <x:v>Travers Reservoir</x:v>
      </x:c>
      <x:c r="B275" s="30" t="str">
        <x:v>3537</x:v>
      </x:c>
      <x:c r="C275" s="30" t="str">
        <x:v>Walleye</x:v>
      </x:c>
      <x:c r="D275" s="30" t="str">
        <x:v>Listed with disagreement votes</x:v>
      </x:c>
      <x:c r="E275" s="32" t="n">
        <x:v>23</x:v>
      </x:c>
      <x:c r="F275" s="32" t="n">
        <x:v>1</x:v>
      </x:c>
      <x:c r="G275" s="33" t="n">
        <x:v>42580</x:v>
      </x:c>
      <x:c r="H275" s="34" t="str">
        <x:v>No</x:v>
      </x:c>
      <x:c r="I275" s="30" t="str">
        <x:v>https://www.anglersatlas.com/place/102072/travers-reservoir</x:v>
      </x:c>
      <x:c r="J275" s="30" t="str">
        <x:v>Date is from a visible community confirmation post.</x:v>
      </x:c>
    </x:row>
    <x:row r="276" ht="52" customHeight="1">
      <x:c r="A276" s="30" t="str">
        <x:v>Travers Reservoir</x:v>
      </x:c>
      <x:c r="B276" s="30" t="str">
        <x:v>3537</x:v>
      </x:c>
      <x:c r="C276" s="30" t="str">
        <x:v>Northern Pike</x:v>
      </x:c>
      <x:c r="D276" s="30" t="str">
        <x:v>Community-listed</x:v>
      </x:c>
      <x:c r="E276" s="32" t="n">
        <x:v>19</x:v>
      </x:c>
      <x:c r="F276" s="32" t="n">
        <x:v>0</x:v>
      </x:c>
      <x:c r="G276" s="33" t="n">
        <x:v>42580</x:v>
      </x:c>
      <x:c r="H276" s="34" t="str">
        <x:v>Yes</x:v>
      </x:c>
      <x:c r="I276" s="30" t="str">
        <x:v>https://www.anglersatlas.com/place/102072/travers-reservoir</x:v>
      </x:c>
      <x:c r="J276" s="30" t="str">
        <x:v>Date is from a visible community confirmation post.</x:v>
      </x:c>
    </x:row>
    <x:row r="277" ht="52" customHeight="1">
      <x:c r="A277" s="30" t="str">
        <x:v>Travers Reservoir</x:v>
      </x:c>
      <x:c r="B277" s="30" t="str">
        <x:v>3537</x:v>
      </x:c>
      <x:c r="C277" s="30" t="str">
        <x:v>Burbot</x:v>
      </x:c>
      <x:c r="D277" s="30" t="str">
        <x:v>Community-listed</x:v>
      </x:c>
      <x:c r="E277" s="32" t="n">
        <x:v>7</x:v>
      </x:c>
      <x:c r="F277" s="32" t="n">
        <x:v>0</x:v>
      </x:c>
      <x:c r="G277" s="33" t="n">
        <x:v>42580</x:v>
      </x:c>
      <x:c r="H277" s="34" t="str">
        <x:v>Yes</x:v>
      </x:c>
      <x:c r="I277" s="30" t="str">
        <x:v>https://www.anglersatlas.com/place/102072/travers-reservoir</x:v>
      </x:c>
      <x:c r="J277" s="30" t="str">
        <x:v>Date is from a visible community confirmation post.</x:v>
      </x:c>
    </x:row>
    <x:row r="278" ht="52" customHeight="1">
      <x:c r="A278" s="30" t="str">
        <x:v>Travers Reservoir</x:v>
      </x:c>
      <x:c r="B278" s="30" t="str">
        <x:v>3537</x:v>
      </x:c>
      <x:c r="C278" s="30" t="str">
        <x:v>Lake Whitefish</x:v>
      </x:c>
      <x:c r="D278" s="30" t="str">
        <x:v>Community-listed</x:v>
      </x:c>
      <x:c r="E278" s="32" t="n">
        <x:v>7</x:v>
      </x:c>
      <x:c r="F278" s="32" t="n">
        <x:v>0</x:v>
      </x:c>
      <x:c r="G278" s="33" t="n">
        <x:v>42580</x:v>
      </x:c>
      <x:c r="H278" s="34" t="str">
        <x:v>Yes</x:v>
      </x:c>
      <x:c r="I278" s="30" t="str">
        <x:v>https://www.anglersatlas.com/place/102072/travers-reservoir</x:v>
      </x:c>
      <x:c r="J278" s="30" t="str">
        <x:v>Date is from a visible community confirmation post.</x:v>
      </x:c>
    </x:row>
    <x:row r="279" ht="52" customHeight="1">
      <x:c r="A279" s="30" t="str">
        <x:v>Travers Reservoir</x:v>
      </x:c>
      <x:c r="B279" s="30" t="str">
        <x:v>3537</x:v>
      </x:c>
      <x:c r="C279" s="30" t="str">
        <x:v>Rainbow Trout</x:v>
      </x:c>
      <x:c r="D279" s="30" t="str">
        <x:v>Community-listed</x:v>
      </x:c>
      <x:c r="E279" s="32" t="n">
        <x:v>7</x:v>
      </x:c>
      <x:c r="F279" s="32" t="n">
        <x:v>0</x:v>
      </x:c>
      <x:c r="G279" s="33" t="n">
        <x:v>42676</x:v>
      </x:c>
      <x:c r="H279" s="34" t="str">
        <x:v>Yes</x:v>
      </x:c>
      <x:c r="I279" s="30" t="str">
        <x:v>https://www.anglersatlas.com/place/102072/travers-reservoir</x:v>
      </x:c>
      <x:c r="J279" s="30" t="str">
        <x:v>Date is from a visible community confirmation post.</x:v>
      </x:c>
    </x:row>
    <x:row r="280" ht="52" customHeight="1">
      <x:c r="A280" s="30" t="str">
        <x:v>Travers Reservoir</x:v>
      </x:c>
      <x:c r="B280" s="30" t="str">
        <x:v>3537</x:v>
      </x:c>
      <x:c r="C280" s="30" t="str">
        <x:v>Yellow Perch</x:v>
      </x:c>
      <x:c r="D280" s="30" t="str">
        <x:v>Community-listed</x:v>
      </x:c>
      <x:c r="E280" s="32" t="n">
        <x:v>6</x:v>
      </x:c>
      <x:c r="F280" s="32" t="n">
        <x:v>0</x:v>
      </x:c>
      <x:c r="G280" s="33" t="n">
        <x:v>42580</x:v>
      </x:c>
      <x:c r="H280" s="34" t="str">
        <x:v>Yes</x:v>
      </x:c>
      <x:c r="I280" s="30" t="str">
        <x:v>https://www.anglersatlas.com/place/102072/travers-reservoir</x:v>
      </x:c>
      <x:c r="J280" s="30" t="str">
        <x:v>Date is from a visible community confirmation post.</x:v>
      </x:c>
    </x:row>
    <x:row r="281" ht="52" customHeight="1">
      <x:c r="A281" s="30" t="str">
        <x:v>Twin Valley Reservoir</x:v>
      </x:c>
      <x:c r="B281" s="30" t="str">
        <x:v>23327</x:v>
      </x:c>
      <x:c r="C281" s="30" t="str">
        <x:v>Northern Pike</x:v>
      </x:c>
      <x:c r="D281" s="30" t="str">
        <x:v>Community-listed</x:v>
      </x:c>
      <x:c r="E281" s="32" t="n">
        <x:v>7</x:v>
      </x:c>
      <x:c r="F281" s="32" t="n">
        <x:v>0</x:v>
      </x:c>
      <x:c r="G281" s="33" t="n">
        <x:v>44215</x:v>
      </x:c>
      <x:c r="H281" s="34" t="str">
        <x:v>Yes</x:v>
      </x:c>
      <x:c r="I281" s="30" t="str">
        <x:v>https://www.anglersatlas.com/place/1067336/twin-valley-reservoir</x:v>
      </x:c>
      <x:c r="J281" s="30" t="str">
        <x:v>Date is from a visible community confirmation post.</x:v>
      </x:c>
    </x:row>
    <x:row r="282" ht="52" customHeight="1">
      <x:c r="A282" s="30" t="str">
        <x:v>Upper Kananaskis Lake</x:v>
      </x:c>
      <x:c r="B282" s="30" t="str">
        <x:v>6061</x:v>
      </x:c>
      <x:c r="C282" s="30" t="str">
        <x:v>Bull Trout</x:v>
      </x:c>
      <x:c r="D282" s="30" t="str">
        <x:v>Community-listed</x:v>
      </x:c>
      <x:c r="E282" s="32" t="n">
        <x:v>6</x:v>
      </x:c>
      <x:c r="F282" s="32" t="n">
        <x:v>0</x:v>
      </x:c>
      <x:c r="G282" s="33" t="n">
        <x:v>43098</x:v>
      </x:c>
      <x:c r="H282" s="34" t="str">
        <x:v>Yes</x:v>
      </x:c>
      <x:c r="I282" s="30" t="str">
        <x:v>https://www.anglersatlas.com/place/102078/upper-kananaskis-lake</x:v>
      </x:c>
      <x:c r="J282" s="30" t="str">
        <x:v>Date is from a visible community confirmation post.</x:v>
      </x:c>
    </x:row>
    <x:row r="283" ht="52" customHeight="1">
      <x:c r="A283" s="30" t="str">
        <x:v>Upper Kananaskis Lake</x:v>
      </x:c>
      <x:c r="B283" s="30" t="str">
        <x:v>6061</x:v>
      </x:c>
      <x:c r="C283" s="30" t="str">
        <x:v>Cutthroat Trout</x:v>
      </x:c>
      <x:c r="D283" s="30" t="str">
        <x:v>Community-listed</x:v>
      </x:c>
      <x:c r="E283" s="32" t="n">
        <x:v>3</x:v>
      </x:c>
      <x:c r="F283" s="32" t="n">
        <x:v>0</x:v>
      </x:c>
      <x:c r="G283" s="33" t="n">
        <x:v>43588</x:v>
      </x:c>
      <x:c r="H283" s="34" t="str">
        <x:v>No</x:v>
      </x:c>
      <x:c r="I283" s="30" t="str">
        <x:v>https://www.anglersatlas.com/place/102078/upper-kananaskis-lake</x:v>
      </x:c>
      <x:c r="J283" s="30" t="str">
        <x:v>Date is from a visible community confirmation post.</x:v>
      </x:c>
    </x:row>
    <x:row r="284" ht="52" customHeight="1">
      <x:c r="A284" s="30" t="str">
        <x:v>Upper Kananaskis Lake</x:v>
      </x:c>
      <x:c r="B284" s="30" t="str">
        <x:v>6061</x:v>
      </x:c>
      <x:c r="C284" s="30" t="str">
        <x:v>Rainbow Trout</x:v>
      </x:c>
      <x:c r="D284" s="30" t="str">
        <x:v>Community-listed</x:v>
      </x:c>
      <x:c r="E284" s="32" t="n">
        <x:v>2</x:v>
      </x:c>
      <x:c r="F284" s="32" t="n">
        <x:v>0</x:v>
      </x:c>
      <x:c r="G284" s="33" t="n">
        <x:v>43181</x:v>
      </x:c>
      <x:c r="H284" s="34" t="str">
        <x:v>Yes</x:v>
      </x:c>
      <x:c r="I284" s="30" t="str">
        <x:v>https://www.anglersatlas.com/place/102078/upper-kananaskis-lake</x:v>
      </x:c>
      <x:c r="J284" s="30" t="str">
        <x:v>Date is from a visible community confirmation post.</x:v>
      </x:c>
    </x:row>
    <x:row r="285" ht="52" customHeight="1">
      <x:c r="A285" s="30" t="str">
        <x:v>Wadlin Lake</x:v>
      </x:c>
      <x:c r="B285" s="30" t="str">
        <x:v>6097</x:v>
      </x:c>
      <x:c r="C285" s="30" t="str">
        <x:v>Burbot</x:v>
      </x:c>
      <x:c r="D285" s="30" t="str">
        <x:v>Community-listed</x:v>
      </x:c>
      <x:c r="E285" s="32" t="n">
        <x:v>2</x:v>
      </x:c>
      <x:c r="F285" s="32" t="n">
        <x:v>0</x:v>
      </x:c>
      <x:c r="G285" s="33" t="n">
        <x:v>43331</x:v>
      </x:c>
      <x:c r="H285" s="34" t="str">
        <x:v>Yes</x:v>
      </x:c>
      <x:c r="I285" s="30" t="str">
        <x:v>https://www.anglersatlas.com/place/102085/wadlin-lake</x:v>
      </x:c>
      <x:c r="J285" s="30" t="str">
        <x:v>Date is from a visible community confirmation post.</x:v>
      </x:c>
    </x:row>
    <x:row r="286" ht="52" customHeight="1">
      <x:c r="A286" s="30" t="str">
        <x:v>Wadlin Lake</x:v>
      </x:c>
      <x:c r="B286" s="30" t="str">
        <x:v>6097</x:v>
      </x:c>
      <x:c r="C286" s="30" t="str">
        <x:v>Lake Whitefish</x:v>
      </x:c>
      <x:c r="D286" s="30" t="str">
        <x:v>Community-listed</x:v>
      </x:c>
      <x:c r="E286" s="32" t="n">
        <x:v>2</x:v>
      </x:c>
      <x:c r="F286" s="32" t="n">
        <x:v>0</x:v>
      </x:c>
      <x:c r="G286" s="33" t="n">
        <x:v>43331</x:v>
      </x:c>
      <x:c r="H286" s="34" t="str">
        <x:v>Yes</x:v>
      </x:c>
      <x:c r="I286" s="30" t="str">
        <x:v>https://www.anglersatlas.com/place/102085/wadlin-lake</x:v>
      </x:c>
      <x:c r="J286" s="30" t="str">
        <x:v>Date is from a visible community confirmation post.</x:v>
      </x:c>
    </x:row>
    <x:row r="287" ht="52" customHeight="1">
      <x:c r="A287" s="30" t="str">
        <x:v>Wadlin Lake</x:v>
      </x:c>
      <x:c r="B287" s="30" t="str">
        <x:v>6097</x:v>
      </x:c>
      <x:c r="C287" s="30" t="str">
        <x:v>Northern Pike</x:v>
      </x:c>
      <x:c r="D287" s="30" t="str">
        <x:v>Community-listed</x:v>
      </x:c>
      <x:c r="E287" s="32" t="n">
        <x:v>2</x:v>
      </x:c>
      <x:c r="F287" s="32" t="n">
        <x:v>0</x:v>
      </x:c>
      <x:c r="G287" s="33" t="n">
        <x:v>43331</x:v>
      </x:c>
      <x:c r="H287" s="34" t="str">
        <x:v>Yes</x:v>
      </x:c>
      <x:c r="I287" s="30" t="str">
        <x:v>https://www.anglersatlas.com/place/102085/wadlin-lake</x:v>
      </x:c>
      <x:c r="J287" s="30" t="str">
        <x:v>Date is from a visible community confirmation post.</x:v>
      </x:c>
    </x:row>
    <x:row r="288" ht="52" customHeight="1">
      <x:c r="A288" s="30" t="str">
        <x:v>Wadlin Lake</x:v>
      </x:c>
      <x:c r="B288" s="30" t="str">
        <x:v>6097</x:v>
      </x:c>
      <x:c r="C288" s="30" t="str">
        <x:v>Walleye</x:v>
      </x:c>
      <x:c r="D288" s="30" t="str">
        <x:v>Community-listed</x:v>
      </x:c>
      <x:c r="E288" s="32" t="n">
        <x:v>2</x:v>
      </x:c>
      <x:c r="F288" s="32" t="n">
        <x:v>0</x:v>
      </x:c>
      <x:c r="G288" s="33" t="n">
        <x:v>43331</x:v>
      </x:c>
      <x:c r="H288" s="34" t="str">
        <x:v>No</x:v>
      </x:c>
      <x:c r="I288" s="30" t="str">
        <x:v>https://www.anglersatlas.com/place/102085/wadlin-lake</x:v>
      </x:c>
      <x:c r="J288" s="30" t="str">
        <x:v>Date is from a visible community confirmation post.</x:v>
      </x:c>
    </x:row>
    <x:row r="289" ht="52" customHeight="1">
      <x:c r="A289" s="30" t="str">
        <x:v>Wadlin Lake</x:v>
      </x:c>
      <x:c r="B289" s="30" t="str">
        <x:v>6097</x:v>
      </x:c>
      <x:c r="C289" s="30" t="str">
        <x:v>Yellow Perch</x:v>
      </x:c>
      <x:c r="D289" s="30" t="str">
        <x:v>Community-listed</x:v>
      </x:c>
      <x:c r="E289" s="32" t="n">
        <x:v>2</x:v>
      </x:c>
      <x:c r="F289" s="32" t="n">
        <x:v>0</x:v>
      </x:c>
      <x:c r="G289" s="33" t="n">
        <x:v>43331</x:v>
      </x:c>
      <x:c r="H289" s="34" t="str">
        <x:v>Yes</x:v>
      </x:c>
      <x:c r="I289" s="30" t="str">
        <x:v>https://www.anglersatlas.com/place/102085/wadlin-lake</x:v>
      </x:c>
      <x:c r="J289" s="30" t="str">
        <x:v>Date is from a visible community confirmation post.</x:v>
      </x:c>
    </x:row>
    <x:row r="290" ht="52" customHeight="1">
      <x:c r="A290" s="30" t="str">
        <x:v>Winagami Lake</x:v>
      </x:c>
      <x:c r="B290" s="30" t="str">
        <x:v>6169</x:v>
      </x:c>
      <x:c r="C290" s="30" t="str">
        <x:v>Northern Pike</x:v>
      </x:c>
      <x:c r="D290" s="30" t="str">
        <x:v>Community-listed</x:v>
      </x:c>
      <x:c r="E290" s="32" t="n">
        <x:v>6</x:v>
      </x:c>
      <x:c r="F290" s="32" t="n">
        <x:v>0</x:v>
      </x:c>
      <x:c r="G290" s="33" t="n">
        <x:v>42926</x:v>
      </x:c>
      <x:c r="H290" s="34" t="str">
        <x:v>Yes</x:v>
      </x:c>
      <x:c r="I290" s="30" t="str">
        <x:v>https://www.anglersatlas.com/place/130576/winagami-lake</x:v>
      </x:c>
      <x:c r="J290" s="30" t="str">
        <x:v>Date is from a visible community confirmation post.</x:v>
      </x:c>
    </x:row>
    <x:row r="291" ht="52" customHeight="1">
      <x:c r="A291" s="30" t="str">
        <x:v>Winagami Lake</x:v>
      </x:c>
      <x:c r="B291" s="30" t="str">
        <x:v>6169</x:v>
      </x:c>
      <x:c r="C291" s="30" t="str">
        <x:v>Walleye</x:v>
      </x:c>
      <x:c r="D291" s="30" t="str">
        <x:v>Community-listed</x:v>
      </x:c>
      <x:c r="E291" s="32" t="n">
        <x:v>6</x:v>
      </x:c>
      <x:c r="F291" s="32" t="n">
        <x:v>0</x:v>
      </x:c>
      <x:c r="G291" s="33" t="n">
        <x:v>42926</x:v>
      </x:c>
      <x:c r="H291" s="34" t="str">
        <x:v>No</x:v>
      </x:c>
      <x:c r="I291" s="30" t="str">
        <x:v>https://www.anglersatlas.com/place/130576/winagami-lake</x:v>
      </x:c>
      <x:c r="J291" s="30" t="str">
        <x:v>Date is from a visible community confirmation post.</x:v>
      </x:c>
    </x:row>
    <x:row r="292" ht="52" customHeight="1">
      <x:c r="A292" s="30" t="str">
        <x:v>Winagami Lake</x:v>
      </x:c>
      <x:c r="B292" s="30" t="str">
        <x:v>6169</x:v>
      </x:c>
      <x:c r="C292" s="30" t="str">
        <x:v>Lake Whitefish</x:v>
      </x:c>
      <x:c r="D292" s="30" t="str">
        <x:v>Community-listed</x:v>
      </x:c>
      <x:c r="E292" s="32" t="n">
        <x:v>4</x:v>
      </x:c>
      <x:c r="F292" s="32" t="n">
        <x:v>0</x:v>
      </x:c>
      <x:c r="G292" s="33" t="n">
        <x:v>42926</x:v>
      </x:c>
      <x:c r="H292" s="34" t="str">
        <x:v>Yes</x:v>
      </x:c>
      <x:c r="I292" s="30" t="str">
        <x:v>https://www.anglersatlas.com/place/130576/winagami-lake</x:v>
      </x:c>
      <x:c r="J292" s="30" t="str">
        <x:v>Date is from a visible community confirmation post.</x:v>
      </x:c>
    </x:row>
    <x:row r="293" ht="52" customHeight="1">
      <x:c r="A293" s="30" t="str">
        <x:v>Winagami Lake</x:v>
      </x:c>
      <x:c r="B293" s="30" t="str">
        <x:v>6169</x:v>
      </x:c>
      <x:c r="C293" s="30" t="str">
        <x:v>Yellow Perch</x:v>
      </x:c>
      <x:c r="D293" s="30" t="str">
        <x:v>Community-listed</x:v>
      </x:c>
      <x:c r="E293" s="32" t="n">
        <x:v>4</x:v>
      </x:c>
      <x:c r="F293" s="32" t="n">
        <x:v>0</x:v>
      </x:c>
      <x:c r="G293" s="33" t="n">
        <x:v>42926</x:v>
      </x:c>
      <x:c r="H293" s="34" t="str">
        <x:v>Yes</x:v>
      </x:c>
      <x:c r="I293" s="30" t="str">
        <x:v>https://www.anglersatlas.com/place/130576/winagami-lake</x:v>
      </x:c>
      <x:c r="J293" s="30" t="str">
        <x:v>Date is from a visible community confirmation post.</x:v>
      </x:c>
    </x:row>
    <x:row r="294" ht="52" customHeight="1">
      <x:c r="A294" s="30" t="str">
        <x:v>Winagami Lake</x:v>
      </x:c>
      <x:c r="B294" s="30" t="str">
        <x:v>6169</x:v>
      </x:c>
      <x:c r="C294" s="30" t="str">
        <x:v>White Sucker</x:v>
      </x:c>
      <x:c r="D294" s="30" t="str">
        <x:v>Community-listed</x:v>
      </x:c>
      <x:c r="E294" s="32" t="n">
        <x:v>2</x:v>
      </x:c>
      <x:c r="F294" s="32" t="n">
        <x:v>0</x:v>
      </x:c>
      <x:c r="G294" s="33" t="n">
        <x:v>42926</x:v>
      </x:c>
      <x:c r="H294" s="34" t="str">
        <x:v>Yes</x:v>
      </x:c>
      <x:c r="I294" s="30" t="str">
        <x:v>https://www.anglersatlas.com/place/130576/winagami-lake</x:v>
      </x:c>
      <x:c r="J294" s="30" t="str">
        <x:v>Date is from a visible community confirmation post.</x:v>
      </x:c>
    </x:row>
    <x:row r="295" ht="52" customHeight="1">
      <x:c r="A295" s="30" t="str">
        <x:v>Winchell Lake</x:v>
      </x:c>
      <x:c r="B295" s="30" t="str">
        <x:v>6617</x:v>
      </x:c>
      <x:c r="C295" s="30" t="str">
        <x:v>Rainbow Trout</x:v>
      </x:c>
      <x:c r="D295" s="30" t="str">
        <x:v>Community-listed</x:v>
      </x:c>
      <x:c r="E295" s="32" t="n">
        <x:v>4</x:v>
      </x:c>
      <x:c r="F295" s="32" t="n">
        <x:v>0</x:v>
      </x:c>
      <x:c r="G295" s="33" t="n">
        <x:v>42695</x:v>
      </x:c>
      <x:c r="H295" s="34" t="str">
        <x:v>No</x:v>
      </x:c>
      <x:c r="I295" s="30" t="str">
        <x:v>https://www.anglersatlas.com/place/726221/winchell-lake</x:v>
      </x:c>
      <x:c r="J295" s="30" t="str">
        <x:v>Date is from a visible community confirmation post.</x:v>
      </x:c>
    </x:row>
  </x:sheetData>
  <x:pageMargins left="0.7" right="0.7" top="0.75" bottom="0.75" header="0.3" footer="0.3"/>
  <x:tableParts count="1">
    <x:tablePart xmlns:r="http://schemas.openxmlformats.org/officeDocument/2006/relationships" r:id="R9e45e147fec8404a"/>
  </x:tableParts>
</x:worksheet>
</file>